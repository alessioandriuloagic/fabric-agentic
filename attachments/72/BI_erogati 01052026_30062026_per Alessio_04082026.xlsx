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nzia.antoci\Desktop\BI_UI_Bonus\Report Erogati_Non riscossi\BI - erogati_non riscossi -23072026\"/>
    </mc:Choice>
  </mc:AlternateContent>
  <xr:revisionPtr revIDLastSave="0" documentId="13_ncr:1_{02F5D809-27D1-40E1-BEC1-F6687C874906}" xr6:coauthVersionLast="47" xr6:coauthVersionMax="47" xr10:uidLastSave="{00000000-0000-0000-0000-000000000000}"/>
  <bookViews>
    <workbookView xWindow="22932" yWindow="-1356" windowWidth="23256" windowHeight="12456" activeTab="2" xr2:uid="{00000000-000D-0000-FFFF-FFFF00000000}"/>
  </bookViews>
  <sheets>
    <sheet name="Formattazione per CSEA" sheetId="1" r:id="rId1"/>
    <sheet name="confronto dati BI con manuale" sheetId="2" r:id="rId2"/>
    <sheet name="BI_dal 01072026_funzione bonus" sheetId="5" r:id="rId3"/>
  </sheets>
  <externalReferences>
    <externalReference r:id="rId4"/>
    <externalReference r:id="rId5"/>
    <externalReference r:id="rId6"/>
  </externalReferences>
  <definedNames>
    <definedName name="_xlnm._FilterDatabase" localSheetId="2" hidden="1">'BI_dal 01072026_funzione bonus'!$A$10:$T$3186</definedName>
    <definedName name="_xlnm._FilterDatabase" localSheetId="1" hidden="1">'confronto dati BI con manuale'!$A$2:$AG$794</definedName>
    <definedName name="_xlnm._FilterDatabase" localSheetId="0" hidden="1">'Formattazione per CSEA'!$A$8:$T$799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97" i="2" l="1"/>
  <c r="P795" i="2"/>
  <c r="Z792" i="2"/>
  <c r="Z791" i="2"/>
  <c r="Z790" i="2"/>
  <c r="Z789" i="2"/>
  <c r="Z788" i="2"/>
  <c r="Z787" i="2"/>
  <c r="Z786" i="2"/>
  <c r="Z785" i="2"/>
  <c r="Z784" i="2"/>
  <c r="Z783" i="2"/>
  <c r="Z782" i="2"/>
  <c r="Z781" i="2"/>
  <c r="Z780" i="2"/>
  <c r="Z779" i="2"/>
  <c r="Z778" i="2"/>
  <c r="Z777" i="2"/>
  <c r="Z776" i="2"/>
  <c r="Z775" i="2"/>
  <c r="Z774" i="2"/>
  <c r="Z773" i="2"/>
  <c r="Z772" i="2"/>
  <c r="Z771" i="2"/>
  <c r="Z770" i="2"/>
  <c r="Z769" i="2"/>
  <c r="Z768" i="2"/>
  <c r="Z767" i="2"/>
  <c r="Z766" i="2"/>
  <c r="Z765" i="2"/>
  <c r="Z764" i="2"/>
  <c r="Z763" i="2"/>
  <c r="Z762" i="2"/>
  <c r="Z761" i="2"/>
  <c r="Z760" i="2"/>
  <c r="Z759" i="2"/>
  <c r="Z758" i="2"/>
  <c r="Z757" i="2"/>
  <c r="Z756" i="2"/>
  <c r="Z755" i="2"/>
  <c r="Z754" i="2"/>
  <c r="Z753" i="2"/>
  <c r="Z752" i="2"/>
  <c r="Z751" i="2"/>
  <c r="Z750" i="2"/>
  <c r="Z749" i="2"/>
  <c r="Z748" i="2"/>
  <c r="Z747" i="2"/>
  <c r="Z746" i="2"/>
  <c r="Z745" i="2"/>
  <c r="Z744" i="2"/>
  <c r="Z743" i="2"/>
  <c r="Z742" i="2"/>
  <c r="Z741" i="2"/>
  <c r="Z740" i="2"/>
  <c r="Z739" i="2"/>
  <c r="Z738" i="2"/>
  <c r="Z737" i="2"/>
  <c r="Z736" i="2"/>
  <c r="Z735" i="2"/>
  <c r="Z734" i="2"/>
  <c r="Z733" i="2"/>
  <c r="Z732" i="2"/>
  <c r="Z731" i="2"/>
  <c r="Z730" i="2"/>
  <c r="Z729" i="2"/>
  <c r="Z728" i="2"/>
  <c r="Z727" i="2"/>
  <c r="Z726" i="2"/>
  <c r="Z725" i="2"/>
  <c r="Z724" i="2"/>
  <c r="Z723" i="2"/>
  <c r="Z722" i="2"/>
  <c r="Z721" i="2"/>
  <c r="Z720" i="2"/>
  <c r="Z719" i="2"/>
  <c r="Z718" i="2"/>
  <c r="Z717" i="2"/>
  <c r="Z716" i="2"/>
  <c r="Z715" i="2"/>
  <c r="Z714" i="2"/>
  <c r="Z713" i="2"/>
  <c r="Z712" i="2"/>
  <c r="Z711" i="2"/>
  <c r="Z710" i="2"/>
  <c r="Z709" i="2"/>
  <c r="Z708" i="2"/>
  <c r="Z707" i="2"/>
  <c r="Z706" i="2"/>
  <c r="Z705" i="2"/>
  <c r="Z704" i="2"/>
  <c r="Z703" i="2"/>
  <c r="Z702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V793" i="2"/>
  <c r="S793" i="2"/>
  <c r="H143" i="2"/>
  <c r="I143" i="2" s="1"/>
  <c r="D250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W792" i="2"/>
  <c r="X792" i="2" s="1"/>
  <c r="W791" i="2"/>
  <c r="X791" i="2" s="1"/>
  <c r="W790" i="2"/>
  <c r="X790" i="2" s="1"/>
  <c r="W789" i="2"/>
  <c r="X789" i="2" s="1"/>
  <c r="W788" i="2"/>
  <c r="X788" i="2" s="1"/>
  <c r="W787" i="2"/>
  <c r="X787" i="2" s="1"/>
  <c r="W786" i="2"/>
  <c r="X786" i="2" s="1"/>
  <c r="W785" i="2"/>
  <c r="X785" i="2" s="1"/>
  <c r="W784" i="2"/>
  <c r="X784" i="2" s="1"/>
  <c r="W783" i="2"/>
  <c r="X783" i="2" s="1"/>
  <c r="W782" i="2"/>
  <c r="X782" i="2" s="1"/>
  <c r="W781" i="2"/>
  <c r="X781" i="2" s="1"/>
  <c r="W780" i="2"/>
  <c r="X780" i="2" s="1"/>
  <c r="W779" i="2"/>
  <c r="X779" i="2" s="1"/>
  <c r="W778" i="2"/>
  <c r="X778" i="2" s="1"/>
  <c r="W777" i="2"/>
  <c r="X777" i="2" s="1"/>
  <c r="W776" i="2"/>
  <c r="X776" i="2" s="1"/>
  <c r="W775" i="2"/>
  <c r="X775" i="2" s="1"/>
  <c r="W774" i="2"/>
  <c r="X774" i="2" s="1"/>
  <c r="W773" i="2"/>
  <c r="X773" i="2" s="1"/>
  <c r="W772" i="2"/>
  <c r="X772" i="2" s="1"/>
  <c r="W771" i="2"/>
  <c r="X771" i="2" s="1"/>
  <c r="W770" i="2"/>
  <c r="X770" i="2" s="1"/>
  <c r="W769" i="2"/>
  <c r="X769" i="2" s="1"/>
  <c r="W768" i="2"/>
  <c r="X768" i="2" s="1"/>
  <c r="W767" i="2"/>
  <c r="X767" i="2" s="1"/>
  <c r="W766" i="2"/>
  <c r="X766" i="2" s="1"/>
  <c r="W765" i="2"/>
  <c r="X765" i="2" s="1"/>
  <c r="W764" i="2"/>
  <c r="X764" i="2" s="1"/>
  <c r="W763" i="2"/>
  <c r="X763" i="2" s="1"/>
  <c r="W762" i="2"/>
  <c r="X762" i="2" s="1"/>
  <c r="W761" i="2"/>
  <c r="X761" i="2" s="1"/>
  <c r="W760" i="2"/>
  <c r="X760" i="2" s="1"/>
  <c r="W759" i="2"/>
  <c r="X759" i="2" s="1"/>
  <c r="W758" i="2"/>
  <c r="X758" i="2" s="1"/>
  <c r="W757" i="2"/>
  <c r="X757" i="2" s="1"/>
  <c r="W756" i="2"/>
  <c r="X756" i="2" s="1"/>
  <c r="W755" i="2"/>
  <c r="X755" i="2" s="1"/>
  <c r="W754" i="2"/>
  <c r="X754" i="2" s="1"/>
  <c r="W753" i="2"/>
  <c r="X753" i="2" s="1"/>
  <c r="W752" i="2"/>
  <c r="X752" i="2" s="1"/>
  <c r="W751" i="2"/>
  <c r="X751" i="2" s="1"/>
  <c r="W750" i="2"/>
  <c r="X750" i="2" s="1"/>
  <c r="W749" i="2"/>
  <c r="X749" i="2" s="1"/>
  <c r="W748" i="2"/>
  <c r="X748" i="2" s="1"/>
  <c r="W747" i="2"/>
  <c r="X747" i="2" s="1"/>
  <c r="W746" i="2"/>
  <c r="X746" i="2" s="1"/>
  <c r="W745" i="2"/>
  <c r="X745" i="2" s="1"/>
  <c r="W744" i="2"/>
  <c r="X744" i="2" s="1"/>
  <c r="W743" i="2"/>
  <c r="X743" i="2" s="1"/>
  <c r="W742" i="2"/>
  <c r="X742" i="2" s="1"/>
  <c r="W741" i="2"/>
  <c r="X741" i="2" s="1"/>
  <c r="W740" i="2"/>
  <c r="X740" i="2" s="1"/>
  <c r="W739" i="2"/>
  <c r="X739" i="2" s="1"/>
  <c r="W738" i="2"/>
  <c r="X738" i="2" s="1"/>
  <c r="W737" i="2"/>
  <c r="X737" i="2" s="1"/>
  <c r="W736" i="2"/>
  <c r="X736" i="2" s="1"/>
  <c r="W735" i="2"/>
  <c r="X735" i="2" s="1"/>
  <c r="W734" i="2"/>
  <c r="X734" i="2" s="1"/>
  <c r="W733" i="2"/>
  <c r="X733" i="2" s="1"/>
  <c r="W732" i="2"/>
  <c r="X732" i="2" s="1"/>
  <c r="W731" i="2"/>
  <c r="X731" i="2" s="1"/>
  <c r="W730" i="2"/>
  <c r="X730" i="2" s="1"/>
  <c r="W729" i="2"/>
  <c r="X729" i="2" s="1"/>
  <c r="W728" i="2"/>
  <c r="X728" i="2" s="1"/>
  <c r="W727" i="2"/>
  <c r="X727" i="2" s="1"/>
  <c r="W726" i="2"/>
  <c r="X726" i="2" s="1"/>
  <c r="W725" i="2"/>
  <c r="X725" i="2" s="1"/>
  <c r="W724" i="2"/>
  <c r="X724" i="2" s="1"/>
  <c r="W723" i="2"/>
  <c r="X723" i="2" s="1"/>
  <c r="W722" i="2"/>
  <c r="X722" i="2" s="1"/>
  <c r="W721" i="2"/>
  <c r="X721" i="2" s="1"/>
  <c r="W720" i="2"/>
  <c r="X720" i="2" s="1"/>
  <c r="W719" i="2"/>
  <c r="X719" i="2" s="1"/>
  <c r="W718" i="2"/>
  <c r="X718" i="2" s="1"/>
  <c r="W717" i="2"/>
  <c r="X717" i="2" s="1"/>
  <c r="W716" i="2"/>
  <c r="X716" i="2" s="1"/>
  <c r="W715" i="2"/>
  <c r="X715" i="2" s="1"/>
  <c r="W714" i="2"/>
  <c r="X714" i="2" s="1"/>
  <c r="W713" i="2"/>
  <c r="X713" i="2" s="1"/>
  <c r="W712" i="2"/>
  <c r="X712" i="2" s="1"/>
  <c r="W711" i="2"/>
  <c r="X711" i="2" s="1"/>
  <c r="W710" i="2"/>
  <c r="X710" i="2" s="1"/>
  <c r="W709" i="2"/>
  <c r="X709" i="2" s="1"/>
  <c r="W708" i="2"/>
  <c r="X708" i="2" s="1"/>
  <c r="W707" i="2"/>
  <c r="X707" i="2" s="1"/>
  <c r="W706" i="2"/>
  <c r="X706" i="2" s="1"/>
  <c r="W705" i="2"/>
  <c r="X705" i="2" s="1"/>
  <c r="W704" i="2"/>
  <c r="X704" i="2" s="1"/>
  <c r="W703" i="2"/>
  <c r="X703" i="2" s="1"/>
  <c r="W702" i="2"/>
  <c r="X702" i="2" s="1"/>
  <c r="W701" i="2"/>
  <c r="X701" i="2" s="1"/>
  <c r="W700" i="2"/>
  <c r="X700" i="2" s="1"/>
  <c r="W699" i="2"/>
  <c r="X699" i="2" s="1"/>
  <c r="W698" i="2"/>
  <c r="X698" i="2" s="1"/>
  <c r="W697" i="2"/>
  <c r="X697" i="2" s="1"/>
  <c r="W696" i="2"/>
  <c r="X696" i="2" s="1"/>
  <c r="W695" i="2"/>
  <c r="X695" i="2" s="1"/>
  <c r="W694" i="2"/>
  <c r="X694" i="2" s="1"/>
  <c r="W693" i="2"/>
  <c r="X693" i="2" s="1"/>
  <c r="W692" i="2"/>
  <c r="X692" i="2" s="1"/>
  <c r="W691" i="2"/>
  <c r="X691" i="2" s="1"/>
  <c r="W690" i="2"/>
  <c r="X690" i="2" s="1"/>
  <c r="W689" i="2"/>
  <c r="X689" i="2" s="1"/>
  <c r="W688" i="2"/>
  <c r="X688" i="2" s="1"/>
  <c r="W687" i="2"/>
  <c r="X687" i="2" s="1"/>
  <c r="W686" i="2"/>
  <c r="X686" i="2" s="1"/>
  <c r="W685" i="2"/>
  <c r="X685" i="2" s="1"/>
  <c r="W684" i="2"/>
  <c r="X684" i="2" s="1"/>
  <c r="W683" i="2"/>
  <c r="X683" i="2" s="1"/>
  <c r="W682" i="2"/>
  <c r="X682" i="2" s="1"/>
  <c r="W681" i="2"/>
  <c r="X681" i="2" s="1"/>
  <c r="W680" i="2"/>
  <c r="X680" i="2" s="1"/>
  <c r="W679" i="2"/>
  <c r="X679" i="2" s="1"/>
  <c r="W678" i="2"/>
  <c r="X678" i="2" s="1"/>
  <c r="W677" i="2"/>
  <c r="X677" i="2" s="1"/>
  <c r="W676" i="2"/>
  <c r="X676" i="2" s="1"/>
  <c r="W675" i="2"/>
  <c r="X675" i="2" s="1"/>
  <c r="W674" i="2"/>
  <c r="X674" i="2" s="1"/>
  <c r="W673" i="2"/>
  <c r="X673" i="2" s="1"/>
  <c r="W672" i="2"/>
  <c r="X672" i="2" s="1"/>
  <c r="W671" i="2"/>
  <c r="X671" i="2" s="1"/>
  <c r="W670" i="2"/>
  <c r="X670" i="2" s="1"/>
  <c r="W669" i="2"/>
  <c r="X669" i="2" s="1"/>
  <c r="W668" i="2"/>
  <c r="X668" i="2" s="1"/>
  <c r="W667" i="2"/>
  <c r="X667" i="2" s="1"/>
  <c r="W666" i="2"/>
  <c r="X666" i="2" s="1"/>
  <c r="W665" i="2"/>
  <c r="X665" i="2" s="1"/>
  <c r="W664" i="2"/>
  <c r="X664" i="2" s="1"/>
  <c r="W663" i="2"/>
  <c r="X663" i="2" s="1"/>
  <c r="W662" i="2"/>
  <c r="X662" i="2" s="1"/>
  <c r="W661" i="2"/>
  <c r="X661" i="2" s="1"/>
  <c r="W660" i="2"/>
  <c r="X660" i="2" s="1"/>
  <c r="W659" i="2"/>
  <c r="X659" i="2" s="1"/>
  <c r="W658" i="2"/>
  <c r="X658" i="2" s="1"/>
  <c r="W657" i="2"/>
  <c r="X657" i="2" s="1"/>
  <c r="W656" i="2"/>
  <c r="X656" i="2" s="1"/>
  <c r="W655" i="2"/>
  <c r="X655" i="2" s="1"/>
  <c r="W654" i="2"/>
  <c r="X654" i="2" s="1"/>
  <c r="W653" i="2"/>
  <c r="X653" i="2" s="1"/>
  <c r="W652" i="2"/>
  <c r="X652" i="2" s="1"/>
  <c r="W651" i="2"/>
  <c r="X651" i="2" s="1"/>
  <c r="W650" i="2"/>
  <c r="X650" i="2" s="1"/>
  <c r="W649" i="2"/>
  <c r="X649" i="2" s="1"/>
  <c r="W648" i="2"/>
  <c r="X648" i="2" s="1"/>
  <c r="W647" i="2"/>
  <c r="X647" i="2" s="1"/>
  <c r="W646" i="2"/>
  <c r="X646" i="2" s="1"/>
  <c r="W645" i="2"/>
  <c r="X645" i="2" s="1"/>
  <c r="W644" i="2"/>
  <c r="X644" i="2" s="1"/>
  <c r="W643" i="2"/>
  <c r="X643" i="2" s="1"/>
  <c r="W642" i="2"/>
  <c r="X642" i="2" s="1"/>
  <c r="W641" i="2"/>
  <c r="X641" i="2" s="1"/>
  <c r="W640" i="2"/>
  <c r="X640" i="2" s="1"/>
  <c r="W639" i="2"/>
  <c r="X639" i="2" s="1"/>
  <c r="W638" i="2"/>
  <c r="X638" i="2" s="1"/>
  <c r="W637" i="2"/>
  <c r="X637" i="2" s="1"/>
  <c r="W636" i="2"/>
  <c r="X636" i="2" s="1"/>
  <c r="W635" i="2"/>
  <c r="X635" i="2" s="1"/>
  <c r="W634" i="2"/>
  <c r="X634" i="2" s="1"/>
  <c r="W633" i="2"/>
  <c r="X633" i="2" s="1"/>
  <c r="W632" i="2"/>
  <c r="X632" i="2" s="1"/>
  <c r="W631" i="2"/>
  <c r="X631" i="2" s="1"/>
  <c r="W630" i="2"/>
  <c r="X630" i="2" s="1"/>
  <c r="W629" i="2"/>
  <c r="X629" i="2" s="1"/>
  <c r="W628" i="2"/>
  <c r="X628" i="2" s="1"/>
  <c r="W627" i="2"/>
  <c r="X627" i="2" s="1"/>
  <c r="W626" i="2"/>
  <c r="X626" i="2" s="1"/>
  <c r="W625" i="2"/>
  <c r="X625" i="2" s="1"/>
  <c r="W624" i="2"/>
  <c r="X624" i="2" s="1"/>
  <c r="W623" i="2"/>
  <c r="X623" i="2" s="1"/>
  <c r="W622" i="2"/>
  <c r="X622" i="2" s="1"/>
  <c r="W621" i="2"/>
  <c r="X621" i="2" s="1"/>
  <c r="W620" i="2"/>
  <c r="X620" i="2" s="1"/>
  <c r="W619" i="2"/>
  <c r="X619" i="2" s="1"/>
  <c r="W618" i="2"/>
  <c r="X618" i="2" s="1"/>
  <c r="W617" i="2"/>
  <c r="X617" i="2" s="1"/>
  <c r="W616" i="2"/>
  <c r="X616" i="2" s="1"/>
  <c r="W615" i="2"/>
  <c r="X615" i="2" s="1"/>
  <c r="W614" i="2"/>
  <c r="X614" i="2" s="1"/>
  <c r="W613" i="2"/>
  <c r="X613" i="2" s="1"/>
  <c r="W612" i="2"/>
  <c r="X612" i="2" s="1"/>
  <c r="W611" i="2"/>
  <c r="X611" i="2" s="1"/>
  <c r="W610" i="2"/>
  <c r="X610" i="2" s="1"/>
  <c r="W609" i="2"/>
  <c r="X609" i="2" s="1"/>
  <c r="W608" i="2"/>
  <c r="X608" i="2" s="1"/>
  <c r="W607" i="2"/>
  <c r="X607" i="2" s="1"/>
  <c r="W606" i="2"/>
  <c r="X606" i="2" s="1"/>
  <c r="W605" i="2"/>
  <c r="X605" i="2" s="1"/>
  <c r="W604" i="2"/>
  <c r="X604" i="2" s="1"/>
  <c r="W603" i="2"/>
  <c r="X603" i="2" s="1"/>
  <c r="W602" i="2"/>
  <c r="X602" i="2" s="1"/>
  <c r="W601" i="2"/>
  <c r="X601" i="2" s="1"/>
  <c r="W600" i="2"/>
  <c r="X600" i="2" s="1"/>
  <c r="W599" i="2"/>
  <c r="X599" i="2" s="1"/>
  <c r="W598" i="2"/>
  <c r="X598" i="2" s="1"/>
  <c r="W597" i="2"/>
  <c r="X597" i="2" s="1"/>
  <c r="W596" i="2"/>
  <c r="X596" i="2" s="1"/>
  <c r="W595" i="2"/>
  <c r="X595" i="2" s="1"/>
  <c r="W594" i="2"/>
  <c r="X594" i="2" s="1"/>
  <c r="W593" i="2"/>
  <c r="X593" i="2" s="1"/>
  <c r="W592" i="2"/>
  <c r="X592" i="2" s="1"/>
  <c r="W591" i="2"/>
  <c r="X591" i="2" s="1"/>
  <c r="W590" i="2"/>
  <c r="X590" i="2" s="1"/>
  <c r="W589" i="2"/>
  <c r="X589" i="2" s="1"/>
  <c r="W588" i="2"/>
  <c r="X588" i="2" s="1"/>
  <c r="W587" i="2"/>
  <c r="X587" i="2" s="1"/>
  <c r="W586" i="2"/>
  <c r="X586" i="2" s="1"/>
  <c r="W585" i="2"/>
  <c r="X585" i="2" s="1"/>
  <c r="W584" i="2"/>
  <c r="X584" i="2" s="1"/>
  <c r="W583" i="2"/>
  <c r="X583" i="2" s="1"/>
  <c r="W582" i="2"/>
  <c r="X582" i="2" s="1"/>
  <c r="W581" i="2"/>
  <c r="X581" i="2" s="1"/>
  <c r="W580" i="2"/>
  <c r="X580" i="2" s="1"/>
  <c r="W579" i="2"/>
  <c r="X579" i="2" s="1"/>
  <c r="W578" i="2"/>
  <c r="X578" i="2" s="1"/>
  <c r="W577" i="2"/>
  <c r="X577" i="2" s="1"/>
  <c r="W576" i="2"/>
  <c r="X576" i="2" s="1"/>
  <c r="W575" i="2"/>
  <c r="X575" i="2" s="1"/>
  <c r="W574" i="2"/>
  <c r="X574" i="2" s="1"/>
  <c r="W573" i="2"/>
  <c r="X573" i="2" s="1"/>
  <c r="W572" i="2"/>
  <c r="X572" i="2" s="1"/>
  <c r="W571" i="2"/>
  <c r="X571" i="2" s="1"/>
  <c r="W570" i="2"/>
  <c r="X570" i="2" s="1"/>
  <c r="W569" i="2"/>
  <c r="X569" i="2" s="1"/>
  <c r="W568" i="2"/>
  <c r="X568" i="2" s="1"/>
  <c r="W567" i="2"/>
  <c r="X567" i="2" s="1"/>
  <c r="W566" i="2"/>
  <c r="X566" i="2" s="1"/>
  <c r="W565" i="2"/>
  <c r="X565" i="2" s="1"/>
  <c r="W564" i="2"/>
  <c r="X564" i="2" s="1"/>
  <c r="W563" i="2"/>
  <c r="X563" i="2" s="1"/>
  <c r="W562" i="2"/>
  <c r="X562" i="2" s="1"/>
  <c r="W561" i="2"/>
  <c r="X561" i="2" s="1"/>
  <c r="W560" i="2"/>
  <c r="X560" i="2" s="1"/>
  <c r="W559" i="2"/>
  <c r="X559" i="2" s="1"/>
  <c r="W558" i="2"/>
  <c r="X558" i="2" s="1"/>
  <c r="W557" i="2"/>
  <c r="X557" i="2" s="1"/>
  <c r="W556" i="2"/>
  <c r="X556" i="2" s="1"/>
  <c r="W555" i="2"/>
  <c r="X555" i="2" s="1"/>
  <c r="W554" i="2"/>
  <c r="X554" i="2" s="1"/>
  <c r="W553" i="2"/>
  <c r="X553" i="2" s="1"/>
  <c r="W552" i="2"/>
  <c r="X552" i="2" s="1"/>
  <c r="W551" i="2"/>
  <c r="X551" i="2" s="1"/>
  <c r="W550" i="2"/>
  <c r="X550" i="2" s="1"/>
  <c r="W549" i="2"/>
  <c r="X549" i="2" s="1"/>
  <c r="W548" i="2"/>
  <c r="X548" i="2" s="1"/>
  <c r="W547" i="2"/>
  <c r="X547" i="2" s="1"/>
  <c r="W546" i="2"/>
  <c r="X546" i="2" s="1"/>
  <c r="W545" i="2"/>
  <c r="X545" i="2" s="1"/>
  <c r="W544" i="2"/>
  <c r="X544" i="2" s="1"/>
  <c r="W543" i="2"/>
  <c r="X543" i="2" s="1"/>
  <c r="W542" i="2"/>
  <c r="X542" i="2" s="1"/>
  <c r="W541" i="2"/>
  <c r="X541" i="2" s="1"/>
  <c r="W540" i="2"/>
  <c r="X540" i="2" s="1"/>
  <c r="W539" i="2"/>
  <c r="X539" i="2" s="1"/>
  <c r="W538" i="2"/>
  <c r="X538" i="2" s="1"/>
  <c r="W537" i="2"/>
  <c r="X537" i="2" s="1"/>
  <c r="W536" i="2"/>
  <c r="X536" i="2" s="1"/>
  <c r="W535" i="2"/>
  <c r="X535" i="2" s="1"/>
  <c r="W534" i="2"/>
  <c r="X534" i="2" s="1"/>
  <c r="W533" i="2"/>
  <c r="X533" i="2" s="1"/>
  <c r="W532" i="2"/>
  <c r="X532" i="2" s="1"/>
  <c r="W531" i="2"/>
  <c r="X531" i="2" s="1"/>
  <c r="W530" i="2"/>
  <c r="X530" i="2" s="1"/>
  <c r="W529" i="2"/>
  <c r="X529" i="2" s="1"/>
  <c r="W528" i="2"/>
  <c r="X528" i="2" s="1"/>
  <c r="W527" i="2"/>
  <c r="X527" i="2" s="1"/>
  <c r="W526" i="2"/>
  <c r="X526" i="2" s="1"/>
  <c r="W525" i="2"/>
  <c r="X525" i="2" s="1"/>
  <c r="W524" i="2"/>
  <c r="X524" i="2" s="1"/>
  <c r="W523" i="2"/>
  <c r="X523" i="2" s="1"/>
  <c r="W522" i="2"/>
  <c r="X522" i="2" s="1"/>
  <c r="W521" i="2"/>
  <c r="X521" i="2" s="1"/>
  <c r="W520" i="2"/>
  <c r="X520" i="2" s="1"/>
  <c r="W519" i="2"/>
  <c r="X519" i="2" s="1"/>
  <c r="W518" i="2"/>
  <c r="X518" i="2" s="1"/>
  <c r="W517" i="2"/>
  <c r="X517" i="2" s="1"/>
  <c r="W516" i="2"/>
  <c r="X516" i="2" s="1"/>
  <c r="W515" i="2"/>
  <c r="X515" i="2" s="1"/>
  <c r="W514" i="2"/>
  <c r="X514" i="2" s="1"/>
  <c r="W513" i="2"/>
  <c r="X513" i="2" s="1"/>
  <c r="W512" i="2"/>
  <c r="X512" i="2" s="1"/>
  <c r="W511" i="2"/>
  <c r="X511" i="2" s="1"/>
  <c r="W510" i="2"/>
  <c r="X510" i="2" s="1"/>
  <c r="W509" i="2"/>
  <c r="X509" i="2" s="1"/>
  <c r="W508" i="2"/>
  <c r="X508" i="2" s="1"/>
  <c r="W507" i="2"/>
  <c r="X507" i="2" s="1"/>
  <c r="W506" i="2"/>
  <c r="X506" i="2" s="1"/>
  <c r="W505" i="2"/>
  <c r="X505" i="2" s="1"/>
  <c r="W504" i="2"/>
  <c r="X504" i="2" s="1"/>
  <c r="W503" i="2"/>
  <c r="X503" i="2" s="1"/>
  <c r="W502" i="2"/>
  <c r="X502" i="2" s="1"/>
  <c r="W501" i="2"/>
  <c r="X501" i="2" s="1"/>
  <c r="W500" i="2"/>
  <c r="X500" i="2" s="1"/>
  <c r="W499" i="2"/>
  <c r="X499" i="2" s="1"/>
  <c r="W498" i="2"/>
  <c r="X498" i="2" s="1"/>
  <c r="W497" i="2"/>
  <c r="X497" i="2" s="1"/>
  <c r="W496" i="2"/>
  <c r="X496" i="2" s="1"/>
  <c r="W495" i="2"/>
  <c r="X495" i="2" s="1"/>
  <c r="W494" i="2"/>
  <c r="X494" i="2" s="1"/>
  <c r="W493" i="2"/>
  <c r="X493" i="2" s="1"/>
  <c r="W492" i="2"/>
  <c r="X492" i="2" s="1"/>
  <c r="W491" i="2"/>
  <c r="X491" i="2" s="1"/>
  <c r="W490" i="2"/>
  <c r="X490" i="2" s="1"/>
  <c r="W489" i="2"/>
  <c r="X489" i="2" s="1"/>
  <c r="W488" i="2"/>
  <c r="X488" i="2" s="1"/>
  <c r="W487" i="2"/>
  <c r="X487" i="2" s="1"/>
  <c r="W486" i="2"/>
  <c r="X486" i="2" s="1"/>
  <c r="W485" i="2"/>
  <c r="X485" i="2" s="1"/>
  <c r="W484" i="2"/>
  <c r="X484" i="2" s="1"/>
  <c r="W483" i="2"/>
  <c r="X483" i="2" s="1"/>
  <c r="W482" i="2"/>
  <c r="X482" i="2" s="1"/>
  <c r="W481" i="2"/>
  <c r="X481" i="2" s="1"/>
  <c r="W480" i="2"/>
  <c r="X480" i="2" s="1"/>
  <c r="W479" i="2"/>
  <c r="X479" i="2" s="1"/>
  <c r="W478" i="2"/>
  <c r="X478" i="2" s="1"/>
  <c r="W477" i="2"/>
  <c r="X477" i="2" s="1"/>
  <c r="W476" i="2"/>
  <c r="X476" i="2" s="1"/>
  <c r="W475" i="2"/>
  <c r="X475" i="2" s="1"/>
  <c r="W474" i="2"/>
  <c r="X474" i="2" s="1"/>
  <c r="W473" i="2"/>
  <c r="X473" i="2" s="1"/>
  <c r="W472" i="2"/>
  <c r="X472" i="2" s="1"/>
  <c r="W471" i="2"/>
  <c r="X471" i="2" s="1"/>
  <c r="W470" i="2"/>
  <c r="X470" i="2" s="1"/>
  <c r="W469" i="2"/>
  <c r="X469" i="2" s="1"/>
  <c r="W468" i="2"/>
  <c r="X468" i="2" s="1"/>
  <c r="W467" i="2"/>
  <c r="X467" i="2" s="1"/>
  <c r="W466" i="2"/>
  <c r="X466" i="2" s="1"/>
  <c r="W465" i="2"/>
  <c r="X465" i="2" s="1"/>
  <c r="W464" i="2"/>
  <c r="X464" i="2" s="1"/>
  <c r="W463" i="2"/>
  <c r="X463" i="2" s="1"/>
  <c r="W462" i="2"/>
  <c r="X462" i="2" s="1"/>
  <c r="W461" i="2"/>
  <c r="X461" i="2" s="1"/>
  <c r="W460" i="2"/>
  <c r="X460" i="2" s="1"/>
  <c r="W459" i="2"/>
  <c r="X459" i="2" s="1"/>
  <c r="W458" i="2"/>
  <c r="X458" i="2" s="1"/>
  <c r="W457" i="2"/>
  <c r="X457" i="2" s="1"/>
  <c r="W456" i="2"/>
  <c r="X456" i="2" s="1"/>
  <c r="W455" i="2"/>
  <c r="X455" i="2" s="1"/>
  <c r="W454" i="2"/>
  <c r="X454" i="2" s="1"/>
  <c r="W453" i="2"/>
  <c r="X453" i="2" s="1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W444" i="2"/>
  <c r="X444" i="2" s="1"/>
  <c r="W443" i="2"/>
  <c r="X443" i="2" s="1"/>
  <c r="W442" i="2"/>
  <c r="X442" i="2" s="1"/>
  <c r="W441" i="2"/>
  <c r="X441" i="2" s="1"/>
  <c r="W440" i="2"/>
  <c r="X440" i="2" s="1"/>
  <c r="W439" i="2"/>
  <c r="X439" i="2" s="1"/>
  <c r="W438" i="2"/>
  <c r="X438" i="2" s="1"/>
  <c r="W437" i="2"/>
  <c r="X437" i="2" s="1"/>
  <c r="W436" i="2"/>
  <c r="X436" i="2" s="1"/>
  <c r="W435" i="2"/>
  <c r="X435" i="2" s="1"/>
  <c r="W434" i="2"/>
  <c r="X434" i="2" s="1"/>
  <c r="W433" i="2"/>
  <c r="X433" i="2" s="1"/>
  <c r="W432" i="2"/>
  <c r="X432" i="2" s="1"/>
  <c r="W431" i="2"/>
  <c r="X431" i="2" s="1"/>
  <c r="W430" i="2"/>
  <c r="X430" i="2" s="1"/>
  <c r="W429" i="2"/>
  <c r="X429" i="2" s="1"/>
  <c r="W428" i="2"/>
  <c r="X428" i="2" s="1"/>
  <c r="W427" i="2"/>
  <c r="X427" i="2" s="1"/>
  <c r="W426" i="2"/>
  <c r="X426" i="2" s="1"/>
  <c r="W425" i="2"/>
  <c r="X425" i="2" s="1"/>
  <c r="W424" i="2"/>
  <c r="X424" i="2" s="1"/>
  <c r="W423" i="2"/>
  <c r="X423" i="2" s="1"/>
  <c r="W422" i="2"/>
  <c r="X422" i="2" s="1"/>
  <c r="W421" i="2"/>
  <c r="X421" i="2" s="1"/>
  <c r="W420" i="2"/>
  <c r="X420" i="2" s="1"/>
  <c r="W419" i="2"/>
  <c r="X419" i="2" s="1"/>
  <c r="W418" i="2"/>
  <c r="X418" i="2" s="1"/>
  <c r="W417" i="2"/>
  <c r="X417" i="2" s="1"/>
  <c r="W416" i="2"/>
  <c r="X416" i="2" s="1"/>
  <c r="W415" i="2"/>
  <c r="X415" i="2" s="1"/>
  <c r="W414" i="2"/>
  <c r="X414" i="2" s="1"/>
  <c r="W413" i="2"/>
  <c r="X413" i="2" s="1"/>
  <c r="W412" i="2"/>
  <c r="X412" i="2" s="1"/>
  <c r="W411" i="2"/>
  <c r="X411" i="2" s="1"/>
  <c r="W410" i="2"/>
  <c r="X410" i="2" s="1"/>
  <c r="W409" i="2"/>
  <c r="X409" i="2" s="1"/>
  <c r="W408" i="2"/>
  <c r="X408" i="2" s="1"/>
  <c r="W407" i="2"/>
  <c r="X407" i="2" s="1"/>
  <c r="W406" i="2"/>
  <c r="X406" i="2" s="1"/>
  <c r="W405" i="2"/>
  <c r="X405" i="2" s="1"/>
  <c r="W404" i="2"/>
  <c r="X404" i="2" s="1"/>
  <c r="W403" i="2"/>
  <c r="X403" i="2" s="1"/>
  <c r="W402" i="2"/>
  <c r="X402" i="2" s="1"/>
  <c r="W401" i="2"/>
  <c r="X401" i="2" s="1"/>
  <c r="W400" i="2"/>
  <c r="X400" i="2" s="1"/>
  <c r="W399" i="2"/>
  <c r="X399" i="2" s="1"/>
  <c r="W398" i="2"/>
  <c r="X398" i="2" s="1"/>
  <c r="W397" i="2"/>
  <c r="X397" i="2" s="1"/>
  <c r="W396" i="2"/>
  <c r="X396" i="2" s="1"/>
  <c r="W395" i="2"/>
  <c r="X395" i="2" s="1"/>
  <c r="W394" i="2"/>
  <c r="X394" i="2" s="1"/>
  <c r="W393" i="2"/>
  <c r="X393" i="2" s="1"/>
  <c r="W392" i="2"/>
  <c r="X392" i="2" s="1"/>
  <c r="W391" i="2"/>
  <c r="X391" i="2" s="1"/>
  <c r="W390" i="2"/>
  <c r="X390" i="2" s="1"/>
  <c r="W389" i="2"/>
  <c r="X389" i="2" s="1"/>
  <c r="W388" i="2"/>
  <c r="X388" i="2" s="1"/>
  <c r="W387" i="2"/>
  <c r="X387" i="2" s="1"/>
  <c r="W386" i="2"/>
  <c r="X386" i="2" s="1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X378" i="2" s="1"/>
  <c r="W377" i="2"/>
  <c r="X377" i="2" s="1"/>
  <c r="W376" i="2"/>
  <c r="X376" i="2" s="1"/>
  <c r="W375" i="2"/>
  <c r="X375" i="2" s="1"/>
  <c r="W374" i="2"/>
  <c r="X374" i="2" s="1"/>
  <c r="W373" i="2"/>
  <c r="X373" i="2" s="1"/>
  <c r="W372" i="2"/>
  <c r="X372" i="2" s="1"/>
  <c r="W371" i="2"/>
  <c r="X371" i="2" s="1"/>
  <c r="W370" i="2"/>
  <c r="X370" i="2" s="1"/>
  <c r="W369" i="2"/>
  <c r="X369" i="2" s="1"/>
  <c r="W368" i="2"/>
  <c r="X368" i="2" s="1"/>
  <c r="W367" i="2"/>
  <c r="X367" i="2" s="1"/>
  <c r="W366" i="2"/>
  <c r="X366" i="2" s="1"/>
  <c r="W365" i="2"/>
  <c r="X365" i="2" s="1"/>
  <c r="W364" i="2"/>
  <c r="X364" i="2" s="1"/>
  <c r="W363" i="2"/>
  <c r="X363" i="2" s="1"/>
  <c r="W362" i="2"/>
  <c r="X362" i="2" s="1"/>
  <c r="W361" i="2"/>
  <c r="X361" i="2" s="1"/>
  <c r="W360" i="2"/>
  <c r="X360" i="2" s="1"/>
  <c r="W359" i="2"/>
  <c r="X359" i="2" s="1"/>
  <c r="W358" i="2"/>
  <c r="X358" i="2" s="1"/>
  <c r="W357" i="2"/>
  <c r="X357" i="2" s="1"/>
  <c r="W356" i="2"/>
  <c r="X356" i="2" s="1"/>
  <c r="W355" i="2"/>
  <c r="X355" i="2" s="1"/>
  <c r="W354" i="2"/>
  <c r="X354" i="2" s="1"/>
  <c r="W353" i="2"/>
  <c r="X353" i="2" s="1"/>
  <c r="W352" i="2"/>
  <c r="X352" i="2" s="1"/>
  <c r="W351" i="2"/>
  <c r="X351" i="2" s="1"/>
  <c r="W350" i="2"/>
  <c r="X350" i="2" s="1"/>
  <c r="W349" i="2"/>
  <c r="X349" i="2" s="1"/>
  <c r="W348" i="2"/>
  <c r="X348" i="2" s="1"/>
  <c r="W347" i="2"/>
  <c r="X347" i="2" s="1"/>
  <c r="W346" i="2"/>
  <c r="X346" i="2" s="1"/>
  <c r="W345" i="2"/>
  <c r="X345" i="2" s="1"/>
  <c r="W344" i="2"/>
  <c r="X344" i="2" s="1"/>
  <c r="W343" i="2"/>
  <c r="X343" i="2" s="1"/>
  <c r="W342" i="2"/>
  <c r="X342" i="2" s="1"/>
  <c r="W341" i="2"/>
  <c r="X341" i="2" s="1"/>
  <c r="W340" i="2"/>
  <c r="X340" i="2" s="1"/>
  <c r="W339" i="2"/>
  <c r="X339" i="2" s="1"/>
  <c r="W338" i="2"/>
  <c r="X338" i="2" s="1"/>
  <c r="W337" i="2"/>
  <c r="X337" i="2" s="1"/>
  <c r="W336" i="2"/>
  <c r="X336" i="2" s="1"/>
  <c r="W335" i="2"/>
  <c r="X335" i="2" s="1"/>
  <c r="W334" i="2"/>
  <c r="X334" i="2" s="1"/>
  <c r="W333" i="2"/>
  <c r="X333" i="2" s="1"/>
  <c r="W332" i="2"/>
  <c r="X332" i="2" s="1"/>
  <c r="W331" i="2"/>
  <c r="X331" i="2" s="1"/>
  <c r="W330" i="2"/>
  <c r="X330" i="2" s="1"/>
  <c r="W329" i="2"/>
  <c r="X329" i="2" s="1"/>
  <c r="W328" i="2"/>
  <c r="X328" i="2" s="1"/>
  <c r="W327" i="2"/>
  <c r="X327" i="2" s="1"/>
  <c r="W326" i="2"/>
  <c r="X326" i="2" s="1"/>
  <c r="W325" i="2"/>
  <c r="X325" i="2" s="1"/>
  <c r="W324" i="2"/>
  <c r="X324" i="2" s="1"/>
  <c r="W323" i="2"/>
  <c r="X323" i="2" s="1"/>
  <c r="W322" i="2"/>
  <c r="X322" i="2" s="1"/>
  <c r="W321" i="2"/>
  <c r="X321" i="2" s="1"/>
  <c r="W320" i="2"/>
  <c r="X320" i="2" s="1"/>
  <c r="W319" i="2"/>
  <c r="X319" i="2" s="1"/>
  <c r="W318" i="2"/>
  <c r="X318" i="2" s="1"/>
  <c r="W317" i="2"/>
  <c r="X317" i="2" s="1"/>
  <c r="W316" i="2"/>
  <c r="X316" i="2" s="1"/>
  <c r="W315" i="2"/>
  <c r="X315" i="2" s="1"/>
  <c r="W314" i="2"/>
  <c r="X314" i="2" s="1"/>
  <c r="W313" i="2"/>
  <c r="X313" i="2" s="1"/>
  <c r="W312" i="2"/>
  <c r="X312" i="2" s="1"/>
  <c r="W311" i="2"/>
  <c r="X311" i="2" s="1"/>
  <c r="W310" i="2"/>
  <c r="X310" i="2" s="1"/>
  <c r="W309" i="2"/>
  <c r="X309" i="2" s="1"/>
  <c r="W308" i="2"/>
  <c r="X308" i="2" s="1"/>
  <c r="W307" i="2"/>
  <c r="X307" i="2" s="1"/>
  <c r="W306" i="2"/>
  <c r="X306" i="2" s="1"/>
  <c r="W305" i="2"/>
  <c r="X305" i="2" s="1"/>
  <c r="W304" i="2"/>
  <c r="X304" i="2" s="1"/>
  <c r="W303" i="2"/>
  <c r="X303" i="2" s="1"/>
  <c r="W302" i="2"/>
  <c r="X302" i="2" s="1"/>
  <c r="W301" i="2"/>
  <c r="X301" i="2" s="1"/>
  <c r="W300" i="2"/>
  <c r="X300" i="2" s="1"/>
  <c r="W299" i="2"/>
  <c r="X299" i="2" s="1"/>
  <c r="W298" i="2"/>
  <c r="X298" i="2" s="1"/>
  <c r="W297" i="2"/>
  <c r="X297" i="2" s="1"/>
  <c r="W296" i="2"/>
  <c r="X296" i="2" s="1"/>
  <c r="W295" i="2"/>
  <c r="X295" i="2" s="1"/>
  <c r="W294" i="2"/>
  <c r="X294" i="2" s="1"/>
  <c r="W293" i="2"/>
  <c r="X293" i="2" s="1"/>
  <c r="W292" i="2"/>
  <c r="X292" i="2" s="1"/>
  <c r="W291" i="2"/>
  <c r="X291" i="2" s="1"/>
  <c r="W290" i="2"/>
  <c r="X290" i="2" s="1"/>
  <c r="W289" i="2"/>
  <c r="X289" i="2" s="1"/>
  <c r="W288" i="2"/>
  <c r="X288" i="2" s="1"/>
  <c r="W287" i="2"/>
  <c r="X287" i="2" s="1"/>
  <c r="W286" i="2"/>
  <c r="X286" i="2" s="1"/>
  <c r="W285" i="2"/>
  <c r="X285" i="2" s="1"/>
  <c r="W284" i="2"/>
  <c r="X284" i="2" s="1"/>
  <c r="W283" i="2"/>
  <c r="X283" i="2" s="1"/>
  <c r="W282" i="2"/>
  <c r="X282" i="2" s="1"/>
  <c r="W281" i="2"/>
  <c r="X281" i="2" s="1"/>
  <c r="W280" i="2"/>
  <c r="X280" i="2" s="1"/>
  <c r="W279" i="2"/>
  <c r="X279" i="2" s="1"/>
  <c r="W278" i="2"/>
  <c r="X278" i="2" s="1"/>
  <c r="W277" i="2"/>
  <c r="X277" i="2" s="1"/>
  <c r="W276" i="2"/>
  <c r="X276" i="2" s="1"/>
  <c r="W275" i="2"/>
  <c r="X275" i="2" s="1"/>
  <c r="W274" i="2"/>
  <c r="X274" i="2" s="1"/>
  <c r="W273" i="2"/>
  <c r="X273" i="2" s="1"/>
  <c r="W272" i="2"/>
  <c r="X272" i="2" s="1"/>
  <c r="W271" i="2"/>
  <c r="X271" i="2" s="1"/>
  <c r="W270" i="2"/>
  <c r="X270" i="2" s="1"/>
  <c r="W269" i="2"/>
  <c r="X269" i="2" s="1"/>
  <c r="W268" i="2"/>
  <c r="X268" i="2" s="1"/>
  <c r="W267" i="2"/>
  <c r="X267" i="2" s="1"/>
  <c r="W266" i="2"/>
  <c r="X266" i="2" s="1"/>
  <c r="W265" i="2"/>
  <c r="X265" i="2" s="1"/>
  <c r="W264" i="2"/>
  <c r="X264" i="2" s="1"/>
  <c r="W263" i="2"/>
  <c r="X263" i="2" s="1"/>
  <c r="W262" i="2"/>
  <c r="X262" i="2" s="1"/>
  <c r="W261" i="2"/>
  <c r="X261" i="2" s="1"/>
  <c r="W260" i="2"/>
  <c r="X260" i="2" s="1"/>
  <c r="W259" i="2"/>
  <c r="X259" i="2" s="1"/>
  <c r="W258" i="2"/>
  <c r="X258" i="2" s="1"/>
  <c r="W257" i="2"/>
  <c r="X257" i="2" s="1"/>
  <c r="W256" i="2"/>
  <c r="X256" i="2" s="1"/>
  <c r="W255" i="2"/>
  <c r="X255" i="2" s="1"/>
  <c r="W254" i="2"/>
  <c r="X254" i="2" s="1"/>
  <c r="W253" i="2"/>
  <c r="X253" i="2" s="1"/>
  <c r="W252" i="2"/>
  <c r="X252" i="2" s="1"/>
  <c r="W251" i="2"/>
  <c r="X251" i="2" s="1"/>
  <c r="X250" i="2"/>
  <c r="W249" i="2"/>
  <c r="X249" i="2" s="1"/>
  <c r="W248" i="2"/>
  <c r="X248" i="2" s="1"/>
  <c r="W247" i="2"/>
  <c r="X247" i="2" s="1"/>
  <c r="W246" i="2"/>
  <c r="X246" i="2" s="1"/>
  <c r="W245" i="2"/>
  <c r="X245" i="2" s="1"/>
  <c r="W244" i="2"/>
  <c r="X244" i="2" s="1"/>
  <c r="W243" i="2"/>
  <c r="X243" i="2" s="1"/>
  <c r="W242" i="2"/>
  <c r="X242" i="2" s="1"/>
  <c r="W241" i="2"/>
  <c r="X241" i="2" s="1"/>
  <c r="W240" i="2"/>
  <c r="X240" i="2" s="1"/>
  <c r="W239" i="2"/>
  <c r="X239" i="2" s="1"/>
  <c r="W238" i="2"/>
  <c r="X238" i="2" s="1"/>
  <c r="W237" i="2"/>
  <c r="X237" i="2" s="1"/>
  <c r="W236" i="2"/>
  <c r="X236" i="2" s="1"/>
  <c r="W235" i="2"/>
  <c r="X235" i="2" s="1"/>
  <c r="W234" i="2"/>
  <c r="X234" i="2" s="1"/>
  <c r="W233" i="2"/>
  <c r="X233" i="2" s="1"/>
  <c r="W232" i="2"/>
  <c r="X232" i="2" s="1"/>
  <c r="W231" i="2"/>
  <c r="X231" i="2" s="1"/>
  <c r="W230" i="2"/>
  <c r="X230" i="2" s="1"/>
  <c r="W229" i="2"/>
  <c r="X229" i="2" s="1"/>
  <c r="W228" i="2"/>
  <c r="X228" i="2" s="1"/>
  <c r="W227" i="2"/>
  <c r="X227" i="2" s="1"/>
  <c r="W226" i="2"/>
  <c r="X226" i="2" s="1"/>
  <c r="W225" i="2"/>
  <c r="X225" i="2" s="1"/>
  <c r="W224" i="2"/>
  <c r="X224" i="2" s="1"/>
  <c r="W223" i="2"/>
  <c r="X223" i="2" s="1"/>
  <c r="W222" i="2"/>
  <c r="X222" i="2" s="1"/>
  <c r="W221" i="2"/>
  <c r="X221" i="2" s="1"/>
  <c r="W220" i="2"/>
  <c r="X220" i="2" s="1"/>
  <c r="W219" i="2"/>
  <c r="X219" i="2" s="1"/>
  <c r="W218" i="2"/>
  <c r="X218" i="2" s="1"/>
  <c r="W217" i="2"/>
  <c r="X217" i="2" s="1"/>
  <c r="W216" i="2"/>
  <c r="X216" i="2" s="1"/>
  <c r="W215" i="2"/>
  <c r="X215" i="2" s="1"/>
  <c r="W214" i="2"/>
  <c r="X214" i="2" s="1"/>
  <c r="W213" i="2"/>
  <c r="X213" i="2" s="1"/>
  <c r="W212" i="2"/>
  <c r="X212" i="2" s="1"/>
  <c r="W211" i="2"/>
  <c r="X211" i="2" s="1"/>
  <c r="W210" i="2"/>
  <c r="X210" i="2" s="1"/>
  <c r="W209" i="2"/>
  <c r="X209" i="2" s="1"/>
  <c r="W208" i="2"/>
  <c r="X208" i="2" s="1"/>
  <c r="W207" i="2"/>
  <c r="X207" i="2" s="1"/>
  <c r="W206" i="2"/>
  <c r="X206" i="2" s="1"/>
  <c r="W205" i="2"/>
  <c r="X205" i="2" s="1"/>
  <c r="W204" i="2"/>
  <c r="X204" i="2" s="1"/>
  <c r="W203" i="2"/>
  <c r="X203" i="2" s="1"/>
  <c r="W202" i="2"/>
  <c r="X202" i="2" s="1"/>
  <c r="W201" i="2"/>
  <c r="X201" i="2" s="1"/>
  <c r="W200" i="2"/>
  <c r="X200" i="2" s="1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X194" i="2" s="1"/>
  <c r="W193" i="2"/>
  <c r="X193" i="2" s="1"/>
  <c r="W192" i="2"/>
  <c r="X192" i="2" s="1"/>
  <c r="W191" i="2"/>
  <c r="X191" i="2" s="1"/>
  <c r="W190" i="2"/>
  <c r="X190" i="2" s="1"/>
  <c r="W189" i="2"/>
  <c r="X189" i="2" s="1"/>
  <c r="W188" i="2"/>
  <c r="X188" i="2" s="1"/>
  <c r="W187" i="2"/>
  <c r="X187" i="2" s="1"/>
  <c r="W186" i="2"/>
  <c r="X186" i="2" s="1"/>
  <c r="W185" i="2"/>
  <c r="X185" i="2" s="1"/>
  <c r="W184" i="2"/>
  <c r="X184" i="2" s="1"/>
  <c r="W183" i="2"/>
  <c r="X183" i="2" s="1"/>
  <c r="W182" i="2"/>
  <c r="X182" i="2" s="1"/>
  <c r="W181" i="2"/>
  <c r="X181" i="2" s="1"/>
  <c r="W180" i="2"/>
  <c r="X180" i="2" s="1"/>
  <c r="W179" i="2"/>
  <c r="X179" i="2" s="1"/>
  <c r="W178" i="2"/>
  <c r="X178" i="2" s="1"/>
  <c r="W177" i="2"/>
  <c r="X177" i="2" s="1"/>
  <c r="W176" i="2"/>
  <c r="X176" i="2" s="1"/>
  <c r="W175" i="2"/>
  <c r="X175" i="2" s="1"/>
  <c r="W174" i="2"/>
  <c r="X174" i="2" s="1"/>
  <c r="W173" i="2"/>
  <c r="X173" i="2" s="1"/>
  <c r="W172" i="2"/>
  <c r="X172" i="2" s="1"/>
  <c r="W171" i="2"/>
  <c r="X171" i="2" s="1"/>
  <c r="W170" i="2"/>
  <c r="X170" i="2" s="1"/>
  <c r="W169" i="2"/>
  <c r="X169" i="2" s="1"/>
  <c r="W168" i="2"/>
  <c r="X168" i="2" s="1"/>
  <c r="W167" i="2"/>
  <c r="X167" i="2" s="1"/>
  <c r="W166" i="2"/>
  <c r="X166" i="2" s="1"/>
  <c r="W165" i="2"/>
  <c r="X165" i="2" s="1"/>
  <c r="W164" i="2"/>
  <c r="X164" i="2" s="1"/>
  <c r="W163" i="2"/>
  <c r="X163" i="2" s="1"/>
  <c r="W162" i="2"/>
  <c r="X162" i="2" s="1"/>
  <c r="W161" i="2"/>
  <c r="X161" i="2" s="1"/>
  <c r="W160" i="2"/>
  <c r="X160" i="2" s="1"/>
  <c r="X159" i="2"/>
  <c r="W158" i="2"/>
  <c r="X158" i="2" s="1"/>
  <c r="W157" i="2"/>
  <c r="X157" i="2" s="1"/>
  <c r="W156" i="2"/>
  <c r="X156" i="2" s="1"/>
  <c r="W155" i="2"/>
  <c r="X155" i="2" s="1"/>
  <c r="X154" i="2"/>
  <c r="W153" i="2"/>
  <c r="X153" i="2" s="1"/>
  <c r="W152" i="2"/>
  <c r="X152" i="2" s="1"/>
  <c r="W151" i="2"/>
  <c r="X151" i="2" s="1"/>
  <c r="X150" i="2"/>
  <c r="X149" i="2"/>
  <c r="W148" i="2"/>
  <c r="X148" i="2" s="1"/>
  <c r="W147" i="2"/>
  <c r="X147" i="2" s="1"/>
  <c r="W146" i="2"/>
  <c r="X146" i="2" s="1"/>
  <c r="X145" i="2"/>
  <c r="W144" i="2"/>
  <c r="X144" i="2" s="1"/>
  <c r="X143" i="2"/>
  <c r="W142" i="2"/>
  <c r="X142" i="2" s="1"/>
  <c r="W141" i="2"/>
  <c r="X141" i="2" s="1"/>
  <c r="X140" i="2"/>
  <c r="W139" i="2"/>
  <c r="X139" i="2" s="1"/>
  <c r="W138" i="2"/>
  <c r="X138" i="2" s="1"/>
  <c r="W137" i="2"/>
  <c r="X137" i="2" s="1"/>
  <c r="W136" i="2"/>
  <c r="X136" i="2" s="1"/>
  <c r="W135" i="2"/>
  <c r="X135" i="2" s="1"/>
  <c r="W134" i="2"/>
  <c r="X134" i="2" s="1"/>
  <c r="W133" i="2"/>
  <c r="X133" i="2" s="1"/>
  <c r="W132" i="2"/>
  <c r="X132" i="2" s="1"/>
  <c r="W131" i="2"/>
  <c r="X131" i="2" s="1"/>
  <c r="W130" i="2"/>
  <c r="X130" i="2" s="1"/>
  <c r="W129" i="2"/>
  <c r="X129" i="2" s="1"/>
  <c r="W128" i="2"/>
  <c r="X128" i="2" s="1"/>
  <c r="W127" i="2"/>
  <c r="X127" i="2" s="1"/>
  <c r="W126" i="2"/>
  <c r="X126" i="2" s="1"/>
  <c r="W125" i="2"/>
  <c r="X125" i="2" s="1"/>
  <c r="W124" i="2"/>
  <c r="X124" i="2" s="1"/>
  <c r="W123" i="2"/>
  <c r="X123" i="2" s="1"/>
  <c r="W122" i="2"/>
  <c r="X122" i="2" s="1"/>
  <c r="W121" i="2"/>
  <c r="X121" i="2" s="1"/>
  <c r="W120" i="2"/>
  <c r="X120" i="2" s="1"/>
  <c r="W119" i="2"/>
  <c r="X119" i="2" s="1"/>
  <c r="W118" i="2"/>
  <c r="X118" i="2" s="1"/>
  <c r="W117" i="2"/>
  <c r="X117" i="2" s="1"/>
  <c r="W116" i="2"/>
  <c r="X116" i="2" s="1"/>
  <c r="W115" i="2"/>
  <c r="X115" i="2" s="1"/>
  <c r="W114" i="2"/>
  <c r="X114" i="2" s="1"/>
  <c r="W113" i="2"/>
  <c r="X113" i="2" s="1"/>
  <c r="W112" i="2"/>
  <c r="X112" i="2" s="1"/>
  <c r="W111" i="2"/>
  <c r="X111" i="2" s="1"/>
  <c r="W110" i="2"/>
  <c r="X110" i="2" s="1"/>
  <c r="W109" i="2"/>
  <c r="X109" i="2" s="1"/>
  <c r="W108" i="2"/>
  <c r="X108" i="2" s="1"/>
  <c r="W107" i="2"/>
  <c r="X107" i="2" s="1"/>
  <c r="W106" i="2"/>
  <c r="X106" i="2" s="1"/>
  <c r="W105" i="2"/>
  <c r="X105" i="2" s="1"/>
  <c r="W104" i="2"/>
  <c r="X104" i="2" s="1"/>
  <c r="W103" i="2"/>
  <c r="X103" i="2" s="1"/>
  <c r="W102" i="2"/>
  <c r="X102" i="2" s="1"/>
  <c r="W101" i="2"/>
  <c r="X101" i="2" s="1"/>
  <c r="W100" i="2"/>
  <c r="X100" i="2" s="1"/>
  <c r="W99" i="2"/>
  <c r="X99" i="2" s="1"/>
  <c r="W98" i="2"/>
  <c r="X98" i="2" s="1"/>
  <c r="W97" i="2"/>
  <c r="X97" i="2" s="1"/>
  <c r="W96" i="2"/>
  <c r="X96" i="2" s="1"/>
  <c r="W95" i="2"/>
  <c r="X95" i="2" s="1"/>
  <c r="W94" i="2"/>
  <c r="X94" i="2" s="1"/>
  <c r="W93" i="2"/>
  <c r="X93" i="2" s="1"/>
  <c r="W92" i="2"/>
  <c r="X92" i="2" s="1"/>
  <c r="W91" i="2"/>
  <c r="X91" i="2" s="1"/>
  <c r="W90" i="2"/>
  <c r="X90" i="2" s="1"/>
  <c r="W89" i="2"/>
  <c r="X89" i="2" s="1"/>
  <c r="W88" i="2"/>
  <c r="X88" i="2" s="1"/>
  <c r="W87" i="2"/>
  <c r="X87" i="2" s="1"/>
  <c r="W86" i="2"/>
  <c r="X86" i="2" s="1"/>
  <c r="W85" i="2"/>
  <c r="X85" i="2" s="1"/>
  <c r="W84" i="2"/>
  <c r="X84" i="2" s="1"/>
  <c r="W83" i="2"/>
  <c r="X83" i="2" s="1"/>
  <c r="W82" i="2"/>
  <c r="X82" i="2" s="1"/>
  <c r="W81" i="2"/>
  <c r="X81" i="2" s="1"/>
  <c r="W80" i="2"/>
  <c r="X80" i="2" s="1"/>
  <c r="W79" i="2"/>
  <c r="X79" i="2" s="1"/>
  <c r="W78" i="2"/>
  <c r="X78" i="2" s="1"/>
  <c r="W77" i="2"/>
  <c r="X77" i="2" s="1"/>
  <c r="W76" i="2"/>
  <c r="X76" i="2" s="1"/>
  <c r="W75" i="2"/>
  <c r="X75" i="2" s="1"/>
  <c r="W74" i="2"/>
  <c r="X74" i="2" s="1"/>
  <c r="W73" i="2"/>
  <c r="X73" i="2" s="1"/>
  <c r="W72" i="2"/>
  <c r="X72" i="2" s="1"/>
  <c r="W71" i="2"/>
  <c r="X71" i="2" s="1"/>
  <c r="W70" i="2"/>
  <c r="X70" i="2" s="1"/>
  <c r="W69" i="2"/>
  <c r="X69" i="2" s="1"/>
  <c r="W68" i="2"/>
  <c r="X68" i="2" s="1"/>
  <c r="W67" i="2"/>
  <c r="X67" i="2" s="1"/>
  <c r="W66" i="2"/>
  <c r="X66" i="2" s="1"/>
  <c r="W65" i="2"/>
  <c r="X65" i="2" s="1"/>
  <c r="W64" i="2"/>
  <c r="X64" i="2" s="1"/>
  <c r="W63" i="2"/>
  <c r="X63" i="2" s="1"/>
  <c r="W62" i="2"/>
  <c r="X62" i="2" s="1"/>
  <c r="W61" i="2"/>
  <c r="X61" i="2" s="1"/>
  <c r="W60" i="2"/>
  <c r="X60" i="2" s="1"/>
  <c r="W59" i="2"/>
  <c r="X59" i="2" s="1"/>
  <c r="W58" i="2"/>
  <c r="X58" i="2" s="1"/>
  <c r="W57" i="2"/>
  <c r="X57" i="2" s="1"/>
  <c r="W56" i="2"/>
  <c r="X56" i="2" s="1"/>
  <c r="W55" i="2"/>
  <c r="X55" i="2" s="1"/>
  <c r="W54" i="2"/>
  <c r="X54" i="2" s="1"/>
  <c r="W53" i="2"/>
  <c r="X53" i="2" s="1"/>
  <c r="W52" i="2"/>
  <c r="X52" i="2" s="1"/>
  <c r="W51" i="2"/>
  <c r="X51" i="2" s="1"/>
  <c r="W50" i="2"/>
  <c r="X50" i="2" s="1"/>
  <c r="W49" i="2"/>
  <c r="X49" i="2" s="1"/>
  <c r="W48" i="2"/>
  <c r="X48" i="2" s="1"/>
  <c r="W47" i="2"/>
  <c r="X47" i="2" s="1"/>
  <c r="W46" i="2"/>
  <c r="X46" i="2" s="1"/>
  <c r="W45" i="2"/>
  <c r="X45" i="2" s="1"/>
  <c r="W44" i="2"/>
  <c r="X44" i="2" s="1"/>
  <c r="W43" i="2"/>
  <c r="X43" i="2" s="1"/>
  <c r="W42" i="2"/>
  <c r="X42" i="2" s="1"/>
  <c r="W41" i="2"/>
  <c r="X41" i="2" s="1"/>
  <c r="W40" i="2"/>
  <c r="X40" i="2" s="1"/>
  <c r="W39" i="2"/>
  <c r="X39" i="2" s="1"/>
  <c r="W38" i="2"/>
  <c r="X38" i="2" s="1"/>
  <c r="W37" i="2"/>
  <c r="X37" i="2" s="1"/>
  <c r="W36" i="2"/>
  <c r="X36" i="2" s="1"/>
  <c r="W35" i="2"/>
  <c r="X35" i="2" s="1"/>
  <c r="W34" i="2"/>
  <c r="X34" i="2" s="1"/>
  <c r="W33" i="2"/>
  <c r="X33" i="2" s="1"/>
  <c r="W32" i="2"/>
  <c r="X32" i="2" s="1"/>
  <c r="W31" i="2"/>
  <c r="X31" i="2" s="1"/>
  <c r="W30" i="2"/>
  <c r="X30" i="2" s="1"/>
  <c r="W29" i="2"/>
  <c r="X29" i="2" s="1"/>
  <c r="W28" i="2"/>
  <c r="X28" i="2" s="1"/>
  <c r="W27" i="2"/>
  <c r="X27" i="2" s="1"/>
  <c r="W26" i="2"/>
  <c r="X26" i="2" s="1"/>
  <c r="W25" i="2"/>
  <c r="X25" i="2" s="1"/>
  <c r="W24" i="2"/>
  <c r="X24" i="2" s="1"/>
  <c r="W23" i="2"/>
  <c r="X23" i="2" s="1"/>
  <c r="W22" i="2"/>
  <c r="X22" i="2" s="1"/>
  <c r="W21" i="2"/>
  <c r="X21" i="2" s="1"/>
  <c r="W20" i="2"/>
  <c r="X20" i="2" s="1"/>
  <c r="W19" i="2"/>
  <c r="X19" i="2" s="1"/>
  <c r="W18" i="2"/>
  <c r="X18" i="2" s="1"/>
  <c r="W17" i="2"/>
  <c r="X17" i="2" s="1"/>
  <c r="W16" i="2"/>
  <c r="X16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W6" i="2"/>
  <c r="X6" i="2" s="1"/>
  <c r="W5" i="2"/>
  <c r="X5" i="2" s="1"/>
  <c r="W4" i="2"/>
  <c r="X4" i="2" s="1"/>
  <c r="W3" i="2"/>
  <c r="T792" i="2"/>
  <c r="U792" i="2" s="1"/>
  <c r="T791" i="2"/>
  <c r="U791" i="2" s="1"/>
  <c r="T790" i="2"/>
  <c r="U790" i="2" s="1"/>
  <c r="T789" i="2"/>
  <c r="U789" i="2" s="1"/>
  <c r="T788" i="2"/>
  <c r="U788" i="2" s="1"/>
  <c r="T787" i="2"/>
  <c r="U787" i="2" s="1"/>
  <c r="T786" i="2"/>
  <c r="U786" i="2" s="1"/>
  <c r="T785" i="2"/>
  <c r="U785" i="2" s="1"/>
  <c r="T784" i="2"/>
  <c r="U784" i="2" s="1"/>
  <c r="T783" i="2"/>
  <c r="U783" i="2" s="1"/>
  <c r="T782" i="2"/>
  <c r="U782" i="2" s="1"/>
  <c r="T781" i="2"/>
  <c r="U781" i="2" s="1"/>
  <c r="T780" i="2"/>
  <c r="U780" i="2" s="1"/>
  <c r="T779" i="2"/>
  <c r="U779" i="2" s="1"/>
  <c r="T778" i="2"/>
  <c r="U778" i="2" s="1"/>
  <c r="T777" i="2"/>
  <c r="U777" i="2" s="1"/>
  <c r="T776" i="2"/>
  <c r="U776" i="2" s="1"/>
  <c r="T775" i="2"/>
  <c r="U775" i="2" s="1"/>
  <c r="T774" i="2"/>
  <c r="U774" i="2" s="1"/>
  <c r="T773" i="2"/>
  <c r="U773" i="2" s="1"/>
  <c r="T772" i="2"/>
  <c r="U772" i="2" s="1"/>
  <c r="T771" i="2"/>
  <c r="U771" i="2" s="1"/>
  <c r="T770" i="2"/>
  <c r="U770" i="2" s="1"/>
  <c r="T769" i="2"/>
  <c r="U769" i="2" s="1"/>
  <c r="T768" i="2"/>
  <c r="U768" i="2" s="1"/>
  <c r="T767" i="2"/>
  <c r="U767" i="2" s="1"/>
  <c r="T766" i="2"/>
  <c r="U766" i="2" s="1"/>
  <c r="T765" i="2"/>
  <c r="U765" i="2" s="1"/>
  <c r="T764" i="2"/>
  <c r="U764" i="2" s="1"/>
  <c r="T763" i="2"/>
  <c r="U763" i="2" s="1"/>
  <c r="T762" i="2"/>
  <c r="U762" i="2" s="1"/>
  <c r="T761" i="2"/>
  <c r="U761" i="2" s="1"/>
  <c r="T760" i="2"/>
  <c r="U760" i="2" s="1"/>
  <c r="T759" i="2"/>
  <c r="U759" i="2" s="1"/>
  <c r="T758" i="2"/>
  <c r="U758" i="2" s="1"/>
  <c r="T757" i="2"/>
  <c r="U757" i="2" s="1"/>
  <c r="T756" i="2"/>
  <c r="U756" i="2" s="1"/>
  <c r="T755" i="2"/>
  <c r="U755" i="2" s="1"/>
  <c r="T754" i="2"/>
  <c r="U754" i="2" s="1"/>
  <c r="T753" i="2"/>
  <c r="U753" i="2" s="1"/>
  <c r="T752" i="2"/>
  <c r="U752" i="2" s="1"/>
  <c r="T751" i="2"/>
  <c r="U751" i="2" s="1"/>
  <c r="T750" i="2"/>
  <c r="U750" i="2" s="1"/>
  <c r="T749" i="2"/>
  <c r="U749" i="2" s="1"/>
  <c r="T748" i="2"/>
  <c r="U748" i="2" s="1"/>
  <c r="T747" i="2"/>
  <c r="U747" i="2" s="1"/>
  <c r="T746" i="2"/>
  <c r="U746" i="2" s="1"/>
  <c r="T745" i="2"/>
  <c r="U745" i="2" s="1"/>
  <c r="T744" i="2"/>
  <c r="U744" i="2" s="1"/>
  <c r="T743" i="2"/>
  <c r="U743" i="2" s="1"/>
  <c r="T742" i="2"/>
  <c r="U742" i="2" s="1"/>
  <c r="T741" i="2"/>
  <c r="U741" i="2" s="1"/>
  <c r="T740" i="2"/>
  <c r="U740" i="2" s="1"/>
  <c r="T739" i="2"/>
  <c r="U739" i="2" s="1"/>
  <c r="T738" i="2"/>
  <c r="U738" i="2" s="1"/>
  <c r="T737" i="2"/>
  <c r="U737" i="2" s="1"/>
  <c r="T736" i="2"/>
  <c r="U736" i="2" s="1"/>
  <c r="T735" i="2"/>
  <c r="U735" i="2" s="1"/>
  <c r="T734" i="2"/>
  <c r="U734" i="2" s="1"/>
  <c r="T733" i="2"/>
  <c r="U733" i="2" s="1"/>
  <c r="T732" i="2"/>
  <c r="U732" i="2" s="1"/>
  <c r="T731" i="2"/>
  <c r="U731" i="2" s="1"/>
  <c r="T730" i="2"/>
  <c r="U730" i="2" s="1"/>
  <c r="T729" i="2"/>
  <c r="U729" i="2" s="1"/>
  <c r="T728" i="2"/>
  <c r="U728" i="2" s="1"/>
  <c r="T727" i="2"/>
  <c r="U727" i="2" s="1"/>
  <c r="T726" i="2"/>
  <c r="U726" i="2" s="1"/>
  <c r="T725" i="2"/>
  <c r="U725" i="2" s="1"/>
  <c r="T724" i="2"/>
  <c r="U724" i="2" s="1"/>
  <c r="T723" i="2"/>
  <c r="U723" i="2" s="1"/>
  <c r="T722" i="2"/>
  <c r="U722" i="2" s="1"/>
  <c r="T721" i="2"/>
  <c r="U721" i="2" s="1"/>
  <c r="T720" i="2"/>
  <c r="U720" i="2" s="1"/>
  <c r="T719" i="2"/>
  <c r="U719" i="2" s="1"/>
  <c r="T718" i="2"/>
  <c r="U718" i="2" s="1"/>
  <c r="T717" i="2"/>
  <c r="U717" i="2" s="1"/>
  <c r="T716" i="2"/>
  <c r="U716" i="2" s="1"/>
  <c r="T715" i="2"/>
  <c r="U715" i="2" s="1"/>
  <c r="T714" i="2"/>
  <c r="U714" i="2" s="1"/>
  <c r="T713" i="2"/>
  <c r="U713" i="2" s="1"/>
  <c r="T712" i="2"/>
  <c r="U712" i="2" s="1"/>
  <c r="T711" i="2"/>
  <c r="U711" i="2" s="1"/>
  <c r="T710" i="2"/>
  <c r="U710" i="2" s="1"/>
  <c r="T709" i="2"/>
  <c r="U709" i="2" s="1"/>
  <c r="T708" i="2"/>
  <c r="U708" i="2" s="1"/>
  <c r="T707" i="2"/>
  <c r="U707" i="2" s="1"/>
  <c r="T706" i="2"/>
  <c r="U706" i="2" s="1"/>
  <c r="T705" i="2"/>
  <c r="U705" i="2" s="1"/>
  <c r="T704" i="2"/>
  <c r="U704" i="2" s="1"/>
  <c r="T703" i="2"/>
  <c r="U703" i="2" s="1"/>
  <c r="T702" i="2"/>
  <c r="U702" i="2" s="1"/>
  <c r="T701" i="2"/>
  <c r="U701" i="2" s="1"/>
  <c r="T700" i="2"/>
  <c r="U700" i="2" s="1"/>
  <c r="T699" i="2"/>
  <c r="U699" i="2" s="1"/>
  <c r="T698" i="2"/>
  <c r="U698" i="2" s="1"/>
  <c r="T697" i="2"/>
  <c r="U697" i="2" s="1"/>
  <c r="T696" i="2"/>
  <c r="U696" i="2" s="1"/>
  <c r="T695" i="2"/>
  <c r="U695" i="2" s="1"/>
  <c r="T694" i="2"/>
  <c r="U694" i="2" s="1"/>
  <c r="T693" i="2"/>
  <c r="U693" i="2" s="1"/>
  <c r="T692" i="2"/>
  <c r="U692" i="2" s="1"/>
  <c r="T691" i="2"/>
  <c r="U691" i="2" s="1"/>
  <c r="T690" i="2"/>
  <c r="U690" i="2" s="1"/>
  <c r="T689" i="2"/>
  <c r="U689" i="2" s="1"/>
  <c r="T688" i="2"/>
  <c r="U688" i="2" s="1"/>
  <c r="T687" i="2"/>
  <c r="U687" i="2" s="1"/>
  <c r="T686" i="2"/>
  <c r="U686" i="2" s="1"/>
  <c r="T685" i="2"/>
  <c r="U685" i="2" s="1"/>
  <c r="T684" i="2"/>
  <c r="U684" i="2" s="1"/>
  <c r="T683" i="2"/>
  <c r="U683" i="2" s="1"/>
  <c r="T682" i="2"/>
  <c r="U682" i="2" s="1"/>
  <c r="T681" i="2"/>
  <c r="U681" i="2" s="1"/>
  <c r="T680" i="2"/>
  <c r="U680" i="2" s="1"/>
  <c r="T679" i="2"/>
  <c r="U679" i="2" s="1"/>
  <c r="T678" i="2"/>
  <c r="U678" i="2" s="1"/>
  <c r="T677" i="2"/>
  <c r="U677" i="2" s="1"/>
  <c r="T676" i="2"/>
  <c r="U676" i="2" s="1"/>
  <c r="T675" i="2"/>
  <c r="U675" i="2" s="1"/>
  <c r="T674" i="2"/>
  <c r="U674" i="2" s="1"/>
  <c r="T673" i="2"/>
  <c r="U673" i="2" s="1"/>
  <c r="T672" i="2"/>
  <c r="U672" i="2" s="1"/>
  <c r="T671" i="2"/>
  <c r="U671" i="2" s="1"/>
  <c r="T670" i="2"/>
  <c r="U670" i="2" s="1"/>
  <c r="T669" i="2"/>
  <c r="U669" i="2" s="1"/>
  <c r="T668" i="2"/>
  <c r="U668" i="2" s="1"/>
  <c r="T667" i="2"/>
  <c r="U667" i="2" s="1"/>
  <c r="T666" i="2"/>
  <c r="U666" i="2" s="1"/>
  <c r="T665" i="2"/>
  <c r="U665" i="2" s="1"/>
  <c r="T664" i="2"/>
  <c r="U664" i="2" s="1"/>
  <c r="T663" i="2"/>
  <c r="U663" i="2" s="1"/>
  <c r="T662" i="2"/>
  <c r="U662" i="2" s="1"/>
  <c r="T661" i="2"/>
  <c r="U661" i="2" s="1"/>
  <c r="T660" i="2"/>
  <c r="U660" i="2" s="1"/>
  <c r="T659" i="2"/>
  <c r="U659" i="2" s="1"/>
  <c r="T658" i="2"/>
  <c r="U658" i="2" s="1"/>
  <c r="T657" i="2"/>
  <c r="U657" i="2" s="1"/>
  <c r="T656" i="2"/>
  <c r="U656" i="2" s="1"/>
  <c r="T655" i="2"/>
  <c r="U655" i="2" s="1"/>
  <c r="T654" i="2"/>
  <c r="U654" i="2" s="1"/>
  <c r="T653" i="2"/>
  <c r="U653" i="2" s="1"/>
  <c r="T652" i="2"/>
  <c r="U652" i="2" s="1"/>
  <c r="T651" i="2"/>
  <c r="U651" i="2" s="1"/>
  <c r="T650" i="2"/>
  <c r="U650" i="2" s="1"/>
  <c r="T649" i="2"/>
  <c r="U649" i="2" s="1"/>
  <c r="T648" i="2"/>
  <c r="U648" i="2" s="1"/>
  <c r="T647" i="2"/>
  <c r="U647" i="2" s="1"/>
  <c r="T646" i="2"/>
  <c r="U646" i="2" s="1"/>
  <c r="T645" i="2"/>
  <c r="U645" i="2" s="1"/>
  <c r="T644" i="2"/>
  <c r="U644" i="2" s="1"/>
  <c r="T643" i="2"/>
  <c r="U643" i="2" s="1"/>
  <c r="T642" i="2"/>
  <c r="U642" i="2" s="1"/>
  <c r="T641" i="2"/>
  <c r="U641" i="2" s="1"/>
  <c r="T640" i="2"/>
  <c r="U640" i="2" s="1"/>
  <c r="T639" i="2"/>
  <c r="U639" i="2" s="1"/>
  <c r="T638" i="2"/>
  <c r="U638" i="2" s="1"/>
  <c r="T637" i="2"/>
  <c r="U637" i="2" s="1"/>
  <c r="T636" i="2"/>
  <c r="U636" i="2" s="1"/>
  <c r="T635" i="2"/>
  <c r="U635" i="2" s="1"/>
  <c r="T634" i="2"/>
  <c r="U634" i="2" s="1"/>
  <c r="T633" i="2"/>
  <c r="U633" i="2" s="1"/>
  <c r="T632" i="2"/>
  <c r="U632" i="2" s="1"/>
  <c r="T631" i="2"/>
  <c r="U631" i="2" s="1"/>
  <c r="T630" i="2"/>
  <c r="U630" i="2" s="1"/>
  <c r="T629" i="2"/>
  <c r="U629" i="2" s="1"/>
  <c r="T628" i="2"/>
  <c r="U628" i="2" s="1"/>
  <c r="T627" i="2"/>
  <c r="U627" i="2" s="1"/>
  <c r="T626" i="2"/>
  <c r="U626" i="2" s="1"/>
  <c r="T625" i="2"/>
  <c r="U625" i="2" s="1"/>
  <c r="T624" i="2"/>
  <c r="U624" i="2" s="1"/>
  <c r="T623" i="2"/>
  <c r="U623" i="2" s="1"/>
  <c r="T622" i="2"/>
  <c r="U622" i="2" s="1"/>
  <c r="T621" i="2"/>
  <c r="U621" i="2" s="1"/>
  <c r="T620" i="2"/>
  <c r="U620" i="2" s="1"/>
  <c r="T619" i="2"/>
  <c r="U619" i="2" s="1"/>
  <c r="T618" i="2"/>
  <c r="U618" i="2" s="1"/>
  <c r="T617" i="2"/>
  <c r="U617" i="2" s="1"/>
  <c r="T616" i="2"/>
  <c r="U616" i="2" s="1"/>
  <c r="T615" i="2"/>
  <c r="U615" i="2" s="1"/>
  <c r="T614" i="2"/>
  <c r="U614" i="2" s="1"/>
  <c r="T613" i="2"/>
  <c r="U613" i="2" s="1"/>
  <c r="T612" i="2"/>
  <c r="U612" i="2" s="1"/>
  <c r="T611" i="2"/>
  <c r="U611" i="2" s="1"/>
  <c r="T610" i="2"/>
  <c r="U610" i="2" s="1"/>
  <c r="T609" i="2"/>
  <c r="U609" i="2" s="1"/>
  <c r="T608" i="2"/>
  <c r="U608" i="2" s="1"/>
  <c r="T607" i="2"/>
  <c r="U607" i="2" s="1"/>
  <c r="T606" i="2"/>
  <c r="U606" i="2" s="1"/>
  <c r="T605" i="2"/>
  <c r="U605" i="2" s="1"/>
  <c r="T604" i="2"/>
  <c r="U604" i="2" s="1"/>
  <c r="T603" i="2"/>
  <c r="U603" i="2" s="1"/>
  <c r="T602" i="2"/>
  <c r="U602" i="2" s="1"/>
  <c r="T601" i="2"/>
  <c r="U601" i="2" s="1"/>
  <c r="T600" i="2"/>
  <c r="U600" i="2" s="1"/>
  <c r="T599" i="2"/>
  <c r="U599" i="2" s="1"/>
  <c r="T598" i="2"/>
  <c r="U598" i="2" s="1"/>
  <c r="T597" i="2"/>
  <c r="U597" i="2" s="1"/>
  <c r="T596" i="2"/>
  <c r="U596" i="2" s="1"/>
  <c r="T595" i="2"/>
  <c r="U595" i="2" s="1"/>
  <c r="T594" i="2"/>
  <c r="U594" i="2" s="1"/>
  <c r="T593" i="2"/>
  <c r="U593" i="2" s="1"/>
  <c r="T592" i="2"/>
  <c r="U592" i="2" s="1"/>
  <c r="T591" i="2"/>
  <c r="U591" i="2" s="1"/>
  <c r="T590" i="2"/>
  <c r="U590" i="2" s="1"/>
  <c r="T589" i="2"/>
  <c r="U589" i="2" s="1"/>
  <c r="T588" i="2"/>
  <c r="U588" i="2" s="1"/>
  <c r="T587" i="2"/>
  <c r="U587" i="2" s="1"/>
  <c r="T586" i="2"/>
  <c r="U586" i="2" s="1"/>
  <c r="T585" i="2"/>
  <c r="U585" i="2" s="1"/>
  <c r="T584" i="2"/>
  <c r="U584" i="2" s="1"/>
  <c r="T583" i="2"/>
  <c r="U583" i="2" s="1"/>
  <c r="T582" i="2"/>
  <c r="U582" i="2" s="1"/>
  <c r="T581" i="2"/>
  <c r="U581" i="2" s="1"/>
  <c r="T580" i="2"/>
  <c r="U580" i="2" s="1"/>
  <c r="T579" i="2"/>
  <c r="U579" i="2" s="1"/>
  <c r="T578" i="2"/>
  <c r="U578" i="2" s="1"/>
  <c r="T577" i="2"/>
  <c r="U577" i="2" s="1"/>
  <c r="T576" i="2"/>
  <c r="U576" i="2" s="1"/>
  <c r="T575" i="2"/>
  <c r="U575" i="2" s="1"/>
  <c r="T574" i="2"/>
  <c r="U574" i="2" s="1"/>
  <c r="T573" i="2"/>
  <c r="U573" i="2" s="1"/>
  <c r="T572" i="2"/>
  <c r="U572" i="2" s="1"/>
  <c r="T571" i="2"/>
  <c r="U571" i="2" s="1"/>
  <c r="T570" i="2"/>
  <c r="U570" i="2" s="1"/>
  <c r="T569" i="2"/>
  <c r="U569" i="2" s="1"/>
  <c r="T568" i="2"/>
  <c r="U568" i="2" s="1"/>
  <c r="T567" i="2"/>
  <c r="U567" i="2" s="1"/>
  <c r="T566" i="2"/>
  <c r="U566" i="2" s="1"/>
  <c r="T565" i="2"/>
  <c r="U565" i="2" s="1"/>
  <c r="T564" i="2"/>
  <c r="U564" i="2" s="1"/>
  <c r="T563" i="2"/>
  <c r="U563" i="2" s="1"/>
  <c r="T562" i="2"/>
  <c r="U562" i="2" s="1"/>
  <c r="T561" i="2"/>
  <c r="U561" i="2" s="1"/>
  <c r="T560" i="2"/>
  <c r="U560" i="2" s="1"/>
  <c r="T559" i="2"/>
  <c r="U559" i="2" s="1"/>
  <c r="T558" i="2"/>
  <c r="U558" i="2" s="1"/>
  <c r="T557" i="2"/>
  <c r="U557" i="2" s="1"/>
  <c r="T556" i="2"/>
  <c r="U556" i="2" s="1"/>
  <c r="T555" i="2"/>
  <c r="U555" i="2" s="1"/>
  <c r="T554" i="2"/>
  <c r="U554" i="2" s="1"/>
  <c r="T553" i="2"/>
  <c r="U553" i="2" s="1"/>
  <c r="T552" i="2"/>
  <c r="U552" i="2" s="1"/>
  <c r="T551" i="2"/>
  <c r="U551" i="2" s="1"/>
  <c r="T550" i="2"/>
  <c r="U550" i="2" s="1"/>
  <c r="T549" i="2"/>
  <c r="U549" i="2" s="1"/>
  <c r="T548" i="2"/>
  <c r="U548" i="2" s="1"/>
  <c r="T547" i="2"/>
  <c r="U547" i="2" s="1"/>
  <c r="T546" i="2"/>
  <c r="U546" i="2" s="1"/>
  <c r="T545" i="2"/>
  <c r="U545" i="2" s="1"/>
  <c r="T544" i="2"/>
  <c r="U544" i="2" s="1"/>
  <c r="T543" i="2"/>
  <c r="U543" i="2" s="1"/>
  <c r="T542" i="2"/>
  <c r="U542" i="2" s="1"/>
  <c r="T541" i="2"/>
  <c r="U541" i="2" s="1"/>
  <c r="T540" i="2"/>
  <c r="U540" i="2" s="1"/>
  <c r="T539" i="2"/>
  <c r="U539" i="2" s="1"/>
  <c r="T538" i="2"/>
  <c r="U538" i="2" s="1"/>
  <c r="T537" i="2"/>
  <c r="U537" i="2" s="1"/>
  <c r="T536" i="2"/>
  <c r="U536" i="2" s="1"/>
  <c r="T535" i="2"/>
  <c r="U535" i="2" s="1"/>
  <c r="T534" i="2"/>
  <c r="U534" i="2" s="1"/>
  <c r="T533" i="2"/>
  <c r="U533" i="2" s="1"/>
  <c r="T532" i="2"/>
  <c r="U532" i="2" s="1"/>
  <c r="T531" i="2"/>
  <c r="U531" i="2" s="1"/>
  <c r="T530" i="2"/>
  <c r="U530" i="2" s="1"/>
  <c r="T529" i="2"/>
  <c r="U529" i="2" s="1"/>
  <c r="T528" i="2"/>
  <c r="U528" i="2" s="1"/>
  <c r="T527" i="2"/>
  <c r="U527" i="2" s="1"/>
  <c r="T526" i="2"/>
  <c r="U526" i="2" s="1"/>
  <c r="T525" i="2"/>
  <c r="U525" i="2" s="1"/>
  <c r="T524" i="2"/>
  <c r="U524" i="2" s="1"/>
  <c r="T523" i="2"/>
  <c r="U523" i="2" s="1"/>
  <c r="T522" i="2"/>
  <c r="U522" i="2" s="1"/>
  <c r="T521" i="2"/>
  <c r="U521" i="2" s="1"/>
  <c r="T520" i="2"/>
  <c r="U520" i="2" s="1"/>
  <c r="T519" i="2"/>
  <c r="U519" i="2" s="1"/>
  <c r="T518" i="2"/>
  <c r="U518" i="2" s="1"/>
  <c r="T517" i="2"/>
  <c r="U517" i="2" s="1"/>
  <c r="T516" i="2"/>
  <c r="U516" i="2" s="1"/>
  <c r="T515" i="2"/>
  <c r="U515" i="2" s="1"/>
  <c r="T514" i="2"/>
  <c r="U514" i="2" s="1"/>
  <c r="T513" i="2"/>
  <c r="U513" i="2" s="1"/>
  <c r="T512" i="2"/>
  <c r="U512" i="2" s="1"/>
  <c r="T511" i="2"/>
  <c r="U511" i="2" s="1"/>
  <c r="T510" i="2"/>
  <c r="U510" i="2" s="1"/>
  <c r="T509" i="2"/>
  <c r="U509" i="2" s="1"/>
  <c r="T508" i="2"/>
  <c r="U508" i="2" s="1"/>
  <c r="T507" i="2"/>
  <c r="U507" i="2" s="1"/>
  <c r="T506" i="2"/>
  <c r="U506" i="2" s="1"/>
  <c r="T505" i="2"/>
  <c r="U505" i="2" s="1"/>
  <c r="T504" i="2"/>
  <c r="U504" i="2" s="1"/>
  <c r="T503" i="2"/>
  <c r="U503" i="2" s="1"/>
  <c r="T502" i="2"/>
  <c r="U502" i="2" s="1"/>
  <c r="T501" i="2"/>
  <c r="U501" i="2" s="1"/>
  <c r="T500" i="2"/>
  <c r="U500" i="2" s="1"/>
  <c r="T499" i="2"/>
  <c r="U499" i="2" s="1"/>
  <c r="T498" i="2"/>
  <c r="U498" i="2" s="1"/>
  <c r="T497" i="2"/>
  <c r="U497" i="2" s="1"/>
  <c r="T496" i="2"/>
  <c r="U496" i="2" s="1"/>
  <c r="T495" i="2"/>
  <c r="U495" i="2" s="1"/>
  <c r="T494" i="2"/>
  <c r="U494" i="2" s="1"/>
  <c r="T493" i="2"/>
  <c r="U493" i="2" s="1"/>
  <c r="T492" i="2"/>
  <c r="U492" i="2" s="1"/>
  <c r="T491" i="2"/>
  <c r="U491" i="2" s="1"/>
  <c r="T490" i="2"/>
  <c r="U490" i="2" s="1"/>
  <c r="T489" i="2"/>
  <c r="U489" i="2" s="1"/>
  <c r="T488" i="2"/>
  <c r="U488" i="2" s="1"/>
  <c r="T487" i="2"/>
  <c r="U487" i="2" s="1"/>
  <c r="T486" i="2"/>
  <c r="U486" i="2" s="1"/>
  <c r="T485" i="2"/>
  <c r="U485" i="2" s="1"/>
  <c r="T484" i="2"/>
  <c r="U484" i="2" s="1"/>
  <c r="T483" i="2"/>
  <c r="U483" i="2" s="1"/>
  <c r="T482" i="2"/>
  <c r="U482" i="2" s="1"/>
  <c r="T481" i="2"/>
  <c r="U481" i="2" s="1"/>
  <c r="T480" i="2"/>
  <c r="U480" i="2" s="1"/>
  <c r="T479" i="2"/>
  <c r="U479" i="2" s="1"/>
  <c r="T478" i="2"/>
  <c r="U478" i="2" s="1"/>
  <c r="T477" i="2"/>
  <c r="U477" i="2" s="1"/>
  <c r="T476" i="2"/>
  <c r="U476" i="2" s="1"/>
  <c r="T475" i="2"/>
  <c r="U475" i="2" s="1"/>
  <c r="T474" i="2"/>
  <c r="U474" i="2" s="1"/>
  <c r="T473" i="2"/>
  <c r="U473" i="2" s="1"/>
  <c r="T472" i="2"/>
  <c r="U472" i="2" s="1"/>
  <c r="T471" i="2"/>
  <c r="U471" i="2" s="1"/>
  <c r="T470" i="2"/>
  <c r="U470" i="2" s="1"/>
  <c r="T469" i="2"/>
  <c r="U469" i="2" s="1"/>
  <c r="T468" i="2"/>
  <c r="U468" i="2" s="1"/>
  <c r="T467" i="2"/>
  <c r="U467" i="2" s="1"/>
  <c r="T466" i="2"/>
  <c r="U466" i="2" s="1"/>
  <c r="T465" i="2"/>
  <c r="U465" i="2" s="1"/>
  <c r="T464" i="2"/>
  <c r="U464" i="2" s="1"/>
  <c r="T463" i="2"/>
  <c r="U463" i="2" s="1"/>
  <c r="T462" i="2"/>
  <c r="U462" i="2" s="1"/>
  <c r="T461" i="2"/>
  <c r="U461" i="2" s="1"/>
  <c r="T460" i="2"/>
  <c r="U460" i="2" s="1"/>
  <c r="T459" i="2"/>
  <c r="U459" i="2" s="1"/>
  <c r="T458" i="2"/>
  <c r="U458" i="2" s="1"/>
  <c r="T457" i="2"/>
  <c r="U457" i="2" s="1"/>
  <c r="T456" i="2"/>
  <c r="U456" i="2" s="1"/>
  <c r="T455" i="2"/>
  <c r="U455" i="2" s="1"/>
  <c r="T454" i="2"/>
  <c r="U454" i="2" s="1"/>
  <c r="T453" i="2"/>
  <c r="U453" i="2" s="1"/>
  <c r="T452" i="2"/>
  <c r="U452" i="2" s="1"/>
  <c r="T451" i="2"/>
  <c r="U451" i="2" s="1"/>
  <c r="T450" i="2"/>
  <c r="U450" i="2" s="1"/>
  <c r="T449" i="2"/>
  <c r="U449" i="2" s="1"/>
  <c r="T448" i="2"/>
  <c r="U448" i="2" s="1"/>
  <c r="T447" i="2"/>
  <c r="U447" i="2" s="1"/>
  <c r="T446" i="2"/>
  <c r="U446" i="2" s="1"/>
  <c r="T445" i="2"/>
  <c r="U445" i="2" s="1"/>
  <c r="T444" i="2"/>
  <c r="U444" i="2" s="1"/>
  <c r="T443" i="2"/>
  <c r="U443" i="2" s="1"/>
  <c r="T442" i="2"/>
  <c r="U442" i="2" s="1"/>
  <c r="T441" i="2"/>
  <c r="U441" i="2" s="1"/>
  <c r="T440" i="2"/>
  <c r="U440" i="2" s="1"/>
  <c r="T439" i="2"/>
  <c r="U439" i="2" s="1"/>
  <c r="T438" i="2"/>
  <c r="U438" i="2" s="1"/>
  <c r="T437" i="2"/>
  <c r="U437" i="2" s="1"/>
  <c r="T436" i="2"/>
  <c r="U436" i="2" s="1"/>
  <c r="T435" i="2"/>
  <c r="U435" i="2" s="1"/>
  <c r="T434" i="2"/>
  <c r="U434" i="2" s="1"/>
  <c r="T433" i="2"/>
  <c r="U433" i="2" s="1"/>
  <c r="T432" i="2"/>
  <c r="U432" i="2" s="1"/>
  <c r="T431" i="2"/>
  <c r="U431" i="2" s="1"/>
  <c r="T430" i="2"/>
  <c r="U430" i="2" s="1"/>
  <c r="T429" i="2"/>
  <c r="U429" i="2" s="1"/>
  <c r="T428" i="2"/>
  <c r="U428" i="2" s="1"/>
  <c r="T427" i="2"/>
  <c r="U427" i="2" s="1"/>
  <c r="T426" i="2"/>
  <c r="U426" i="2" s="1"/>
  <c r="T425" i="2"/>
  <c r="U425" i="2" s="1"/>
  <c r="T424" i="2"/>
  <c r="U424" i="2" s="1"/>
  <c r="T423" i="2"/>
  <c r="U423" i="2" s="1"/>
  <c r="T422" i="2"/>
  <c r="U422" i="2" s="1"/>
  <c r="T421" i="2"/>
  <c r="U421" i="2" s="1"/>
  <c r="T420" i="2"/>
  <c r="U420" i="2" s="1"/>
  <c r="T419" i="2"/>
  <c r="U419" i="2" s="1"/>
  <c r="T418" i="2"/>
  <c r="U418" i="2" s="1"/>
  <c r="T417" i="2"/>
  <c r="U417" i="2" s="1"/>
  <c r="T416" i="2"/>
  <c r="U416" i="2" s="1"/>
  <c r="T415" i="2"/>
  <c r="U415" i="2" s="1"/>
  <c r="T414" i="2"/>
  <c r="U414" i="2" s="1"/>
  <c r="T413" i="2"/>
  <c r="U413" i="2" s="1"/>
  <c r="T412" i="2"/>
  <c r="U412" i="2" s="1"/>
  <c r="T411" i="2"/>
  <c r="U411" i="2" s="1"/>
  <c r="T410" i="2"/>
  <c r="U410" i="2" s="1"/>
  <c r="T409" i="2"/>
  <c r="U409" i="2" s="1"/>
  <c r="T408" i="2"/>
  <c r="U408" i="2" s="1"/>
  <c r="T407" i="2"/>
  <c r="U407" i="2" s="1"/>
  <c r="T406" i="2"/>
  <c r="U406" i="2" s="1"/>
  <c r="T405" i="2"/>
  <c r="U405" i="2" s="1"/>
  <c r="T404" i="2"/>
  <c r="U404" i="2" s="1"/>
  <c r="T403" i="2"/>
  <c r="U403" i="2" s="1"/>
  <c r="T402" i="2"/>
  <c r="U402" i="2" s="1"/>
  <c r="T401" i="2"/>
  <c r="U401" i="2" s="1"/>
  <c r="T400" i="2"/>
  <c r="U400" i="2" s="1"/>
  <c r="T399" i="2"/>
  <c r="U399" i="2" s="1"/>
  <c r="T398" i="2"/>
  <c r="U398" i="2" s="1"/>
  <c r="T397" i="2"/>
  <c r="U397" i="2" s="1"/>
  <c r="T396" i="2"/>
  <c r="U396" i="2" s="1"/>
  <c r="T395" i="2"/>
  <c r="U395" i="2" s="1"/>
  <c r="T394" i="2"/>
  <c r="U394" i="2" s="1"/>
  <c r="T393" i="2"/>
  <c r="U393" i="2" s="1"/>
  <c r="T392" i="2"/>
  <c r="U392" i="2" s="1"/>
  <c r="T391" i="2"/>
  <c r="U391" i="2" s="1"/>
  <c r="T390" i="2"/>
  <c r="U390" i="2" s="1"/>
  <c r="T389" i="2"/>
  <c r="U389" i="2" s="1"/>
  <c r="T388" i="2"/>
  <c r="U388" i="2" s="1"/>
  <c r="T387" i="2"/>
  <c r="U387" i="2" s="1"/>
  <c r="T386" i="2"/>
  <c r="U386" i="2" s="1"/>
  <c r="T385" i="2"/>
  <c r="U385" i="2" s="1"/>
  <c r="T384" i="2"/>
  <c r="U384" i="2" s="1"/>
  <c r="T383" i="2"/>
  <c r="U383" i="2" s="1"/>
  <c r="T382" i="2"/>
  <c r="U382" i="2" s="1"/>
  <c r="T381" i="2"/>
  <c r="U381" i="2" s="1"/>
  <c r="T380" i="2"/>
  <c r="U380" i="2" s="1"/>
  <c r="T379" i="2"/>
  <c r="U379" i="2" s="1"/>
  <c r="T378" i="2"/>
  <c r="U378" i="2" s="1"/>
  <c r="T377" i="2"/>
  <c r="U377" i="2" s="1"/>
  <c r="T376" i="2"/>
  <c r="U376" i="2" s="1"/>
  <c r="T375" i="2"/>
  <c r="U375" i="2" s="1"/>
  <c r="T374" i="2"/>
  <c r="U374" i="2" s="1"/>
  <c r="T373" i="2"/>
  <c r="U373" i="2" s="1"/>
  <c r="T372" i="2"/>
  <c r="U372" i="2" s="1"/>
  <c r="T371" i="2"/>
  <c r="U371" i="2" s="1"/>
  <c r="T370" i="2"/>
  <c r="U370" i="2" s="1"/>
  <c r="T369" i="2"/>
  <c r="U369" i="2" s="1"/>
  <c r="T368" i="2"/>
  <c r="U368" i="2" s="1"/>
  <c r="T367" i="2"/>
  <c r="U367" i="2" s="1"/>
  <c r="T366" i="2"/>
  <c r="U366" i="2" s="1"/>
  <c r="T365" i="2"/>
  <c r="U365" i="2" s="1"/>
  <c r="T364" i="2"/>
  <c r="U364" i="2" s="1"/>
  <c r="T363" i="2"/>
  <c r="U363" i="2" s="1"/>
  <c r="T362" i="2"/>
  <c r="U362" i="2" s="1"/>
  <c r="T361" i="2"/>
  <c r="U361" i="2" s="1"/>
  <c r="T360" i="2"/>
  <c r="U360" i="2" s="1"/>
  <c r="T359" i="2"/>
  <c r="U359" i="2" s="1"/>
  <c r="T358" i="2"/>
  <c r="U358" i="2" s="1"/>
  <c r="T357" i="2"/>
  <c r="U357" i="2" s="1"/>
  <c r="T356" i="2"/>
  <c r="U356" i="2" s="1"/>
  <c r="T355" i="2"/>
  <c r="U355" i="2" s="1"/>
  <c r="T354" i="2"/>
  <c r="U354" i="2" s="1"/>
  <c r="T353" i="2"/>
  <c r="U353" i="2" s="1"/>
  <c r="T352" i="2"/>
  <c r="U352" i="2" s="1"/>
  <c r="T351" i="2"/>
  <c r="U351" i="2" s="1"/>
  <c r="T350" i="2"/>
  <c r="U350" i="2" s="1"/>
  <c r="T349" i="2"/>
  <c r="U349" i="2" s="1"/>
  <c r="T348" i="2"/>
  <c r="U348" i="2" s="1"/>
  <c r="T347" i="2"/>
  <c r="U347" i="2" s="1"/>
  <c r="T346" i="2"/>
  <c r="U346" i="2" s="1"/>
  <c r="T345" i="2"/>
  <c r="U345" i="2" s="1"/>
  <c r="T344" i="2"/>
  <c r="U344" i="2" s="1"/>
  <c r="T343" i="2"/>
  <c r="U343" i="2" s="1"/>
  <c r="T342" i="2"/>
  <c r="U342" i="2" s="1"/>
  <c r="T341" i="2"/>
  <c r="U341" i="2" s="1"/>
  <c r="T340" i="2"/>
  <c r="U340" i="2" s="1"/>
  <c r="T339" i="2"/>
  <c r="U339" i="2" s="1"/>
  <c r="T338" i="2"/>
  <c r="U338" i="2" s="1"/>
  <c r="T337" i="2"/>
  <c r="U337" i="2" s="1"/>
  <c r="T336" i="2"/>
  <c r="U336" i="2" s="1"/>
  <c r="T335" i="2"/>
  <c r="U335" i="2" s="1"/>
  <c r="T334" i="2"/>
  <c r="U334" i="2" s="1"/>
  <c r="T333" i="2"/>
  <c r="U333" i="2" s="1"/>
  <c r="T332" i="2"/>
  <c r="U332" i="2" s="1"/>
  <c r="T331" i="2"/>
  <c r="U331" i="2" s="1"/>
  <c r="T330" i="2"/>
  <c r="U330" i="2" s="1"/>
  <c r="T329" i="2"/>
  <c r="U329" i="2" s="1"/>
  <c r="T328" i="2"/>
  <c r="U328" i="2" s="1"/>
  <c r="T327" i="2"/>
  <c r="U327" i="2" s="1"/>
  <c r="T326" i="2"/>
  <c r="U326" i="2" s="1"/>
  <c r="T325" i="2"/>
  <c r="U325" i="2" s="1"/>
  <c r="T324" i="2"/>
  <c r="U324" i="2" s="1"/>
  <c r="T323" i="2"/>
  <c r="U323" i="2" s="1"/>
  <c r="T322" i="2"/>
  <c r="U322" i="2" s="1"/>
  <c r="T321" i="2"/>
  <c r="U321" i="2" s="1"/>
  <c r="T320" i="2"/>
  <c r="U320" i="2" s="1"/>
  <c r="T319" i="2"/>
  <c r="U319" i="2" s="1"/>
  <c r="T318" i="2"/>
  <c r="U318" i="2" s="1"/>
  <c r="T317" i="2"/>
  <c r="U317" i="2" s="1"/>
  <c r="T316" i="2"/>
  <c r="U316" i="2" s="1"/>
  <c r="T315" i="2"/>
  <c r="U315" i="2" s="1"/>
  <c r="T314" i="2"/>
  <c r="U314" i="2" s="1"/>
  <c r="T313" i="2"/>
  <c r="U313" i="2" s="1"/>
  <c r="T312" i="2"/>
  <c r="U312" i="2" s="1"/>
  <c r="T311" i="2"/>
  <c r="U311" i="2" s="1"/>
  <c r="T310" i="2"/>
  <c r="U310" i="2" s="1"/>
  <c r="T309" i="2"/>
  <c r="U309" i="2" s="1"/>
  <c r="T308" i="2"/>
  <c r="U308" i="2" s="1"/>
  <c r="T307" i="2"/>
  <c r="U307" i="2" s="1"/>
  <c r="T306" i="2"/>
  <c r="U306" i="2" s="1"/>
  <c r="T305" i="2"/>
  <c r="U305" i="2" s="1"/>
  <c r="T304" i="2"/>
  <c r="U304" i="2" s="1"/>
  <c r="T303" i="2"/>
  <c r="U303" i="2" s="1"/>
  <c r="T302" i="2"/>
  <c r="U302" i="2" s="1"/>
  <c r="T301" i="2"/>
  <c r="U301" i="2" s="1"/>
  <c r="T300" i="2"/>
  <c r="U300" i="2" s="1"/>
  <c r="T299" i="2"/>
  <c r="U299" i="2" s="1"/>
  <c r="T298" i="2"/>
  <c r="U298" i="2" s="1"/>
  <c r="T297" i="2"/>
  <c r="U297" i="2" s="1"/>
  <c r="T296" i="2"/>
  <c r="U296" i="2" s="1"/>
  <c r="T295" i="2"/>
  <c r="U295" i="2" s="1"/>
  <c r="T294" i="2"/>
  <c r="U294" i="2" s="1"/>
  <c r="T293" i="2"/>
  <c r="U293" i="2" s="1"/>
  <c r="T292" i="2"/>
  <c r="U292" i="2" s="1"/>
  <c r="T291" i="2"/>
  <c r="U291" i="2" s="1"/>
  <c r="T290" i="2"/>
  <c r="U290" i="2" s="1"/>
  <c r="T289" i="2"/>
  <c r="U289" i="2" s="1"/>
  <c r="T288" i="2"/>
  <c r="U288" i="2" s="1"/>
  <c r="T287" i="2"/>
  <c r="U287" i="2" s="1"/>
  <c r="T286" i="2"/>
  <c r="U286" i="2" s="1"/>
  <c r="T285" i="2"/>
  <c r="U285" i="2" s="1"/>
  <c r="T284" i="2"/>
  <c r="U284" i="2" s="1"/>
  <c r="T283" i="2"/>
  <c r="U283" i="2" s="1"/>
  <c r="T282" i="2"/>
  <c r="U282" i="2" s="1"/>
  <c r="T281" i="2"/>
  <c r="U281" i="2" s="1"/>
  <c r="T280" i="2"/>
  <c r="U280" i="2" s="1"/>
  <c r="T279" i="2"/>
  <c r="U279" i="2" s="1"/>
  <c r="T278" i="2"/>
  <c r="U278" i="2" s="1"/>
  <c r="T277" i="2"/>
  <c r="U277" i="2" s="1"/>
  <c r="T276" i="2"/>
  <c r="U276" i="2" s="1"/>
  <c r="T275" i="2"/>
  <c r="U275" i="2" s="1"/>
  <c r="T274" i="2"/>
  <c r="U274" i="2" s="1"/>
  <c r="T273" i="2"/>
  <c r="U273" i="2" s="1"/>
  <c r="T272" i="2"/>
  <c r="U272" i="2" s="1"/>
  <c r="T271" i="2"/>
  <c r="U271" i="2" s="1"/>
  <c r="T270" i="2"/>
  <c r="U270" i="2" s="1"/>
  <c r="T269" i="2"/>
  <c r="U269" i="2" s="1"/>
  <c r="T268" i="2"/>
  <c r="U268" i="2" s="1"/>
  <c r="T267" i="2"/>
  <c r="U267" i="2" s="1"/>
  <c r="T266" i="2"/>
  <c r="U266" i="2" s="1"/>
  <c r="T265" i="2"/>
  <c r="U265" i="2" s="1"/>
  <c r="T264" i="2"/>
  <c r="U264" i="2" s="1"/>
  <c r="T263" i="2"/>
  <c r="U263" i="2" s="1"/>
  <c r="T262" i="2"/>
  <c r="U262" i="2" s="1"/>
  <c r="T261" i="2"/>
  <c r="U261" i="2" s="1"/>
  <c r="T260" i="2"/>
  <c r="U260" i="2" s="1"/>
  <c r="T259" i="2"/>
  <c r="U259" i="2" s="1"/>
  <c r="T258" i="2"/>
  <c r="U258" i="2" s="1"/>
  <c r="T257" i="2"/>
  <c r="U257" i="2" s="1"/>
  <c r="T256" i="2"/>
  <c r="U256" i="2" s="1"/>
  <c r="T255" i="2"/>
  <c r="U255" i="2" s="1"/>
  <c r="T254" i="2"/>
  <c r="U254" i="2" s="1"/>
  <c r="T253" i="2"/>
  <c r="U253" i="2" s="1"/>
  <c r="T252" i="2"/>
  <c r="U252" i="2" s="1"/>
  <c r="T251" i="2"/>
  <c r="U251" i="2" s="1"/>
  <c r="U250" i="2"/>
  <c r="T249" i="2"/>
  <c r="U249" i="2" s="1"/>
  <c r="T248" i="2"/>
  <c r="U248" i="2" s="1"/>
  <c r="T247" i="2"/>
  <c r="U247" i="2" s="1"/>
  <c r="T246" i="2"/>
  <c r="U246" i="2" s="1"/>
  <c r="T245" i="2"/>
  <c r="U245" i="2" s="1"/>
  <c r="T244" i="2"/>
  <c r="U244" i="2" s="1"/>
  <c r="T243" i="2"/>
  <c r="U243" i="2" s="1"/>
  <c r="T242" i="2"/>
  <c r="U242" i="2" s="1"/>
  <c r="T241" i="2"/>
  <c r="U241" i="2" s="1"/>
  <c r="T240" i="2"/>
  <c r="U240" i="2" s="1"/>
  <c r="T239" i="2"/>
  <c r="U239" i="2" s="1"/>
  <c r="T238" i="2"/>
  <c r="U238" i="2" s="1"/>
  <c r="T237" i="2"/>
  <c r="U237" i="2" s="1"/>
  <c r="T236" i="2"/>
  <c r="U236" i="2" s="1"/>
  <c r="T235" i="2"/>
  <c r="U235" i="2" s="1"/>
  <c r="T234" i="2"/>
  <c r="U234" i="2" s="1"/>
  <c r="T233" i="2"/>
  <c r="U233" i="2" s="1"/>
  <c r="T232" i="2"/>
  <c r="U232" i="2" s="1"/>
  <c r="T231" i="2"/>
  <c r="U231" i="2" s="1"/>
  <c r="T230" i="2"/>
  <c r="U230" i="2" s="1"/>
  <c r="T229" i="2"/>
  <c r="U229" i="2" s="1"/>
  <c r="T228" i="2"/>
  <c r="U228" i="2" s="1"/>
  <c r="T227" i="2"/>
  <c r="U227" i="2" s="1"/>
  <c r="T226" i="2"/>
  <c r="U226" i="2" s="1"/>
  <c r="T225" i="2"/>
  <c r="U225" i="2" s="1"/>
  <c r="T224" i="2"/>
  <c r="U224" i="2" s="1"/>
  <c r="T223" i="2"/>
  <c r="U223" i="2" s="1"/>
  <c r="T222" i="2"/>
  <c r="U222" i="2" s="1"/>
  <c r="T221" i="2"/>
  <c r="U221" i="2" s="1"/>
  <c r="T220" i="2"/>
  <c r="U220" i="2" s="1"/>
  <c r="T219" i="2"/>
  <c r="U219" i="2" s="1"/>
  <c r="T218" i="2"/>
  <c r="U218" i="2" s="1"/>
  <c r="T217" i="2"/>
  <c r="U217" i="2" s="1"/>
  <c r="T216" i="2"/>
  <c r="U216" i="2" s="1"/>
  <c r="T215" i="2"/>
  <c r="U215" i="2" s="1"/>
  <c r="T214" i="2"/>
  <c r="U214" i="2" s="1"/>
  <c r="T213" i="2"/>
  <c r="U213" i="2" s="1"/>
  <c r="T212" i="2"/>
  <c r="U212" i="2" s="1"/>
  <c r="T211" i="2"/>
  <c r="U211" i="2" s="1"/>
  <c r="T210" i="2"/>
  <c r="U210" i="2" s="1"/>
  <c r="T209" i="2"/>
  <c r="U209" i="2" s="1"/>
  <c r="T208" i="2"/>
  <c r="U208" i="2" s="1"/>
  <c r="T207" i="2"/>
  <c r="U207" i="2" s="1"/>
  <c r="T206" i="2"/>
  <c r="U206" i="2" s="1"/>
  <c r="T205" i="2"/>
  <c r="U205" i="2" s="1"/>
  <c r="T204" i="2"/>
  <c r="U204" i="2" s="1"/>
  <c r="T203" i="2"/>
  <c r="U203" i="2" s="1"/>
  <c r="T202" i="2"/>
  <c r="U202" i="2" s="1"/>
  <c r="T201" i="2"/>
  <c r="U201" i="2" s="1"/>
  <c r="T200" i="2"/>
  <c r="U200" i="2" s="1"/>
  <c r="T199" i="2"/>
  <c r="U199" i="2" s="1"/>
  <c r="T198" i="2"/>
  <c r="U198" i="2" s="1"/>
  <c r="T197" i="2"/>
  <c r="U197" i="2" s="1"/>
  <c r="T196" i="2"/>
  <c r="U196" i="2" s="1"/>
  <c r="T195" i="2"/>
  <c r="U195" i="2" s="1"/>
  <c r="T194" i="2"/>
  <c r="U194" i="2" s="1"/>
  <c r="T193" i="2"/>
  <c r="U193" i="2" s="1"/>
  <c r="T192" i="2"/>
  <c r="U192" i="2" s="1"/>
  <c r="T191" i="2"/>
  <c r="U191" i="2" s="1"/>
  <c r="T190" i="2"/>
  <c r="U190" i="2" s="1"/>
  <c r="T189" i="2"/>
  <c r="U189" i="2" s="1"/>
  <c r="T188" i="2"/>
  <c r="U188" i="2" s="1"/>
  <c r="T187" i="2"/>
  <c r="U187" i="2" s="1"/>
  <c r="T186" i="2"/>
  <c r="U186" i="2" s="1"/>
  <c r="T185" i="2"/>
  <c r="U185" i="2" s="1"/>
  <c r="T184" i="2"/>
  <c r="U184" i="2" s="1"/>
  <c r="T183" i="2"/>
  <c r="U183" i="2" s="1"/>
  <c r="T182" i="2"/>
  <c r="U182" i="2" s="1"/>
  <c r="T181" i="2"/>
  <c r="U181" i="2" s="1"/>
  <c r="T180" i="2"/>
  <c r="U180" i="2" s="1"/>
  <c r="T179" i="2"/>
  <c r="U179" i="2" s="1"/>
  <c r="T178" i="2"/>
  <c r="U178" i="2" s="1"/>
  <c r="T177" i="2"/>
  <c r="U177" i="2" s="1"/>
  <c r="T176" i="2"/>
  <c r="U176" i="2" s="1"/>
  <c r="T175" i="2"/>
  <c r="U175" i="2" s="1"/>
  <c r="T174" i="2"/>
  <c r="U174" i="2" s="1"/>
  <c r="T173" i="2"/>
  <c r="U173" i="2" s="1"/>
  <c r="T172" i="2"/>
  <c r="U172" i="2" s="1"/>
  <c r="T171" i="2"/>
  <c r="U171" i="2" s="1"/>
  <c r="T170" i="2"/>
  <c r="U170" i="2" s="1"/>
  <c r="T169" i="2"/>
  <c r="U169" i="2" s="1"/>
  <c r="T168" i="2"/>
  <c r="U168" i="2" s="1"/>
  <c r="T167" i="2"/>
  <c r="U167" i="2" s="1"/>
  <c r="T166" i="2"/>
  <c r="U166" i="2" s="1"/>
  <c r="T165" i="2"/>
  <c r="U165" i="2" s="1"/>
  <c r="T164" i="2"/>
  <c r="U164" i="2" s="1"/>
  <c r="T163" i="2"/>
  <c r="U163" i="2" s="1"/>
  <c r="T162" i="2"/>
  <c r="U162" i="2" s="1"/>
  <c r="T161" i="2"/>
  <c r="U161" i="2" s="1"/>
  <c r="T160" i="2"/>
  <c r="U160" i="2" s="1"/>
  <c r="U159" i="2"/>
  <c r="T158" i="2"/>
  <c r="U158" i="2" s="1"/>
  <c r="T157" i="2"/>
  <c r="U157" i="2" s="1"/>
  <c r="T156" i="2"/>
  <c r="U156" i="2" s="1"/>
  <c r="T155" i="2"/>
  <c r="U155" i="2" s="1"/>
  <c r="U154" i="2"/>
  <c r="T153" i="2"/>
  <c r="U153" i="2" s="1"/>
  <c r="T152" i="2"/>
  <c r="U152" i="2" s="1"/>
  <c r="T151" i="2"/>
  <c r="U151" i="2" s="1"/>
  <c r="U150" i="2"/>
  <c r="U149" i="2"/>
  <c r="T148" i="2"/>
  <c r="U148" i="2" s="1"/>
  <c r="T147" i="2"/>
  <c r="U147" i="2" s="1"/>
  <c r="T146" i="2"/>
  <c r="U146" i="2" s="1"/>
  <c r="U145" i="2"/>
  <c r="T144" i="2"/>
  <c r="U144" i="2" s="1"/>
  <c r="U143" i="2"/>
  <c r="T142" i="2"/>
  <c r="U142" i="2" s="1"/>
  <c r="T141" i="2"/>
  <c r="U141" i="2" s="1"/>
  <c r="U140" i="2"/>
  <c r="T139" i="2"/>
  <c r="U139" i="2" s="1"/>
  <c r="T138" i="2"/>
  <c r="U138" i="2" s="1"/>
  <c r="T137" i="2"/>
  <c r="U137" i="2" s="1"/>
  <c r="T136" i="2"/>
  <c r="U136" i="2" s="1"/>
  <c r="T135" i="2"/>
  <c r="U135" i="2" s="1"/>
  <c r="T134" i="2"/>
  <c r="U134" i="2" s="1"/>
  <c r="T133" i="2"/>
  <c r="U133" i="2" s="1"/>
  <c r="T132" i="2"/>
  <c r="U132" i="2" s="1"/>
  <c r="T131" i="2"/>
  <c r="U131" i="2" s="1"/>
  <c r="T130" i="2"/>
  <c r="U130" i="2" s="1"/>
  <c r="T129" i="2"/>
  <c r="U129" i="2" s="1"/>
  <c r="T128" i="2"/>
  <c r="U128" i="2" s="1"/>
  <c r="T127" i="2"/>
  <c r="U127" i="2" s="1"/>
  <c r="T126" i="2"/>
  <c r="U126" i="2" s="1"/>
  <c r="T125" i="2"/>
  <c r="U125" i="2" s="1"/>
  <c r="T124" i="2"/>
  <c r="U124" i="2" s="1"/>
  <c r="T123" i="2"/>
  <c r="U123" i="2" s="1"/>
  <c r="T122" i="2"/>
  <c r="U122" i="2" s="1"/>
  <c r="T121" i="2"/>
  <c r="U121" i="2" s="1"/>
  <c r="T120" i="2"/>
  <c r="U120" i="2" s="1"/>
  <c r="T119" i="2"/>
  <c r="U119" i="2" s="1"/>
  <c r="T118" i="2"/>
  <c r="U118" i="2" s="1"/>
  <c r="T117" i="2"/>
  <c r="U117" i="2" s="1"/>
  <c r="T116" i="2"/>
  <c r="U116" i="2" s="1"/>
  <c r="T115" i="2"/>
  <c r="U115" i="2" s="1"/>
  <c r="T114" i="2"/>
  <c r="U114" i="2" s="1"/>
  <c r="T113" i="2"/>
  <c r="U113" i="2" s="1"/>
  <c r="T112" i="2"/>
  <c r="U112" i="2" s="1"/>
  <c r="T111" i="2"/>
  <c r="U111" i="2" s="1"/>
  <c r="T110" i="2"/>
  <c r="U110" i="2" s="1"/>
  <c r="T109" i="2"/>
  <c r="U109" i="2" s="1"/>
  <c r="T108" i="2"/>
  <c r="U108" i="2" s="1"/>
  <c r="T107" i="2"/>
  <c r="U107" i="2" s="1"/>
  <c r="T106" i="2"/>
  <c r="U106" i="2" s="1"/>
  <c r="T105" i="2"/>
  <c r="U105" i="2" s="1"/>
  <c r="T104" i="2"/>
  <c r="U104" i="2" s="1"/>
  <c r="T103" i="2"/>
  <c r="U103" i="2" s="1"/>
  <c r="T102" i="2"/>
  <c r="U102" i="2" s="1"/>
  <c r="T101" i="2"/>
  <c r="U101" i="2" s="1"/>
  <c r="T100" i="2"/>
  <c r="U100" i="2" s="1"/>
  <c r="T99" i="2"/>
  <c r="U99" i="2" s="1"/>
  <c r="T98" i="2"/>
  <c r="U98" i="2" s="1"/>
  <c r="T97" i="2"/>
  <c r="U97" i="2" s="1"/>
  <c r="T96" i="2"/>
  <c r="U96" i="2" s="1"/>
  <c r="T95" i="2"/>
  <c r="U95" i="2" s="1"/>
  <c r="T94" i="2"/>
  <c r="U94" i="2" s="1"/>
  <c r="T93" i="2"/>
  <c r="U93" i="2" s="1"/>
  <c r="T92" i="2"/>
  <c r="U92" i="2" s="1"/>
  <c r="T91" i="2"/>
  <c r="U91" i="2" s="1"/>
  <c r="T90" i="2"/>
  <c r="U90" i="2" s="1"/>
  <c r="T89" i="2"/>
  <c r="U89" i="2" s="1"/>
  <c r="T88" i="2"/>
  <c r="U88" i="2" s="1"/>
  <c r="T87" i="2"/>
  <c r="U87" i="2" s="1"/>
  <c r="T86" i="2"/>
  <c r="U86" i="2" s="1"/>
  <c r="T85" i="2"/>
  <c r="U85" i="2" s="1"/>
  <c r="T84" i="2"/>
  <c r="U84" i="2" s="1"/>
  <c r="T83" i="2"/>
  <c r="U83" i="2" s="1"/>
  <c r="T82" i="2"/>
  <c r="U82" i="2" s="1"/>
  <c r="T81" i="2"/>
  <c r="U81" i="2" s="1"/>
  <c r="T80" i="2"/>
  <c r="U80" i="2" s="1"/>
  <c r="T79" i="2"/>
  <c r="U79" i="2" s="1"/>
  <c r="T78" i="2"/>
  <c r="U78" i="2" s="1"/>
  <c r="T77" i="2"/>
  <c r="U77" i="2" s="1"/>
  <c r="T76" i="2"/>
  <c r="U76" i="2" s="1"/>
  <c r="T75" i="2"/>
  <c r="U75" i="2" s="1"/>
  <c r="T74" i="2"/>
  <c r="U74" i="2" s="1"/>
  <c r="T73" i="2"/>
  <c r="U73" i="2" s="1"/>
  <c r="T72" i="2"/>
  <c r="U72" i="2" s="1"/>
  <c r="T71" i="2"/>
  <c r="U71" i="2" s="1"/>
  <c r="T70" i="2"/>
  <c r="U70" i="2" s="1"/>
  <c r="T69" i="2"/>
  <c r="U69" i="2" s="1"/>
  <c r="T68" i="2"/>
  <c r="U68" i="2" s="1"/>
  <c r="T67" i="2"/>
  <c r="U67" i="2" s="1"/>
  <c r="T66" i="2"/>
  <c r="U66" i="2" s="1"/>
  <c r="T65" i="2"/>
  <c r="U65" i="2" s="1"/>
  <c r="T64" i="2"/>
  <c r="U64" i="2" s="1"/>
  <c r="T63" i="2"/>
  <c r="U63" i="2" s="1"/>
  <c r="T62" i="2"/>
  <c r="U62" i="2" s="1"/>
  <c r="T61" i="2"/>
  <c r="U61" i="2" s="1"/>
  <c r="T60" i="2"/>
  <c r="U60" i="2" s="1"/>
  <c r="T59" i="2"/>
  <c r="U59" i="2" s="1"/>
  <c r="T58" i="2"/>
  <c r="U58" i="2" s="1"/>
  <c r="T57" i="2"/>
  <c r="U57" i="2" s="1"/>
  <c r="T56" i="2"/>
  <c r="U56" i="2" s="1"/>
  <c r="T55" i="2"/>
  <c r="U55" i="2" s="1"/>
  <c r="T54" i="2"/>
  <c r="U54" i="2" s="1"/>
  <c r="T53" i="2"/>
  <c r="U53" i="2" s="1"/>
  <c r="T52" i="2"/>
  <c r="U52" i="2" s="1"/>
  <c r="T51" i="2"/>
  <c r="U51" i="2" s="1"/>
  <c r="T50" i="2"/>
  <c r="U50" i="2" s="1"/>
  <c r="T49" i="2"/>
  <c r="U49" i="2" s="1"/>
  <c r="T48" i="2"/>
  <c r="U48" i="2" s="1"/>
  <c r="T47" i="2"/>
  <c r="U47" i="2" s="1"/>
  <c r="T46" i="2"/>
  <c r="U46" i="2" s="1"/>
  <c r="T45" i="2"/>
  <c r="U45" i="2" s="1"/>
  <c r="T44" i="2"/>
  <c r="U44" i="2" s="1"/>
  <c r="T43" i="2"/>
  <c r="U43" i="2" s="1"/>
  <c r="T42" i="2"/>
  <c r="U42" i="2" s="1"/>
  <c r="T41" i="2"/>
  <c r="U41" i="2" s="1"/>
  <c r="T40" i="2"/>
  <c r="U40" i="2" s="1"/>
  <c r="T39" i="2"/>
  <c r="U39" i="2" s="1"/>
  <c r="T38" i="2"/>
  <c r="U38" i="2" s="1"/>
  <c r="T37" i="2"/>
  <c r="U37" i="2" s="1"/>
  <c r="T36" i="2"/>
  <c r="U36" i="2" s="1"/>
  <c r="T35" i="2"/>
  <c r="U35" i="2" s="1"/>
  <c r="T34" i="2"/>
  <c r="U34" i="2" s="1"/>
  <c r="T33" i="2"/>
  <c r="U33" i="2" s="1"/>
  <c r="T32" i="2"/>
  <c r="U32" i="2" s="1"/>
  <c r="T31" i="2"/>
  <c r="U31" i="2" s="1"/>
  <c r="T30" i="2"/>
  <c r="U30" i="2" s="1"/>
  <c r="T29" i="2"/>
  <c r="U29" i="2" s="1"/>
  <c r="T28" i="2"/>
  <c r="U28" i="2" s="1"/>
  <c r="T27" i="2"/>
  <c r="U27" i="2" s="1"/>
  <c r="T26" i="2"/>
  <c r="U26" i="2" s="1"/>
  <c r="T25" i="2"/>
  <c r="U25" i="2" s="1"/>
  <c r="T24" i="2"/>
  <c r="U24" i="2" s="1"/>
  <c r="T23" i="2"/>
  <c r="U23" i="2" s="1"/>
  <c r="T22" i="2"/>
  <c r="U22" i="2" s="1"/>
  <c r="T21" i="2"/>
  <c r="U21" i="2" s="1"/>
  <c r="T20" i="2"/>
  <c r="U20" i="2" s="1"/>
  <c r="T19" i="2"/>
  <c r="U19" i="2" s="1"/>
  <c r="T18" i="2"/>
  <c r="U18" i="2" s="1"/>
  <c r="T17" i="2"/>
  <c r="U17" i="2" s="1"/>
  <c r="T16" i="2"/>
  <c r="U16" i="2" s="1"/>
  <c r="T15" i="2"/>
  <c r="U15" i="2" s="1"/>
  <c r="T14" i="2"/>
  <c r="U14" i="2" s="1"/>
  <c r="T13" i="2"/>
  <c r="U13" i="2" s="1"/>
  <c r="T12" i="2"/>
  <c r="U12" i="2" s="1"/>
  <c r="T11" i="2"/>
  <c r="U11" i="2" s="1"/>
  <c r="T10" i="2"/>
  <c r="U10" i="2" s="1"/>
  <c r="T9" i="2"/>
  <c r="U9" i="2" s="1"/>
  <c r="T8" i="2"/>
  <c r="U8" i="2" s="1"/>
  <c r="T7" i="2"/>
  <c r="U7" i="2" s="1"/>
  <c r="T6" i="2"/>
  <c r="U6" i="2" s="1"/>
  <c r="T5" i="2"/>
  <c r="U5" i="2" s="1"/>
  <c r="T4" i="2"/>
  <c r="U4" i="2" s="1"/>
  <c r="T3" i="2"/>
  <c r="Q792" i="2"/>
  <c r="R792" i="2" s="1"/>
  <c r="Q791" i="2"/>
  <c r="R791" i="2" s="1"/>
  <c r="Q790" i="2"/>
  <c r="R790" i="2" s="1"/>
  <c r="Q789" i="2"/>
  <c r="R789" i="2" s="1"/>
  <c r="Q788" i="2"/>
  <c r="R788" i="2" s="1"/>
  <c r="Q787" i="2"/>
  <c r="R787" i="2" s="1"/>
  <c r="Q786" i="2"/>
  <c r="R786" i="2" s="1"/>
  <c r="Q785" i="2"/>
  <c r="R785" i="2" s="1"/>
  <c r="Q784" i="2"/>
  <c r="R784" i="2" s="1"/>
  <c r="Q783" i="2"/>
  <c r="R783" i="2" s="1"/>
  <c r="Q782" i="2"/>
  <c r="R782" i="2" s="1"/>
  <c r="Q781" i="2"/>
  <c r="R781" i="2" s="1"/>
  <c r="Q780" i="2"/>
  <c r="R780" i="2" s="1"/>
  <c r="Q779" i="2"/>
  <c r="R779" i="2" s="1"/>
  <c r="Q778" i="2"/>
  <c r="R778" i="2" s="1"/>
  <c r="Q777" i="2"/>
  <c r="R777" i="2" s="1"/>
  <c r="Q776" i="2"/>
  <c r="R776" i="2" s="1"/>
  <c r="Q775" i="2"/>
  <c r="R775" i="2" s="1"/>
  <c r="Q774" i="2"/>
  <c r="R774" i="2" s="1"/>
  <c r="Q773" i="2"/>
  <c r="R773" i="2" s="1"/>
  <c r="Q772" i="2"/>
  <c r="R772" i="2" s="1"/>
  <c r="Q771" i="2"/>
  <c r="R771" i="2" s="1"/>
  <c r="Q770" i="2"/>
  <c r="R770" i="2" s="1"/>
  <c r="Q769" i="2"/>
  <c r="R769" i="2" s="1"/>
  <c r="Q768" i="2"/>
  <c r="R768" i="2" s="1"/>
  <c r="Q767" i="2"/>
  <c r="R767" i="2" s="1"/>
  <c r="Q766" i="2"/>
  <c r="R766" i="2" s="1"/>
  <c r="Q765" i="2"/>
  <c r="R765" i="2" s="1"/>
  <c r="Q764" i="2"/>
  <c r="R764" i="2" s="1"/>
  <c r="Q763" i="2"/>
  <c r="R763" i="2" s="1"/>
  <c r="Q762" i="2"/>
  <c r="R762" i="2" s="1"/>
  <c r="Q761" i="2"/>
  <c r="R761" i="2" s="1"/>
  <c r="Q760" i="2"/>
  <c r="R760" i="2" s="1"/>
  <c r="Q759" i="2"/>
  <c r="R759" i="2" s="1"/>
  <c r="Q758" i="2"/>
  <c r="R758" i="2" s="1"/>
  <c r="Q757" i="2"/>
  <c r="R757" i="2" s="1"/>
  <c r="Q756" i="2"/>
  <c r="R756" i="2" s="1"/>
  <c r="Q755" i="2"/>
  <c r="R755" i="2" s="1"/>
  <c r="Q754" i="2"/>
  <c r="R754" i="2" s="1"/>
  <c r="Q753" i="2"/>
  <c r="R753" i="2" s="1"/>
  <c r="Q752" i="2"/>
  <c r="R752" i="2" s="1"/>
  <c r="Q751" i="2"/>
  <c r="R751" i="2" s="1"/>
  <c r="Q750" i="2"/>
  <c r="R750" i="2" s="1"/>
  <c r="Q749" i="2"/>
  <c r="R749" i="2" s="1"/>
  <c r="Q748" i="2"/>
  <c r="R748" i="2" s="1"/>
  <c r="Q747" i="2"/>
  <c r="R747" i="2" s="1"/>
  <c r="Q746" i="2"/>
  <c r="R746" i="2" s="1"/>
  <c r="Q745" i="2"/>
  <c r="R745" i="2" s="1"/>
  <c r="Q744" i="2"/>
  <c r="R744" i="2" s="1"/>
  <c r="Q743" i="2"/>
  <c r="R743" i="2" s="1"/>
  <c r="Q742" i="2"/>
  <c r="R742" i="2" s="1"/>
  <c r="Q741" i="2"/>
  <c r="R741" i="2" s="1"/>
  <c r="Q740" i="2"/>
  <c r="R740" i="2" s="1"/>
  <c r="Q739" i="2"/>
  <c r="R739" i="2" s="1"/>
  <c r="Q738" i="2"/>
  <c r="R738" i="2" s="1"/>
  <c r="Q737" i="2"/>
  <c r="R737" i="2" s="1"/>
  <c r="Q736" i="2"/>
  <c r="R736" i="2" s="1"/>
  <c r="Q735" i="2"/>
  <c r="R735" i="2" s="1"/>
  <c r="Q734" i="2"/>
  <c r="R734" i="2" s="1"/>
  <c r="Q733" i="2"/>
  <c r="R733" i="2" s="1"/>
  <c r="Q732" i="2"/>
  <c r="R732" i="2" s="1"/>
  <c r="Q731" i="2"/>
  <c r="R731" i="2" s="1"/>
  <c r="Q730" i="2"/>
  <c r="R730" i="2" s="1"/>
  <c r="Q729" i="2"/>
  <c r="R729" i="2" s="1"/>
  <c r="Q728" i="2"/>
  <c r="R728" i="2" s="1"/>
  <c r="Q727" i="2"/>
  <c r="R727" i="2" s="1"/>
  <c r="Q726" i="2"/>
  <c r="R726" i="2" s="1"/>
  <c r="Q725" i="2"/>
  <c r="R725" i="2" s="1"/>
  <c r="Q724" i="2"/>
  <c r="R724" i="2" s="1"/>
  <c r="Q723" i="2"/>
  <c r="R723" i="2" s="1"/>
  <c r="Q722" i="2"/>
  <c r="R722" i="2" s="1"/>
  <c r="Q721" i="2"/>
  <c r="R721" i="2" s="1"/>
  <c r="Q720" i="2"/>
  <c r="R720" i="2" s="1"/>
  <c r="Q719" i="2"/>
  <c r="R719" i="2" s="1"/>
  <c r="Q718" i="2"/>
  <c r="R718" i="2" s="1"/>
  <c r="Q717" i="2"/>
  <c r="R717" i="2" s="1"/>
  <c r="Q716" i="2"/>
  <c r="R716" i="2" s="1"/>
  <c r="Q715" i="2"/>
  <c r="R715" i="2" s="1"/>
  <c r="Q714" i="2"/>
  <c r="R714" i="2" s="1"/>
  <c r="Q713" i="2"/>
  <c r="R713" i="2" s="1"/>
  <c r="Q712" i="2"/>
  <c r="R712" i="2" s="1"/>
  <c r="Q711" i="2"/>
  <c r="R711" i="2" s="1"/>
  <c r="Q710" i="2"/>
  <c r="R710" i="2" s="1"/>
  <c r="Q709" i="2"/>
  <c r="R709" i="2" s="1"/>
  <c r="Q708" i="2"/>
  <c r="R708" i="2" s="1"/>
  <c r="Q707" i="2"/>
  <c r="R707" i="2" s="1"/>
  <c r="Q706" i="2"/>
  <c r="R706" i="2" s="1"/>
  <c r="Q705" i="2"/>
  <c r="R705" i="2" s="1"/>
  <c r="Q704" i="2"/>
  <c r="R704" i="2" s="1"/>
  <c r="Q703" i="2"/>
  <c r="R703" i="2" s="1"/>
  <c r="Q702" i="2"/>
  <c r="R702" i="2" s="1"/>
  <c r="Q701" i="2"/>
  <c r="R701" i="2" s="1"/>
  <c r="Q700" i="2"/>
  <c r="R700" i="2" s="1"/>
  <c r="Q699" i="2"/>
  <c r="R699" i="2" s="1"/>
  <c r="Q698" i="2"/>
  <c r="R698" i="2" s="1"/>
  <c r="Q697" i="2"/>
  <c r="R697" i="2" s="1"/>
  <c r="Q696" i="2"/>
  <c r="R696" i="2" s="1"/>
  <c r="Q695" i="2"/>
  <c r="R695" i="2" s="1"/>
  <c r="Q694" i="2"/>
  <c r="R694" i="2" s="1"/>
  <c r="Q693" i="2"/>
  <c r="R693" i="2" s="1"/>
  <c r="Q692" i="2"/>
  <c r="R692" i="2" s="1"/>
  <c r="Q691" i="2"/>
  <c r="R691" i="2" s="1"/>
  <c r="Q690" i="2"/>
  <c r="R690" i="2" s="1"/>
  <c r="Q689" i="2"/>
  <c r="R689" i="2" s="1"/>
  <c r="Q688" i="2"/>
  <c r="R688" i="2" s="1"/>
  <c r="Q687" i="2"/>
  <c r="R687" i="2" s="1"/>
  <c r="Q686" i="2"/>
  <c r="R686" i="2" s="1"/>
  <c r="Q685" i="2"/>
  <c r="R685" i="2" s="1"/>
  <c r="Q684" i="2"/>
  <c r="R684" i="2" s="1"/>
  <c r="Q683" i="2"/>
  <c r="R683" i="2" s="1"/>
  <c r="Q682" i="2"/>
  <c r="R682" i="2" s="1"/>
  <c r="Q681" i="2"/>
  <c r="R681" i="2" s="1"/>
  <c r="Q680" i="2"/>
  <c r="R680" i="2" s="1"/>
  <c r="Q679" i="2"/>
  <c r="R679" i="2" s="1"/>
  <c r="Q678" i="2"/>
  <c r="R678" i="2" s="1"/>
  <c r="Q677" i="2"/>
  <c r="R677" i="2" s="1"/>
  <c r="Q676" i="2"/>
  <c r="R676" i="2" s="1"/>
  <c r="Q675" i="2"/>
  <c r="R675" i="2" s="1"/>
  <c r="Q674" i="2"/>
  <c r="R674" i="2" s="1"/>
  <c r="Q673" i="2"/>
  <c r="R673" i="2" s="1"/>
  <c r="Q672" i="2"/>
  <c r="R672" i="2" s="1"/>
  <c r="Q671" i="2"/>
  <c r="R671" i="2" s="1"/>
  <c r="Q670" i="2"/>
  <c r="R670" i="2" s="1"/>
  <c r="Q669" i="2"/>
  <c r="R669" i="2" s="1"/>
  <c r="Q668" i="2"/>
  <c r="R668" i="2" s="1"/>
  <c r="Q667" i="2"/>
  <c r="R667" i="2" s="1"/>
  <c r="Q666" i="2"/>
  <c r="R666" i="2" s="1"/>
  <c r="Q665" i="2"/>
  <c r="R665" i="2" s="1"/>
  <c r="Q664" i="2"/>
  <c r="R664" i="2" s="1"/>
  <c r="Q663" i="2"/>
  <c r="R663" i="2" s="1"/>
  <c r="Q662" i="2"/>
  <c r="R662" i="2" s="1"/>
  <c r="Q661" i="2"/>
  <c r="R661" i="2" s="1"/>
  <c r="Q660" i="2"/>
  <c r="R660" i="2" s="1"/>
  <c r="Q659" i="2"/>
  <c r="R659" i="2" s="1"/>
  <c r="Q658" i="2"/>
  <c r="R658" i="2" s="1"/>
  <c r="Q657" i="2"/>
  <c r="R657" i="2" s="1"/>
  <c r="Q656" i="2"/>
  <c r="R656" i="2" s="1"/>
  <c r="Q655" i="2"/>
  <c r="R655" i="2" s="1"/>
  <c r="Q654" i="2"/>
  <c r="R654" i="2" s="1"/>
  <c r="Q653" i="2"/>
  <c r="R653" i="2" s="1"/>
  <c r="Q652" i="2"/>
  <c r="R652" i="2" s="1"/>
  <c r="Q651" i="2"/>
  <c r="R651" i="2" s="1"/>
  <c r="Q650" i="2"/>
  <c r="R650" i="2" s="1"/>
  <c r="Q649" i="2"/>
  <c r="R649" i="2" s="1"/>
  <c r="Q648" i="2"/>
  <c r="R648" i="2" s="1"/>
  <c r="Q647" i="2"/>
  <c r="R647" i="2" s="1"/>
  <c r="Q646" i="2"/>
  <c r="R646" i="2" s="1"/>
  <c r="Q645" i="2"/>
  <c r="R645" i="2" s="1"/>
  <c r="Q644" i="2"/>
  <c r="R644" i="2" s="1"/>
  <c r="Q643" i="2"/>
  <c r="R643" i="2" s="1"/>
  <c r="Q642" i="2"/>
  <c r="R642" i="2" s="1"/>
  <c r="Q641" i="2"/>
  <c r="R641" i="2" s="1"/>
  <c r="Q640" i="2"/>
  <c r="R640" i="2" s="1"/>
  <c r="Q639" i="2"/>
  <c r="R639" i="2" s="1"/>
  <c r="Q638" i="2"/>
  <c r="R638" i="2" s="1"/>
  <c r="Q637" i="2"/>
  <c r="R637" i="2" s="1"/>
  <c r="Q636" i="2"/>
  <c r="R636" i="2" s="1"/>
  <c r="Q635" i="2"/>
  <c r="R635" i="2" s="1"/>
  <c r="Q634" i="2"/>
  <c r="R634" i="2" s="1"/>
  <c r="Q633" i="2"/>
  <c r="R633" i="2" s="1"/>
  <c r="Q632" i="2"/>
  <c r="R632" i="2" s="1"/>
  <c r="Q631" i="2"/>
  <c r="R631" i="2" s="1"/>
  <c r="Q630" i="2"/>
  <c r="R630" i="2" s="1"/>
  <c r="Q629" i="2"/>
  <c r="R629" i="2" s="1"/>
  <c r="Q628" i="2"/>
  <c r="R628" i="2" s="1"/>
  <c r="Q627" i="2"/>
  <c r="R627" i="2" s="1"/>
  <c r="Q626" i="2"/>
  <c r="R626" i="2" s="1"/>
  <c r="Q625" i="2"/>
  <c r="R625" i="2" s="1"/>
  <c r="Q624" i="2"/>
  <c r="R624" i="2" s="1"/>
  <c r="Q623" i="2"/>
  <c r="R623" i="2" s="1"/>
  <c r="Q622" i="2"/>
  <c r="R622" i="2" s="1"/>
  <c r="Q621" i="2"/>
  <c r="R621" i="2" s="1"/>
  <c r="Q620" i="2"/>
  <c r="R620" i="2" s="1"/>
  <c r="Q619" i="2"/>
  <c r="R619" i="2" s="1"/>
  <c r="Q618" i="2"/>
  <c r="R618" i="2" s="1"/>
  <c r="Q617" i="2"/>
  <c r="R617" i="2" s="1"/>
  <c r="Q616" i="2"/>
  <c r="R616" i="2" s="1"/>
  <c r="Q615" i="2"/>
  <c r="R615" i="2" s="1"/>
  <c r="Q614" i="2"/>
  <c r="R614" i="2" s="1"/>
  <c r="Q613" i="2"/>
  <c r="R613" i="2" s="1"/>
  <c r="Q612" i="2"/>
  <c r="R612" i="2" s="1"/>
  <c r="Q611" i="2"/>
  <c r="R611" i="2" s="1"/>
  <c r="Q610" i="2"/>
  <c r="R610" i="2" s="1"/>
  <c r="Q609" i="2"/>
  <c r="R609" i="2" s="1"/>
  <c r="Q608" i="2"/>
  <c r="R608" i="2" s="1"/>
  <c r="Q607" i="2"/>
  <c r="R607" i="2" s="1"/>
  <c r="Q606" i="2"/>
  <c r="R606" i="2" s="1"/>
  <c r="Q605" i="2"/>
  <c r="R605" i="2" s="1"/>
  <c r="Q604" i="2"/>
  <c r="R604" i="2" s="1"/>
  <c r="Q603" i="2"/>
  <c r="R603" i="2" s="1"/>
  <c r="Q602" i="2"/>
  <c r="R602" i="2" s="1"/>
  <c r="Q601" i="2"/>
  <c r="R601" i="2" s="1"/>
  <c r="Q600" i="2"/>
  <c r="R600" i="2" s="1"/>
  <c r="Q599" i="2"/>
  <c r="R599" i="2" s="1"/>
  <c r="Q598" i="2"/>
  <c r="R598" i="2" s="1"/>
  <c r="Q597" i="2"/>
  <c r="R597" i="2" s="1"/>
  <c r="Q596" i="2"/>
  <c r="R596" i="2" s="1"/>
  <c r="Q595" i="2"/>
  <c r="R595" i="2" s="1"/>
  <c r="Q594" i="2"/>
  <c r="R594" i="2" s="1"/>
  <c r="Q593" i="2"/>
  <c r="R593" i="2" s="1"/>
  <c r="Q592" i="2"/>
  <c r="R592" i="2" s="1"/>
  <c r="Q591" i="2"/>
  <c r="R591" i="2" s="1"/>
  <c r="Q590" i="2"/>
  <c r="R590" i="2" s="1"/>
  <c r="Q589" i="2"/>
  <c r="R589" i="2" s="1"/>
  <c r="Q588" i="2"/>
  <c r="R588" i="2" s="1"/>
  <c r="Q587" i="2"/>
  <c r="R587" i="2" s="1"/>
  <c r="Q586" i="2"/>
  <c r="R586" i="2" s="1"/>
  <c r="Q585" i="2"/>
  <c r="R585" i="2" s="1"/>
  <c r="Q584" i="2"/>
  <c r="R584" i="2" s="1"/>
  <c r="Q583" i="2"/>
  <c r="R583" i="2" s="1"/>
  <c r="Q582" i="2"/>
  <c r="R582" i="2" s="1"/>
  <c r="Q581" i="2"/>
  <c r="R581" i="2" s="1"/>
  <c r="Q580" i="2"/>
  <c r="R580" i="2" s="1"/>
  <c r="Q579" i="2"/>
  <c r="R579" i="2" s="1"/>
  <c r="Q578" i="2"/>
  <c r="R578" i="2" s="1"/>
  <c r="Q577" i="2"/>
  <c r="R577" i="2" s="1"/>
  <c r="Q576" i="2"/>
  <c r="R576" i="2" s="1"/>
  <c r="Q575" i="2"/>
  <c r="R575" i="2" s="1"/>
  <c r="Q574" i="2"/>
  <c r="R574" i="2" s="1"/>
  <c r="Q573" i="2"/>
  <c r="R573" i="2" s="1"/>
  <c r="Q572" i="2"/>
  <c r="R572" i="2" s="1"/>
  <c r="Q571" i="2"/>
  <c r="R571" i="2" s="1"/>
  <c r="Q570" i="2"/>
  <c r="R570" i="2" s="1"/>
  <c r="Q569" i="2"/>
  <c r="R569" i="2" s="1"/>
  <c r="Q568" i="2"/>
  <c r="R568" i="2" s="1"/>
  <c r="Q567" i="2"/>
  <c r="R567" i="2" s="1"/>
  <c r="Q566" i="2"/>
  <c r="R566" i="2" s="1"/>
  <c r="Q565" i="2"/>
  <c r="R565" i="2" s="1"/>
  <c r="Q564" i="2"/>
  <c r="R564" i="2" s="1"/>
  <c r="Q563" i="2"/>
  <c r="R563" i="2" s="1"/>
  <c r="Q562" i="2"/>
  <c r="R562" i="2" s="1"/>
  <c r="Q561" i="2"/>
  <c r="R561" i="2" s="1"/>
  <c r="Q560" i="2"/>
  <c r="R560" i="2" s="1"/>
  <c r="Q559" i="2"/>
  <c r="R559" i="2" s="1"/>
  <c r="Q558" i="2"/>
  <c r="R558" i="2" s="1"/>
  <c r="Q557" i="2"/>
  <c r="R557" i="2" s="1"/>
  <c r="Q556" i="2"/>
  <c r="R556" i="2" s="1"/>
  <c r="Q555" i="2"/>
  <c r="R555" i="2" s="1"/>
  <c r="Q554" i="2"/>
  <c r="R554" i="2" s="1"/>
  <c r="Q553" i="2"/>
  <c r="R553" i="2" s="1"/>
  <c r="Q552" i="2"/>
  <c r="R552" i="2" s="1"/>
  <c r="Q551" i="2"/>
  <c r="R551" i="2" s="1"/>
  <c r="Q550" i="2"/>
  <c r="R550" i="2" s="1"/>
  <c r="Q549" i="2"/>
  <c r="R549" i="2" s="1"/>
  <c r="Q548" i="2"/>
  <c r="R548" i="2" s="1"/>
  <c r="Q547" i="2"/>
  <c r="R547" i="2" s="1"/>
  <c r="Q546" i="2"/>
  <c r="R546" i="2" s="1"/>
  <c r="Q545" i="2"/>
  <c r="R545" i="2" s="1"/>
  <c r="Q544" i="2"/>
  <c r="R544" i="2" s="1"/>
  <c r="Q543" i="2"/>
  <c r="R543" i="2" s="1"/>
  <c r="Q542" i="2"/>
  <c r="R542" i="2" s="1"/>
  <c r="Q541" i="2"/>
  <c r="R541" i="2" s="1"/>
  <c r="Q540" i="2"/>
  <c r="R540" i="2" s="1"/>
  <c r="Q539" i="2"/>
  <c r="R539" i="2" s="1"/>
  <c r="Q538" i="2"/>
  <c r="R538" i="2" s="1"/>
  <c r="Q537" i="2"/>
  <c r="R537" i="2" s="1"/>
  <c r="Q536" i="2"/>
  <c r="R536" i="2" s="1"/>
  <c r="Q535" i="2"/>
  <c r="R535" i="2" s="1"/>
  <c r="Q534" i="2"/>
  <c r="R534" i="2" s="1"/>
  <c r="Q533" i="2"/>
  <c r="R533" i="2" s="1"/>
  <c r="Q532" i="2"/>
  <c r="R532" i="2" s="1"/>
  <c r="Q531" i="2"/>
  <c r="R531" i="2" s="1"/>
  <c r="Q530" i="2"/>
  <c r="R530" i="2" s="1"/>
  <c r="Q529" i="2"/>
  <c r="R529" i="2" s="1"/>
  <c r="Q528" i="2"/>
  <c r="R528" i="2" s="1"/>
  <c r="Q527" i="2"/>
  <c r="R527" i="2" s="1"/>
  <c r="Q526" i="2"/>
  <c r="R526" i="2" s="1"/>
  <c r="Q525" i="2"/>
  <c r="R525" i="2" s="1"/>
  <c r="Q524" i="2"/>
  <c r="R524" i="2" s="1"/>
  <c r="Q523" i="2"/>
  <c r="R523" i="2" s="1"/>
  <c r="Q522" i="2"/>
  <c r="R522" i="2" s="1"/>
  <c r="Q521" i="2"/>
  <c r="R521" i="2" s="1"/>
  <c r="Q520" i="2"/>
  <c r="R520" i="2" s="1"/>
  <c r="Q519" i="2"/>
  <c r="R519" i="2" s="1"/>
  <c r="Q518" i="2"/>
  <c r="R518" i="2" s="1"/>
  <c r="Q517" i="2"/>
  <c r="R517" i="2" s="1"/>
  <c r="Q516" i="2"/>
  <c r="R516" i="2" s="1"/>
  <c r="Q515" i="2"/>
  <c r="R515" i="2" s="1"/>
  <c r="Q514" i="2"/>
  <c r="R514" i="2" s="1"/>
  <c r="Q513" i="2"/>
  <c r="R513" i="2" s="1"/>
  <c r="Q512" i="2"/>
  <c r="R512" i="2" s="1"/>
  <c r="Q511" i="2"/>
  <c r="R511" i="2" s="1"/>
  <c r="Q510" i="2"/>
  <c r="R510" i="2" s="1"/>
  <c r="Q509" i="2"/>
  <c r="R509" i="2" s="1"/>
  <c r="Q508" i="2"/>
  <c r="R508" i="2" s="1"/>
  <c r="Q507" i="2"/>
  <c r="R507" i="2" s="1"/>
  <c r="Q506" i="2"/>
  <c r="R506" i="2" s="1"/>
  <c r="Q505" i="2"/>
  <c r="R505" i="2" s="1"/>
  <c r="Q504" i="2"/>
  <c r="R504" i="2" s="1"/>
  <c r="Q503" i="2"/>
  <c r="R503" i="2" s="1"/>
  <c r="Q502" i="2"/>
  <c r="R502" i="2" s="1"/>
  <c r="Q501" i="2"/>
  <c r="R501" i="2" s="1"/>
  <c r="Q500" i="2"/>
  <c r="R500" i="2" s="1"/>
  <c r="Q499" i="2"/>
  <c r="R499" i="2" s="1"/>
  <c r="Q498" i="2"/>
  <c r="R498" i="2" s="1"/>
  <c r="Q497" i="2"/>
  <c r="R497" i="2" s="1"/>
  <c r="Q496" i="2"/>
  <c r="R496" i="2" s="1"/>
  <c r="Q495" i="2"/>
  <c r="R495" i="2" s="1"/>
  <c r="Q494" i="2"/>
  <c r="R494" i="2" s="1"/>
  <c r="Q493" i="2"/>
  <c r="R493" i="2" s="1"/>
  <c r="Q492" i="2"/>
  <c r="R492" i="2" s="1"/>
  <c r="Q491" i="2"/>
  <c r="R491" i="2" s="1"/>
  <c r="Q490" i="2"/>
  <c r="R490" i="2" s="1"/>
  <c r="Q489" i="2"/>
  <c r="R489" i="2" s="1"/>
  <c r="Q488" i="2"/>
  <c r="R488" i="2" s="1"/>
  <c r="Q487" i="2"/>
  <c r="R487" i="2" s="1"/>
  <c r="Q486" i="2"/>
  <c r="R486" i="2" s="1"/>
  <c r="Q485" i="2"/>
  <c r="R485" i="2" s="1"/>
  <c r="Q484" i="2"/>
  <c r="R484" i="2" s="1"/>
  <c r="Q483" i="2"/>
  <c r="R483" i="2" s="1"/>
  <c r="Q482" i="2"/>
  <c r="R482" i="2" s="1"/>
  <c r="Q481" i="2"/>
  <c r="R481" i="2" s="1"/>
  <c r="Q480" i="2"/>
  <c r="R480" i="2" s="1"/>
  <c r="Q479" i="2"/>
  <c r="R479" i="2" s="1"/>
  <c r="Q478" i="2"/>
  <c r="R478" i="2" s="1"/>
  <c r="Q477" i="2"/>
  <c r="R477" i="2" s="1"/>
  <c r="Q476" i="2"/>
  <c r="R476" i="2" s="1"/>
  <c r="Q475" i="2"/>
  <c r="R475" i="2" s="1"/>
  <c r="Q474" i="2"/>
  <c r="R474" i="2" s="1"/>
  <c r="Q473" i="2"/>
  <c r="R473" i="2" s="1"/>
  <c r="Q472" i="2"/>
  <c r="R472" i="2" s="1"/>
  <c r="Q471" i="2"/>
  <c r="R471" i="2" s="1"/>
  <c r="Q470" i="2"/>
  <c r="R470" i="2" s="1"/>
  <c r="Q469" i="2"/>
  <c r="R469" i="2" s="1"/>
  <c r="Q468" i="2"/>
  <c r="R468" i="2" s="1"/>
  <c r="Q467" i="2"/>
  <c r="R467" i="2" s="1"/>
  <c r="Q466" i="2"/>
  <c r="R466" i="2" s="1"/>
  <c r="Q465" i="2"/>
  <c r="R465" i="2" s="1"/>
  <c r="Q464" i="2"/>
  <c r="R464" i="2" s="1"/>
  <c r="Q463" i="2"/>
  <c r="R463" i="2" s="1"/>
  <c r="Q462" i="2"/>
  <c r="R462" i="2" s="1"/>
  <c r="Q461" i="2"/>
  <c r="R461" i="2" s="1"/>
  <c r="Q460" i="2"/>
  <c r="R460" i="2" s="1"/>
  <c r="Q459" i="2"/>
  <c r="R459" i="2" s="1"/>
  <c r="Q458" i="2"/>
  <c r="R458" i="2" s="1"/>
  <c r="Q457" i="2"/>
  <c r="R457" i="2" s="1"/>
  <c r="Q456" i="2"/>
  <c r="R456" i="2" s="1"/>
  <c r="Q455" i="2"/>
  <c r="R455" i="2" s="1"/>
  <c r="Q454" i="2"/>
  <c r="R454" i="2" s="1"/>
  <c r="Q453" i="2"/>
  <c r="R453" i="2" s="1"/>
  <c r="Q452" i="2"/>
  <c r="R452" i="2" s="1"/>
  <c r="Q451" i="2"/>
  <c r="R451" i="2" s="1"/>
  <c r="Q450" i="2"/>
  <c r="R450" i="2" s="1"/>
  <c r="Q449" i="2"/>
  <c r="R449" i="2" s="1"/>
  <c r="Q448" i="2"/>
  <c r="R448" i="2" s="1"/>
  <c r="Q447" i="2"/>
  <c r="R447" i="2" s="1"/>
  <c r="Q446" i="2"/>
  <c r="R446" i="2" s="1"/>
  <c r="Q445" i="2"/>
  <c r="R445" i="2" s="1"/>
  <c r="Q444" i="2"/>
  <c r="R444" i="2" s="1"/>
  <c r="Q443" i="2"/>
  <c r="R443" i="2" s="1"/>
  <c r="Q442" i="2"/>
  <c r="R442" i="2" s="1"/>
  <c r="Q441" i="2"/>
  <c r="R441" i="2" s="1"/>
  <c r="Q440" i="2"/>
  <c r="R440" i="2" s="1"/>
  <c r="Q439" i="2"/>
  <c r="R439" i="2" s="1"/>
  <c r="Q438" i="2"/>
  <c r="R438" i="2" s="1"/>
  <c r="Q437" i="2"/>
  <c r="R437" i="2" s="1"/>
  <c r="Q436" i="2"/>
  <c r="R436" i="2" s="1"/>
  <c r="Q435" i="2"/>
  <c r="R435" i="2" s="1"/>
  <c r="Q434" i="2"/>
  <c r="R434" i="2" s="1"/>
  <c r="Q433" i="2"/>
  <c r="R433" i="2" s="1"/>
  <c r="Q432" i="2"/>
  <c r="R432" i="2" s="1"/>
  <c r="Q431" i="2"/>
  <c r="R431" i="2" s="1"/>
  <c r="Q430" i="2"/>
  <c r="R430" i="2" s="1"/>
  <c r="Q429" i="2"/>
  <c r="R429" i="2" s="1"/>
  <c r="Q428" i="2"/>
  <c r="R428" i="2" s="1"/>
  <c r="Q427" i="2"/>
  <c r="R427" i="2" s="1"/>
  <c r="Q426" i="2"/>
  <c r="R426" i="2" s="1"/>
  <c r="Q425" i="2"/>
  <c r="R425" i="2" s="1"/>
  <c r="Q424" i="2"/>
  <c r="R424" i="2" s="1"/>
  <c r="Q423" i="2"/>
  <c r="R423" i="2" s="1"/>
  <c r="Q422" i="2"/>
  <c r="R422" i="2" s="1"/>
  <c r="Q421" i="2"/>
  <c r="R421" i="2" s="1"/>
  <c r="Q420" i="2"/>
  <c r="R420" i="2" s="1"/>
  <c r="Q419" i="2"/>
  <c r="R419" i="2" s="1"/>
  <c r="Q418" i="2"/>
  <c r="R418" i="2" s="1"/>
  <c r="Q417" i="2"/>
  <c r="R417" i="2" s="1"/>
  <c r="Q416" i="2"/>
  <c r="R416" i="2" s="1"/>
  <c r="Q415" i="2"/>
  <c r="R415" i="2" s="1"/>
  <c r="Q414" i="2"/>
  <c r="R414" i="2" s="1"/>
  <c r="Q413" i="2"/>
  <c r="R413" i="2" s="1"/>
  <c r="Q412" i="2"/>
  <c r="R412" i="2" s="1"/>
  <c r="Q411" i="2"/>
  <c r="R411" i="2" s="1"/>
  <c r="Q410" i="2"/>
  <c r="R410" i="2" s="1"/>
  <c r="Q409" i="2"/>
  <c r="R409" i="2" s="1"/>
  <c r="Q408" i="2"/>
  <c r="R408" i="2" s="1"/>
  <c r="Q407" i="2"/>
  <c r="R407" i="2" s="1"/>
  <c r="Q406" i="2"/>
  <c r="R406" i="2" s="1"/>
  <c r="Q405" i="2"/>
  <c r="R405" i="2" s="1"/>
  <c r="Q404" i="2"/>
  <c r="R404" i="2" s="1"/>
  <c r="Q403" i="2"/>
  <c r="R403" i="2" s="1"/>
  <c r="Q402" i="2"/>
  <c r="R402" i="2" s="1"/>
  <c r="Q401" i="2"/>
  <c r="R401" i="2" s="1"/>
  <c r="Q400" i="2"/>
  <c r="R400" i="2" s="1"/>
  <c r="Q399" i="2"/>
  <c r="R399" i="2" s="1"/>
  <c r="Q398" i="2"/>
  <c r="R398" i="2" s="1"/>
  <c r="Q397" i="2"/>
  <c r="R397" i="2" s="1"/>
  <c r="Q396" i="2"/>
  <c r="R396" i="2" s="1"/>
  <c r="Q395" i="2"/>
  <c r="R395" i="2" s="1"/>
  <c r="Q394" i="2"/>
  <c r="R394" i="2" s="1"/>
  <c r="Q393" i="2"/>
  <c r="R393" i="2" s="1"/>
  <c r="Q392" i="2"/>
  <c r="R392" i="2" s="1"/>
  <c r="Q391" i="2"/>
  <c r="R391" i="2" s="1"/>
  <c r="Q390" i="2"/>
  <c r="R390" i="2" s="1"/>
  <c r="Q389" i="2"/>
  <c r="R389" i="2" s="1"/>
  <c r="Q388" i="2"/>
  <c r="R388" i="2" s="1"/>
  <c r="Q387" i="2"/>
  <c r="R387" i="2" s="1"/>
  <c r="Q386" i="2"/>
  <c r="R386" i="2" s="1"/>
  <c r="Q385" i="2"/>
  <c r="R385" i="2" s="1"/>
  <c r="Q384" i="2"/>
  <c r="R384" i="2" s="1"/>
  <c r="Q383" i="2"/>
  <c r="R383" i="2" s="1"/>
  <c r="Q382" i="2"/>
  <c r="R382" i="2" s="1"/>
  <c r="Q381" i="2"/>
  <c r="R381" i="2" s="1"/>
  <c r="Q380" i="2"/>
  <c r="R380" i="2" s="1"/>
  <c r="Q379" i="2"/>
  <c r="R379" i="2" s="1"/>
  <c r="Q378" i="2"/>
  <c r="R378" i="2" s="1"/>
  <c r="Q377" i="2"/>
  <c r="R377" i="2" s="1"/>
  <c r="Q376" i="2"/>
  <c r="R376" i="2" s="1"/>
  <c r="Q375" i="2"/>
  <c r="R375" i="2" s="1"/>
  <c r="Q374" i="2"/>
  <c r="R374" i="2" s="1"/>
  <c r="Q373" i="2"/>
  <c r="R373" i="2" s="1"/>
  <c r="Q372" i="2"/>
  <c r="R372" i="2" s="1"/>
  <c r="Q371" i="2"/>
  <c r="R371" i="2" s="1"/>
  <c r="Q370" i="2"/>
  <c r="R370" i="2" s="1"/>
  <c r="Q369" i="2"/>
  <c r="R369" i="2" s="1"/>
  <c r="Q368" i="2"/>
  <c r="R368" i="2" s="1"/>
  <c r="Q367" i="2"/>
  <c r="R367" i="2" s="1"/>
  <c r="Q366" i="2"/>
  <c r="R366" i="2" s="1"/>
  <c r="Q365" i="2"/>
  <c r="R365" i="2" s="1"/>
  <c r="Q364" i="2"/>
  <c r="R364" i="2" s="1"/>
  <c r="Q363" i="2"/>
  <c r="R363" i="2" s="1"/>
  <c r="Q362" i="2"/>
  <c r="R362" i="2" s="1"/>
  <c r="Q361" i="2"/>
  <c r="R361" i="2" s="1"/>
  <c r="Q360" i="2"/>
  <c r="R360" i="2" s="1"/>
  <c r="Q359" i="2"/>
  <c r="R359" i="2" s="1"/>
  <c r="Q358" i="2"/>
  <c r="R358" i="2" s="1"/>
  <c r="Q357" i="2"/>
  <c r="R357" i="2" s="1"/>
  <c r="Q356" i="2"/>
  <c r="R356" i="2" s="1"/>
  <c r="Q355" i="2"/>
  <c r="R355" i="2" s="1"/>
  <c r="Q354" i="2"/>
  <c r="R354" i="2" s="1"/>
  <c r="Q353" i="2"/>
  <c r="R353" i="2" s="1"/>
  <c r="Q352" i="2"/>
  <c r="R352" i="2" s="1"/>
  <c r="Q351" i="2"/>
  <c r="R351" i="2" s="1"/>
  <c r="Q350" i="2"/>
  <c r="R350" i="2" s="1"/>
  <c r="Q349" i="2"/>
  <c r="R349" i="2" s="1"/>
  <c r="Q348" i="2"/>
  <c r="R348" i="2" s="1"/>
  <c r="Q347" i="2"/>
  <c r="R347" i="2" s="1"/>
  <c r="Q346" i="2"/>
  <c r="R346" i="2" s="1"/>
  <c r="Q345" i="2"/>
  <c r="R345" i="2" s="1"/>
  <c r="Q344" i="2"/>
  <c r="R344" i="2" s="1"/>
  <c r="Q343" i="2"/>
  <c r="R343" i="2" s="1"/>
  <c r="Q342" i="2"/>
  <c r="R342" i="2" s="1"/>
  <c r="Q341" i="2"/>
  <c r="R341" i="2" s="1"/>
  <c r="Q340" i="2"/>
  <c r="R340" i="2" s="1"/>
  <c r="Q339" i="2"/>
  <c r="R339" i="2" s="1"/>
  <c r="Q338" i="2"/>
  <c r="R338" i="2" s="1"/>
  <c r="Q337" i="2"/>
  <c r="R337" i="2" s="1"/>
  <c r="Q336" i="2"/>
  <c r="R336" i="2" s="1"/>
  <c r="Q335" i="2"/>
  <c r="R335" i="2" s="1"/>
  <c r="Q334" i="2"/>
  <c r="R334" i="2" s="1"/>
  <c r="Q333" i="2"/>
  <c r="R333" i="2" s="1"/>
  <c r="Q332" i="2"/>
  <c r="R332" i="2" s="1"/>
  <c r="Q331" i="2"/>
  <c r="R331" i="2" s="1"/>
  <c r="Q330" i="2"/>
  <c r="R330" i="2" s="1"/>
  <c r="Q329" i="2"/>
  <c r="R329" i="2" s="1"/>
  <c r="Q328" i="2"/>
  <c r="R328" i="2" s="1"/>
  <c r="Q327" i="2"/>
  <c r="R327" i="2" s="1"/>
  <c r="Q326" i="2"/>
  <c r="R326" i="2" s="1"/>
  <c r="Q325" i="2"/>
  <c r="R325" i="2" s="1"/>
  <c r="Q324" i="2"/>
  <c r="R324" i="2" s="1"/>
  <c r="Q323" i="2"/>
  <c r="R323" i="2" s="1"/>
  <c r="Q322" i="2"/>
  <c r="R322" i="2" s="1"/>
  <c r="Q321" i="2"/>
  <c r="R321" i="2" s="1"/>
  <c r="Q320" i="2"/>
  <c r="R320" i="2" s="1"/>
  <c r="Q319" i="2"/>
  <c r="R319" i="2" s="1"/>
  <c r="Q318" i="2"/>
  <c r="R318" i="2" s="1"/>
  <c r="Q317" i="2"/>
  <c r="R317" i="2" s="1"/>
  <c r="Q316" i="2"/>
  <c r="R316" i="2" s="1"/>
  <c r="Q315" i="2"/>
  <c r="R315" i="2" s="1"/>
  <c r="Q314" i="2"/>
  <c r="R314" i="2" s="1"/>
  <c r="Q313" i="2"/>
  <c r="R313" i="2" s="1"/>
  <c r="Q312" i="2"/>
  <c r="R312" i="2" s="1"/>
  <c r="Q311" i="2"/>
  <c r="R311" i="2" s="1"/>
  <c r="Q310" i="2"/>
  <c r="R310" i="2" s="1"/>
  <c r="Q309" i="2"/>
  <c r="R309" i="2" s="1"/>
  <c r="Q308" i="2"/>
  <c r="R308" i="2" s="1"/>
  <c r="Q307" i="2"/>
  <c r="R307" i="2" s="1"/>
  <c r="Q306" i="2"/>
  <c r="R306" i="2" s="1"/>
  <c r="Q305" i="2"/>
  <c r="R305" i="2" s="1"/>
  <c r="Q304" i="2"/>
  <c r="R304" i="2" s="1"/>
  <c r="Q303" i="2"/>
  <c r="R303" i="2" s="1"/>
  <c r="Q302" i="2"/>
  <c r="R302" i="2" s="1"/>
  <c r="Q301" i="2"/>
  <c r="R301" i="2" s="1"/>
  <c r="Q300" i="2"/>
  <c r="R300" i="2" s="1"/>
  <c r="Q299" i="2"/>
  <c r="R299" i="2" s="1"/>
  <c r="Q298" i="2"/>
  <c r="R298" i="2" s="1"/>
  <c r="Q297" i="2"/>
  <c r="R297" i="2" s="1"/>
  <c r="Q296" i="2"/>
  <c r="R296" i="2" s="1"/>
  <c r="Q295" i="2"/>
  <c r="R295" i="2" s="1"/>
  <c r="Q294" i="2"/>
  <c r="R294" i="2" s="1"/>
  <c r="Q293" i="2"/>
  <c r="R293" i="2" s="1"/>
  <c r="Q292" i="2"/>
  <c r="R292" i="2" s="1"/>
  <c r="Q291" i="2"/>
  <c r="R291" i="2" s="1"/>
  <c r="Q290" i="2"/>
  <c r="R290" i="2" s="1"/>
  <c r="Q289" i="2"/>
  <c r="R289" i="2" s="1"/>
  <c r="Q288" i="2"/>
  <c r="R288" i="2" s="1"/>
  <c r="Q287" i="2"/>
  <c r="R287" i="2" s="1"/>
  <c r="Q286" i="2"/>
  <c r="R286" i="2" s="1"/>
  <c r="Q285" i="2"/>
  <c r="R285" i="2" s="1"/>
  <c r="Q284" i="2"/>
  <c r="R284" i="2" s="1"/>
  <c r="Q283" i="2"/>
  <c r="R283" i="2" s="1"/>
  <c r="Q282" i="2"/>
  <c r="R282" i="2" s="1"/>
  <c r="Q281" i="2"/>
  <c r="R281" i="2" s="1"/>
  <c r="Q280" i="2"/>
  <c r="R280" i="2" s="1"/>
  <c r="Q279" i="2"/>
  <c r="R279" i="2" s="1"/>
  <c r="Q278" i="2"/>
  <c r="R278" i="2" s="1"/>
  <c r="Q277" i="2"/>
  <c r="R277" i="2" s="1"/>
  <c r="Q276" i="2"/>
  <c r="R276" i="2" s="1"/>
  <c r="Q275" i="2"/>
  <c r="R275" i="2" s="1"/>
  <c r="Q274" i="2"/>
  <c r="R274" i="2" s="1"/>
  <c r="Q273" i="2"/>
  <c r="R273" i="2" s="1"/>
  <c r="Q272" i="2"/>
  <c r="R272" i="2" s="1"/>
  <c r="Q271" i="2"/>
  <c r="R271" i="2" s="1"/>
  <c r="Q270" i="2"/>
  <c r="R270" i="2" s="1"/>
  <c r="Q269" i="2"/>
  <c r="R269" i="2" s="1"/>
  <c r="Q268" i="2"/>
  <c r="R268" i="2" s="1"/>
  <c r="Q267" i="2"/>
  <c r="R267" i="2" s="1"/>
  <c r="Q266" i="2"/>
  <c r="R266" i="2" s="1"/>
  <c r="Q265" i="2"/>
  <c r="R265" i="2" s="1"/>
  <c r="Q264" i="2"/>
  <c r="R264" i="2" s="1"/>
  <c r="Q263" i="2"/>
  <c r="R263" i="2" s="1"/>
  <c r="Q262" i="2"/>
  <c r="R262" i="2" s="1"/>
  <c r="Q261" i="2"/>
  <c r="R261" i="2" s="1"/>
  <c r="Q260" i="2"/>
  <c r="R260" i="2" s="1"/>
  <c r="Q259" i="2"/>
  <c r="R259" i="2" s="1"/>
  <c r="Q258" i="2"/>
  <c r="R258" i="2" s="1"/>
  <c r="Q257" i="2"/>
  <c r="R257" i="2" s="1"/>
  <c r="Q256" i="2"/>
  <c r="R256" i="2" s="1"/>
  <c r="Q255" i="2"/>
  <c r="R255" i="2" s="1"/>
  <c r="Q254" i="2"/>
  <c r="R254" i="2" s="1"/>
  <c r="Q253" i="2"/>
  <c r="R253" i="2" s="1"/>
  <c r="Q252" i="2"/>
  <c r="R252" i="2" s="1"/>
  <c r="Q251" i="2"/>
  <c r="R251" i="2" s="1"/>
  <c r="R250" i="2"/>
  <c r="Q249" i="2"/>
  <c r="R249" i="2" s="1"/>
  <c r="Q248" i="2"/>
  <c r="R248" i="2" s="1"/>
  <c r="Q247" i="2"/>
  <c r="R247" i="2" s="1"/>
  <c r="Q246" i="2"/>
  <c r="R246" i="2" s="1"/>
  <c r="Q245" i="2"/>
  <c r="R245" i="2" s="1"/>
  <c r="Q244" i="2"/>
  <c r="R244" i="2" s="1"/>
  <c r="Q243" i="2"/>
  <c r="R243" i="2" s="1"/>
  <c r="Q242" i="2"/>
  <c r="R242" i="2" s="1"/>
  <c r="Q241" i="2"/>
  <c r="R241" i="2" s="1"/>
  <c r="Q240" i="2"/>
  <c r="R240" i="2" s="1"/>
  <c r="Q239" i="2"/>
  <c r="R239" i="2" s="1"/>
  <c r="Q238" i="2"/>
  <c r="R238" i="2" s="1"/>
  <c r="Q237" i="2"/>
  <c r="R237" i="2" s="1"/>
  <c r="Q236" i="2"/>
  <c r="R236" i="2" s="1"/>
  <c r="Q235" i="2"/>
  <c r="R235" i="2" s="1"/>
  <c r="Q234" i="2"/>
  <c r="R234" i="2" s="1"/>
  <c r="Q233" i="2"/>
  <c r="R233" i="2" s="1"/>
  <c r="Q232" i="2"/>
  <c r="R232" i="2" s="1"/>
  <c r="Q231" i="2"/>
  <c r="R231" i="2" s="1"/>
  <c r="Q230" i="2"/>
  <c r="R230" i="2" s="1"/>
  <c r="Q229" i="2"/>
  <c r="R229" i="2" s="1"/>
  <c r="Q228" i="2"/>
  <c r="R228" i="2" s="1"/>
  <c r="Q227" i="2"/>
  <c r="R227" i="2" s="1"/>
  <c r="Q226" i="2"/>
  <c r="R226" i="2" s="1"/>
  <c r="Q225" i="2"/>
  <c r="R225" i="2" s="1"/>
  <c r="Q224" i="2"/>
  <c r="R224" i="2" s="1"/>
  <c r="Q223" i="2"/>
  <c r="R223" i="2" s="1"/>
  <c r="Q222" i="2"/>
  <c r="R222" i="2" s="1"/>
  <c r="Q221" i="2"/>
  <c r="R221" i="2" s="1"/>
  <c r="Q220" i="2"/>
  <c r="R220" i="2" s="1"/>
  <c r="Q219" i="2"/>
  <c r="R219" i="2" s="1"/>
  <c r="Q218" i="2"/>
  <c r="R218" i="2" s="1"/>
  <c r="Q217" i="2"/>
  <c r="R217" i="2" s="1"/>
  <c r="Q216" i="2"/>
  <c r="R216" i="2" s="1"/>
  <c r="Q215" i="2"/>
  <c r="R215" i="2" s="1"/>
  <c r="Q214" i="2"/>
  <c r="R214" i="2" s="1"/>
  <c r="Q213" i="2"/>
  <c r="R213" i="2" s="1"/>
  <c r="Q212" i="2"/>
  <c r="R212" i="2" s="1"/>
  <c r="Q211" i="2"/>
  <c r="R211" i="2" s="1"/>
  <c r="Q210" i="2"/>
  <c r="R210" i="2" s="1"/>
  <c r="Q209" i="2"/>
  <c r="R209" i="2" s="1"/>
  <c r="Q208" i="2"/>
  <c r="R208" i="2" s="1"/>
  <c r="Q207" i="2"/>
  <c r="R207" i="2" s="1"/>
  <c r="Q206" i="2"/>
  <c r="R206" i="2" s="1"/>
  <c r="Q205" i="2"/>
  <c r="R205" i="2" s="1"/>
  <c r="Q204" i="2"/>
  <c r="R204" i="2" s="1"/>
  <c r="Q203" i="2"/>
  <c r="R203" i="2" s="1"/>
  <c r="Q202" i="2"/>
  <c r="R202" i="2" s="1"/>
  <c r="Q201" i="2"/>
  <c r="R201" i="2" s="1"/>
  <c r="Q200" i="2"/>
  <c r="R200" i="2" s="1"/>
  <c r="Q199" i="2"/>
  <c r="R199" i="2" s="1"/>
  <c r="Q198" i="2"/>
  <c r="R198" i="2" s="1"/>
  <c r="Q197" i="2"/>
  <c r="R197" i="2" s="1"/>
  <c r="Q196" i="2"/>
  <c r="R196" i="2" s="1"/>
  <c r="Q195" i="2"/>
  <c r="R195" i="2" s="1"/>
  <c r="Q194" i="2"/>
  <c r="R194" i="2" s="1"/>
  <c r="Q193" i="2"/>
  <c r="R193" i="2" s="1"/>
  <c r="Q192" i="2"/>
  <c r="R192" i="2" s="1"/>
  <c r="Q191" i="2"/>
  <c r="R191" i="2" s="1"/>
  <c r="Q190" i="2"/>
  <c r="R190" i="2" s="1"/>
  <c r="Q189" i="2"/>
  <c r="R189" i="2" s="1"/>
  <c r="Q188" i="2"/>
  <c r="R188" i="2" s="1"/>
  <c r="Q187" i="2"/>
  <c r="R187" i="2" s="1"/>
  <c r="Q186" i="2"/>
  <c r="R186" i="2" s="1"/>
  <c r="Q185" i="2"/>
  <c r="R185" i="2" s="1"/>
  <c r="Q184" i="2"/>
  <c r="R184" i="2" s="1"/>
  <c r="Q183" i="2"/>
  <c r="R183" i="2" s="1"/>
  <c r="Q182" i="2"/>
  <c r="R182" i="2" s="1"/>
  <c r="Q181" i="2"/>
  <c r="R181" i="2" s="1"/>
  <c r="Q180" i="2"/>
  <c r="R180" i="2" s="1"/>
  <c r="Q179" i="2"/>
  <c r="R179" i="2" s="1"/>
  <c r="Q178" i="2"/>
  <c r="R178" i="2" s="1"/>
  <c r="Q177" i="2"/>
  <c r="R177" i="2" s="1"/>
  <c r="Q176" i="2"/>
  <c r="R176" i="2" s="1"/>
  <c r="Q175" i="2"/>
  <c r="R175" i="2" s="1"/>
  <c r="Q174" i="2"/>
  <c r="R174" i="2" s="1"/>
  <c r="Q173" i="2"/>
  <c r="R173" i="2" s="1"/>
  <c r="Q172" i="2"/>
  <c r="R172" i="2" s="1"/>
  <c r="Q171" i="2"/>
  <c r="R171" i="2" s="1"/>
  <c r="Q170" i="2"/>
  <c r="R170" i="2" s="1"/>
  <c r="Q169" i="2"/>
  <c r="R169" i="2" s="1"/>
  <c r="Q168" i="2"/>
  <c r="R168" i="2" s="1"/>
  <c r="Q167" i="2"/>
  <c r="R167" i="2" s="1"/>
  <c r="Q166" i="2"/>
  <c r="R166" i="2" s="1"/>
  <c r="Q165" i="2"/>
  <c r="R165" i="2" s="1"/>
  <c r="Q164" i="2"/>
  <c r="R164" i="2" s="1"/>
  <c r="Q163" i="2"/>
  <c r="R163" i="2" s="1"/>
  <c r="Q162" i="2"/>
  <c r="R162" i="2" s="1"/>
  <c r="Q161" i="2"/>
  <c r="R161" i="2" s="1"/>
  <c r="Q160" i="2"/>
  <c r="R160" i="2" s="1"/>
  <c r="R159" i="2"/>
  <c r="Q158" i="2"/>
  <c r="R158" i="2" s="1"/>
  <c r="Q157" i="2"/>
  <c r="R157" i="2" s="1"/>
  <c r="Q156" i="2"/>
  <c r="R156" i="2" s="1"/>
  <c r="Q155" i="2"/>
  <c r="R155" i="2" s="1"/>
  <c r="R154" i="2"/>
  <c r="Q153" i="2"/>
  <c r="R153" i="2" s="1"/>
  <c r="Q152" i="2"/>
  <c r="R152" i="2" s="1"/>
  <c r="Q151" i="2"/>
  <c r="R151" i="2" s="1"/>
  <c r="R150" i="2"/>
  <c r="R149" i="2"/>
  <c r="Q148" i="2"/>
  <c r="R148" i="2" s="1"/>
  <c r="Q147" i="2"/>
  <c r="R147" i="2" s="1"/>
  <c r="Q146" i="2"/>
  <c r="R146" i="2" s="1"/>
  <c r="R145" i="2"/>
  <c r="Q144" i="2"/>
  <c r="R144" i="2" s="1"/>
  <c r="R143" i="2"/>
  <c r="Q142" i="2"/>
  <c r="R142" i="2" s="1"/>
  <c r="Q141" i="2"/>
  <c r="R141" i="2" s="1"/>
  <c r="R140" i="2"/>
  <c r="Q139" i="2"/>
  <c r="R139" i="2" s="1"/>
  <c r="Q138" i="2"/>
  <c r="R138" i="2" s="1"/>
  <c r="Q137" i="2"/>
  <c r="R137" i="2" s="1"/>
  <c r="Q136" i="2"/>
  <c r="R136" i="2" s="1"/>
  <c r="Q135" i="2"/>
  <c r="R135" i="2" s="1"/>
  <c r="Q134" i="2"/>
  <c r="R134" i="2" s="1"/>
  <c r="Q133" i="2"/>
  <c r="R133" i="2" s="1"/>
  <c r="Q132" i="2"/>
  <c r="R132" i="2" s="1"/>
  <c r="Q131" i="2"/>
  <c r="R131" i="2" s="1"/>
  <c r="Q130" i="2"/>
  <c r="R130" i="2" s="1"/>
  <c r="Q129" i="2"/>
  <c r="R129" i="2" s="1"/>
  <c r="Q128" i="2"/>
  <c r="R128" i="2" s="1"/>
  <c r="Q127" i="2"/>
  <c r="R127" i="2" s="1"/>
  <c r="Q126" i="2"/>
  <c r="R126" i="2" s="1"/>
  <c r="Q125" i="2"/>
  <c r="R125" i="2" s="1"/>
  <c r="Q124" i="2"/>
  <c r="R124" i="2" s="1"/>
  <c r="Q123" i="2"/>
  <c r="R123" i="2" s="1"/>
  <c r="Q122" i="2"/>
  <c r="R122" i="2" s="1"/>
  <c r="Q121" i="2"/>
  <c r="R121" i="2" s="1"/>
  <c r="Q120" i="2"/>
  <c r="R120" i="2" s="1"/>
  <c r="Q119" i="2"/>
  <c r="R119" i="2" s="1"/>
  <c r="Q118" i="2"/>
  <c r="R118" i="2" s="1"/>
  <c r="Q117" i="2"/>
  <c r="R117" i="2" s="1"/>
  <c r="Q116" i="2"/>
  <c r="R116" i="2" s="1"/>
  <c r="Q115" i="2"/>
  <c r="R115" i="2" s="1"/>
  <c r="Q114" i="2"/>
  <c r="R114" i="2" s="1"/>
  <c r="Q113" i="2"/>
  <c r="R113" i="2" s="1"/>
  <c r="Q112" i="2"/>
  <c r="R112" i="2" s="1"/>
  <c r="Q111" i="2"/>
  <c r="R111" i="2" s="1"/>
  <c r="Q110" i="2"/>
  <c r="R110" i="2" s="1"/>
  <c r="Q109" i="2"/>
  <c r="R109" i="2" s="1"/>
  <c r="Q108" i="2"/>
  <c r="R108" i="2" s="1"/>
  <c r="Q107" i="2"/>
  <c r="R107" i="2" s="1"/>
  <c r="Q106" i="2"/>
  <c r="R106" i="2" s="1"/>
  <c r="Q105" i="2"/>
  <c r="R105" i="2" s="1"/>
  <c r="Q104" i="2"/>
  <c r="R104" i="2" s="1"/>
  <c r="Q103" i="2"/>
  <c r="R103" i="2" s="1"/>
  <c r="Q102" i="2"/>
  <c r="R102" i="2" s="1"/>
  <c r="Q101" i="2"/>
  <c r="R101" i="2" s="1"/>
  <c r="Q100" i="2"/>
  <c r="R100" i="2" s="1"/>
  <c r="Q99" i="2"/>
  <c r="R99" i="2" s="1"/>
  <c r="Q98" i="2"/>
  <c r="R98" i="2" s="1"/>
  <c r="Q97" i="2"/>
  <c r="R97" i="2" s="1"/>
  <c r="Q96" i="2"/>
  <c r="R96" i="2" s="1"/>
  <c r="Q95" i="2"/>
  <c r="R95" i="2" s="1"/>
  <c r="Q94" i="2"/>
  <c r="R94" i="2" s="1"/>
  <c r="Q93" i="2"/>
  <c r="R93" i="2" s="1"/>
  <c r="Q92" i="2"/>
  <c r="R92" i="2" s="1"/>
  <c r="Q91" i="2"/>
  <c r="R91" i="2" s="1"/>
  <c r="Q90" i="2"/>
  <c r="R90" i="2" s="1"/>
  <c r="Q89" i="2"/>
  <c r="R89" i="2" s="1"/>
  <c r="Q88" i="2"/>
  <c r="R88" i="2" s="1"/>
  <c r="Q87" i="2"/>
  <c r="R87" i="2" s="1"/>
  <c r="Q86" i="2"/>
  <c r="R86" i="2" s="1"/>
  <c r="Q85" i="2"/>
  <c r="R85" i="2" s="1"/>
  <c r="Q84" i="2"/>
  <c r="R84" i="2" s="1"/>
  <c r="Q83" i="2"/>
  <c r="R83" i="2" s="1"/>
  <c r="Q82" i="2"/>
  <c r="R82" i="2" s="1"/>
  <c r="Q81" i="2"/>
  <c r="R81" i="2" s="1"/>
  <c r="Q80" i="2"/>
  <c r="R80" i="2" s="1"/>
  <c r="Q79" i="2"/>
  <c r="R79" i="2" s="1"/>
  <c r="Q78" i="2"/>
  <c r="R78" i="2" s="1"/>
  <c r="Q77" i="2"/>
  <c r="R77" i="2" s="1"/>
  <c r="Q76" i="2"/>
  <c r="R76" i="2" s="1"/>
  <c r="Q75" i="2"/>
  <c r="R75" i="2" s="1"/>
  <c r="Q74" i="2"/>
  <c r="R74" i="2" s="1"/>
  <c r="Q73" i="2"/>
  <c r="R73" i="2" s="1"/>
  <c r="Q72" i="2"/>
  <c r="R72" i="2" s="1"/>
  <c r="Q71" i="2"/>
  <c r="R71" i="2" s="1"/>
  <c r="Q70" i="2"/>
  <c r="R70" i="2" s="1"/>
  <c r="Q69" i="2"/>
  <c r="R69" i="2" s="1"/>
  <c r="Q68" i="2"/>
  <c r="R68" i="2" s="1"/>
  <c r="Q67" i="2"/>
  <c r="R67" i="2" s="1"/>
  <c r="Q66" i="2"/>
  <c r="R66" i="2" s="1"/>
  <c r="Q65" i="2"/>
  <c r="R65" i="2" s="1"/>
  <c r="Q64" i="2"/>
  <c r="R64" i="2" s="1"/>
  <c r="Q63" i="2"/>
  <c r="R63" i="2" s="1"/>
  <c r="Q62" i="2"/>
  <c r="R62" i="2" s="1"/>
  <c r="Q61" i="2"/>
  <c r="R61" i="2" s="1"/>
  <c r="Q60" i="2"/>
  <c r="R60" i="2" s="1"/>
  <c r="Q59" i="2"/>
  <c r="R59" i="2" s="1"/>
  <c r="Q58" i="2"/>
  <c r="R58" i="2" s="1"/>
  <c r="Q57" i="2"/>
  <c r="R57" i="2" s="1"/>
  <c r="Q56" i="2"/>
  <c r="R56" i="2" s="1"/>
  <c r="Q55" i="2"/>
  <c r="R55" i="2" s="1"/>
  <c r="Q54" i="2"/>
  <c r="R54" i="2" s="1"/>
  <c r="Q53" i="2"/>
  <c r="R53" i="2" s="1"/>
  <c r="Q52" i="2"/>
  <c r="R52" i="2" s="1"/>
  <c r="Q51" i="2"/>
  <c r="R51" i="2" s="1"/>
  <c r="Q50" i="2"/>
  <c r="R50" i="2" s="1"/>
  <c r="Q49" i="2"/>
  <c r="R49" i="2" s="1"/>
  <c r="Q48" i="2"/>
  <c r="R48" i="2" s="1"/>
  <c r="Q47" i="2"/>
  <c r="R47" i="2" s="1"/>
  <c r="Q46" i="2"/>
  <c r="R46" i="2" s="1"/>
  <c r="Q45" i="2"/>
  <c r="R45" i="2" s="1"/>
  <c r="Q44" i="2"/>
  <c r="R44" i="2" s="1"/>
  <c r="Q43" i="2"/>
  <c r="R43" i="2" s="1"/>
  <c r="Q42" i="2"/>
  <c r="R42" i="2" s="1"/>
  <c r="Q41" i="2"/>
  <c r="R41" i="2" s="1"/>
  <c r="Q40" i="2"/>
  <c r="R40" i="2" s="1"/>
  <c r="Q39" i="2"/>
  <c r="R39" i="2" s="1"/>
  <c r="Q38" i="2"/>
  <c r="R38" i="2" s="1"/>
  <c r="Q37" i="2"/>
  <c r="R37" i="2" s="1"/>
  <c r="Q36" i="2"/>
  <c r="R36" i="2" s="1"/>
  <c r="Q35" i="2"/>
  <c r="R35" i="2" s="1"/>
  <c r="Q34" i="2"/>
  <c r="R34" i="2" s="1"/>
  <c r="Q33" i="2"/>
  <c r="R33" i="2" s="1"/>
  <c r="Q32" i="2"/>
  <c r="R32" i="2" s="1"/>
  <c r="Q31" i="2"/>
  <c r="R31" i="2" s="1"/>
  <c r="Q30" i="2"/>
  <c r="R30" i="2" s="1"/>
  <c r="Q29" i="2"/>
  <c r="R29" i="2" s="1"/>
  <c r="Q28" i="2"/>
  <c r="R28" i="2" s="1"/>
  <c r="Q27" i="2"/>
  <c r="R27" i="2" s="1"/>
  <c r="Q26" i="2"/>
  <c r="R26" i="2" s="1"/>
  <c r="Q25" i="2"/>
  <c r="R25" i="2" s="1"/>
  <c r="Q24" i="2"/>
  <c r="R24" i="2" s="1"/>
  <c r="Q23" i="2"/>
  <c r="R23" i="2" s="1"/>
  <c r="Q22" i="2"/>
  <c r="R22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8" i="2"/>
  <c r="R8" i="2" s="1"/>
  <c r="Q7" i="2"/>
  <c r="R7" i="2" s="1"/>
  <c r="Q6" i="2"/>
  <c r="R6" i="2" s="1"/>
  <c r="Q5" i="2"/>
  <c r="R5" i="2" s="1"/>
  <c r="Q4" i="2"/>
  <c r="R4" i="2" s="1"/>
  <c r="Q3" i="2"/>
  <c r="C135" i="2"/>
  <c r="H135" i="2" s="1"/>
  <c r="I135" i="2" s="1"/>
  <c r="C134" i="2"/>
  <c r="H134" i="2" s="1"/>
  <c r="I134" i="2" s="1"/>
  <c r="C133" i="2"/>
  <c r="H133" i="2" s="1"/>
  <c r="I133" i="2" s="1"/>
  <c r="C132" i="2"/>
  <c r="H132" i="2" s="1"/>
  <c r="I132" i="2" s="1"/>
  <c r="C131" i="2"/>
  <c r="H131" i="2" s="1"/>
  <c r="I131" i="2" s="1"/>
  <c r="C130" i="2"/>
  <c r="H130" i="2" s="1"/>
  <c r="I130" i="2" s="1"/>
  <c r="C129" i="2"/>
  <c r="H129" i="2" s="1"/>
  <c r="I129" i="2" s="1"/>
  <c r="C128" i="2"/>
  <c r="H128" i="2" s="1"/>
  <c r="I128" i="2" s="1"/>
  <c r="C127" i="2"/>
  <c r="H127" i="2" s="1"/>
  <c r="I127" i="2" s="1"/>
  <c r="C126" i="2"/>
  <c r="H126" i="2" s="1"/>
  <c r="I126" i="2" s="1"/>
  <c r="C125" i="2"/>
  <c r="H125" i="2" s="1"/>
  <c r="I125" i="2" s="1"/>
  <c r="C124" i="2"/>
  <c r="H124" i="2" s="1"/>
  <c r="I124" i="2" s="1"/>
  <c r="C123" i="2"/>
  <c r="H123" i="2" s="1"/>
  <c r="I123" i="2" s="1"/>
  <c r="C122" i="2"/>
  <c r="H122" i="2" s="1"/>
  <c r="I122" i="2" s="1"/>
  <c r="C121" i="2"/>
  <c r="H121" i="2" s="1"/>
  <c r="I121" i="2" s="1"/>
  <c r="C120" i="2"/>
  <c r="H120" i="2" s="1"/>
  <c r="I120" i="2" s="1"/>
  <c r="C119" i="2"/>
  <c r="H119" i="2" s="1"/>
  <c r="I119" i="2" s="1"/>
  <c r="C118" i="2"/>
  <c r="H118" i="2" s="1"/>
  <c r="I118" i="2" s="1"/>
  <c r="C117" i="2"/>
  <c r="H117" i="2" s="1"/>
  <c r="I117" i="2" s="1"/>
  <c r="C116" i="2"/>
  <c r="H116" i="2" s="1"/>
  <c r="I116" i="2" s="1"/>
  <c r="C115" i="2"/>
  <c r="H115" i="2" s="1"/>
  <c r="I115" i="2" s="1"/>
  <c r="C114" i="2"/>
  <c r="H114" i="2" s="1"/>
  <c r="I114" i="2" s="1"/>
  <c r="C113" i="2"/>
  <c r="H113" i="2" s="1"/>
  <c r="I113" i="2" s="1"/>
  <c r="C112" i="2"/>
  <c r="H112" i="2" s="1"/>
  <c r="I112" i="2" s="1"/>
  <c r="C111" i="2"/>
  <c r="H111" i="2" s="1"/>
  <c r="I111" i="2" s="1"/>
  <c r="C110" i="2"/>
  <c r="H110" i="2" s="1"/>
  <c r="I110" i="2" s="1"/>
  <c r="C109" i="2"/>
  <c r="H109" i="2" s="1"/>
  <c r="I109" i="2" s="1"/>
  <c r="C108" i="2"/>
  <c r="H108" i="2" s="1"/>
  <c r="I108" i="2" s="1"/>
  <c r="C107" i="2"/>
  <c r="H107" i="2" s="1"/>
  <c r="I107" i="2" s="1"/>
  <c r="C106" i="2"/>
  <c r="H106" i="2" s="1"/>
  <c r="I106" i="2" s="1"/>
  <c r="C105" i="2"/>
  <c r="H105" i="2" s="1"/>
  <c r="I105" i="2" s="1"/>
  <c r="C104" i="2"/>
  <c r="H104" i="2" s="1"/>
  <c r="I104" i="2" s="1"/>
  <c r="C103" i="2"/>
  <c r="H103" i="2" s="1"/>
  <c r="I103" i="2" s="1"/>
  <c r="C102" i="2"/>
  <c r="H102" i="2" s="1"/>
  <c r="I102" i="2" s="1"/>
  <c r="C101" i="2"/>
  <c r="H101" i="2" s="1"/>
  <c r="I101" i="2" s="1"/>
  <c r="C100" i="2"/>
  <c r="H100" i="2" s="1"/>
  <c r="I100" i="2" s="1"/>
  <c r="C99" i="2"/>
  <c r="H99" i="2" s="1"/>
  <c r="I99" i="2" s="1"/>
  <c r="C98" i="2"/>
  <c r="H98" i="2" s="1"/>
  <c r="I98" i="2" s="1"/>
  <c r="C97" i="2"/>
  <c r="H97" i="2" s="1"/>
  <c r="I97" i="2" s="1"/>
  <c r="C96" i="2"/>
  <c r="H96" i="2" s="1"/>
  <c r="I96" i="2" s="1"/>
  <c r="C95" i="2"/>
  <c r="H95" i="2" s="1"/>
  <c r="I95" i="2" s="1"/>
  <c r="C94" i="2"/>
  <c r="H94" i="2" s="1"/>
  <c r="I94" i="2" s="1"/>
  <c r="C93" i="2"/>
  <c r="H93" i="2" s="1"/>
  <c r="I93" i="2" s="1"/>
  <c r="C92" i="2"/>
  <c r="H92" i="2" s="1"/>
  <c r="I92" i="2" s="1"/>
  <c r="C91" i="2"/>
  <c r="H91" i="2" s="1"/>
  <c r="I91" i="2" s="1"/>
  <c r="C90" i="2"/>
  <c r="H90" i="2" s="1"/>
  <c r="I90" i="2" s="1"/>
  <c r="C89" i="2"/>
  <c r="H89" i="2" s="1"/>
  <c r="I89" i="2" s="1"/>
  <c r="C88" i="2"/>
  <c r="H88" i="2" s="1"/>
  <c r="I88" i="2" s="1"/>
  <c r="C87" i="2"/>
  <c r="H87" i="2" s="1"/>
  <c r="I87" i="2" s="1"/>
  <c r="C86" i="2"/>
  <c r="H86" i="2" s="1"/>
  <c r="I86" i="2" s="1"/>
  <c r="C85" i="2"/>
  <c r="H85" i="2" s="1"/>
  <c r="I85" i="2" s="1"/>
  <c r="C84" i="2"/>
  <c r="H84" i="2" s="1"/>
  <c r="I84" i="2" s="1"/>
  <c r="C83" i="2"/>
  <c r="H83" i="2" s="1"/>
  <c r="I83" i="2" s="1"/>
  <c r="C82" i="2"/>
  <c r="H82" i="2" s="1"/>
  <c r="I82" i="2" s="1"/>
  <c r="C81" i="2"/>
  <c r="H81" i="2" s="1"/>
  <c r="I81" i="2" s="1"/>
  <c r="C80" i="2"/>
  <c r="H80" i="2" s="1"/>
  <c r="I80" i="2" s="1"/>
  <c r="C79" i="2"/>
  <c r="H79" i="2" s="1"/>
  <c r="I79" i="2" s="1"/>
  <c r="C78" i="2"/>
  <c r="H78" i="2" s="1"/>
  <c r="I78" i="2" s="1"/>
  <c r="C77" i="2"/>
  <c r="H77" i="2" s="1"/>
  <c r="I77" i="2" s="1"/>
  <c r="C76" i="2"/>
  <c r="H76" i="2" s="1"/>
  <c r="I76" i="2" s="1"/>
  <c r="C75" i="2"/>
  <c r="H75" i="2" s="1"/>
  <c r="I75" i="2" s="1"/>
  <c r="C74" i="2"/>
  <c r="H74" i="2" s="1"/>
  <c r="I74" i="2" s="1"/>
  <c r="C73" i="2"/>
  <c r="H73" i="2" s="1"/>
  <c r="I73" i="2" s="1"/>
  <c r="C72" i="2"/>
  <c r="H72" i="2" s="1"/>
  <c r="I72" i="2" s="1"/>
  <c r="C71" i="2"/>
  <c r="H71" i="2" s="1"/>
  <c r="I71" i="2" s="1"/>
  <c r="C70" i="2"/>
  <c r="H70" i="2" s="1"/>
  <c r="I70" i="2" s="1"/>
  <c r="C69" i="2"/>
  <c r="H69" i="2" s="1"/>
  <c r="I69" i="2" s="1"/>
  <c r="C68" i="2"/>
  <c r="H68" i="2" s="1"/>
  <c r="I68" i="2" s="1"/>
  <c r="C67" i="2"/>
  <c r="H67" i="2" s="1"/>
  <c r="I67" i="2" s="1"/>
  <c r="C66" i="2"/>
  <c r="H66" i="2" s="1"/>
  <c r="I66" i="2" s="1"/>
  <c r="C65" i="2"/>
  <c r="H65" i="2" s="1"/>
  <c r="I65" i="2" s="1"/>
  <c r="C64" i="2"/>
  <c r="H64" i="2" s="1"/>
  <c r="I64" i="2" s="1"/>
  <c r="H792" i="2"/>
  <c r="I792" i="2" s="1"/>
  <c r="H791" i="2"/>
  <c r="I791" i="2" s="1"/>
  <c r="H790" i="2"/>
  <c r="I790" i="2" s="1"/>
  <c r="H789" i="2"/>
  <c r="I789" i="2" s="1"/>
  <c r="H788" i="2"/>
  <c r="I788" i="2" s="1"/>
  <c r="H787" i="2"/>
  <c r="I787" i="2" s="1"/>
  <c r="H786" i="2"/>
  <c r="I786" i="2" s="1"/>
  <c r="H785" i="2"/>
  <c r="I785" i="2" s="1"/>
  <c r="H784" i="2"/>
  <c r="I784" i="2" s="1"/>
  <c r="H783" i="2"/>
  <c r="I783" i="2" s="1"/>
  <c r="H782" i="2"/>
  <c r="I782" i="2" s="1"/>
  <c r="H781" i="2"/>
  <c r="I781" i="2" s="1"/>
  <c r="H780" i="2"/>
  <c r="I780" i="2" s="1"/>
  <c r="H779" i="2"/>
  <c r="I779" i="2" s="1"/>
  <c r="H778" i="2"/>
  <c r="I778" i="2" s="1"/>
  <c r="H777" i="2"/>
  <c r="I777" i="2" s="1"/>
  <c r="H776" i="2"/>
  <c r="I776" i="2" s="1"/>
  <c r="H775" i="2"/>
  <c r="I775" i="2" s="1"/>
  <c r="H774" i="2"/>
  <c r="I774" i="2" s="1"/>
  <c r="H773" i="2"/>
  <c r="I773" i="2" s="1"/>
  <c r="H772" i="2"/>
  <c r="I772" i="2" s="1"/>
  <c r="H771" i="2"/>
  <c r="I771" i="2" s="1"/>
  <c r="H770" i="2"/>
  <c r="I770" i="2" s="1"/>
  <c r="H769" i="2"/>
  <c r="I769" i="2" s="1"/>
  <c r="H768" i="2"/>
  <c r="I768" i="2" s="1"/>
  <c r="H767" i="2"/>
  <c r="I767" i="2" s="1"/>
  <c r="H766" i="2"/>
  <c r="I766" i="2" s="1"/>
  <c r="H765" i="2"/>
  <c r="I765" i="2" s="1"/>
  <c r="H764" i="2"/>
  <c r="I764" i="2" s="1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H745" i="2"/>
  <c r="I745" i="2" s="1"/>
  <c r="H744" i="2"/>
  <c r="I744" i="2" s="1"/>
  <c r="H743" i="2"/>
  <c r="I743" i="2" s="1"/>
  <c r="H742" i="2"/>
  <c r="I742" i="2" s="1"/>
  <c r="H741" i="2"/>
  <c r="I741" i="2" s="1"/>
  <c r="H740" i="2"/>
  <c r="I740" i="2" s="1"/>
  <c r="H739" i="2"/>
  <c r="I739" i="2" s="1"/>
  <c r="H738" i="2"/>
  <c r="I738" i="2" s="1"/>
  <c r="H737" i="2"/>
  <c r="I737" i="2" s="1"/>
  <c r="H736" i="2"/>
  <c r="I736" i="2" s="1"/>
  <c r="H735" i="2"/>
  <c r="I735" i="2" s="1"/>
  <c r="H734" i="2"/>
  <c r="I734" i="2" s="1"/>
  <c r="H733" i="2"/>
  <c r="I733" i="2" s="1"/>
  <c r="H732" i="2"/>
  <c r="I732" i="2" s="1"/>
  <c r="H731" i="2"/>
  <c r="I731" i="2" s="1"/>
  <c r="H730" i="2"/>
  <c r="I730" i="2" s="1"/>
  <c r="H729" i="2"/>
  <c r="I729" i="2" s="1"/>
  <c r="H728" i="2"/>
  <c r="I728" i="2" s="1"/>
  <c r="H727" i="2"/>
  <c r="I727" i="2" s="1"/>
  <c r="H726" i="2"/>
  <c r="I726" i="2" s="1"/>
  <c r="H725" i="2"/>
  <c r="I725" i="2" s="1"/>
  <c r="H724" i="2"/>
  <c r="I724" i="2" s="1"/>
  <c r="H723" i="2"/>
  <c r="I723" i="2" s="1"/>
  <c r="H722" i="2"/>
  <c r="I722" i="2" s="1"/>
  <c r="H721" i="2"/>
  <c r="I721" i="2" s="1"/>
  <c r="H720" i="2"/>
  <c r="I720" i="2" s="1"/>
  <c r="H719" i="2"/>
  <c r="I719" i="2" s="1"/>
  <c r="H718" i="2"/>
  <c r="I718" i="2" s="1"/>
  <c r="H717" i="2"/>
  <c r="I717" i="2" s="1"/>
  <c r="H716" i="2"/>
  <c r="I716" i="2" s="1"/>
  <c r="H715" i="2"/>
  <c r="I715" i="2" s="1"/>
  <c r="H714" i="2"/>
  <c r="I714" i="2" s="1"/>
  <c r="H713" i="2"/>
  <c r="I713" i="2" s="1"/>
  <c r="H712" i="2"/>
  <c r="I712" i="2" s="1"/>
  <c r="H711" i="2"/>
  <c r="I711" i="2" s="1"/>
  <c r="H710" i="2"/>
  <c r="I710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2" i="2"/>
  <c r="I702" i="2" s="1"/>
  <c r="H701" i="2"/>
  <c r="I701" i="2" s="1"/>
  <c r="H700" i="2"/>
  <c r="I700" i="2" s="1"/>
  <c r="H699" i="2"/>
  <c r="I699" i="2" s="1"/>
  <c r="H698" i="2"/>
  <c r="I698" i="2" s="1"/>
  <c r="H697" i="2"/>
  <c r="I697" i="2" s="1"/>
  <c r="H696" i="2"/>
  <c r="I696" i="2" s="1"/>
  <c r="H695" i="2"/>
  <c r="I695" i="2" s="1"/>
  <c r="H694" i="2"/>
  <c r="I694" i="2" s="1"/>
  <c r="H693" i="2"/>
  <c r="I693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6" i="2"/>
  <c r="I686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8" i="2"/>
  <c r="I678" i="2" s="1"/>
  <c r="H677" i="2"/>
  <c r="I677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70" i="2"/>
  <c r="I670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2" i="2"/>
  <c r="I662" i="2" s="1"/>
  <c r="H661" i="2"/>
  <c r="I661" i="2" s="1"/>
  <c r="H660" i="2"/>
  <c r="I660" i="2" s="1"/>
  <c r="H659" i="2"/>
  <c r="I659" i="2" s="1"/>
  <c r="H658" i="2"/>
  <c r="I658" i="2" s="1"/>
  <c r="H657" i="2"/>
  <c r="I657" i="2" s="1"/>
  <c r="H656" i="2"/>
  <c r="I656" i="2" s="1"/>
  <c r="H655" i="2"/>
  <c r="I655" i="2" s="1"/>
  <c r="H654" i="2"/>
  <c r="I654" i="2" s="1"/>
  <c r="H653" i="2"/>
  <c r="I653" i="2" s="1"/>
  <c r="H652" i="2"/>
  <c r="I652" i="2" s="1"/>
  <c r="H651" i="2"/>
  <c r="I651" i="2" s="1"/>
  <c r="H650" i="2"/>
  <c r="I650" i="2" s="1"/>
  <c r="H649" i="2"/>
  <c r="I649" i="2" s="1"/>
  <c r="H648" i="2"/>
  <c r="I648" i="2" s="1"/>
  <c r="H647" i="2"/>
  <c r="I647" i="2" s="1"/>
  <c r="H646" i="2"/>
  <c r="I646" i="2" s="1"/>
  <c r="H645" i="2"/>
  <c r="I645" i="2" s="1"/>
  <c r="H644" i="2"/>
  <c r="I644" i="2" s="1"/>
  <c r="H643" i="2"/>
  <c r="I643" i="2" s="1"/>
  <c r="H642" i="2"/>
  <c r="I642" i="2" s="1"/>
  <c r="H641" i="2"/>
  <c r="I641" i="2" s="1"/>
  <c r="H640" i="2"/>
  <c r="I640" i="2" s="1"/>
  <c r="H639" i="2"/>
  <c r="I639" i="2" s="1"/>
  <c r="H638" i="2"/>
  <c r="I638" i="2" s="1"/>
  <c r="H637" i="2"/>
  <c r="I637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H630" i="2"/>
  <c r="I630" i="2" s="1"/>
  <c r="H629" i="2"/>
  <c r="I629" i="2" s="1"/>
  <c r="H628" i="2"/>
  <c r="I628" i="2" s="1"/>
  <c r="H627" i="2"/>
  <c r="I627" i="2" s="1"/>
  <c r="H626" i="2"/>
  <c r="I626" i="2" s="1"/>
  <c r="H625" i="2"/>
  <c r="I625" i="2" s="1"/>
  <c r="H624" i="2"/>
  <c r="I624" i="2" s="1"/>
  <c r="H623" i="2"/>
  <c r="I623" i="2" s="1"/>
  <c r="H622" i="2"/>
  <c r="I622" i="2" s="1"/>
  <c r="H621" i="2"/>
  <c r="I621" i="2" s="1"/>
  <c r="H620" i="2"/>
  <c r="I620" i="2" s="1"/>
  <c r="H619" i="2"/>
  <c r="I619" i="2" s="1"/>
  <c r="H618" i="2"/>
  <c r="I618" i="2" s="1"/>
  <c r="H617" i="2"/>
  <c r="I617" i="2" s="1"/>
  <c r="H616" i="2"/>
  <c r="I616" i="2" s="1"/>
  <c r="H615" i="2"/>
  <c r="I615" i="2" s="1"/>
  <c r="H614" i="2"/>
  <c r="I614" i="2" s="1"/>
  <c r="H613" i="2"/>
  <c r="I613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6" i="2"/>
  <c r="I606" i="2" s="1"/>
  <c r="H605" i="2"/>
  <c r="I605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8" i="2"/>
  <c r="I598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90" i="2"/>
  <c r="I590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2" i="2"/>
  <c r="I582" i="2" s="1"/>
  <c r="H581" i="2"/>
  <c r="I581" i="2" s="1"/>
  <c r="H580" i="2"/>
  <c r="I580" i="2" s="1"/>
  <c r="H579" i="2"/>
  <c r="I579" i="2" s="1"/>
  <c r="H578" i="2"/>
  <c r="I578" i="2" s="1"/>
  <c r="H577" i="2"/>
  <c r="I577" i="2" s="1"/>
  <c r="H576" i="2"/>
  <c r="I576" i="2" s="1"/>
  <c r="H575" i="2"/>
  <c r="I575" i="2" s="1"/>
  <c r="H574" i="2"/>
  <c r="I574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6" i="2"/>
  <c r="I566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8" i="2"/>
  <c r="I558" i="2" s="1"/>
  <c r="H557" i="2"/>
  <c r="I557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H544" i="2"/>
  <c r="I544" i="2" s="1"/>
  <c r="H543" i="2"/>
  <c r="I543" i="2" s="1"/>
  <c r="H542" i="2"/>
  <c r="I542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4" i="2"/>
  <c r="I534" i="2" s="1"/>
  <c r="H533" i="2"/>
  <c r="I533" i="2" s="1"/>
  <c r="H532" i="2"/>
  <c r="I532" i="2" s="1"/>
  <c r="H531" i="2"/>
  <c r="I531" i="2" s="1"/>
  <c r="H530" i="2"/>
  <c r="I530" i="2" s="1"/>
  <c r="H529" i="2"/>
  <c r="I529" i="2" s="1"/>
  <c r="H528" i="2"/>
  <c r="I528" i="2" s="1"/>
  <c r="H527" i="2"/>
  <c r="I527" i="2" s="1"/>
  <c r="H526" i="2"/>
  <c r="I526" i="2" s="1"/>
  <c r="H525" i="2"/>
  <c r="I525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8" i="2"/>
  <c r="I518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10" i="2"/>
  <c r="I510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2" i="2"/>
  <c r="I502" i="2" s="1"/>
  <c r="H501" i="2"/>
  <c r="I501" i="2" s="1"/>
  <c r="H500" i="2"/>
  <c r="I500" i="2" s="1"/>
  <c r="H499" i="2"/>
  <c r="I499" i="2" s="1"/>
  <c r="H498" i="2"/>
  <c r="I498" i="2" s="1"/>
  <c r="H497" i="2"/>
  <c r="I497" i="2" s="1"/>
  <c r="H496" i="2"/>
  <c r="I496" i="2" s="1"/>
  <c r="H495" i="2"/>
  <c r="I495" i="2" s="1"/>
  <c r="H494" i="2"/>
  <c r="I494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6" i="2"/>
  <c r="I486" i="2" s="1"/>
  <c r="H485" i="2"/>
  <c r="I485" i="2" s="1"/>
  <c r="H484" i="2"/>
  <c r="I484" i="2" s="1"/>
  <c r="H483" i="2"/>
  <c r="I483" i="2" s="1"/>
  <c r="H482" i="2"/>
  <c r="I482" i="2" s="1"/>
  <c r="H481" i="2"/>
  <c r="I481" i="2" s="1"/>
  <c r="H480" i="2"/>
  <c r="I480" i="2" s="1"/>
  <c r="H479" i="2"/>
  <c r="I479" i="2" s="1"/>
  <c r="H478" i="2"/>
  <c r="I478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70" i="2"/>
  <c r="I470" i="2" s="1"/>
  <c r="H469" i="2"/>
  <c r="I469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2" i="2"/>
  <c r="I462" i="2" s="1"/>
  <c r="H461" i="2"/>
  <c r="I461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4" i="2"/>
  <c r="I454" i="2" s="1"/>
  <c r="H453" i="2"/>
  <c r="I453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8" i="2"/>
  <c r="I438" i="2" s="1"/>
  <c r="H437" i="2"/>
  <c r="I437" i="2" s="1"/>
  <c r="H436" i="2"/>
  <c r="I436" i="2" s="1"/>
  <c r="H435" i="2"/>
  <c r="I435" i="2" s="1"/>
  <c r="H434" i="2"/>
  <c r="I434" i="2" s="1"/>
  <c r="H433" i="2"/>
  <c r="I433" i="2" s="1"/>
  <c r="H432" i="2"/>
  <c r="I432" i="2" s="1"/>
  <c r="H431" i="2"/>
  <c r="I431" i="2" s="1"/>
  <c r="H430" i="2"/>
  <c r="I430" i="2" s="1"/>
  <c r="H429" i="2"/>
  <c r="I429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2" i="2"/>
  <c r="I422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4" i="2"/>
  <c r="I414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6" i="2"/>
  <c r="I406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90" i="2"/>
  <c r="I390" i="2" s="1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4" i="2"/>
  <c r="I374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H365" i="2"/>
  <c r="I365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8" i="2"/>
  <c r="I358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2" i="2"/>
  <c r="I342" i="2" s="1"/>
  <c r="H341" i="2"/>
  <c r="I341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4" i="2"/>
  <c r="I334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8" i="2"/>
  <c r="I318" i="2" s="1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10" i="2"/>
  <c r="I310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6" i="2"/>
  <c r="I286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8" i="2"/>
  <c r="I278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6" i="2"/>
  <c r="I246" i="2" s="1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8" i="2"/>
  <c r="I238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30" i="2"/>
  <c r="I230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2" i="2"/>
  <c r="I222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4" i="2"/>
  <c r="I214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200" i="2"/>
  <c r="I200" i="2" s="1"/>
  <c r="H199" i="2"/>
  <c r="I199" i="2" s="1"/>
  <c r="H198" i="2"/>
  <c r="I198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4" i="2"/>
  <c r="I174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6" i="2"/>
  <c r="I166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M800" i="1"/>
  <c r="L800" i="1"/>
  <c r="K800" i="1"/>
  <c r="K799" i="1"/>
  <c r="Q795" i="2" l="1"/>
  <c r="X3" i="2"/>
  <c r="W793" i="2"/>
  <c r="U3" i="2"/>
  <c r="T793" i="2"/>
  <c r="R3" i="2"/>
</calcChain>
</file>

<file path=xl/sharedStrings.xml><?xml version="1.0" encoding="utf-8"?>
<sst xmlns="http://schemas.openxmlformats.org/spreadsheetml/2006/main" count="40038" uniqueCount="2523">
  <si>
    <t>COD_BONUS SII</t>
  </si>
  <si>
    <t>Protocollo richiesta SGATE</t>
  </si>
  <si>
    <t>ATO</t>
  </si>
  <si>
    <t>Codice utente</t>
  </si>
  <si>
    <t>Data di inizio del periodo di agevolazione ordinaria</t>
  </si>
  <si>
    <t>Data di fine del periodo di agevolazione ordinaria</t>
  </si>
  <si>
    <t>Data di eventuale cessazione anticipata</t>
  </si>
  <si>
    <t>Data di inizio periodo oggetto di fatturazione</t>
  </si>
  <si>
    <t>Data di fine periodo oggetto di fatturazione</t>
  </si>
  <si>
    <t>Codice Istat del Comune in cui è sita la fornitura</t>
  </si>
  <si>
    <t>Importo effettivamente riconosciuto nel bimestre dal gestore (€)</t>
  </si>
  <si>
    <t>Importo cumulativo riconosciuto all'utente fino al bimestre oggetto di dichiarazione (€)</t>
  </si>
  <si>
    <t>Importo totale da corrispondere nel periodo di agevolazione (€)</t>
  </si>
  <si>
    <t>Tipologia di utente (diretto o indiretto)</t>
  </si>
  <si>
    <t>Numerosità famiglia anagrafica</t>
  </si>
  <si>
    <t>Tariffa individuata per la quantificazione della quota variabile del corrispettivo di depurazione (€/m3)</t>
  </si>
  <si>
    <t>Tariffa individuata per la quantificazione della quota variabile del corrispettivo di fognatura (€/m3)</t>
  </si>
  <si>
    <t>Tariffa agevolata del servizio di acquedotto applicata all'utente (€/m3)</t>
  </si>
  <si>
    <t>Atto deliberativo della struttura dei corrispettivi applicati all'utenza ai sensi del TICSI</t>
  </si>
  <si>
    <t>Tariffa  approvata dall'ARERA (SI o NO)</t>
  </si>
  <si>
    <t/>
  </si>
  <si>
    <t>ATO4</t>
  </si>
  <si>
    <t>0012002335</t>
  </si>
  <si>
    <t>Diretto</t>
  </si>
  <si>
    <t>0012003114</t>
  </si>
  <si>
    <t>0020003366</t>
  </si>
  <si>
    <t>0022000292</t>
  </si>
  <si>
    <t>0032000054</t>
  </si>
  <si>
    <t>0052000430</t>
  </si>
  <si>
    <t>0062000882</t>
  </si>
  <si>
    <t>0062000930</t>
  </si>
  <si>
    <t>0062001165</t>
  </si>
  <si>
    <t>0090020701</t>
  </si>
  <si>
    <t>0092000302</t>
  </si>
  <si>
    <t>0092000550</t>
  </si>
  <si>
    <t>0092000829</t>
  </si>
  <si>
    <t>0100000104</t>
  </si>
  <si>
    <t>012186</t>
  </si>
  <si>
    <t>0130044201</t>
  </si>
  <si>
    <t>0132000149</t>
  </si>
  <si>
    <t>0132000515</t>
  </si>
  <si>
    <t>0170122101</t>
  </si>
  <si>
    <t>021349</t>
  </si>
  <si>
    <t>022325</t>
  </si>
  <si>
    <t>0232000110</t>
  </si>
  <si>
    <t>023381</t>
  </si>
  <si>
    <t>024803</t>
  </si>
  <si>
    <t>025172</t>
  </si>
  <si>
    <t>0252000345</t>
  </si>
  <si>
    <t>025495</t>
  </si>
  <si>
    <t>025597</t>
  </si>
  <si>
    <t>0312000689</t>
  </si>
  <si>
    <t>0312000878</t>
  </si>
  <si>
    <t>0312001218</t>
  </si>
  <si>
    <t>0380000369</t>
  </si>
  <si>
    <t>0472000330</t>
  </si>
  <si>
    <t>0512000251</t>
  </si>
  <si>
    <t>0522000174</t>
  </si>
  <si>
    <t>0532000235</t>
  </si>
  <si>
    <t>0542000179</t>
  </si>
  <si>
    <t>0562000409</t>
  </si>
  <si>
    <t>0572000500</t>
  </si>
  <si>
    <t>0582000829</t>
  </si>
  <si>
    <t>0582001123</t>
  </si>
  <si>
    <t>0592000728</t>
  </si>
  <si>
    <t>0602000167</t>
  </si>
  <si>
    <t>0670000502</t>
  </si>
  <si>
    <t>0672000118</t>
  </si>
  <si>
    <t>0680001815</t>
  </si>
  <si>
    <t>0682000339</t>
  </si>
  <si>
    <t>0730004802</t>
  </si>
  <si>
    <t>0760055202</t>
  </si>
  <si>
    <t>0762000689</t>
  </si>
  <si>
    <t>0770134201</t>
  </si>
  <si>
    <t>0772000544</t>
  </si>
  <si>
    <t>0780026801</t>
  </si>
  <si>
    <t>0780096401</t>
  </si>
  <si>
    <t>0802000093</t>
  </si>
  <si>
    <t>0812000582</t>
  </si>
  <si>
    <t>0812001039</t>
  </si>
  <si>
    <t>0830219401</t>
  </si>
  <si>
    <t>0832001058</t>
  </si>
  <si>
    <t>0840022901</t>
  </si>
  <si>
    <t>0962000043</t>
  </si>
  <si>
    <t>1040000390</t>
  </si>
  <si>
    <t>1052000259</t>
  </si>
  <si>
    <t>1062001478</t>
  </si>
  <si>
    <t>2000000547</t>
  </si>
  <si>
    <t>2000000723</t>
  </si>
  <si>
    <t>2000002309</t>
  </si>
  <si>
    <t>2000003818</t>
  </si>
  <si>
    <t>2000005378</t>
  </si>
  <si>
    <t>2000008157</t>
  </si>
  <si>
    <t>2000009954</t>
  </si>
  <si>
    <t>2000012040</t>
  </si>
  <si>
    <t>2000012498</t>
  </si>
  <si>
    <t>2000012708</t>
  </si>
  <si>
    <t>2000014328</t>
  </si>
  <si>
    <t>2000014750</t>
  </si>
  <si>
    <t>2000015383</t>
  </si>
  <si>
    <t>2000017827</t>
  </si>
  <si>
    <t>2000018286</t>
  </si>
  <si>
    <t>2000019067</t>
  </si>
  <si>
    <t>2000019183</t>
  </si>
  <si>
    <t>2000019772</t>
  </si>
  <si>
    <t>2000019802</t>
  </si>
  <si>
    <t>2000020923</t>
  </si>
  <si>
    <t>2000022025</t>
  </si>
  <si>
    <t>2000023525</t>
  </si>
  <si>
    <t>2000023625</t>
  </si>
  <si>
    <t>2000028899</t>
  </si>
  <si>
    <t>2000029493</t>
  </si>
  <si>
    <t>2000031128</t>
  </si>
  <si>
    <t>2000032090</t>
  </si>
  <si>
    <t>2000032150</t>
  </si>
  <si>
    <t>2000033041</t>
  </si>
  <si>
    <t>2000034116</t>
  </si>
  <si>
    <t>2000037725</t>
  </si>
  <si>
    <t>2000039272</t>
  </si>
  <si>
    <t>2000041577</t>
  </si>
  <si>
    <t>2000041777</t>
  </si>
  <si>
    <t>2000044523</t>
  </si>
  <si>
    <t>2000044788</t>
  </si>
  <si>
    <t>2000047267</t>
  </si>
  <si>
    <t>2000048300</t>
  </si>
  <si>
    <t>2000049351</t>
  </si>
  <si>
    <t>2000049359</t>
  </si>
  <si>
    <t>2000049436</t>
  </si>
  <si>
    <t>2000049498</t>
  </si>
  <si>
    <t>2000049594</t>
  </si>
  <si>
    <t>2000049629</t>
  </si>
  <si>
    <t>2000049744</t>
  </si>
  <si>
    <t>2000049766</t>
  </si>
  <si>
    <t>2000049803</t>
  </si>
  <si>
    <t>2000050326</t>
  </si>
  <si>
    <t>2000050853</t>
  </si>
  <si>
    <t>2000051985</t>
  </si>
  <si>
    <t>2000052355</t>
  </si>
  <si>
    <t>2000052475</t>
  </si>
  <si>
    <t>2000052588</t>
  </si>
  <si>
    <t>2000052938</t>
  </si>
  <si>
    <t>2000053182</t>
  </si>
  <si>
    <t>2000053300</t>
  </si>
  <si>
    <t>2000053422</t>
  </si>
  <si>
    <t>2000053553</t>
  </si>
  <si>
    <t>2000053683</t>
  </si>
  <si>
    <t>2000054264</t>
  </si>
  <si>
    <t>2000054548</t>
  </si>
  <si>
    <t>2000054799</t>
  </si>
  <si>
    <t>2000055216</t>
  </si>
  <si>
    <t>2000055262</t>
  </si>
  <si>
    <t>2000055884</t>
  </si>
  <si>
    <t>4009002900</t>
  </si>
  <si>
    <t>4009051202</t>
  </si>
  <si>
    <t>4012052650</t>
  </si>
  <si>
    <t>4012054693</t>
  </si>
  <si>
    <t>2B202100123305167</t>
  </si>
  <si>
    <t>C312509</t>
  </si>
  <si>
    <t>Indiretto</t>
  </si>
  <si>
    <t>2B202100123376608</t>
  </si>
  <si>
    <t>C131028</t>
  </si>
  <si>
    <t>2B202100123395189</t>
  </si>
  <si>
    <t>C311082</t>
  </si>
  <si>
    <t>2B202100123424439</t>
  </si>
  <si>
    <t>C309233</t>
  </si>
  <si>
    <t>2B202200123448145</t>
  </si>
  <si>
    <t>2B202200123478471</t>
  </si>
  <si>
    <t>C311310</t>
  </si>
  <si>
    <t>2B202200123485744</t>
  </si>
  <si>
    <t>C309462</t>
  </si>
  <si>
    <t>2B202301126498351</t>
  </si>
  <si>
    <t>2B202305143984151</t>
  </si>
  <si>
    <t>C317242</t>
  </si>
  <si>
    <t>2B202310168404689</t>
  </si>
  <si>
    <t>2B202403203138578</t>
  </si>
  <si>
    <t>C018784</t>
  </si>
  <si>
    <t>2B202403203225167</t>
  </si>
  <si>
    <t>C319733</t>
  </si>
  <si>
    <t>2B202408222514952</t>
  </si>
  <si>
    <t>C314116</t>
  </si>
  <si>
    <t>2B202410231807290</t>
  </si>
  <si>
    <t>2B202412237952579</t>
  </si>
  <si>
    <t>2B202502250703405</t>
  </si>
  <si>
    <t>C007200</t>
  </si>
  <si>
    <t>2B202502253150221</t>
  </si>
  <si>
    <t>C307784</t>
  </si>
  <si>
    <t>2B202503258040017</t>
  </si>
  <si>
    <t>C339592</t>
  </si>
  <si>
    <t>2B202503258051874</t>
  </si>
  <si>
    <t>2B202506273163046</t>
  </si>
  <si>
    <t>C341166</t>
  </si>
  <si>
    <t>2B202506273598225</t>
  </si>
  <si>
    <t>C311198</t>
  </si>
  <si>
    <t>2B202507277412924</t>
  </si>
  <si>
    <t>C312140</t>
  </si>
  <si>
    <t>2B202508282159077</t>
  </si>
  <si>
    <t>2B202509286241879</t>
  </si>
  <si>
    <t>C342553</t>
  </si>
  <si>
    <t>2B202509286449305</t>
  </si>
  <si>
    <t>C308450</t>
  </si>
  <si>
    <t>2B202509286452085</t>
  </si>
  <si>
    <t>C309363</t>
  </si>
  <si>
    <t>2B202509286625539</t>
  </si>
  <si>
    <t>C342580</t>
  </si>
  <si>
    <t>2B202510289020158</t>
  </si>
  <si>
    <t>C343072</t>
  </si>
  <si>
    <t>2B202510289073799</t>
  </si>
  <si>
    <t>C317493</t>
  </si>
  <si>
    <t>2B202510290556897</t>
  </si>
  <si>
    <t>C314065</t>
  </si>
  <si>
    <t>2B202510291105630</t>
  </si>
  <si>
    <t>C320180</t>
  </si>
  <si>
    <t>2B202511296021791</t>
  </si>
  <si>
    <t>C336624</t>
  </si>
  <si>
    <t>2B202511296509637</t>
  </si>
  <si>
    <t>C336636</t>
  </si>
  <si>
    <t>IB202512302665805</t>
  </si>
  <si>
    <t>C343882</t>
  </si>
  <si>
    <t>IB202512302666921</t>
  </si>
  <si>
    <t>C343923</t>
  </si>
  <si>
    <t>IB202512302667989</t>
  </si>
  <si>
    <t>C343887</t>
  </si>
  <si>
    <t>IB202512302668842</t>
  </si>
  <si>
    <t>C343910</t>
  </si>
  <si>
    <t>IB202512302671495</t>
  </si>
  <si>
    <t>C320029</t>
  </si>
  <si>
    <t>IB202512302671686</t>
  </si>
  <si>
    <t>C341839</t>
  </si>
  <si>
    <t>IB202512302677978</t>
  </si>
  <si>
    <t>C343892</t>
  </si>
  <si>
    <t>IB202512302678775</t>
  </si>
  <si>
    <t>C343922</t>
  </si>
  <si>
    <t>IB202512302682042</t>
  </si>
  <si>
    <t>C308713</t>
  </si>
  <si>
    <t>IB202512302684829</t>
  </si>
  <si>
    <t>C343913</t>
  </si>
  <si>
    <t>IB202512302685591</t>
  </si>
  <si>
    <t>C312362</t>
  </si>
  <si>
    <t>IB202512302685909</t>
  </si>
  <si>
    <t>C320109</t>
  </si>
  <si>
    <t>IB202512302687122</t>
  </si>
  <si>
    <t>C343915</t>
  </si>
  <si>
    <t>IB202512302687841</t>
  </si>
  <si>
    <t>C309807</t>
  </si>
  <si>
    <t>IB202512302688211</t>
  </si>
  <si>
    <t>C343918</t>
  </si>
  <si>
    <t>IB202512302688298</t>
  </si>
  <si>
    <t>C343914</t>
  </si>
  <si>
    <t>IB202512302689844</t>
  </si>
  <si>
    <t>C343894</t>
  </si>
  <si>
    <t>IB202512302689931</t>
  </si>
  <si>
    <t>C343896</t>
  </si>
  <si>
    <t>IB202512302693828</t>
  </si>
  <si>
    <t>C128516</t>
  </si>
  <si>
    <t>IB202512302693929</t>
  </si>
  <si>
    <t>C343911</t>
  </si>
  <si>
    <t>IB202512302695539</t>
  </si>
  <si>
    <t>C343893</t>
  </si>
  <si>
    <t>IB202512302696730</t>
  </si>
  <si>
    <t>C343889</t>
  </si>
  <si>
    <t>IB202512302697201</t>
  </si>
  <si>
    <t>C343897</t>
  </si>
  <si>
    <t>IB202512302704752</t>
  </si>
  <si>
    <t>C315043</t>
  </si>
  <si>
    <t>IB202512302704897</t>
  </si>
  <si>
    <t>C311703</t>
  </si>
  <si>
    <t>IB202512302705453</t>
  </si>
  <si>
    <t>C321357</t>
  </si>
  <si>
    <t>IB202512302705862</t>
  </si>
  <si>
    <t>C343903</t>
  </si>
  <si>
    <t>IB202512302705931</t>
  </si>
  <si>
    <t>C343895</t>
  </si>
  <si>
    <t>IB202512302706725</t>
  </si>
  <si>
    <t>C343888</t>
  </si>
  <si>
    <t>IB202512303916498</t>
  </si>
  <si>
    <t>C109542</t>
  </si>
  <si>
    <t>IB202512303933989</t>
  </si>
  <si>
    <t>C312185</t>
  </si>
  <si>
    <t>IB202512303939444</t>
  </si>
  <si>
    <t>C343157</t>
  </si>
  <si>
    <t>IB202512303949697</t>
  </si>
  <si>
    <t>C337149</t>
  </si>
  <si>
    <t>IB202512303957874</t>
  </si>
  <si>
    <t>C343905</t>
  </si>
  <si>
    <t>IB202512303966799</t>
  </si>
  <si>
    <t>C339262</t>
  </si>
  <si>
    <t>IB202512303967420</t>
  </si>
  <si>
    <t>C337163</t>
  </si>
  <si>
    <t>IB202512303982462</t>
  </si>
  <si>
    <t>C316354</t>
  </si>
  <si>
    <t>IB202512303983036</t>
  </si>
  <si>
    <t>C343919</t>
  </si>
  <si>
    <t>IB202512304003374</t>
  </si>
  <si>
    <t>C312839</t>
  </si>
  <si>
    <t>IB202512304004771</t>
  </si>
  <si>
    <t>C308632</t>
  </si>
  <si>
    <t>IB202512304011989</t>
  </si>
  <si>
    <t>C310297</t>
  </si>
  <si>
    <t>IB202512304036718</t>
  </si>
  <si>
    <t>C337162</t>
  </si>
  <si>
    <t>IB202512304042163</t>
  </si>
  <si>
    <t>C343906</t>
  </si>
  <si>
    <t>IB202512304068830</t>
  </si>
  <si>
    <t>C308226</t>
  </si>
  <si>
    <t>IB202512304069706</t>
  </si>
  <si>
    <t>C343921</t>
  </si>
  <si>
    <t>IB202512304075028</t>
  </si>
  <si>
    <t>C311323</t>
  </si>
  <si>
    <t>IB202512304075814</t>
  </si>
  <si>
    <t>C343902</t>
  </si>
  <si>
    <t>IB202512304101748</t>
  </si>
  <si>
    <t>C343925</t>
  </si>
  <si>
    <t>IB202512304105560</t>
  </si>
  <si>
    <t>C343916</t>
  </si>
  <si>
    <t>IB202512304115130</t>
  </si>
  <si>
    <t>C124340</t>
  </si>
  <si>
    <t>IB202512304126755</t>
  </si>
  <si>
    <t>C337144</t>
  </si>
  <si>
    <t>IB202512304154013</t>
  </si>
  <si>
    <t>C337151</t>
  </si>
  <si>
    <t>IB202512304164788</t>
  </si>
  <si>
    <t>C337147</t>
  </si>
  <si>
    <t>IB202512304180486</t>
  </si>
  <si>
    <t>C343924</t>
  </si>
  <si>
    <t>IB202512304197854</t>
  </si>
  <si>
    <t>C343885</t>
  </si>
  <si>
    <t>IB202512304201168</t>
  </si>
  <si>
    <t>C317131</t>
  </si>
  <si>
    <t>IB202512304202849</t>
  </si>
  <si>
    <t>C313549</t>
  </si>
  <si>
    <t>IB202512304215001</t>
  </si>
  <si>
    <t>C308930</t>
  </si>
  <si>
    <t>IB202512304225903</t>
  </si>
  <si>
    <t>C343900</t>
  </si>
  <si>
    <t>IB202512304231146</t>
  </si>
  <si>
    <t>C320227</t>
  </si>
  <si>
    <t>IB202512304234218</t>
  </si>
  <si>
    <t>C343891</t>
  </si>
  <si>
    <t>IB202512304245121</t>
  </si>
  <si>
    <t>C307742</t>
  </si>
  <si>
    <t>IB202512304245810</t>
  </si>
  <si>
    <t>C343886</t>
  </si>
  <si>
    <t>IB202512304246785</t>
  </si>
  <si>
    <t>C343890</t>
  </si>
  <si>
    <t>IB202512304264590</t>
  </si>
  <si>
    <t>C343901</t>
  </si>
  <si>
    <t>IB202512304273538</t>
  </si>
  <si>
    <t>C320210</t>
  </si>
  <si>
    <t>IB202512304274335</t>
  </si>
  <si>
    <t>C343912</t>
  </si>
  <si>
    <t>IB202512304281473</t>
  </si>
  <si>
    <t>C343920</t>
  </si>
  <si>
    <t>IB202512304298599</t>
  </si>
  <si>
    <t>C343899</t>
  </si>
  <si>
    <t>IB202512304298666</t>
  </si>
  <si>
    <t>C343907</t>
  </si>
  <si>
    <t>IB202512304301856</t>
  </si>
  <si>
    <t>C337146</t>
  </si>
  <si>
    <t>IB202512304307527</t>
  </si>
  <si>
    <t>C337156</t>
  </si>
  <si>
    <t>IB202512304307862</t>
  </si>
  <si>
    <t>C314416</t>
  </si>
  <si>
    <t>IB202512304317497</t>
  </si>
  <si>
    <t>C343884</t>
  </si>
  <si>
    <t>IB202512304325940</t>
  </si>
  <si>
    <t>C308147</t>
  </si>
  <si>
    <t>IB202512304328934</t>
  </si>
  <si>
    <t>C343898</t>
  </si>
  <si>
    <t>IB202512304330153</t>
  </si>
  <si>
    <t>C308391</t>
  </si>
  <si>
    <t>IB202512304336891</t>
  </si>
  <si>
    <t>C310944</t>
  </si>
  <si>
    <t>IB202512304340062</t>
  </si>
  <si>
    <t>C313727</t>
  </si>
  <si>
    <t>IB202512304340304</t>
  </si>
  <si>
    <t>C342162</t>
  </si>
  <si>
    <t>IB202512304344744</t>
  </si>
  <si>
    <t>IB202512304350770</t>
  </si>
  <si>
    <t>C337150</t>
  </si>
  <si>
    <t>IB202512304367154</t>
  </si>
  <si>
    <t>C312760</t>
  </si>
  <si>
    <t>IB202512304370913</t>
  </si>
  <si>
    <t>C337142</t>
  </si>
  <si>
    <t>IB202512304380254</t>
  </si>
  <si>
    <t>C343883</t>
  </si>
  <si>
    <t>IB202512304385487</t>
  </si>
  <si>
    <t>C343908</t>
  </si>
  <si>
    <t>IB202512304402221</t>
  </si>
  <si>
    <t>C337152</t>
  </si>
  <si>
    <t>IB202512304427693</t>
  </si>
  <si>
    <t>C337159</t>
  </si>
  <si>
    <t>IB202512304433975</t>
  </si>
  <si>
    <t>C343917</t>
  </si>
  <si>
    <t>IB202512304435523</t>
  </si>
  <si>
    <t>C314744</t>
  </si>
  <si>
    <t>IB202512304437502</t>
  </si>
  <si>
    <t>C311042</t>
  </si>
  <si>
    <t>IB202512304455957</t>
  </si>
  <si>
    <t>C312993</t>
  </si>
  <si>
    <t>IB202512304460027</t>
  </si>
  <si>
    <t>C343909</t>
  </si>
  <si>
    <t>IB202512304464209</t>
  </si>
  <si>
    <t>C343904</t>
  </si>
  <si>
    <t>IB202512304472519</t>
  </si>
  <si>
    <t>C320208</t>
  </si>
  <si>
    <t>IB202512304489730</t>
  </si>
  <si>
    <t>C343128</t>
  </si>
  <si>
    <t>IB202601306499127</t>
  </si>
  <si>
    <t>C337666</t>
  </si>
  <si>
    <t>IB202601306508823</t>
  </si>
  <si>
    <t>C344248</t>
  </si>
  <si>
    <t>IB202601306515768</t>
  </si>
  <si>
    <t>C319959</t>
  </si>
  <si>
    <t>IB202601306516163</t>
  </si>
  <si>
    <t>C317546</t>
  </si>
  <si>
    <t>IB202601306516388</t>
  </si>
  <si>
    <t>C344178</t>
  </si>
  <si>
    <t>IB202601306519198</t>
  </si>
  <si>
    <t>C317813</t>
  </si>
  <si>
    <t>IB202601306524308</t>
  </si>
  <si>
    <t>C310819</t>
  </si>
  <si>
    <t>IB202601306525679</t>
  </si>
  <si>
    <t>C337598</t>
  </si>
  <si>
    <t>IB202601306540843</t>
  </si>
  <si>
    <t>C308856</t>
  </si>
  <si>
    <t>IB202601306547210</t>
  </si>
  <si>
    <t>C344267</t>
  </si>
  <si>
    <t>IB202601306547932</t>
  </si>
  <si>
    <t>C307876</t>
  </si>
  <si>
    <t>IB202601306552382</t>
  </si>
  <si>
    <t>C337651</t>
  </si>
  <si>
    <t>IB202601306554298</t>
  </si>
  <si>
    <t>C315649</t>
  </si>
  <si>
    <t>IB202601306571248</t>
  </si>
  <si>
    <t>C309498</t>
  </si>
  <si>
    <t>IB202601306572632</t>
  </si>
  <si>
    <t>C311889</t>
  </si>
  <si>
    <t>IB202601306575010</t>
  </si>
  <si>
    <t>C344254</t>
  </si>
  <si>
    <t>IB202601306584205</t>
  </si>
  <si>
    <t>C344170</t>
  </si>
  <si>
    <t>IB202601306587235</t>
  </si>
  <si>
    <t>C321378</t>
  </si>
  <si>
    <t>IB202601306589197</t>
  </si>
  <si>
    <t>C091341</t>
  </si>
  <si>
    <t>IB202601306589609</t>
  </si>
  <si>
    <t>C344235</t>
  </si>
  <si>
    <t>IB202601306592571</t>
  </si>
  <si>
    <t>C310223</t>
  </si>
  <si>
    <t>IB202601306595531</t>
  </si>
  <si>
    <t>C337724</t>
  </si>
  <si>
    <t>IB202601306596269</t>
  </si>
  <si>
    <t>C344234</t>
  </si>
  <si>
    <t>IB202601306597279</t>
  </si>
  <si>
    <t>C310840</t>
  </si>
  <si>
    <t>IB202601306601887</t>
  </si>
  <si>
    <t>C337585</t>
  </si>
  <si>
    <t>IB202601306604169</t>
  </si>
  <si>
    <t>C337513</t>
  </si>
  <si>
    <t>IB202601306605329</t>
  </si>
  <si>
    <t>C344133</t>
  </si>
  <si>
    <t>IB202601306608099</t>
  </si>
  <si>
    <t>C310622</t>
  </si>
  <si>
    <t>IB202601306610709</t>
  </si>
  <si>
    <t>C344266</t>
  </si>
  <si>
    <t>IB202601306615550</t>
  </si>
  <si>
    <t>C344169</t>
  </si>
  <si>
    <t>IB202601306617380</t>
  </si>
  <si>
    <t>C314617</t>
  </si>
  <si>
    <t>IB202601306633731</t>
  </si>
  <si>
    <t>C309193</t>
  </si>
  <si>
    <t>IB202601306636839</t>
  </si>
  <si>
    <t>C344106</t>
  </si>
  <si>
    <t>IB202601306642579</t>
  </si>
  <si>
    <t>C344123</t>
  </si>
  <si>
    <t>IB202601306645421</t>
  </si>
  <si>
    <t>C344124</t>
  </si>
  <si>
    <t>IB202601306649136</t>
  </si>
  <si>
    <t>C311509</t>
  </si>
  <si>
    <t>IB202601306653008</t>
  </si>
  <si>
    <t>C337695</t>
  </si>
  <si>
    <t>IB202601306653383</t>
  </si>
  <si>
    <t>C106550</t>
  </si>
  <si>
    <t>IB202601306655616</t>
  </si>
  <si>
    <t>C320087</t>
  </si>
  <si>
    <t>IB202601306667781</t>
  </si>
  <si>
    <t>C097948</t>
  </si>
  <si>
    <t>IB202601306669949</t>
  </si>
  <si>
    <t>C344122</t>
  </si>
  <si>
    <t>IB202601306670025</t>
  </si>
  <si>
    <t>C344253</t>
  </si>
  <si>
    <t>IB202601306676393</t>
  </si>
  <si>
    <t>C117744</t>
  </si>
  <si>
    <t>IB202601306680807</t>
  </si>
  <si>
    <t>C344180</t>
  </si>
  <si>
    <t>IB202601306681622</t>
  </si>
  <si>
    <t>C342903</t>
  </si>
  <si>
    <t>IB202601306683653</t>
  </si>
  <si>
    <t>C344107</t>
  </si>
  <si>
    <t>IB202601306700140</t>
  </si>
  <si>
    <t>C340449</t>
  </si>
  <si>
    <t>IB202601306701815</t>
  </si>
  <si>
    <t>C344158</t>
  </si>
  <si>
    <t>IB202601306703078</t>
  </si>
  <si>
    <t>C344120</t>
  </si>
  <si>
    <t>IB202601306712111</t>
  </si>
  <si>
    <t>C337553</t>
  </si>
  <si>
    <t>IB202601306712989</t>
  </si>
  <si>
    <t>C344309</t>
  </si>
  <si>
    <t>IB202601306714973</t>
  </si>
  <si>
    <t>C313553</t>
  </si>
  <si>
    <t>IB202601306722820</t>
  </si>
  <si>
    <t>C316556</t>
  </si>
  <si>
    <t>IB202601306723430</t>
  </si>
  <si>
    <t>C313419</t>
  </si>
  <si>
    <t>IB202601306725753</t>
  </si>
  <si>
    <t>C344217</t>
  </si>
  <si>
    <t>IB202601306725834</t>
  </si>
  <si>
    <t>C344250</t>
  </si>
  <si>
    <t>IB202601306728897</t>
  </si>
  <si>
    <t>C090909</t>
  </si>
  <si>
    <t>IB202601306733943</t>
  </si>
  <si>
    <t>C344179</t>
  </si>
  <si>
    <t>IB202601306749932</t>
  </si>
  <si>
    <t>C344157</t>
  </si>
  <si>
    <t>IB202601306754581</t>
  </si>
  <si>
    <t>C320293</t>
  </si>
  <si>
    <t>IB202601306754656</t>
  </si>
  <si>
    <t>C313009</t>
  </si>
  <si>
    <t>IB202601306755184</t>
  </si>
  <si>
    <t>C344249</t>
  </si>
  <si>
    <t>IB202601306756417</t>
  </si>
  <si>
    <t>C121014</t>
  </si>
  <si>
    <t>IB202601306756824</t>
  </si>
  <si>
    <t>C342277</t>
  </si>
  <si>
    <t>IB202601306762754</t>
  </si>
  <si>
    <t>C344308</t>
  </si>
  <si>
    <t>IB202601306763052</t>
  </si>
  <si>
    <t>C309987</t>
  </si>
  <si>
    <t>IB202601306763088</t>
  </si>
  <si>
    <t>C319981</t>
  </si>
  <si>
    <t>IB202601306763110</t>
  </si>
  <si>
    <t>C344197</t>
  </si>
  <si>
    <t>IB202601306770214</t>
  </si>
  <si>
    <t>C311536</t>
  </si>
  <si>
    <t>IB202601306772014</t>
  </si>
  <si>
    <t>C344347</t>
  </si>
  <si>
    <t>IB202601306777816</t>
  </si>
  <si>
    <t>C344224</t>
  </si>
  <si>
    <t>IB202601306793846</t>
  </si>
  <si>
    <t>C344104</t>
  </si>
  <si>
    <t>IB202601306798088</t>
  </si>
  <si>
    <t>C307157</t>
  </si>
  <si>
    <t>IB202601306803281</t>
  </si>
  <si>
    <t>C315995</t>
  </si>
  <si>
    <t>IB202601306806592</t>
  </si>
  <si>
    <t>C313852</t>
  </si>
  <si>
    <t>IB202601306808193</t>
  </si>
  <si>
    <t>C128693</t>
  </si>
  <si>
    <t>IB202601306813042</t>
  </si>
  <si>
    <t>C319990</t>
  </si>
  <si>
    <t>IB202601306815633</t>
  </si>
  <si>
    <t>C313872</t>
  </si>
  <si>
    <t>IB202601306822300</t>
  </si>
  <si>
    <t>C311511</t>
  </si>
  <si>
    <t>IB202601306828837</t>
  </si>
  <si>
    <t>C320310</t>
  </si>
  <si>
    <t>IB202601306838187</t>
  </si>
  <si>
    <t>C344283</t>
  </si>
  <si>
    <t>IB202601306841574</t>
  </si>
  <si>
    <t>C307468</t>
  </si>
  <si>
    <t>IB202601306845790</t>
  </si>
  <si>
    <t>C344144</t>
  </si>
  <si>
    <t>IB202601306878293</t>
  </si>
  <si>
    <t>C344245</t>
  </si>
  <si>
    <t>IB202601306881336</t>
  </si>
  <si>
    <t>C117784</t>
  </si>
  <si>
    <t>IB202601306893734</t>
  </si>
  <si>
    <t>C344195</t>
  </si>
  <si>
    <t>IB202601306897143</t>
  </si>
  <si>
    <t>C309505</t>
  </si>
  <si>
    <t>IB202601306897526</t>
  </si>
  <si>
    <t>C311065</t>
  </si>
  <si>
    <t>IB202601306900548</t>
  </si>
  <si>
    <t>C314452</t>
  </si>
  <si>
    <t>IB202601306903745</t>
  </si>
  <si>
    <t>C344263</t>
  </si>
  <si>
    <t>IB202601306908313</t>
  </si>
  <si>
    <t>C344159</t>
  </si>
  <si>
    <t>IB202601306911462</t>
  </si>
  <si>
    <t>C009367</t>
  </si>
  <si>
    <t>IB202601306912260</t>
  </si>
  <si>
    <t>C344128</t>
  </si>
  <si>
    <t>IB202601306912469</t>
  </si>
  <si>
    <t>C310804</t>
  </si>
  <si>
    <t>IB202601306913971</t>
  </si>
  <si>
    <t>C344203</t>
  </si>
  <si>
    <t>IB202601306929223</t>
  </si>
  <si>
    <t>C344214</t>
  </si>
  <si>
    <t>IB202601306929822</t>
  </si>
  <si>
    <t>C337608</t>
  </si>
  <si>
    <t>IB202601306933128</t>
  </si>
  <si>
    <t>C312189</t>
  </si>
  <si>
    <t>IB202601306934757</t>
  </si>
  <si>
    <t>C337682</t>
  </si>
  <si>
    <t>IB202601306941451</t>
  </si>
  <si>
    <t>C344302</t>
  </si>
  <si>
    <t>IB202601306949732</t>
  </si>
  <si>
    <t>C344129</t>
  </si>
  <si>
    <t>IB202601306950838</t>
  </si>
  <si>
    <t>C312142</t>
  </si>
  <si>
    <t>IB202601306955951</t>
  </si>
  <si>
    <t>C309635</t>
  </si>
  <si>
    <t>IB202601306967858</t>
  </si>
  <si>
    <t>C315061</t>
  </si>
  <si>
    <t>IB202601306967864</t>
  </si>
  <si>
    <t>C311263</t>
  </si>
  <si>
    <t>IB202601306969431</t>
  </si>
  <si>
    <t>C301000</t>
  </si>
  <si>
    <t>IB202601306978224</t>
  </si>
  <si>
    <t>C320294</t>
  </si>
  <si>
    <t>IB202601306978337</t>
  </si>
  <si>
    <t>C312230</t>
  </si>
  <si>
    <t>IB202601306978395</t>
  </si>
  <si>
    <t>C300414</t>
  </si>
  <si>
    <t>IB202601306979682</t>
  </si>
  <si>
    <t>C344257</t>
  </si>
  <si>
    <t>IB202601306981856</t>
  </si>
  <si>
    <t>C344259</t>
  </si>
  <si>
    <t>IB202601306987171</t>
  </si>
  <si>
    <t>C344278</t>
  </si>
  <si>
    <t>IB202601306988050</t>
  </si>
  <si>
    <t>C314038</t>
  </si>
  <si>
    <t>IB202601306990324</t>
  </si>
  <si>
    <t>C344171</t>
  </si>
  <si>
    <t>IB202601306990741</t>
  </si>
  <si>
    <t>C319974</t>
  </si>
  <si>
    <t>IB202601307000688</t>
  </si>
  <si>
    <t>C344258</t>
  </si>
  <si>
    <t>IB202601307004463</t>
  </si>
  <si>
    <t>C337721</t>
  </si>
  <si>
    <t>IB202601307004486</t>
  </si>
  <si>
    <t>C337549</t>
  </si>
  <si>
    <t>IB202601307007159</t>
  </si>
  <si>
    <t>C344228</t>
  </si>
  <si>
    <t>IB202601307010526</t>
  </si>
  <si>
    <t>C344208</t>
  </si>
  <si>
    <t>IB202601307012725</t>
  </si>
  <si>
    <t>C344132</t>
  </si>
  <si>
    <t>IB202601307012873</t>
  </si>
  <si>
    <t>C337670</t>
  </si>
  <si>
    <t>IB202601307015552</t>
  </si>
  <si>
    <t>C317783</t>
  </si>
  <si>
    <t>IB202601307020727</t>
  </si>
  <si>
    <t>C309637</t>
  </si>
  <si>
    <t>IB202601307029416</t>
  </si>
  <si>
    <t>C314210</t>
  </si>
  <si>
    <t>IB202601307030258</t>
  </si>
  <si>
    <t>C344277</t>
  </si>
  <si>
    <t>IB202601307043734</t>
  </si>
  <si>
    <t>C320282</t>
  </si>
  <si>
    <t>IB202601307053058</t>
  </si>
  <si>
    <t>C337545</t>
  </si>
  <si>
    <t>IB202601307053652</t>
  </si>
  <si>
    <t>C344172</t>
  </si>
  <si>
    <t>IB202601307055194</t>
  </si>
  <si>
    <t>C337528</t>
  </si>
  <si>
    <t>IB202601307057958</t>
  </si>
  <si>
    <t>C344220</t>
  </si>
  <si>
    <t>IB202601307058010</t>
  </si>
  <si>
    <t>C317779</t>
  </si>
  <si>
    <t>IB202601307065338</t>
  </si>
  <si>
    <t>C320322</t>
  </si>
  <si>
    <t>IB202601307068265</t>
  </si>
  <si>
    <t>C344279</t>
  </si>
  <si>
    <t>IB202601307073600</t>
  </si>
  <si>
    <t>C344261</t>
  </si>
  <si>
    <t>IB202601307075584</t>
  </si>
  <si>
    <t>C344272</t>
  </si>
  <si>
    <t>IB202601307077091</t>
  </si>
  <si>
    <t>C344174</t>
  </si>
  <si>
    <t>IB202601307079883</t>
  </si>
  <si>
    <t>C312889</t>
  </si>
  <si>
    <t>IB202601307081654</t>
  </si>
  <si>
    <t>C344260</t>
  </si>
  <si>
    <t>IB202601307081674</t>
  </si>
  <si>
    <t>C313061</t>
  </si>
  <si>
    <t>IB202601307089267</t>
  </si>
  <si>
    <t>C344280</t>
  </si>
  <si>
    <t>IB202601307091316</t>
  </si>
  <si>
    <t>C310090</t>
  </si>
  <si>
    <t>IB202601307097605</t>
  </si>
  <si>
    <t>C320317</t>
  </si>
  <si>
    <t>IB202601307100742</t>
  </si>
  <si>
    <t>C344173</t>
  </si>
  <si>
    <t>IB202601307110939</t>
  </si>
  <si>
    <t>C344230</t>
  </si>
  <si>
    <t>IB202601307113896</t>
  </si>
  <si>
    <t>C344221</t>
  </si>
  <si>
    <t>IB202601307115344</t>
  </si>
  <si>
    <t>C344222</t>
  </si>
  <si>
    <t>IB202601307122859</t>
  </si>
  <si>
    <t>C311085</t>
  </si>
  <si>
    <t>IB202601307127619</t>
  </si>
  <si>
    <t>C320296</t>
  </si>
  <si>
    <t>IB202601307127623</t>
  </si>
  <si>
    <t>C344229</t>
  </si>
  <si>
    <t>IB202601307132586</t>
  </si>
  <si>
    <t>C344307</t>
  </si>
  <si>
    <t>IB202601307143785</t>
  </si>
  <si>
    <t>C320041</t>
  </si>
  <si>
    <t>IB202601307150862</t>
  </si>
  <si>
    <t>C319970</t>
  </si>
  <si>
    <t>IB202601307151277</t>
  </si>
  <si>
    <t>C344305</t>
  </si>
  <si>
    <t>IB202601307157949</t>
  </si>
  <si>
    <t>C119725</t>
  </si>
  <si>
    <t>IB202601307165374</t>
  </si>
  <si>
    <t>C089131</t>
  </si>
  <si>
    <t>IB202601307172545</t>
  </si>
  <si>
    <t>C313983</t>
  </si>
  <si>
    <t>IB202601307174634</t>
  </si>
  <si>
    <t>C314347</t>
  </si>
  <si>
    <t>IB202601307180084</t>
  </si>
  <si>
    <t>C344196</t>
  </si>
  <si>
    <t>IB202601307181633</t>
  </si>
  <si>
    <t>C320518</t>
  </si>
  <si>
    <t>IB202601307188960</t>
  </si>
  <si>
    <t>C307110</t>
  </si>
  <si>
    <t>IB202601307190525</t>
  </si>
  <si>
    <t>C344306</t>
  </si>
  <si>
    <t>IB202601307195348</t>
  </si>
  <si>
    <t>C344099</t>
  </si>
  <si>
    <t>IB202601307207645</t>
  </si>
  <si>
    <t>C321195</t>
  </si>
  <si>
    <t>IB202601307208720</t>
  </si>
  <si>
    <t>C344156</t>
  </si>
  <si>
    <t>IB202601307211369</t>
  </si>
  <si>
    <t>C320252</t>
  </si>
  <si>
    <t>IB202601307213496</t>
  </si>
  <si>
    <t>C337522</t>
  </si>
  <si>
    <t>IB202601307213872</t>
  </si>
  <si>
    <t>C309902</t>
  </si>
  <si>
    <t>IB202601307215667</t>
  </si>
  <si>
    <t>C344239</t>
  </si>
  <si>
    <t>IB202601307219003</t>
  </si>
  <si>
    <t>C117844</t>
  </si>
  <si>
    <t>IB202601307224552</t>
  </si>
  <si>
    <t>C344131</t>
  </si>
  <si>
    <t>IB202601307225415</t>
  </si>
  <si>
    <t>C344215</t>
  </si>
  <si>
    <t>IB202601307230061</t>
  </si>
  <si>
    <t>C124130</t>
  </si>
  <si>
    <t>IB202601307239124</t>
  </si>
  <si>
    <t>C307796</t>
  </si>
  <si>
    <t>IB202601307243255</t>
  </si>
  <si>
    <t>C344207</t>
  </si>
  <si>
    <t>IB202601307247069</t>
  </si>
  <si>
    <t>C312458</t>
  </si>
  <si>
    <t>IB202601307255817</t>
  </si>
  <si>
    <t>C344206</t>
  </si>
  <si>
    <t>IB202601307266662</t>
  </si>
  <si>
    <t>C344162</t>
  </si>
  <si>
    <t>IB202601307266859</t>
  </si>
  <si>
    <t>C320246</t>
  </si>
  <si>
    <t>IB202601307267866</t>
  </si>
  <si>
    <t>C313812</t>
  </si>
  <si>
    <t>IB202601307272042</t>
  </si>
  <si>
    <t>C344256</t>
  </si>
  <si>
    <t>IB202601307274447</t>
  </si>
  <si>
    <t>C312348</t>
  </si>
  <si>
    <t>IB202601307278069</t>
  </si>
  <si>
    <t>C337605</t>
  </si>
  <si>
    <t>IB202601307280195</t>
  </si>
  <si>
    <t>C310317</t>
  </si>
  <si>
    <t>IB202601307281941</t>
  </si>
  <si>
    <t>C344265</t>
  </si>
  <si>
    <t>IB202601307282254</t>
  </si>
  <si>
    <t>C320271</t>
  </si>
  <si>
    <t>IB202601307285836</t>
  </si>
  <si>
    <t>C307882</t>
  </si>
  <si>
    <t>IB202601307294411</t>
  </si>
  <si>
    <t>C344130</t>
  </si>
  <si>
    <t>IB202601307295077</t>
  </si>
  <si>
    <t>C308271</t>
  </si>
  <si>
    <t>IB202601307298571</t>
  </si>
  <si>
    <t>C344216</t>
  </si>
  <si>
    <t>IB202601307299916</t>
  </si>
  <si>
    <t>C344303</t>
  </si>
  <si>
    <t>IB202601307307644</t>
  </si>
  <si>
    <t>C344304</t>
  </si>
  <si>
    <t>IB202601307308280</t>
  </si>
  <si>
    <t>C307242</t>
  </si>
  <si>
    <t>IB202601307315254</t>
  </si>
  <si>
    <t>C311054</t>
  </si>
  <si>
    <t>IB202601307322410</t>
  </si>
  <si>
    <t>C344255</t>
  </si>
  <si>
    <t>IB202601307322481</t>
  </si>
  <si>
    <t>C311408</t>
  </si>
  <si>
    <t>IB202601307330865</t>
  </si>
  <si>
    <t>C314403</t>
  </si>
  <si>
    <t>IB202601307333096</t>
  </si>
  <si>
    <t>C344204</t>
  </si>
  <si>
    <t>IB202601307335960</t>
  </si>
  <si>
    <t>C042232</t>
  </si>
  <si>
    <t>IB202601307337185</t>
  </si>
  <si>
    <t>C312171</t>
  </si>
  <si>
    <t>IB202601307337953</t>
  </si>
  <si>
    <t>C344140</t>
  </si>
  <si>
    <t>IB202601307342428</t>
  </si>
  <si>
    <t>C313018</t>
  </si>
  <si>
    <t>IB202601307348558</t>
  </si>
  <si>
    <t>C344205</t>
  </si>
  <si>
    <t>IB202601307349757</t>
  </si>
  <si>
    <t>C344264</t>
  </si>
  <si>
    <t>IB202601307351915</t>
  </si>
  <si>
    <t>C337527</t>
  </si>
  <si>
    <t>IB202601307360761</t>
  </si>
  <si>
    <t>C313730</t>
  </si>
  <si>
    <t>IB202601307361115</t>
  </si>
  <si>
    <t>C320245</t>
  </si>
  <si>
    <t>IB202601307365488</t>
  </si>
  <si>
    <t>C307598</t>
  </si>
  <si>
    <t>IB202601307368953</t>
  </si>
  <si>
    <t>C311884</t>
  </si>
  <si>
    <t>IB202601307377699</t>
  </si>
  <si>
    <t>C321389</t>
  </si>
  <si>
    <t>IB202601307380242</t>
  </si>
  <si>
    <t>C122055</t>
  </si>
  <si>
    <t>IB202601307383863</t>
  </si>
  <si>
    <t>C344160</t>
  </si>
  <si>
    <t>IB202601307387255</t>
  </si>
  <si>
    <t>C314180</t>
  </si>
  <si>
    <t>IB202601307389294</t>
  </si>
  <si>
    <t>C312763</t>
  </si>
  <si>
    <t>IB202601307395159</t>
  </si>
  <si>
    <t>C344161</t>
  </si>
  <si>
    <t>IB202601307396324</t>
  </si>
  <si>
    <t>C344141</t>
  </si>
  <si>
    <t>IB202601307406328</t>
  </si>
  <si>
    <t>C344102</t>
  </si>
  <si>
    <t>IB202601307416180</t>
  </si>
  <si>
    <t>C321090</t>
  </si>
  <si>
    <t>IB202601307418961</t>
  </si>
  <si>
    <t>C344103</t>
  </si>
  <si>
    <t>IB202601307430224</t>
  </si>
  <si>
    <t>C344233</t>
  </si>
  <si>
    <t>IB202601307431118</t>
  </si>
  <si>
    <t>C121913</t>
  </si>
  <si>
    <t>IB202601307437418</t>
  </si>
  <si>
    <t>C307596</t>
  </si>
  <si>
    <t>IB202601307448494</t>
  </si>
  <si>
    <t>C344276</t>
  </si>
  <si>
    <t>IB202601307451288</t>
  </si>
  <si>
    <t>C344282</t>
  </si>
  <si>
    <t>IB202601307453139</t>
  </si>
  <si>
    <t>C309918</t>
  </si>
  <si>
    <t>IB202601307457233</t>
  </si>
  <si>
    <t>C344101</t>
  </si>
  <si>
    <t>IB202601307458789</t>
  </si>
  <si>
    <t>C344232</t>
  </si>
  <si>
    <t>IB202601307468334</t>
  </si>
  <si>
    <t>C121009</t>
  </si>
  <si>
    <t>IB202601307470906</t>
  </si>
  <si>
    <t>C313188</t>
  </si>
  <si>
    <t>IB202601307473230</t>
  </si>
  <si>
    <t>C310328</t>
  </si>
  <si>
    <t>IB202601307475618</t>
  </si>
  <si>
    <t>C344275</t>
  </si>
  <si>
    <t>IB202601307487600</t>
  </si>
  <si>
    <t>C317294</t>
  </si>
  <si>
    <t>IB202601307493128</t>
  </si>
  <si>
    <t>C122498</t>
  </si>
  <si>
    <t>IB202601307493684</t>
  </si>
  <si>
    <t>C313993</t>
  </si>
  <si>
    <t>IB202601307495091</t>
  </si>
  <si>
    <t>C344100</t>
  </si>
  <si>
    <t>IB202601307495592</t>
  </si>
  <si>
    <t>C344281</t>
  </si>
  <si>
    <t>IB202601307495660</t>
  </si>
  <si>
    <t>C314324</t>
  </si>
  <si>
    <t>IB202601307497139</t>
  </si>
  <si>
    <t>C056092</t>
  </si>
  <si>
    <t>IB202601307500461</t>
  </si>
  <si>
    <t>C344223</t>
  </si>
  <si>
    <t>IB202601307507291</t>
  </si>
  <si>
    <t>C337711</t>
  </si>
  <si>
    <t>IB202601307507479</t>
  </si>
  <si>
    <t>C344273</t>
  </si>
  <si>
    <t>IB202601307507763</t>
  </si>
  <si>
    <t>C310034</t>
  </si>
  <si>
    <t>IB202601307515168</t>
  </si>
  <si>
    <t>C117852</t>
  </si>
  <si>
    <t>IB202601307515447</t>
  </si>
  <si>
    <t>C307354</t>
  </si>
  <si>
    <t>IB202601307516867</t>
  </si>
  <si>
    <t>C310541</t>
  </si>
  <si>
    <t>IB202601307521087</t>
  </si>
  <si>
    <t>C016875</t>
  </si>
  <si>
    <t>IB202601307523628</t>
  </si>
  <si>
    <t>C344176</t>
  </si>
  <si>
    <t>IB202601307530325</t>
  </si>
  <si>
    <t>C314986</t>
  </si>
  <si>
    <t>IB202601307535694</t>
  </si>
  <si>
    <t>C344152</t>
  </si>
  <si>
    <t>IB202601307536350</t>
  </si>
  <si>
    <t>C344274</t>
  </si>
  <si>
    <t>IB202601307540341</t>
  </si>
  <si>
    <t>C310575</t>
  </si>
  <si>
    <t>IB202601307544414</t>
  </si>
  <si>
    <t>C314967</t>
  </si>
  <si>
    <t>IB202601307545588</t>
  </si>
  <si>
    <t>C344143</t>
  </si>
  <si>
    <t>IB202601307554883</t>
  </si>
  <si>
    <t>C344177</t>
  </si>
  <si>
    <t>IB202601307555038</t>
  </si>
  <si>
    <t>C307304</t>
  </si>
  <si>
    <t>IB202601307555238</t>
  </si>
  <si>
    <t>C337624</t>
  </si>
  <si>
    <t>IB202601307564959</t>
  </si>
  <si>
    <t>C344150</t>
  </si>
  <si>
    <t>IB202601307569658</t>
  </si>
  <si>
    <t>C344175</t>
  </si>
  <si>
    <t>IB202601307572378</t>
  </si>
  <si>
    <t>C344231</t>
  </si>
  <si>
    <t>IB202601307576806</t>
  </si>
  <si>
    <t>C344142</t>
  </si>
  <si>
    <t>IB202601307577785</t>
  </si>
  <si>
    <t>C344151</t>
  </si>
  <si>
    <t>IB202601307577944</t>
  </si>
  <si>
    <t>C309824</t>
  </si>
  <si>
    <t>IB202601307579469</t>
  </si>
  <si>
    <t>C118868</t>
  </si>
  <si>
    <t>IB202601307580928</t>
  </si>
  <si>
    <t>C344296</t>
  </si>
  <si>
    <t>IB202601307583899</t>
  </si>
  <si>
    <t>C118493</t>
  </si>
  <si>
    <t>IB202601307594997</t>
  </si>
  <si>
    <t>C344166</t>
  </si>
  <si>
    <t>IB202601307609621</t>
  </si>
  <si>
    <t>C308308</t>
  </si>
  <si>
    <t>IB202601307610535</t>
  </si>
  <si>
    <t>C344112</t>
  </si>
  <si>
    <t>IB202601307614662</t>
  </si>
  <si>
    <t>C344300</t>
  </si>
  <si>
    <t>IB202601307616709</t>
  </si>
  <si>
    <t>C344238</t>
  </si>
  <si>
    <t>IB202601307621961</t>
  </si>
  <si>
    <t>C310979</t>
  </si>
  <si>
    <t>IB202601307628317</t>
  </si>
  <si>
    <t>C309924</t>
  </si>
  <si>
    <t>IB202601307632175</t>
  </si>
  <si>
    <t>C344155</t>
  </si>
  <si>
    <t>IB202601307632784</t>
  </si>
  <si>
    <t>C307507</t>
  </si>
  <si>
    <t>IB202601307633577</t>
  </si>
  <si>
    <t>C344165</t>
  </si>
  <si>
    <t>IB202601307637337</t>
  </si>
  <si>
    <t>C312120</t>
  </si>
  <si>
    <t>IB202601307639155</t>
  </si>
  <si>
    <t>C344294</t>
  </si>
  <si>
    <t>IB202601307668322</t>
  </si>
  <si>
    <t>C344293</t>
  </si>
  <si>
    <t>IB202601307669581</t>
  </si>
  <si>
    <t>C344292</t>
  </si>
  <si>
    <t>IB202601307669721</t>
  </si>
  <si>
    <t>C311501</t>
  </si>
  <si>
    <t>IB202601307681851</t>
  </si>
  <si>
    <t>C344163</t>
  </si>
  <si>
    <t>IB202601307684204</t>
  </si>
  <si>
    <t>C344105</t>
  </si>
  <si>
    <t>IB202601307692815</t>
  </si>
  <si>
    <t>C320188</t>
  </si>
  <si>
    <t>IB202601307695316</t>
  </si>
  <si>
    <t>C309096</t>
  </si>
  <si>
    <t>IB202601307720121</t>
  </si>
  <si>
    <t>C308170</t>
  </si>
  <si>
    <t>IB202601307727826</t>
  </si>
  <si>
    <t>C311704</t>
  </si>
  <si>
    <t>IB202601307730544</t>
  </si>
  <si>
    <t>C307643</t>
  </si>
  <si>
    <t>IB202601307738594</t>
  </si>
  <si>
    <t>C344246</t>
  </si>
  <si>
    <t>IB202601307748494</t>
  </si>
  <si>
    <t>C118160</t>
  </si>
  <si>
    <t>IB202601307750014</t>
  </si>
  <si>
    <t>C320530</t>
  </si>
  <si>
    <t>IB202601307759208</t>
  </si>
  <si>
    <t>C314438</t>
  </si>
  <si>
    <t>IB202601307768064</t>
  </si>
  <si>
    <t>C308772</t>
  </si>
  <si>
    <t>IB202601307770568</t>
  </si>
  <si>
    <t>C314494</t>
  </si>
  <si>
    <t>IB202601307774132</t>
  </si>
  <si>
    <t>C322508</t>
  </si>
  <si>
    <t>IB202601307780619</t>
  </si>
  <si>
    <t>C311450</t>
  </si>
  <si>
    <t>IB202601307785037</t>
  </si>
  <si>
    <t>C344299</t>
  </si>
  <si>
    <t>IB202601307793187</t>
  </si>
  <si>
    <t>C344154</t>
  </si>
  <si>
    <t>IB202601307796150</t>
  </si>
  <si>
    <t>C002792</t>
  </si>
  <si>
    <t>IB202601307797038</t>
  </si>
  <si>
    <t>C310564</t>
  </si>
  <si>
    <t>IB202601307802089</t>
  </si>
  <si>
    <t>C344111</t>
  </si>
  <si>
    <t>IB202601307803786</t>
  </si>
  <si>
    <t>C314690</t>
  </si>
  <si>
    <t>IB202601307809314</t>
  </si>
  <si>
    <t>C337552</t>
  </si>
  <si>
    <t>IB202601307812705</t>
  </si>
  <si>
    <t>C320318</t>
  </si>
  <si>
    <t>IB202601307812912</t>
  </si>
  <si>
    <t>C307921</t>
  </si>
  <si>
    <t>IB202601307817002</t>
  </si>
  <si>
    <t>C344187</t>
  </si>
  <si>
    <t>IB202601307822953</t>
  </si>
  <si>
    <t>C344186</t>
  </si>
  <si>
    <t>IB202601307823185</t>
  </si>
  <si>
    <t>C312441</t>
  </si>
  <si>
    <t>IB202601307825703</t>
  </si>
  <si>
    <t>C315027</t>
  </si>
  <si>
    <t>IB202601307832578</t>
  </si>
  <si>
    <t>C344185</t>
  </si>
  <si>
    <t>IB202601307840877</t>
  </si>
  <si>
    <t>C316522</t>
  </si>
  <si>
    <t>IB202601307847853</t>
  </si>
  <si>
    <t>C314978</t>
  </si>
  <si>
    <t>IB202601307852880</t>
  </si>
  <si>
    <t>C123185</t>
  </si>
  <si>
    <t>IB202601307858658</t>
  </si>
  <si>
    <t>IN18932</t>
  </si>
  <si>
    <t>IB202601307860580</t>
  </si>
  <si>
    <t>C344297</t>
  </si>
  <si>
    <t>IB202601307862724</t>
  </si>
  <si>
    <t>C313890</t>
  </si>
  <si>
    <t>IB202601307868166</t>
  </si>
  <si>
    <t>C344164</t>
  </si>
  <si>
    <t>IB202601307868990</t>
  </si>
  <si>
    <t>C309998</t>
  </si>
  <si>
    <t>IB202601307871245</t>
  </si>
  <si>
    <t>C344295</t>
  </si>
  <si>
    <t>IB202601307874504</t>
  </si>
  <si>
    <t>C315074</t>
  </si>
  <si>
    <t>IB202601307876782</t>
  </si>
  <si>
    <t>C313631</t>
  </si>
  <si>
    <t>IB202601307878808</t>
  </si>
  <si>
    <t>C314344</t>
  </si>
  <si>
    <t>IB202601307883576</t>
  </si>
  <si>
    <t>C117764</t>
  </si>
  <si>
    <t>IB202601307889401</t>
  </si>
  <si>
    <t>C344298</t>
  </si>
  <si>
    <t>IB202601307891135</t>
  </si>
  <si>
    <t>C344153</t>
  </si>
  <si>
    <t>IB202601307897778</t>
  </si>
  <si>
    <t>C316391</t>
  </si>
  <si>
    <t>IB202601307904352</t>
  </si>
  <si>
    <t>C344193</t>
  </si>
  <si>
    <t>IB202601307906906</t>
  </si>
  <si>
    <t>C120965</t>
  </si>
  <si>
    <t>IB202601307914889</t>
  </si>
  <si>
    <t>C314970</t>
  </si>
  <si>
    <t>IB202601307915434</t>
  </si>
  <si>
    <t>C320016</t>
  </si>
  <si>
    <t>IB202601307921801</t>
  </si>
  <si>
    <t>C344244</t>
  </si>
  <si>
    <t>IB202601307924683</t>
  </si>
  <si>
    <t>C307060</t>
  </si>
  <si>
    <t>IB202601307928160</t>
  </si>
  <si>
    <t>C344194</t>
  </si>
  <si>
    <t>IB202601307931961</t>
  </si>
  <si>
    <t>C337645</t>
  </si>
  <si>
    <t>IB202601307937354</t>
  </si>
  <si>
    <t>C321164</t>
  </si>
  <si>
    <t>IB202601307945501</t>
  </si>
  <si>
    <t>C129666</t>
  </si>
  <si>
    <t>IB202601307946431</t>
  </si>
  <si>
    <t>C336881</t>
  </si>
  <si>
    <t>IB202601307947350</t>
  </si>
  <si>
    <t>C337646</t>
  </si>
  <si>
    <t>IB202601307952009</t>
  </si>
  <si>
    <t>C344301</t>
  </si>
  <si>
    <t>IB202601307960193</t>
  </si>
  <si>
    <t>C344243</t>
  </si>
  <si>
    <t>IB202601307965218</t>
  </si>
  <si>
    <t>C344213</t>
  </si>
  <si>
    <t>IB202601307966315</t>
  </si>
  <si>
    <t>C344212</t>
  </si>
  <si>
    <t>IB202601307969749</t>
  </si>
  <si>
    <t>C344291</t>
  </si>
  <si>
    <t>IB202601307976646</t>
  </si>
  <si>
    <t>C313430</t>
  </si>
  <si>
    <t>IB202601307984690</t>
  </si>
  <si>
    <t>C308916</t>
  </si>
  <si>
    <t>IB202601307991233</t>
  </si>
  <si>
    <t>C314934</t>
  </si>
  <si>
    <t>IB202601307997489</t>
  </si>
  <si>
    <t>C344183</t>
  </si>
  <si>
    <t>IB202601308005352</t>
  </si>
  <si>
    <t>C344284</t>
  </si>
  <si>
    <t>IB202601308006460</t>
  </si>
  <si>
    <t>C317119</t>
  </si>
  <si>
    <t>IB202601308007051</t>
  </si>
  <si>
    <t>C344285</t>
  </si>
  <si>
    <t>IB202601308007943</t>
  </si>
  <si>
    <t>C344145</t>
  </si>
  <si>
    <t>IB202601308008238</t>
  </si>
  <si>
    <t>C311826</t>
  </si>
  <si>
    <t>IB202601308012909</t>
  </si>
  <si>
    <t>C344184</t>
  </si>
  <si>
    <t>IB202601308015954</t>
  </si>
  <si>
    <t>C320295</t>
  </si>
  <si>
    <t>IB202601308018337</t>
  </si>
  <si>
    <t>C344286</t>
  </si>
  <si>
    <t>IB202601308018868</t>
  </si>
  <si>
    <t>C310214</t>
  </si>
  <si>
    <t>IB202601308029548</t>
  </si>
  <si>
    <t>C344191</t>
  </si>
  <si>
    <t>IB202601308030761</t>
  </si>
  <si>
    <t>S003009</t>
  </si>
  <si>
    <t>IB202601308033813</t>
  </si>
  <si>
    <t>C344227</t>
  </si>
  <si>
    <t>IB202601308036463</t>
  </si>
  <si>
    <t>C344190</t>
  </si>
  <si>
    <t>IB202601308037393</t>
  </si>
  <si>
    <t>C126789</t>
  </si>
  <si>
    <t>IB202601308042346</t>
  </si>
  <si>
    <t>C091384</t>
  </si>
  <si>
    <t>IB202601308046202</t>
  </si>
  <si>
    <t>C344146</t>
  </si>
  <si>
    <t>IB202601308061841</t>
  </si>
  <si>
    <t>C308519</t>
  </si>
  <si>
    <t>IB202601308062669</t>
  </si>
  <si>
    <t>C337615</t>
  </si>
  <si>
    <t>IB202601308072760</t>
  </si>
  <si>
    <t>C322844</t>
  </si>
  <si>
    <t>IB202601308094547</t>
  </si>
  <si>
    <t>C344147</t>
  </si>
  <si>
    <t>IB202601308103176</t>
  </si>
  <si>
    <t>C314392</t>
  </si>
  <si>
    <t>IB202601308108280</t>
  </si>
  <si>
    <t>C307070</t>
  </si>
  <si>
    <t>IB202601308110803</t>
  </si>
  <si>
    <t>C316033</t>
  </si>
  <si>
    <t>IB202601308110985</t>
  </si>
  <si>
    <t>C310161</t>
  </si>
  <si>
    <t>IB202601308112816</t>
  </si>
  <si>
    <t>C320314</t>
  </si>
  <si>
    <t>IB202601308113700</t>
  </si>
  <si>
    <t>C314230</t>
  </si>
  <si>
    <t>IB202601308120198</t>
  </si>
  <si>
    <t>C337672</t>
  </si>
  <si>
    <t>IB202601308122285</t>
  </si>
  <si>
    <t>C337562</t>
  </si>
  <si>
    <t>IB202601308123811</t>
  </si>
  <si>
    <t>C344126</t>
  </si>
  <si>
    <t>IB202601308127399</t>
  </si>
  <si>
    <t>C302881</t>
  </si>
  <si>
    <t>IB202601308134353</t>
  </si>
  <si>
    <t>C337569</t>
  </si>
  <si>
    <t>IB202601308135192</t>
  </si>
  <si>
    <t>C130350</t>
  </si>
  <si>
    <t>IB202601308139385</t>
  </si>
  <si>
    <t>C315944</t>
  </si>
  <si>
    <t>IB202601308139386</t>
  </si>
  <si>
    <t>C312145</t>
  </si>
  <si>
    <t>IB202601308140250</t>
  </si>
  <si>
    <t>C310252</t>
  </si>
  <si>
    <t>IB202601308142061</t>
  </si>
  <si>
    <t>C322009</t>
  </si>
  <si>
    <t>IB202601308149155</t>
  </si>
  <si>
    <t>C308425</t>
  </si>
  <si>
    <t>IB202601308157222</t>
  </si>
  <si>
    <t>C120109</t>
  </si>
  <si>
    <t>IB202601308163479</t>
  </si>
  <si>
    <t>C344127</t>
  </si>
  <si>
    <t>IB202601308170934</t>
  </si>
  <si>
    <t>C314270</t>
  </si>
  <si>
    <t>IB202601308179079</t>
  </si>
  <si>
    <t>C313310</t>
  </si>
  <si>
    <t>IB202601308180438</t>
  </si>
  <si>
    <t>C320297</t>
  </si>
  <si>
    <t>IB202601308186155</t>
  </si>
  <si>
    <t>C344113</t>
  </si>
  <si>
    <t>IB202601308186189</t>
  </si>
  <si>
    <t>C320545</t>
  </si>
  <si>
    <t>IB202601308186627</t>
  </si>
  <si>
    <t>C337679</t>
  </si>
  <si>
    <t>IB202601308187894</t>
  </si>
  <si>
    <t>C344134</t>
  </si>
  <si>
    <t>IB202601308187898</t>
  </si>
  <si>
    <t>C344114</t>
  </si>
  <si>
    <t>IB202601308190525</t>
  </si>
  <si>
    <t>C309287</t>
  </si>
  <si>
    <t>IB202601308191166</t>
  </si>
  <si>
    <t>C342348</t>
  </si>
  <si>
    <t>IB202601308206408</t>
  </si>
  <si>
    <t>C344135</t>
  </si>
  <si>
    <t>IB202601308211327</t>
  </si>
  <si>
    <t>C312940</t>
  </si>
  <si>
    <t>IB202601308223030</t>
  </si>
  <si>
    <t>C309615</t>
  </si>
  <si>
    <t>IB202601308224653</t>
  </si>
  <si>
    <t>C312891</t>
  </si>
  <si>
    <t>IB202601308226719</t>
  </si>
  <si>
    <t>C344269</t>
  </si>
  <si>
    <t>IB202601308236301</t>
  </si>
  <si>
    <t>C314424</t>
  </si>
  <si>
    <t>IB202601308239087</t>
  </si>
  <si>
    <t>C118840</t>
  </si>
  <si>
    <t>IB202601308239344</t>
  </si>
  <si>
    <t>C319984</t>
  </si>
  <si>
    <t>IB202601308244806</t>
  </si>
  <si>
    <t>C344268</t>
  </si>
  <si>
    <t>IB202601308252755</t>
  </si>
  <si>
    <t>C344210</t>
  </si>
  <si>
    <t>IB202601308253080</t>
  </si>
  <si>
    <t>C344211</t>
  </si>
  <si>
    <t>IB202601308257520</t>
  </si>
  <si>
    <t>C344236</t>
  </si>
  <si>
    <t>IB202601308258938</t>
  </si>
  <si>
    <t>C089469</t>
  </si>
  <si>
    <t>IB202601308261933</t>
  </si>
  <si>
    <t>C344182</t>
  </si>
  <si>
    <t>IB202601308266259</t>
  </si>
  <si>
    <t>C344200</t>
  </si>
  <si>
    <t>IB202601308285380</t>
  </si>
  <si>
    <t>C337683</t>
  </si>
  <si>
    <t>IB202601308290668</t>
  </si>
  <si>
    <t>C309003</t>
  </si>
  <si>
    <t>IB202601308293455</t>
  </si>
  <si>
    <t>C344125</t>
  </si>
  <si>
    <t>IB202601308295197</t>
  </si>
  <si>
    <t>C344109</t>
  </si>
  <si>
    <t>IB202601308297781</t>
  </si>
  <si>
    <t>C344188</t>
  </si>
  <si>
    <t>IB202601308298240</t>
  </si>
  <si>
    <t>C307400</t>
  </si>
  <si>
    <t>IB202601308301607</t>
  </si>
  <si>
    <t>C344136</t>
  </si>
  <si>
    <t>IB202601308304569</t>
  </si>
  <si>
    <t>C119738</t>
  </si>
  <si>
    <t>IB202601308314091</t>
  </si>
  <si>
    <t>C308806</t>
  </si>
  <si>
    <t>IB202601308316627</t>
  </si>
  <si>
    <t>C312601</t>
  </si>
  <si>
    <t>IB202601308317649</t>
  </si>
  <si>
    <t>CL15925</t>
  </si>
  <si>
    <t>IB202601308318501</t>
  </si>
  <si>
    <t>C344108</t>
  </si>
  <si>
    <t>IB202601308322705</t>
  </si>
  <si>
    <t>C116921</t>
  </si>
  <si>
    <t>IB202601308326398</t>
  </si>
  <si>
    <t>C307016</t>
  </si>
  <si>
    <t>IB202601308327471</t>
  </si>
  <si>
    <t>C344189</t>
  </si>
  <si>
    <t>IB202601308328424</t>
  </si>
  <si>
    <t>C311783</t>
  </si>
  <si>
    <t>IB202601308330518</t>
  </si>
  <si>
    <t>C344110</t>
  </si>
  <si>
    <t>IB202601308343984</t>
  </si>
  <si>
    <t>C312264</t>
  </si>
  <si>
    <t>IB202601308357195</t>
  </si>
  <si>
    <t>C313479</t>
  </si>
  <si>
    <t>IB202601308365787</t>
  </si>
  <si>
    <t>C307224</t>
  </si>
  <si>
    <t>IB202601308366517</t>
  </si>
  <si>
    <t>C310147</t>
  </si>
  <si>
    <t>IB202601308367694</t>
  </si>
  <si>
    <t>C344115</t>
  </si>
  <si>
    <t>IB202601308371779</t>
  </si>
  <si>
    <t>C092019</t>
  </si>
  <si>
    <t>IB202601308373615</t>
  </si>
  <si>
    <t>C119039</t>
  </si>
  <si>
    <t>IB202601308376935</t>
  </si>
  <si>
    <t>C344237</t>
  </si>
  <si>
    <t>IB202601308378750</t>
  </si>
  <si>
    <t>C316434</t>
  </si>
  <si>
    <t>IB202601308382404</t>
  </si>
  <si>
    <t>C334553</t>
  </si>
  <si>
    <t>IB202601308383226</t>
  </si>
  <si>
    <t>C110877</t>
  </si>
  <si>
    <t>IB202601308385604</t>
  </si>
  <si>
    <t>C344181</t>
  </si>
  <si>
    <t>IB202601308387877</t>
  </si>
  <si>
    <t>C117683</t>
  </si>
  <si>
    <t>IB202601308388959</t>
  </si>
  <si>
    <t>C344225</t>
  </si>
  <si>
    <t>IB202601308398843</t>
  </si>
  <si>
    <t>C344226</t>
  </si>
  <si>
    <t>IB202601308400646</t>
  </si>
  <si>
    <t>C344270</t>
  </si>
  <si>
    <t>IB202601308401281</t>
  </si>
  <si>
    <t>C310627</t>
  </si>
  <si>
    <t>IB202601308401463</t>
  </si>
  <si>
    <t>C337647</t>
  </si>
  <si>
    <t>IB202601308416366</t>
  </si>
  <si>
    <t>C344271</t>
  </si>
  <si>
    <t>IB202601308430210</t>
  </si>
  <si>
    <t>C117895</t>
  </si>
  <si>
    <t>IB202601308436044</t>
  </si>
  <si>
    <t>C340146</t>
  </si>
  <si>
    <t>IB202601308437435</t>
  </si>
  <si>
    <t>C344289</t>
  </si>
  <si>
    <t>IB202601308440156</t>
  </si>
  <si>
    <t>C337723</t>
  </si>
  <si>
    <t>IB202601308440467</t>
  </si>
  <si>
    <t>C344138</t>
  </si>
  <si>
    <t>IB202601308459630</t>
  </si>
  <si>
    <t>C117487</t>
  </si>
  <si>
    <t>IB202601308460693</t>
  </si>
  <si>
    <t>C344201</t>
  </si>
  <si>
    <t>IB202601308470051</t>
  </si>
  <si>
    <t>C344242</t>
  </si>
  <si>
    <t>IB202601308479852</t>
  </si>
  <si>
    <t>C344139</t>
  </si>
  <si>
    <t>IB202601308491433</t>
  </si>
  <si>
    <t>C344202</t>
  </si>
  <si>
    <t>IB202601308492913</t>
  </si>
  <si>
    <t>C344241</t>
  </si>
  <si>
    <t>IB202601308495370</t>
  </si>
  <si>
    <t>C333396</t>
  </si>
  <si>
    <t>IB202601308496177</t>
  </si>
  <si>
    <t>C337619</t>
  </si>
  <si>
    <t>IB202601308496470</t>
  </si>
  <si>
    <t>C307995</t>
  </si>
  <si>
    <t>IB202601308496668</t>
  </si>
  <si>
    <t>C344290</t>
  </si>
  <si>
    <t>IB202601308500519</t>
  </si>
  <si>
    <t>C344119</t>
  </si>
  <si>
    <t>IB202601308512627</t>
  </si>
  <si>
    <t>C311007</t>
  </si>
  <si>
    <t>IB202601308529168</t>
  </si>
  <si>
    <t>C314644</t>
  </si>
  <si>
    <t>IB202601308534510</t>
  </si>
  <si>
    <t>C320255</t>
  </si>
  <si>
    <t>IB202601308540192</t>
  </si>
  <si>
    <t>C344247</t>
  </si>
  <si>
    <t>IB202601308540348</t>
  </si>
  <si>
    <t>C344240</t>
  </si>
  <si>
    <t>IB202601308541172</t>
  </si>
  <si>
    <t>C122474</t>
  </si>
  <si>
    <t>IB202601308542516</t>
  </si>
  <si>
    <t>C118867</t>
  </si>
  <si>
    <t>IB202601308544427</t>
  </si>
  <si>
    <t>C320112</t>
  </si>
  <si>
    <t>IB202601308549835</t>
  </si>
  <si>
    <t>C337546</t>
  </si>
  <si>
    <t>IB202601308550788</t>
  </si>
  <si>
    <t>C311904</t>
  </si>
  <si>
    <t>IB202601308551939</t>
  </si>
  <si>
    <t>C338980</t>
  </si>
  <si>
    <t>IB202601308553883</t>
  </si>
  <si>
    <t>C124587</t>
  </si>
  <si>
    <t>IB202601308554164</t>
  </si>
  <si>
    <t>C320043</t>
  </si>
  <si>
    <t>IB202601308558234</t>
  </si>
  <si>
    <t>C344118</t>
  </si>
  <si>
    <t>IB202601308561710</t>
  </si>
  <si>
    <t>C101011</t>
  </si>
  <si>
    <t>IB202601308563183</t>
  </si>
  <si>
    <t>C337554</t>
  </si>
  <si>
    <t>IB202601308563213</t>
  </si>
  <si>
    <t>C344345</t>
  </si>
  <si>
    <t>IB202601308566207</t>
  </si>
  <si>
    <t>C119713</t>
  </si>
  <si>
    <t>IB202601308566368</t>
  </si>
  <si>
    <t>C344149</t>
  </si>
  <si>
    <t>IB202601308567400</t>
  </si>
  <si>
    <t>C344192</t>
  </si>
  <si>
    <t>IB202601308570631</t>
  </si>
  <si>
    <t>C310495</t>
  </si>
  <si>
    <t>IB202601308571150</t>
  </si>
  <si>
    <t>C344117</t>
  </si>
  <si>
    <t>IB202601308572756</t>
  </si>
  <si>
    <t>C344287</t>
  </si>
  <si>
    <t>IB202601308573926</t>
  </si>
  <si>
    <t>C344148</t>
  </si>
  <si>
    <t>IB202601308580328</t>
  </si>
  <si>
    <t>C344137</t>
  </si>
  <si>
    <t>IB202601308583386</t>
  </si>
  <si>
    <t>C120750</t>
  </si>
  <si>
    <t>IB202601308590666</t>
  </si>
  <si>
    <t>C110106</t>
  </si>
  <si>
    <t>IB202601308592445</t>
  </si>
  <si>
    <t>C309779</t>
  </si>
  <si>
    <t>IB202601308596680</t>
  </si>
  <si>
    <t>C344288</t>
  </si>
  <si>
    <t>IB202601308596923</t>
  </si>
  <si>
    <t>C309164</t>
  </si>
  <si>
    <t>IB202601308599431</t>
  </si>
  <si>
    <t>C320333</t>
  </si>
  <si>
    <t>IB202601308605920</t>
  </si>
  <si>
    <t>C344116</t>
  </si>
  <si>
    <t>IB202601308615848</t>
  </si>
  <si>
    <t>C307967</t>
  </si>
  <si>
    <t>IB202601308616208</t>
  </si>
  <si>
    <t>C344262</t>
  </si>
  <si>
    <t>IB202601308620643</t>
  </si>
  <si>
    <t>C320256</t>
  </si>
  <si>
    <t>IB202601308628736</t>
  </si>
  <si>
    <t>C344251</t>
  </si>
  <si>
    <t>IB202601308632604</t>
  </si>
  <si>
    <t>C344199</t>
  </si>
  <si>
    <t>IB202601308640548</t>
  </si>
  <si>
    <t>C320248</t>
  </si>
  <si>
    <t>IB202601308640922</t>
  </si>
  <si>
    <t>C320286</t>
  </si>
  <si>
    <t>IB202601308644423</t>
  </si>
  <si>
    <t>C344219</t>
  </si>
  <si>
    <t>IB202601308645350</t>
  </si>
  <si>
    <t>C313704</t>
  </si>
  <si>
    <t>IB202601308646228</t>
  </si>
  <si>
    <t>C314098</t>
  </si>
  <si>
    <t>IB202601308652569</t>
  </si>
  <si>
    <t>C309895</t>
  </si>
  <si>
    <t>IB202601308654276</t>
  </si>
  <si>
    <t>C344252</t>
  </si>
  <si>
    <t>IB202601308656500</t>
  </si>
  <si>
    <t>C313634</t>
  </si>
  <si>
    <t>IB202601308656859</t>
  </si>
  <si>
    <t>C308488</t>
  </si>
  <si>
    <t>IB202601308657660</t>
  </si>
  <si>
    <t>C311730</t>
  </si>
  <si>
    <t>IB202601308661944</t>
  </si>
  <si>
    <t>C344311</t>
  </si>
  <si>
    <t>IB202601308664368</t>
  </si>
  <si>
    <t>C344168</t>
  </si>
  <si>
    <t>IB202601308667029</t>
  </si>
  <si>
    <t>C344121</t>
  </si>
  <si>
    <t>IB202601308671472</t>
  </si>
  <si>
    <t>C313491</t>
  </si>
  <si>
    <t>IB202601308674716</t>
  </si>
  <si>
    <t>C344167</t>
  </si>
  <si>
    <t>IB202601308678688</t>
  </si>
  <si>
    <t>C344312</t>
  </si>
  <si>
    <t>IB202601308680823</t>
  </si>
  <si>
    <t>C344209</t>
  </si>
  <si>
    <t>IB202601308681138</t>
  </si>
  <si>
    <t>C310410</t>
  </si>
  <si>
    <t>IB202601308697097</t>
  </si>
  <si>
    <t>C117795</t>
  </si>
  <si>
    <t>IB202601308698040</t>
  </si>
  <si>
    <t>C344218</t>
  </si>
  <si>
    <t>IB202601308708960</t>
  </si>
  <si>
    <t>C309879</t>
  </si>
  <si>
    <t>IB202601308712613</t>
  </si>
  <si>
    <t>C337634</t>
  </si>
  <si>
    <t>IB202601308716218</t>
  </si>
  <si>
    <t>C125449</t>
  </si>
  <si>
    <t>IB202601308717225</t>
  </si>
  <si>
    <t>C314522</t>
  </si>
  <si>
    <t>IB202601308718663</t>
  </si>
  <si>
    <t>C344310</t>
  </si>
  <si>
    <t>IB202601308720995</t>
  </si>
  <si>
    <t>C319964</t>
  </si>
  <si>
    <t>IB202601308724427</t>
  </si>
  <si>
    <t>C308561</t>
  </si>
  <si>
    <t>IB202601308726816</t>
  </si>
  <si>
    <t>C344198</t>
  </si>
  <si>
    <t>Filtri applicati:
Data di inizio del periodo di agevolazione ordinaria è il o dopo il 01/05/2026 e è prima del 01/07/2026</t>
  </si>
  <si>
    <t>Importo cumulativo riconosciuto all’utente fino al bimestre oggetto di dichiarazione (€)</t>
  </si>
  <si>
    <t>Tariffa agevolata del servizio di acquedotto applicata all’utente (€/m3)</t>
  </si>
  <si>
    <t>Atto deliberativo della struttura dei corrispettivi applicati all’utenza ai sensi del TICSI</t>
  </si>
  <si>
    <t>004171</t>
  </si>
  <si>
    <t>-18.16</t>
  </si>
  <si>
    <t>diretto</t>
  </si>
  <si>
    <t>0.483220</t>
  </si>
  <si>
    <t>0.350215</t>
  </si>
  <si>
    <t>0.161638</t>
  </si>
  <si>
    <t>NO</t>
  </si>
  <si>
    <t>DELIBERAZIONE EGATO 23 16/11/2020</t>
  </si>
  <si>
    <t>004009</t>
  </si>
  <si>
    <t>-49.24</t>
  </si>
  <si>
    <t>indiretto</t>
  </si>
  <si>
    <t>0.716943</t>
  </si>
  <si>
    <t>0.463071</t>
  </si>
  <si>
    <t>0.169064</t>
  </si>
  <si>
    <t>DELIBERAZIONE EGATO 2 04/02/2019</t>
  </si>
  <si>
    <t>VERIFICARE LA FORMATTAZIONE CON BONUS EMESSI CON LA BI</t>
  </si>
  <si>
    <t>spostare colonna  "Data di eventuale cessazione anticipata" dopo "Data di fine periodo oggetto di fatturazione")</t>
  </si>
  <si>
    <t>informazione non reperibile dai movimenti contabili</t>
  </si>
  <si>
    <t>il campo deve essere compilato con il codice bonus, preso da movimenti contabili e ripulito, oppure dal BID per quelli erogati dopo il 01/07/2026</t>
  </si>
  <si>
    <t>il dato è recuperabile solo per gli erogati dal 01/07/2026 con la funzione del bonus da BC</t>
  </si>
  <si>
    <t>Ad oggi è sempre NO, dare la possibilità di modificare in autonomia con SI/NO</t>
  </si>
  <si>
    <t>invertire ordine colonna "Tariffa  approvata dall'ARERA (SI o NO)" con "Atto deliberativo della struttura dei corrispettivi applicati all’utenza ai sensi del TICSI"</t>
  </si>
  <si>
    <t>ordine colonne: "Tariffa agevolata del servizio di acquedotto applicata all’utente (€/m3)"-"Tariffa individuata per la quantificazione della quota variabile del corrispettivo di depurazione (€/m3)"-"Tariffa individuata per la quantificazione della quota variabile del corrispettivo di fognatura (€/m3)"</t>
  </si>
  <si>
    <t>clienti indiretti data emissione assegno, clienti diretti coincide con periodo indicato dalla richiesta SII</t>
  </si>
  <si>
    <r>
      <t>"Data di inizio del periodo di agevolazione ordinaria":informazione non reperibile dai movimenti contabili -</t>
    </r>
    <r>
      <rPr>
        <b/>
        <sz val="11"/>
        <rFont val="Aptos Narrow"/>
        <family val="2"/>
      </rPr>
      <t xml:space="preserve"> periodo indicato dalla richiesta del SII</t>
    </r>
    <r>
      <rPr>
        <sz val="11"/>
        <rFont val="Aptos Narrow"/>
        <family val="2"/>
      </rPr>
      <t xml:space="preserve"> (recuperabile dal BID)</t>
    </r>
  </si>
  <si>
    <t>COD_BONUS SII_manuale</t>
  </si>
  <si>
    <t>Codice utente_manuale</t>
  </si>
  <si>
    <t xml:space="preserve">confronto codice utenza </t>
  </si>
  <si>
    <t>Codice utente_OK</t>
  </si>
  <si>
    <t>OK</t>
  </si>
  <si>
    <t>Data fine arrivata con il BID</t>
  </si>
  <si>
    <t>Data inizio arrivata con il BID</t>
  </si>
  <si>
    <t>Importo effettivamente riconosciuto nel bimestre dal gestore (€)_manuale</t>
  </si>
  <si>
    <t>confronto BI-manuale</t>
  </si>
  <si>
    <t>Importo cumulativo riconosciuto all'utente fino al bimestre oggetto di dichiarazione (€)_manuale</t>
  </si>
  <si>
    <t>Importo totale da corrispondere nel periodo di agevolazione (€)_manuale</t>
  </si>
  <si>
    <t>dovrebbe essere</t>
  </si>
  <si>
    <t>202100123305167</t>
  </si>
  <si>
    <t>202100123376608</t>
  </si>
  <si>
    <t>202100123395189</t>
  </si>
  <si>
    <t>202100123424439</t>
  </si>
  <si>
    <t>202200123448145</t>
  </si>
  <si>
    <t>202200123478471</t>
  </si>
  <si>
    <t>202200123485744</t>
  </si>
  <si>
    <t>202305143984151</t>
  </si>
  <si>
    <t>202403203138578</t>
  </si>
  <si>
    <t>202403203225167</t>
  </si>
  <si>
    <t>202408222514952</t>
  </si>
  <si>
    <t>202512304350770</t>
  </si>
  <si>
    <t>202512304367154</t>
  </si>
  <si>
    <t>202512304370913</t>
  </si>
  <si>
    <t>202512304380254</t>
  </si>
  <si>
    <t>202512304385487</t>
  </si>
  <si>
    <t>202512304402221</t>
  </si>
  <si>
    <t>202512304427693</t>
  </si>
  <si>
    <t>202512304433975</t>
  </si>
  <si>
    <t>202512304435523</t>
  </si>
  <si>
    <t>202512304437502</t>
  </si>
  <si>
    <t>202512304455957</t>
  </si>
  <si>
    <t>202512304460027</t>
  </si>
  <si>
    <t>202512304464209</t>
  </si>
  <si>
    <t>202512304472519</t>
  </si>
  <si>
    <t>202512304489730</t>
  </si>
  <si>
    <t>202601306499127</t>
  </si>
  <si>
    <t>202601306508823</t>
  </si>
  <si>
    <t>202601306515768</t>
  </si>
  <si>
    <t>202601306516163</t>
  </si>
  <si>
    <t>202601306516388</t>
  </si>
  <si>
    <t>202601306519198</t>
  </si>
  <si>
    <t>202601306524308</t>
  </si>
  <si>
    <t>202601306525679</t>
  </si>
  <si>
    <t>202601306540843</t>
  </si>
  <si>
    <t>202601306547210</t>
  </si>
  <si>
    <t>202601306547932</t>
  </si>
  <si>
    <t>202601306552382</t>
  </si>
  <si>
    <t>202601306554298</t>
  </si>
  <si>
    <t>202601306571248</t>
  </si>
  <si>
    <t>202601306572632</t>
  </si>
  <si>
    <t>202601306575010</t>
  </si>
  <si>
    <t>202601306584205</t>
  </si>
  <si>
    <t>202601306587235</t>
  </si>
  <si>
    <t>202601306589197</t>
  </si>
  <si>
    <t>202601306589609</t>
  </si>
  <si>
    <t>202601306592571</t>
  </si>
  <si>
    <t>202601306595531</t>
  </si>
  <si>
    <t>202601306596269</t>
  </si>
  <si>
    <t>202601306597279</t>
  </si>
  <si>
    <t>202601306601887</t>
  </si>
  <si>
    <t>202601306604169</t>
  </si>
  <si>
    <t>202601306605329</t>
  </si>
  <si>
    <t>202601306608099</t>
  </si>
  <si>
    <t>202601306610709</t>
  </si>
  <si>
    <t>202601306615550</t>
  </si>
  <si>
    <t>202601306617380</t>
  </si>
  <si>
    <t>202601306633731</t>
  </si>
  <si>
    <t>202601306636839</t>
  </si>
  <si>
    <t>202601306642579</t>
  </si>
  <si>
    <t>202601306645421</t>
  </si>
  <si>
    <t>202601306649136</t>
  </si>
  <si>
    <t>202601306653008</t>
  </si>
  <si>
    <t>202601306653383</t>
  </si>
  <si>
    <t>202601306655616</t>
  </si>
  <si>
    <t>202601306667781</t>
  </si>
  <si>
    <t>202601306669949</t>
  </si>
  <si>
    <t>202601306670025</t>
  </si>
  <si>
    <t>202601306676393</t>
  </si>
  <si>
    <t>202601306680807</t>
  </si>
  <si>
    <t>202601306681622</t>
  </si>
  <si>
    <t>202601306683653</t>
  </si>
  <si>
    <t>202601306700140</t>
  </si>
  <si>
    <t>202601306701815</t>
  </si>
  <si>
    <t>202601306703078</t>
  </si>
  <si>
    <t>202601306712111</t>
  </si>
  <si>
    <t>202601306712989</t>
  </si>
  <si>
    <t>202601306714973</t>
  </si>
  <si>
    <t>202601306722820</t>
  </si>
  <si>
    <t>202601306723430</t>
  </si>
  <si>
    <t>202601306725753</t>
  </si>
  <si>
    <t>202601306725834</t>
  </si>
  <si>
    <t>202601306728897</t>
  </si>
  <si>
    <t>202601306733943</t>
  </si>
  <si>
    <t>202601306749932</t>
  </si>
  <si>
    <t>202601306754581</t>
  </si>
  <si>
    <t>202601306754656</t>
  </si>
  <si>
    <t>202601306755184</t>
  </si>
  <si>
    <t>202601306756417</t>
  </si>
  <si>
    <t>202601306756824</t>
  </si>
  <si>
    <t>202601306762754</t>
  </si>
  <si>
    <t>202601306763052</t>
  </si>
  <si>
    <t>202601306763088</t>
  </si>
  <si>
    <t>202601306763110</t>
  </si>
  <si>
    <t>202601306770214</t>
  </si>
  <si>
    <t>202601306772014</t>
  </si>
  <si>
    <t>202601306777816</t>
  </si>
  <si>
    <t>202601306793846</t>
  </si>
  <si>
    <t>202601306798088</t>
  </si>
  <si>
    <t>202601306803281</t>
  </si>
  <si>
    <t>202601306806592</t>
  </si>
  <si>
    <t>202601306808193</t>
  </si>
  <si>
    <t>202601306813042</t>
  </si>
  <si>
    <t>202601306815633</t>
  </si>
  <si>
    <t>202601306822300</t>
  </si>
  <si>
    <t>202601306828837</t>
  </si>
  <si>
    <t>202601306838187</t>
  </si>
  <si>
    <t>202601306841574</t>
  </si>
  <si>
    <t>202601306845790</t>
  </si>
  <si>
    <t>202601306878293</t>
  </si>
  <si>
    <t>202601306881336</t>
  </si>
  <si>
    <t>202601306893734</t>
  </si>
  <si>
    <t>202601306897143</t>
  </si>
  <si>
    <t>202601306897526</t>
  </si>
  <si>
    <t>202601306900548</t>
  </si>
  <si>
    <t>202601306903745</t>
  </si>
  <si>
    <t>202601306908313</t>
  </si>
  <si>
    <t>202601306911462</t>
  </si>
  <si>
    <t>202601306912260</t>
  </si>
  <si>
    <t>202601306912469</t>
  </si>
  <si>
    <t>202601306913971</t>
  </si>
  <si>
    <t>202601306929223</t>
  </si>
  <si>
    <t>202601306929822</t>
  </si>
  <si>
    <t>202601306933128</t>
  </si>
  <si>
    <t>202601306934757</t>
  </si>
  <si>
    <t>202601306941451</t>
  </si>
  <si>
    <t>202601306949732</t>
  </si>
  <si>
    <t>202601306950838</t>
  </si>
  <si>
    <t>202601306955951</t>
  </si>
  <si>
    <t>202601306967858</t>
  </si>
  <si>
    <t>202601306967864</t>
  </si>
  <si>
    <t>202601306969431</t>
  </si>
  <si>
    <t>202601306978224</t>
  </si>
  <si>
    <t>202601306978337</t>
  </si>
  <si>
    <t>202601306978395</t>
  </si>
  <si>
    <t>202601306979682</t>
  </si>
  <si>
    <t>202601306981856</t>
  </si>
  <si>
    <t>202601306987171</t>
  </si>
  <si>
    <t>202601306988050</t>
  </si>
  <si>
    <t>202601306990324</t>
  </si>
  <si>
    <t>202601306990741</t>
  </si>
  <si>
    <t>202601307000688</t>
  </si>
  <si>
    <t>202601307004463</t>
  </si>
  <si>
    <t>202601307004486</t>
  </si>
  <si>
    <t>202601307007159</t>
  </si>
  <si>
    <t>202601307010526</t>
  </si>
  <si>
    <t>202601307012725</t>
  </si>
  <si>
    <t>202601307012873</t>
  </si>
  <si>
    <t>202601307015552</t>
  </si>
  <si>
    <t>202601307020727</t>
  </si>
  <si>
    <t>202601307029416</t>
  </si>
  <si>
    <t>202601307030258</t>
  </si>
  <si>
    <t>202601307043734</t>
  </si>
  <si>
    <t>202601307053058</t>
  </si>
  <si>
    <t>202601307053652</t>
  </si>
  <si>
    <t>202601307055194</t>
  </si>
  <si>
    <t>202601307057958</t>
  </si>
  <si>
    <t>202601307058010</t>
  </si>
  <si>
    <t>202601307065338</t>
  </si>
  <si>
    <t>202601307068265</t>
  </si>
  <si>
    <t>202601307073600</t>
  </si>
  <si>
    <t>202601307075584</t>
  </si>
  <si>
    <t>202601307077091</t>
  </si>
  <si>
    <t>202601307079883</t>
  </si>
  <si>
    <t>202601307081654</t>
  </si>
  <si>
    <t>202601307081674</t>
  </si>
  <si>
    <t>202601307089267</t>
  </si>
  <si>
    <t>202601307091316</t>
  </si>
  <si>
    <t>202601307097605</t>
  </si>
  <si>
    <t>202601307100742</t>
  </si>
  <si>
    <t>202601307110939</t>
  </si>
  <si>
    <t>202601307113896</t>
  </si>
  <si>
    <t>202601307115344</t>
  </si>
  <si>
    <t>202601307122859</t>
  </si>
  <si>
    <t>202601307127619</t>
  </si>
  <si>
    <t>202601307127623</t>
  </si>
  <si>
    <t>202601307132586</t>
  </si>
  <si>
    <t>202601307143785</t>
  </si>
  <si>
    <t>202601307150862</t>
  </si>
  <si>
    <t>202601307151277</t>
  </si>
  <si>
    <t>202601307157949</t>
  </si>
  <si>
    <t>202601307165374</t>
  </si>
  <si>
    <t>202601307172545</t>
  </si>
  <si>
    <t>202601307174634</t>
  </si>
  <si>
    <t>202601307180084</t>
  </si>
  <si>
    <t>202601307181633</t>
  </si>
  <si>
    <t>202601307188960</t>
  </si>
  <si>
    <t>202601307190525</t>
  </si>
  <si>
    <t>202601307195348</t>
  </si>
  <si>
    <t>202601307207645</t>
  </si>
  <si>
    <t>202601307208720</t>
  </si>
  <si>
    <t>202601307211369</t>
  </si>
  <si>
    <t>202601307213496</t>
  </si>
  <si>
    <t>202601307213872</t>
  </si>
  <si>
    <t>202601307215667</t>
  </si>
  <si>
    <t>202601307219003</t>
  </si>
  <si>
    <t>202601307224552</t>
  </si>
  <si>
    <t>202601307225415</t>
  </si>
  <si>
    <t>202601307230061</t>
  </si>
  <si>
    <t>202601307239124</t>
  </si>
  <si>
    <t>202601307243255</t>
  </si>
  <si>
    <t>202601307247069</t>
  </si>
  <si>
    <t>202601307255817</t>
  </si>
  <si>
    <t>202601307266662</t>
  </si>
  <si>
    <t>202601307266859</t>
  </si>
  <si>
    <t>202601307267866</t>
  </si>
  <si>
    <t>202601307272042</t>
  </si>
  <si>
    <t>202601307274447</t>
  </si>
  <si>
    <t>202601307278069</t>
  </si>
  <si>
    <t>202601307280195</t>
  </si>
  <si>
    <t>202601307281941</t>
  </si>
  <si>
    <t>202601307282254</t>
  </si>
  <si>
    <t>202601307285836</t>
  </si>
  <si>
    <t>202601307294411</t>
  </si>
  <si>
    <t>202601307295077</t>
  </si>
  <si>
    <t>202601307298571</t>
  </si>
  <si>
    <t>202601307299916</t>
  </si>
  <si>
    <t>202601307307644</t>
  </si>
  <si>
    <t>202601307308280</t>
  </si>
  <si>
    <t>202601307315254</t>
  </si>
  <si>
    <t>202601307322410</t>
  </si>
  <si>
    <t>202601307322481</t>
  </si>
  <si>
    <t>202601307330865</t>
  </si>
  <si>
    <t>202601307333096</t>
  </si>
  <si>
    <t>202601307335960</t>
  </si>
  <si>
    <t>202601307337185</t>
  </si>
  <si>
    <t>202601307337953</t>
  </si>
  <si>
    <t>202601307342428</t>
  </si>
  <si>
    <t>202601307348558</t>
  </si>
  <si>
    <t>202601307349757</t>
  </si>
  <si>
    <t>202601307351915</t>
  </si>
  <si>
    <t>202601307360761</t>
  </si>
  <si>
    <t>202601307361115</t>
  </si>
  <si>
    <t>202601307365488</t>
  </si>
  <si>
    <t>202601307368953</t>
  </si>
  <si>
    <t>202601307377699</t>
  </si>
  <si>
    <t>202601307380242</t>
  </si>
  <si>
    <t>202601307383863</t>
  </si>
  <si>
    <t>202601307387255</t>
  </si>
  <si>
    <t>202601307389294</t>
  </si>
  <si>
    <t>202601307395159</t>
  </si>
  <si>
    <t>202601307396324</t>
  </si>
  <si>
    <t>202601307406328</t>
  </si>
  <si>
    <t>202601307416180</t>
  </si>
  <si>
    <t>202601307418961</t>
  </si>
  <si>
    <t>202601307430224</t>
  </si>
  <si>
    <t>202601307431118</t>
  </si>
  <si>
    <t>202601307437418</t>
  </si>
  <si>
    <t>202601307448494</t>
  </si>
  <si>
    <t>202601307451288</t>
  </si>
  <si>
    <t>202601307453139</t>
  </si>
  <si>
    <t>202601307457233</t>
  </si>
  <si>
    <t>202601307458789</t>
  </si>
  <si>
    <t>202601307468334</t>
  </si>
  <si>
    <t>202601307470906</t>
  </si>
  <si>
    <t>202601307473230</t>
  </si>
  <si>
    <t>202601307475618</t>
  </si>
  <si>
    <t>202601307487600</t>
  </si>
  <si>
    <t>202601307493128</t>
  </si>
  <si>
    <t>202601307493684</t>
  </si>
  <si>
    <t>202601307495091</t>
  </si>
  <si>
    <t>202601307495592</t>
  </si>
  <si>
    <t>202601307495660</t>
  </si>
  <si>
    <t>202601307497139</t>
  </si>
  <si>
    <t>202601307500461</t>
  </si>
  <si>
    <t>202601307507291</t>
  </si>
  <si>
    <t>202601307507479</t>
  </si>
  <si>
    <t>202601307507763</t>
  </si>
  <si>
    <t>202601307515168</t>
  </si>
  <si>
    <t>202601307515447</t>
  </si>
  <si>
    <t>202601307516867</t>
  </si>
  <si>
    <t>202601307521087</t>
  </si>
  <si>
    <t>202601307523628</t>
  </si>
  <si>
    <t>202601307530325</t>
  </si>
  <si>
    <t>202601307535694</t>
  </si>
  <si>
    <t>202601307536350</t>
  </si>
  <si>
    <t>202601307540341</t>
  </si>
  <si>
    <t>202601307544414</t>
  </si>
  <si>
    <t>202601307545588</t>
  </si>
  <si>
    <t>202601307554883</t>
  </si>
  <si>
    <t>202601307555038</t>
  </si>
  <si>
    <t>202601307555238</t>
  </si>
  <si>
    <t>202601307564959</t>
  </si>
  <si>
    <t>202601307569658</t>
  </si>
  <si>
    <t>202601307572378</t>
  </si>
  <si>
    <t>202601307576806</t>
  </si>
  <si>
    <t>202601307577785</t>
  </si>
  <si>
    <t>202601307577944</t>
  </si>
  <si>
    <t>202601307579469</t>
  </si>
  <si>
    <t>202601307580928</t>
  </si>
  <si>
    <t>202601307583899</t>
  </si>
  <si>
    <t>202601307594997</t>
  </si>
  <si>
    <t>202601307609621</t>
  </si>
  <si>
    <t>202601307610535</t>
  </si>
  <si>
    <t>202601307614662</t>
  </si>
  <si>
    <t>202601307616709</t>
  </si>
  <si>
    <t>202601307621961</t>
  </si>
  <si>
    <t>202601307628317</t>
  </si>
  <si>
    <t>202601307632175</t>
  </si>
  <si>
    <t>202601307632784</t>
  </si>
  <si>
    <t>202601307633577</t>
  </si>
  <si>
    <t>202601307637337</t>
  </si>
  <si>
    <t>202601307639155</t>
  </si>
  <si>
    <t>202601307668322</t>
  </si>
  <si>
    <t>202601307669581</t>
  </si>
  <si>
    <t>202601307669721</t>
  </si>
  <si>
    <t>202601307681851</t>
  </si>
  <si>
    <t>202601307684204</t>
  </si>
  <si>
    <t>202601307692815</t>
  </si>
  <si>
    <t>202601307695316</t>
  </si>
  <si>
    <t>202601307720121</t>
  </si>
  <si>
    <t>202601307727826</t>
  </si>
  <si>
    <t>202601307730544</t>
  </si>
  <si>
    <t>202601307738594</t>
  </si>
  <si>
    <t>202601307748494</t>
  </si>
  <si>
    <t>202601307750014</t>
  </si>
  <si>
    <t>202601307759208</t>
  </si>
  <si>
    <t>202601307768064</t>
  </si>
  <si>
    <t>202601307770568</t>
  </si>
  <si>
    <t>202601307774132</t>
  </si>
  <si>
    <t>202601307780619</t>
  </si>
  <si>
    <t>202601307785037</t>
  </si>
  <si>
    <t>202601307793187</t>
  </si>
  <si>
    <t>202601307796150</t>
  </si>
  <si>
    <t>202601307797038</t>
  </si>
  <si>
    <t>202601307802089</t>
  </si>
  <si>
    <t>202601307803786</t>
  </si>
  <si>
    <t>202601307809314</t>
  </si>
  <si>
    <t>202601307812705</t>
  </si>
  <si>
    <t>202601307812912</t>
  </si>
  <si>
    <t>202601307817002</t>
  </si>
  <si>
    <t>202601307822953</t>
  </si>
  <si>
    <t>202601307823185</t>
  </si>
  <si>
    <t>202601307825703</t>
  </si>
  <si>
    <t>202601307832578</t>
  </si>
  <si>
    <t>202601307840877</t>
  </si>
  <si>
    <t>202601307847853</t>
  </si>
  <si>
    <t>202601307852880</t>
  </si>
  <si>
    <t>202601307858658</t>
  </si>
  <si>
    <t>202601307860580</t>
  </si>
  <si>
    <t>202601307862724</t>
  </si>
  <si>
    <t>202601307868166</t>
  </si>
  <si>
    <t>202601307868990</t>
  </si>
  <si>
    <t>202601307871245</t>
  </si>
  <si>
    <t>202601307874504</t>
  </si>
  <si>
    <t>202601307876782</t>
  </si>
  <si>
    <t>202601307878808</t>
  </si>
  <si>
    <t>202601307883576</t>
  </si>
  <si>
    <t>202601307889401</t>
  </si>
  <si>
    <t>202601307891135</t>
  </si>
  <si>
    <t>202601307897778</t>
  </si>
  <si>
    <t>202601307904352</t>
  </si>
  <si>
    <t>202601307906906</t>
  </si>
  <si>
    <t>202601307914889</t>
  </si>
  <si>
    <t>202601307915434</t>
  </si>
  <si>
    <t>202601307921801</t>
  </si>
  <si>
    <t>202601307924683</t>
  </si>
  <si>
    <t>202601307928160</t>
  </si>
  <si>
    <t>202601307931961</t>
  </si>
  <si>
    <t>202601307937354</t>
  </si>
  <si>
    <t>202601307945501</t>
  </si>
  <si>
    <t>202601307946431</t>
  </si>
  <si>
    <t>202601307947350</t>
  </si>
  <si>
    <t>202601307952009</t>
  </si>
  <si>
    <t>202601307960193</t>
  </si>
  <si>
    <t>202601307965218</t>
  </si>
  <si>
    <t>202601307966315</t>
  </si>
  <si>
    <t>202601307969749</t>
  </si>
  <si>
    <t>202601307976646</t>
  </si>
  <si>
    <t>202601307984690</t>
  </si>
  <si>
    <t>202601307991233</t>
  </si>
  <si>
    <t>202601307997489</t>
  </si>
  <si>
    <t>202601308005352</t>
  </si>
  <si>
    <t>202601308006460</t>
  </si>
  <si>
    <t>202601308007051</t>
  </si>
  <si>
    <t>202601308007943</t>
  </si>
  <si>
    <t>202601308008238</t>
  </si>
  <si>
    <t>202601308012909</t>
  </si>
  <si>
    <t>202601308015954</t>
  </si>
  <si>
    <t>202601308018337</t>
  </si>
  <si>
    <t>202601308018868</t>
  </si>
  <si>
    <t>202601308029548</t>
  </si>
  <si>
    <t>202601308030761</t>
  </si>
  <si>
    <t>202601308033813</t>
  </si>
  <si>
    <t>202601308036463</t>
  </si>
  <si>
    <t>202601308037393</t>
  </si>
  <si>
    <t>202601308042346</t>
  </si>
  <si>
    <t>202601308046202</t>
  </si>
  <si>
    <t>202601308061841</t>
  </si>
  <si>
    <t>202601308062669</t>
  </si>
  <si>
    <t>202601308072760</t>
  </si>
  <si>
    <t>202601308094547</t>
  </si>
  <si>
    <t>202601308103176</t>
  </si>
  <si>
    <t>202601308108280</t>
  </si>
  <si>
    <t>202601308110803</t>
  </si>
  <si>
    <t>202601308110985</t>
  </si>
  <si>
    <t>202601308112816</t>
  </si>
  <si>
    <t>202601308113700</t>
  </si>
  <si>
    <t>202601308120198</t>
  </si>
  <si>
    <t>202601308122285</t>
  </si>
  <si>
    <t>202601308123811</t>
  </si>
  <si>
    <t>202601308127399</t>
  </si>
  <si>
    <t>202601308134353</t>
  </si>
  <si>
    <t>202601308135192</t>
  </si>
  <si>
    <t>202601308139385</t>
  </si>
  <si>
    <t>202601308139386</t>
  </si>
  <si>
    <t>202601308140250</t>
  </si>
  <si>
    <t>202601308142061</t>
  </si>
  <si>
    <t>202601308149155</t>
  </si>
  <si>
    <t>202601308157222</t>
  </si>
  <si>
    <t>202601308163479</t>
  </si>
  <si>
    <t>202601308170934</t>
  </si>
  <si>
    <t>202601308179079</t>
  </si>
  <si>
    <t>202601308180438</t>
  </si>
  <si>
    <t>202601308186155</t>
  </si>
  <si>
    <t>202601308186189</t>
  </si>
  <si>
    <t>202601308186627</t>
  </si>
  <si>
    <t>202601308187894</t>
  </si>
  <si>
    <t>202601308187898</t>
  </si>
  <si>
    <t>202601308190525</t>
  </si>
  <si>
    <t>202601308191166</t>
  </si>
  <si>
    <t>202601308206408</t>
  </si>
  <si>
    <t>202601308211327</t>
  </si>
  <si>
    <t>202601308223030</t>
  </si>
  <si>
    <t>202601308224653</t>
  </si>
  <si>
    <t>202601308226719</t>
  </si>
  <si>
    <t>202601308236301</t>
  </si>
  <si>
    <t>202601308239087</t>
  </si>
  <si>
    <t>202601308239344</t>
  </si>
  <si>
    <t>202601308244806</t>
  </si>
  <si>
    <t>202601308252755</t>
  </si>
  <si>
    <t>202601308253080</t>
  </si>
  <si>
    <t>202601308257520</t>
  </si>
  <si>
    <t>202601308258938</t>
  </si>
  <si>
    <t>202601308261933</t>
  </si>
  <si>
    <t>202601308266259</t>
  </si>
  <si>
    <t>202601308285380</t>
  </si>
  <si>
    <t>202601308290668</t>
  </si>
  <si>
    <t>202601308293455</t>
  </si>
  <si>
    <t>202601308295197</t>
  </si>
  <si>
    <t>202601308297781</t>
  </si>
  <si>
    <t>202601308298240</t>
  </si>
  <si>
    <t>202601308301607</t>
  </si>
  <si>
    <t>202601308304569</t>
  </si>
  <si>
    <t>202601308314091</t>
  </si>
  <si>
    <t>202601308316627</t>
  </si>
  <si>
    <t>202601308317649</t>
  </si>
  <si>
    <t>202601308318501</t>
  </si>
  <si>
    <t>202601308322705</t>
  </si>
  <si>
    <t>202601308326398</t>
  </si>
  <si>
    <t>202601308327471</t>
  </si>
  <si>
    <t>202601308328424</t>
  </si>
  <si>
    <t>202601308330518</t>
  </si>
  <si>
    <t>202601308343984</t>
  </si>
  <si>
    <t>202601308357195</t>
  </si>
  <si>
    <t>202601308365787</t>
  </si>
  <si>
    <t>202601308366517</t>
  </si>
  <si>
    <t>202601308367694</t>
  </si>
  <si>
    <t>202601308371779</t>
  </si>
  <si>
    <t>202601308373615</t>
  </si>
  <si>
    <t>202601308376935</t>
  </si>
  <si>
    <t>202601308378750</t>
  </si>
  <si>
    <t>202601308382404</t>
  </si>
  <si>
    <t>202601308383226</t>
  </si>
  <si>
    <t>202601308385604</t>
  </si>
  <si>
    <t>202601308387877</t>
  </si>
  <si>
    <t>202601308388959</t>
  </si>
  <si>
    <t>202601308398843</t>
  </si>
  <si>
    <t>202601308400646</t>
  </si>
  <si>
    <t>202601308401281</t>
  </si>
  <si>
    <t>202601308401463</t>
  </si>
  <si>
    <t>202601308416366</t>
  </si>
  <si>
    <t>202601308430210</t>
  </si>
  <si>
    <t>202601308436044</t>
  </si>
  <si>
    <t>202601308437435</t>
  </si>
  <si>
    <t>202601308440156</t>
  </si>
  <si>
    <t>202601308440467</t>
  </si>
  <si>
    <t>202601308459630</t>
  </si>
  <si>
    <t>202601308460693</t>
  </si>
  <si>
    <t>202601308470051</t>
  </si>
  <si>
    <t>202601308479852</t>
  </si>
  <si>
    <t>202601308491433</t>
  </si>
  <si>
    <t>202601308492913</t>
  </si>
  <si>
    <t>202601308495370</t>
  </si>
  <si>
    <t>202601308496177</t>
  </si>
  <si>
    <t>202601308496470</t>
  </si>
  <si>
    <t>202601308496668</t>
  </si>
  <si>
    <t>202601308500519</t>
  </si>
  <si>
    <t>202601308512627</t>
  </si>
  <si>
    <t>202601308529168</t>
  </si>
  <si>
    <t>202601308534510</t>
  </si>
  <si>
    <t>202601308540192</t>
  </si>
  <si>
    <t>202601308540348</t>
  </si>
  <si>
    <t>202601308541172</t>
  </si>
  <si>
    <t>202601308542516</t>
  </si>
  <si>
    <t>202601308544427</t>
  </si>
  <si>
    <t>202601308549835</t>
  </si>
  <si>
    <t>202601308550788</t>
  </si>
  <si>
    <t>202601308551939</t>
  </si>
  <si>
    <t>202601308553883</t>
  </si>
  <si>
    <t>202601308554164</t>
  </si>
  <si>
    <t>202601308558234</t>
  </si>
  <si>
    <t>202601308561710</t>
  </si>
  <si>
    <t>202601308563183</t>
  </si>
  <si>
    <t>202601308563213</t>
  </si>
  <si>
    <t>202601308566207</t>
  </si>
  <si>
    <t>202601308566368</t>
  </si>
  <si>
    <t>202601308567400</t>
  </si>
  <si>
    <t>202601308570631</t>
  </si>
  <si>
    <t>202601308571150</t>
  </si>
  <si>
    <t>202601308572756</t>
  </si>
  <si>
    <t>202601308573926</t>
  </si>
  <si>
    <t>202601308580328</t>
  </si>
  <si>
    <t>202601308583386</t>
  </si>
  <si>
    <t>202601308590666</t>
  </si>
  <si>
    <t>202601308592445</t>
  </si>
  <si>
    <t>202601308596680</t>
  </si>
  <si>
    <t>202601308596923</t>
  </si>
  <si>
    <t>202601308599431</t>
  </si>
  <si>
    <t>202601308605920</t>
  </si>
  <si>
    <t>202601308615848</t>
  </si>
  <si>
    <t>202601308616208</t>
  </si>
  <si>
    <t>202601308620643</t>
  </si>
  <si>
    <t>202601308628736</t>
  </si>
  <si>
    <t>202601308632604</t>
  </si>
  <si>
    <t>202601308640548</t>
  </si>
  <si>
    <t>202601308640922</t>
  </si>
  <si>
    <t>202601308644423</t>
  </si>
  <si>
    <t>202601308645350</t>
  </si>
  <si>
    <t>202601308646228</t>
  </si>
  <si>
    <t>202601308652569</t>
  </si>
  <si>
    <t>202601308654276</t>
  </si>
  <si>
    <t>202601308656500</t>
  </si>
  <si>
    <t>202601308656859</t>
  </si>
  <si>
    <t>202601308657660</t>
  </si>
  <si>
    <t>202601308661944</t>
  </si>
  <si>
    <t>202601308664368</t>
  </si>
  <si>
    <t>202601308667029</t>
  </si>
  <si>
    <t>202601308671472</t>
  </si>
  <si>
    <t>202601308674716</t>
  </si>
  <si>
    <t>202601308678688</t>
  </si>
  <si>
    <t>202601308680823</t>
  </si>
  <si>
    <t>202601308681138</t>
  </si>
  <si>
    <t>202601308697097</t>
  </si>
  <si>
    <t>202601308698040</t>
  </si>
  <si>
    <t>202601308708960</t>
  </si>
  <si>
    <t>202601308712613</t>
  </si>
  <si>
    <t>202601308716218</t>
  </si>
  <si>
    <t>202601308717225</t>
  </si>
  <si>
    <t>202601308718663</t>
  </si>
  <si>
    <t>202601308720995</t>
  </si>
  <si>
    <t>202601308724427</t>
  </si>
  <si>
    <t>202601308726816</t>
  </si>
  <si>
    <t>ltri applicati:
Data di inizio del periodo di agev</t>
  </si>
  <si>
    <t>confronto cod_bonus BI-manuale</t>
  </si>
  <si>
    <t>Tipologia di utente (diretto o indiretto)_manuale</t>
  </si>
  <si>
    <t>confronto Tipologia di utente (diretto o indiretto)</t>
  </si>
  <si>
    <t>scrivere tutto minuscolo</t>
  </si>
  <si>
    <t>ok_Importo totale da corrispondere nel periodo di agevolazione (€)</t>
  </si>
  <si>
    <t xml:space="preserve">considerare il caso del bid 20250627358225 € 70,16,  manca il bonus 202511295863031 95,07 - spiegare il passaggio da 791 a 790 erogati
</t>
  </si>
  <si>
    <t>004082</t>
  </si>
  <si>
    <t>0312001117</t>
  </si>
  <si>
    <t>004078</t>
  </si>
  <si>
    <t>004245</t>
  </si>
  <si>
    <t>004016</t>
  </si>
  <si>
    <t>004208</t>
  </si>
  <si>
    <t>004130</t>
  </si>
  <si>
    <t>004028</t>
  </si>
  <si>
    <t>004017</t>
  </si>
  <si>
    <t>004151</t>
  </si>
  <si>
    <t>2000048134</t>
  </si>
  <si>
    <t>004019</t>
  </si>
  <si>
    <t>004227</t>
  </si>
  <si>
    <t>0960041501</t>
  </si>
  <si>
    <t>0870211201</t>
  </si>
  <si>
    <t>004095</t>
  </si>
  <si>
    <t>004207</t>
  </si>
  <si>
    <t>0610000451</t>
  </si>
  <si>
    <t>004061</t>
  </si>
  <si>
    <t>004141</t>
  </si>
  <si>
    <t>0130058202</t>
  </si>
  <si>
    <t>004022</t>
  </si>
  <si>
    <t>2000056513</t>
  </si>
  <si>
    <t>004012</t>
  </si>
  <si>
    <t>004066</t>
  </si>
  <si>
    <t>004025</t>
  </si>
  <si>
    <t>004049</t>
  </si>
  <si>
    <t>004180</t>
  </si>
  <si>
    <t>004005</t>
  </si>
  <si>
    <t>2000023014</t>
  </si>
  <si>
    <t>004043</t>
  </si>
  <si>
    <t>004179</t>
  </si>
  <si>
    <t>004139</t>
  </si>
  <si>
    <t>004114</t>
  </si>
  <si>
    <t>0562000119</t>
  </si>
  <si>
    <t>0810090501</t>
  </si>
  <si>
    <t>2000046862</t>
  </si>
  <si>
    <t>004210</t>
  </si>
  <si>
    <t>0252000540</t>
  </si>
  <si>
    <t>004079</t>
  </si>
  <si>
    <t>004242</t>
  </si>
  <si>
    <t>004116</t>
  </si>
  <si>
    <t>004034</t>
  </si>
  <si>
    <t>004190</t>
  </si>
  <si>
    <t>004118</t>
  </si>
  <si>
    <t>004187</t>
  </si>
  <si>
    <t>0320112001</t>
  </si>
  <si>
    <t>004209</t>
  </si>
  <si>
    <t>0770140501</t>
  </si>
  <si>
    <t>004064</t>
  </si>
  <si>
    <t>0012004034</t>
  </si>
  <si>
    <t>2000033033</t>
  </si>
  <si>
    <t>004163</t>
  </si>
  <si>
    <t>004121</t>
  </si>
  <si>
    <t>2000058006</t>
  </si>
  <si>
    <t>004137</t>
  </si>
  <si>
    <t>004068</t>
  </si>
  <si>
    <t>2000048528</t>
  </si>
  <si>
    <t>004081</t>
  </si>
  <si>
    <t>0812000347</t>
  </si>
  <si>
    <t>004237</t>
  </si>
  <si>
    <t>2000000542</t>
  </si>
  <si>
    <t>004062</t>
  </si>
  <si>
    <t>1052000214</t>
  </si>
  <si>
    <t>2000057790</t>
  </si>
  <si>
    <t>2000043211</t>
  </si>
  <si>
    <t>004091</t>
  </si>
  <si>
    <t>004192</t>
  </si>
  <si>
    <t>004045</t>
  </si>
  <si>
    <t>004145</t>
  </si>
  <si>
    <t>004247</t>
  </si>
  <si>
    <t>0302000268</t>
  </si>
  <si>
    <t>0062000414</t>
  </si>
  <si>
    <t>004040</t>
  </si>
  <si>
    <t>004173</t>
  </si>
  <si>
    <t>2000054683</t>
  </si>
  <si>
    <t>2000051139</t>
  </si>
  <si>
    <t>004071</t>
  </si>
  <si>
    <t>020677</t>
  </si>
  <si>
    <t>0252000311</t>
  </si>
  <si>
    <t>004074</t>
  </si>
  <si>
    <t>1520000458</t>
  </si>
  <si>
    <t>004052</t>
  </si>
  <si>
    <t>2000016141</t>
  </si>
  <si>
    <t>004033</t>
  </si>
  <si>
    <t>004077</t>
  </si>
  <si>
    <t>0680001444</t>
  </si>
  <si>
    <t>012320</t>
  </si>
  <si>
    <t>025382</t>
  </si>
  <si>
    <t>004008</t>
  </si>
  <si>
    <t>2000011937</t>
  </si>
  <si>
    <t>004197</t>
  </si>
  <si>
    <t>2000023856</t>
  </si>
  <si>
    <t>004189</t>
  </si>
  <si>
    <t>2000054116</t>
  </si>
  <si>
    <t>2000039298</t>
  </si>
  <si>
    <t>2000052271</t>
  </si>
  <si>
    <t>004041</t>
  </si>
  <si>
    <t>0862000092</t>
  </si>
  <si>
    <t>004014</t>
  </si>
  <si>
    <t>2000038671</t>
  </si>
  <si>
    <t>2000054750</t>
  </si>
  <si>
    <t>004213</t>
  </si>
  <si>
    <t>0312000490</t>
  </si>
  <si>
    <t>004134</t>
  </si>
  <si>
    <t>2000012604</t>
  </si>
  <si>
    <t>0532000341</t>
  </si>
  <si>
    <t>004092</t>
  </si>
  <si>
    <t>2000058901</t>
  </si>
  <si>
    <t>025073</t>
  </si>
  <si>
    <t>2000016024</t>
  </si>
  <si>
    <t>0092000118</t>
  </si>
  <si>
    <t>0872000436</t>
  </si>
  <si>
    <t>2000018178</t>
  </si>
  <si>
    <t>1072000761</t>
  </si>
  <si>
    <t>004216</t>
  </si>
  <si>
    <t>2000052312</t>
  </si>
  <si>
    <t>0680000536</t>
  </si>
  <si>
    <t>004075</t>
  </si>
  <si>
    <t>2000006625</t>
  </si>
  <si>
    <t>004166</t>
  </si>
  <si>
    <t>2000004429</t>
  </si>
  <si>
    <t>004155</t>
  </si>
  <si>
    <t>2000033656</t>
  </si>
  <si>
    <t>2000020508</t>
  </si>
  <si>
    <t>004132</t>
  </si>
  <si>
    <t>1022000162</t>
  </si>
  <si>
    <t>1062001928</t>
  </si>
  <si>
    <t>004225</t>
  </si>
  <si>
    <t>023916</t>
  </si>
  <si>
    <t>2000054201</t>
  </si>
  <si>
    <t>004085</t>
  </si>
  <si>
    <t>0012002331</t>
  </si>
  <si>
    <t>004234</t>
  </si>
  <si>
    <t>004104</t>
  </si>
  <si>
    <t>0072000594</t>
  </si>
  <si>
    <t>2000004970</t>
  </si>
  <si>
    <t>2000047021</t>
  </si>
  <si>
    <t>1042000009</t>
  </si>
  <si>
    <t>2000012413</t>
  </si>
  <si>
    <t>004094</t>
  </si>
  <si>
    <t>0690000326</t>
  </si>
  <si>
    <t>0052001333</t>
  </si>
  <si>
    <t>2000032649</t>
  </si>
  <si>
    <t>4009051132</t>
  </si>
  <si>
    <t>2000053555</t>
  </si>
  <si>
    <t>2000049291</t>
  </si>
  <si>
    <t>004144</t>
  </si>
  <si>
    <t>024386</t>
  </si>
  <si>
    <t>004177</t>
  </si>
  <si>
    <t>2000055068</t>
  </si>
  <si>
    <t>4009003855</t>
  </si>
  <si>
    <t>0132000385</t>
  </si>
  <si>
    <t>2000054371</t>
  </si>
  <si>
    <t>2000002387</t>
  </si>
  <si>
    <t>2000054118</t>
  </si>
  <si>
    <t>004243</t>
  </si>
  <si>
    <t>0092001165</t>
  </si>
  <si>
    <t>2000009693</t>
  </si>
  <si>
    <t>2000052513</t>
  </si>
  <si>
    <t>004107</t>
  </si>
  <si>
    <t>2000055555</t>
  </si>
  <si>
    <t>004090</t>
  </si>
  <si>
    <t>1072000763</t>
  </si>
  <si>
    <t>0542000255</t>
  </si>
  <si>
    <t>2000009944</t>
  </si>
  <si>
    <t>004097</t>
  </si>
  <si>
    <t>0312001170</t>
  </si>
  <si>
    <t>0012002897</t>
  </si>
  <si>
    <t>2000051381</t>
  </si>
  <si>
    <t>2000055982</t>
  </si>
  <si>
    <t>2000059141</t>
  </si>
  <si>
    <t>2000002481</t>
  </si>
  <si>
    <t>004165</t>
  </si>
  <si>
    <t>0112000158</t>
  </si>
  <si>
    <t>2000032378</t>
  </si>
  <si>
    <t>004131</t>
  </si>
  <si>
    <t>030922</t>
  </si>
  <si>
    <t>0650000183</t>
  </si>
  <si>
    <t>004138</t>
  </si>
  <si>
    <t>0012003581</t>
  </si>
  <si>
    <t>004157</t>
  </si>
  <si>
    <t>004084</t>
  </si>
  <si>
    <t>2000058895</t>
  </si>
  <si>
    <t>0782000187</t>
  </si>
  <si>
    <t>004123</t>
  </si>
  <si>
    <t>2000025020</t>
  </si>
  <si>
    <t>0192000907</t>
  </si>
  <si>
    <t>0872000481</t>
  </si>
  <si>
    <t>2000050862</t>
  </si>
  <si>
    <t>2000057573</t>
  </si>
  <si>
    <t>2000025715</t>
  </si>
  <si>
    <t>022833</t>
  </si>
  <si>
    <t>004183</t>
  </si>
  <si>
    <t>0422000095</t>
  </si>
  <si>
    <t>0302000207</t>
  </si>
  <si>
    <t>025503</t>
  </si>
  <si>
    <t>1062001433</t>
  </si>
  <si>
    <t>1040000246</t>
  </si>
  <si>
    <t>004044</t>
  </si>
  <si>
    <t>004111</t>
  </si>
  <si>
    <t>2000012191</t>
  </si>
  <si>
    <t>2000026962</t>
  </si>
  <si>
    <t>0012003226</t>
  </si>
  <si>
    <t>4009050588</t>
  </si>
  <si>
    <t>2000055276</t>
  </si>
  <si>
    <t>004239</t>
  </si>
  <si>
    <t>2000053831</t>
  </si>
  <si>
    <t>004122</t>
  </si>
  <si>
    <t>0062001005</t>
  </si>
  <si>
    <t>004185</t>
  </si>
  <si>
    <t>0352000087</t>
  </si>
  <si>
    <t>004086</t>
  </si>
  <si>
    <t>024419</t>
  </si>
  <si>
    <t>2000020532</t>
  </si>
  <si>
    <t>0062000180</t>
  </si>
  <si>
    <t>2000000662</t>
  </si>
  <si>
    <t>004136</t>
  </si>
  <si>
    <t>4012052418</t>
  </si>
  <si>
    <t>0010209902</t>
  </si>
  <si>
    <t>0182000249</t>
  </si>
  <si>
    <t>004110</t>
  </si>
  <si>
    <t>0802000035</t>
  </si>
  <si>
    <t>004108</t>
  </si>
  <si>
    <t>0011110101</t>
  </si>
  <si>
    <t>0072000685</t>
  </si>
  <si>
    <t>2000054561</t>
  </si>
  <si>
    <t>2000046499</t>
  </si>
  <si>
    <t>004249</t>
  </si>
  <si>
    <t>2000053602</t>
  </si>
  <si>
    <t>020938</t>
  </si>
  <si>
    <t>004129</t>
  </si>
  <si>
    <t>1072000942</t>
  </si>
  <si>
    <t>015649</t>
  </si>
  <si>
    <t>0610000577</t>
  </si>
  <si>
    <t>2000020437</t>
  </si>
  <si>
    <t>0582000210</t>
  </si>
  <si>
    <t>2000057659</t>
  </si>
  <si>
    <t>0972000092</t>
  </si>
  <si>
    <t>004030</t>
  </si>
  <si>
    <t>0670000443</t>
  </si>
  <si>
    <t>2000047939</t>
  </si>
  <si>
    <t>2000020713</t>
  </si>
  <si>
    <t>004205</t>
  </si>
  <si>
    <t>0670000489</t>
  </si>
  <si>
    <t>0992000385</t>
  </si>
  <si>
    <t>0092001260</t>
  </si>
  <si>
    <t>014249</t>
  </si>
  <si>
    <t>004018</t>
  </si>
  <si>
    <t>0252000461</t>
  </si>
  <si>
    <t>0132000267</t>
  </si>
  <si>
    <t>2000015396</t>
  </si>
  <si>
    <t>023736</t>
  </si>
  <si>
    <t>004126</t>
  </si>
  <si>
    <t>0952000199</t>
  </si>
  <si>
    <t>0182000109</t>
  </si>
  <si>
    <t>004233</t>
  </si>
  <si>
    <t>2000021520</t>
  </si>
  <si>
    <t>0060211902</t>
  </si>
  <si>
    <t>2000013859</t>
  </si>
  <si>
    <t>2000052734</t>
  </si>
  <si>
    <t>1040000276</t>
  </si>
  <si>
    <t>0382000039</t>
  </si>
  <si>
    <t>0800000528</t>
  </si>
  <si>
    <t>015813</t>
  </si>
  <si>
    <t>0250175801</t>
  </si>
  <si>
    <t>0090178701</t>
  </si>
  <si>
    <t>0092001227</t>
  </si>
  <si>
    <t>0092000655</t>
  </si>
  <si>
    <t>030806</t>
  </si>
  <si>
    <t>0520033101</t>
  </si>
  <si>
    <t>2000050935</t>
  </si>
  <si>
    <t>004087</t>
  </si>
  <si>
    <t>0092000563</t>
  </si>
  <si>
    <t>4009001100</t>
  </si>
  <si>
    <t>0052001082</t>
  </si>
  <si>
    <t>0600074301</t>
  </si>
  <si>
    <t>2000000717</t>
  </si>
  <si>
    <t>0110093501</t>
  </si>
  <si>
    <t>2000049374</t>
  </si>
  <si>
    <t>2000029287</t>
  </si>
  <si>
    <t>2000018454</t>
  </si>
  <si>
    <t>025002</t>
  </si>
  <si>
    <t>2000024187</t>
  </si>
  <si>
    <t>2000004827</t>
  </si>
  <si>
    <t>2000033359</t>
  </si>
  <si>
    <t>0060252101</t>
  </si>
  <si>
    <t>2000049618</t>
  </si>
  <si>
    <t>0320057301</t>
  </si>
  <si>
    <t>0580121001</t>
  </si>
  <si>
    <t>0812000303</t>
  </si>
  <si>
    <t>2000039850</t>
  </si>
  <si>
    <t>014843</t>
  </si>
  <si>
    <t>2000044606</t>
  </si>
  <si>
    <t>0682000230</t>
  </si>
  <si>
    <t>2000032285</t>
  </si>
  <si>
    <t>0782000345</t>
  </si>
  <si>
    <t>2000051140</t>
  </si>
  <si>
    <t>4009050886</t>
  </si>
  <si>
    <t>030835</t>
  </si>
  <si>
    <t>2000012078</t>
  </si>
  <si>
    <t>0172001286</t>
  </si>
  <si>
    <t>4009000206</t>
  </si>
  <si>
    <t>0050114101</t>
  </si>
  <si>
    <t>2000030708</t>
  </si>
  <si>
    <t>2000012407</t>
  </si>
  <si>
    <t>0020000614</t>
  </si>
  <si>
    <t>0132000675</t>
  </si>
  <si>
    <t>2000057382</t>
  </si>
  <si>
    <t>004158</t>
  </si>
  <si>
    <t>2000025679</t>
  </si>
  <si>
    <t>0680000529</t>
  </si>
  <si>
    <t>2000004220</t>
  </si>
  <si>
    <t>0092000880</t>
  </si>
  <si>
    <t>2000021443</t>
  </si>
  <si>
    <t>2000016553</t>
  </si>
  <si>
    <t>022743</t>
  </si>
  <si>
    <t>4009051116</t>
  </si>
  <si>
    <t>004125</t>
  </si>
  <si>
    <t>0152000564</t>
  </si>
  <si>
    <t>1032000009</t>
  </si>
  <si>
    <t>004172</t>
  </si>
  <si>
    <t>0312000664</t>
  </si>
  <si>
    <t>2000050092</t>
  </si>
  <si>
    <t>2000056528</t>
  </si>
  <si>
    <t>4009051160</t>
  </si>
  <si>
    <t>2000014674</t>
  </si>
  <si>
    <t>0060385501</t>
  </si>
  <si>
    <t>2000003314</t>
  </si>
  <si>
    <t>Formattazione per CSEA corretta</t>
  </si>
  <si>
    <r>
      <t xml:space="preserve">il dato è recuperabile solo per gli erogati dal 01/07/2026 con la funzione del bonus da BC </t>
    </r>
    <r>
      <rPr>
        <sz val="11"/>
        <rFont val="Aptos Narrow"/>
        <family val="2"/>
      </rPr>
      <t>-- si dovrebbe usare una tabella abbinabile al bacino di competenza</t>
    </r>
  </si>
  <si>
    <t>Filtri applicati:
Data di inizio del periodo di agevolazione ordinaria è il o dopo il 01/07/2026</t>
  </si>
  <si>
    <t>n.d.</t>
  </si>
  <si>
    <t>030373</t>
  </si>
  <si>
    <t>004199</t>
  </si>
  <si>
    <t>021130</t>
  </si>
  <si>
    <t>0430156601</t>
  </si>
  <si>
    <t>2000010370</t>
  </si>
  <si>
    <t>004159</t>
  </si>
  <si>
    <t>2000002666</t>
  </si>
  <si>
    <t>0022000059</t>
  </si>
  <si>
    <t>2000034067</t>
  </si>
  <si>
    <t>004120</t>
  </si>
  <si>
    <t>003616</t>
  </si>
  <si>
    <t>0170349501</t>
  </si>
  <si>
    <t>0192001217</t>
  </si>
  <si>
    <t>2000048081</t>
  </si>
  <si>
    <t>2000002578</t>
  </si>
  <si>
    <t>2000013272</t>
  </si>
  <si>
    <t>0772000270</t>
  </si>
  <si>
    <t>0580228701</t>
  </si>
  <si>
    <t>000296</t>
  </si>
  <si>
    <t>2000006240</t>
  </si>
  <si>
    <t>2000015628</t>
  </si>
  <si>
    <t>2000036147</t>
  </si>
  <si>
    <t>0702000292</t>
  </si>
  <si>
    <t>0062000290</t>
  </si>
  <si>
    <t>004154</t>
  </si>
  <si>
    <t>004153</t>
  </si>
  <si>
    <t>0112000499</t>
  </si>
  <si>
    <t>0562000484</t>
  </si>
  <si>
    <t>0762000415</t>
  </si>
  <si>
    <t>2000042372</t>
  </si>
  <si>
    <t>0512000167</t>
  </si>
  <si>
    <t>0562000391</t>
  </si>
  <si>
    <t>024973</t>
  </si>
  <si>
    <t>004191</t>
  </si>
  <si>
    <t>2000047066</t>
  </si>
  <si>
    <t>2000058141</t>
  </si>
  <si>
    <t>004184</t>
  </si>
  <si>
    <t>022478</t>
  </si>
  <si>
    <t>024947</t>
  </si>
  <si>
    <t>2000027870</t>
  </si>
  <si>
    <t>0132000713</t>
  </si>
  <si>
    <t>2000056501</t>
  </si>
  <si>
    <t>2000028072</t>
  </si>
  <si>
    <t>2000016331</t>
  </si>
  <si>
    <t>0772000432</t>
  </si>
  <si>
    <t>0692000016</t>
  </si>
  <si>
    <t>2000039112</t>
  </si>
  <si>
    <t>0812000888</t>
  </si>
  <si>
    <t>2000057782</t>
  </si>
  <si>
    <t>0380000035</t>
  </si>
  <si>
    <t>024845</t>
  </si>
  <si>
    <t>2000023592</t>
  </si>
  <si>
    <t>2000038404</t>
  </si>
  <si>
    <t>2000055106</t>
  </si>
  <si>
    <t>004093</t>
  </si>
  <si>
    <t>0230000201</t>
  </si>
  <si>
    <t>0022000446</t>
  </si>
  <si>
    <t>2000053114</t>
  </si>
  <si>
    <t>0682000278</t>
  </si>
  <si>
    <t>0582000749</t>
  </si>
  <si>
    <t>2000014137</t>
  </si>
  <si>
    <t>2000014788</t>
  </si>
  <si>
    <t>0610000240</t>
  </si>
  <si>
    <t>2000047249</t>
  </si>
  <si>
    <t>2000046576</t>
  </si>
  <si>
    <t>2000006713</t>
  </si>
  <si>
    <t>004156</t>
  </si>
  <si>
    <t>0530015903</t>
  </si>
  <si>
    <t>2000017063</t>
  </si>
  <si>
    <t>2000056937</t>
  </si>
  <si>
    <t>2000013447</t>
  </si>
  <si>
    <t>2000057717</t>
  </si>
  <si>
    <t>0202000207</t>
  </si>
  <si>
    <t>2000009137</t>
  </si>
  <si>
    <t>2000002600</t>
  </si>
  <si>
    <t>2000026619</t>
  </si>
  <si>
    <t>0770029701</t>
  </si>
  <si>
    <t>2000051639</t>
  </si>
  <si>
    <t>2000056625</t>
  </si>
  <si>
    <t>2000051580</t>
  </si>
  <si>
    <t>0082000333</t>
  </si>
  <si>
    <t>0172000971</t>
  </si>
  <si>
    <t>0192000236</t>
  </si>
  <si>
    <t>0170191401</t>
  </si>
  <si>
    <t>2000018183</t>
  </si>
  <si>
    <t>0520000901</t>
  </si>
  <si>
    <t>0770125101</t>
  </si>
  <si>
    <t>1022000149</t>
  </si>
  <si>
    <t>0432000168</t>
  </si>
  <si>
    <t>2000028101</t>
  </si>
  <si>
    <t>2000013891</t>
  </si>
  <si>
    <t>2000007776</t>
  </si>
  <si>
    <t>0270000170</t>
  </si>
  <si>
    <t>0600078201</t>
  </si>
  <si>
    <t>4012054700</t>
  </si>
  <si>
    <t>2000056473</t>
  </si>
  <si>
    <t>1020000137</t>
  </si>
  <si>
    <t>2000049556</t>
  </si>
  <si>
    <t>2000009300</t>
  </si>
  <si>
    <t>2000057933</t>
  </si>
  <si>
    <t>0770004501</t>
  </si>
  <si>
    <t>0950062202</t>
  </si>
  <si>
    <t>0542000147</t>
  </si>
  <si>
    <t>0152000292</t>
  </si>
  <si>
    <t>2000007472</t>
  </si>
  <si>
    <t>2000057214</t>
  </si>
  <si>
    <t>2000005066</t>
  </si>
  <si>
    <t>004053</t>
  </si>
  <si>
    <t>4012054824</t>
  </si>
  <si>
    <t>2000056437</t>
  </si>
  <si>
    <t>1520000078</t>
  </si>
  <si>
    <t>2000032481</t>
  </si>
  <si>
    <t>0020001244</t>
  </si>
  <si>
    <t>2000032689</t>
  </si>
  <si>
    <t>1030000038</t>
  </si>
  <si>
    <t>2000056363</t>
  </si>
  <si>
    <t>030297</t>
  </si>
  <si>
    <t>2000017392</t>
  </si>
  <si>
    <t xml:space="preserve"> si dovrebbe usare una tabella abbinabile al bacino di competenza</t>
  </si>
  <si>
    <t>importo arrotondato a 2 decimali</t>
  </si>
  <si>
    <t>i record non devono essere doppi</t>
  </si>
  <si>
    <t>recuperabile da bc tramite codice istat</t>
  </si>
  <si>
    <t>recuperabile da tabelle bonus</t>
  </si>
  <si>
    <t>clienti indiretti data emissione assegno recuperabile da movimenti contabili, clienti diretti coincide con periodo indicato dalla richiesta SII</t>
  </si>
  <si>
    <t>clienti indiretti data emissione assegno - recuperabile da movimenti contabili, clienti diretti coincide con periodo indicato dalla richiesta SII</t>
  </si>
  <si>
    <t>periodo indicato dalla richiesta del SII (recuperabile dal BID) -- recuperabile dalle tabelle bonus</t>
  </si>
  <si>
    <t>questi bonus è stato elaborato dalla funzione, ma non ancora erogato, no movimenti contabili, no valore in bolletta/nota di credito)</t>
  </si>
  <si>
    <t>no n.d.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</si>
</sst>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sz val="11"/>
      <name val="Aptos Narrow"/>
      <family val="2"/>
    </font>
    <font>
      <b/>
      <sz val="11"/>
      <name val="Aptos Narrow"/>
      <family val="2"/>
    </font>
    <font>
      <strike/>
      <sz val="11"/>
      <name val="Aptos Narrow"/>
      <family val="2"/>
    </font>
    <font>
      <sz val="11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quotePrefix="1"/>
    <xf numFmtId="1" fontId="0" fillId="2" borderId="0" xfId="0" applyNumberFormat="1" applyFill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1" fillId="3" borderId="0" xfId="0" applyFont="1" applyFill="1" applyAlignment="1">
      <alignment wrapText="1"/>
    </xf>
    <xf numFmtId="0" fontId="1" fillId="0" borderId="1" xfId="0" applyFont="1" applyBorder="1"/>
    <xf numFmtId="0" fontId="0" fillId="3" borderId="0" xfId="0" applyFill="1"/>
    <xf numFmtId="14" fontId="3" fillId="3" borderId="0" xfId="0" applyNumberFormat="1" applyFont="1" applyFill="1"/>
    <xf numFmtId="0" fontId="1" fillId="2" borderId="1" xfId="0" applyFont="1" applyFill="1" applyBorder="1"/>
    <xf numFmtId="0" fontId="4" fillId="0" borderId="0" xfId="0" applyFo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1" fillId="0" borderId="0" xfId="1"/>
    <xf numFmtId="1" fontId="1" fillId="0" borderId="0" xfId="1" applyNumberFormat="1"/>
    <xf numFmtId="14" fontId="1" fillId="0" borderId="0" xfId="1" applyNumberFormat="1"/>
    <xf numFmtId="0" fontId="1" fillId="0" borderId="1" xfId="1" applyBorder="1"/>
    <xf numFmtId="1" fontId="1" fillId="0" borderId="1" xfId="1" applyNumberFormat="1" applyBorder="1"/>
    <xf numFmtId="0" fontId="1" fillId="3" borderId="0" xfId="1" applyFill="1" applyAlignment="1">
      <alignment wrapText="1"/>
    </xf>
    <xf numFmtId="1" fontId="1" fillId="3" borderId="0" xfId="1" applyNumberFormat="1" applyFill="1"/>
    <xf numFmtId="1" fontId="1" fillId="3" borderId="0" xfId="1" applyNumberFormat="1" applyFill="1" applyAlignment="1">
      <alignment wrapText="1"/>
    </xf>
    <xf numFmtId="0" fontId="1" fillId="0" borderId="0" xfId="1" quotePrefix="1"/>
    <xf numFmtId="0" fontId="1" fillId="2" borderId="0" xfId="1" applyFill="1"/>
    <xf numFmtId="1" fontId="1" fillId="2" borderId="0" xfId="1" applyNumberFormat="1" applyFill="1"/>
    <xf numFmtId="0" fontId="1" fillId="3" borderId="0" xfId="1" applyFill="1"/>
  </cellXfs>
  <cellStyles count="2">
    <cellStyle name="Normale" xfId="0" builtinId="0"/>
    <cellStyle name="Normale 2" xfId="1" xr:uid="{33194183-6D90-46D7-AFDD-6DEDFEDE873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rogati%20mag-giu%202026_791_old.csv" TargetMode="External"/><Relationship Id="rId2" Type="http://schemas.openxmlformats.org/officeDocument/2006/relationships/externalLinkPath" Target="file:///C:\Users\cinzia.antoci\Desktop\BI_UI_Bonus\Report%20Erogati_Non%20riscossi\Erogati%20mag-giu%202026_791_old.csv" TargetMode="External"/><Relationship Id="rId1" Type="http://schemas.openxmlformats.org/officeDocument/2006/relationships/externalLinkPath" Target="/Users/cinzia.antoci/Desktop/BI_UI_Bonus/Report%20Erogati_Non%20riscossi/Erogati%20mag-giu%202026_791_old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v-fs01\Condiv\_AREA%20AMMINISTRATIVA\FATTURAZIONE\Bonus%20Idrico%202023_2024\2026\rendicontazione\CSEA\14082026\Pronti\old\Erogati%20mag-giu%202026_791_old.csv" TargetMode="External"/><Relationship Id="rId1" Type="http://schemas.openxmlformats.org/officeDocument/2006/relationships/externalLinkPath" Target="file:///\\sv-fs01\Condiv\_AREA%20AMMINISTRATIVA\FATTURAZIONE\Bonus%20Idrico%202023_2024\2026\rendicontazione\CSEA\14082026\Pronti\old\Erogati%20mag-giu%202026_791_old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v-fs01\Condiv\_AREA%20AMMINISTRATIVA\FATTURAZIONE\Bonus%20Idrico%202023_2024\2026\rendicontazione\CSEA\14082026\Pronti\Erogati%20mag-giu%202026_790.csv" TargetMode="External"/><Relationship Id="rId1" Type="http://schemas.openxmlformats.org/officeDocument/2006/relationships/externalLinkPath" Target="file:///\\sv-fs01\Condiv\_AREA%20AMMINISTRATIVA\FATTURAZIONE\Bonus%20Idrico%202023_2024\2026\rendicontazione\CSEA\14082026\Pronti\Erogati%20mag-giu%202026_79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rogati mag-giu 2026_791_old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B2" t="str">
            <v>COD_BONUS SII</v>
          </cell>
          <cell r="C2" t="str">
            <v>Protocollo richiesta SGATE</v>
          </cell>
          <cell r="D2" t="str">
            <v>ATO</v>
          </cell>
          <cell r="E2" t="str">
            <v>Codice utente</v>
          </cell>
          <cell r="F2" t="str">
            <v>Data di inizio del periodo di agevolazione ordinaria</v>
          </cell>
          <cell r="G2" t="str">
            <v>Data di fine del periodo di agevolazione ordinaria</v>
          </cell>
          <cell r="H2" t="str">
            <v>Data di inizio periodo oggetto di fatturazione</v>
          </cell>
          <cell r="I2" t="str">
            <v>Data di fine periodo oggetto di fatturazione</v>
          </cell>
          <cell r="J2" t="str">
            <v>Data di eventuale cessazione anticipata</v>
          </cell>
          <cell r="K2" t="str">
            <v>Codice Istat del Comune in cui è sita la fornitura</v>
          </cell>
          <cell r="L2" t="str">
            <v>Importo effettivamente riconosciuto nel bimestre dal gestore (€)</v>
          </cell>
          <cell r="M2" t="str">
            <v>Importo cumulativo riconosciuto all’utente fino al bimestre oggetto di dichiarazione (€)</v>
          </cell>
          <cell r="N2" t="str">
            <v>Importo totale da corrispondere nel periodo di agevolazione (€)</v>
          </cell>
          <cell r="O2" t="str">
            <v>Tipologia di utente (diretto o indiretto)</v>
          </cell>
          <cell r="P2" t="str">
            <v>Numerosità famiglia anagrafica</v>
          </cell>
          <cell r="Q2" t="str">
            <v>Tariffa agevolata del servizio di acquedotto applicata all’utente (€/m3)</v>
          </cell>
          <cell r="R2" t="str">
            <v>Tariffa individuata per la quantificazione della quota variabile del corrispettivo di depurazione (€/m3)</v>
          </cell>
          <cell r="S2" t="str">
            <v>Tariffa individuata per la quantificazione della quota variabile del corrispettivo di fognatura (€/m3)</v>
          </cell>
          <cell r="T2" t="str">
            <v>Tariffa  approvata dall'ARERA (SI o NO)</v>
          </cell>
          <cell r="U2" t="str">
            <v>Atto deliberativo della struttura dei corrispettivi applicati all’utenza ai sensi del TICSI</v>
          </cell>
        </row>
        <row r="3">
          <cell r="A3" t="str">
            <v>C312509</v>
          </cell>
          <cell r="B3">
            <v>202100123305167</v>
          </cell>
          <cell r="D3" t="str">
            <v>ATO4</v>
          </cell>
          <cell r="E3" t="str">
            <v>C312509</v>
          </cell>
          <cell r="F3">
            <v>44197</v>
          </cell>
          <cell r="G3">
            <v>44561</v>
          </cell>
          <cell r="H3">
            <v>46169</v>
          </cell>
          <cell r="I3">
            <v>46169</v>
          </cell>
          <cell r="K3" t="str">
            <v>004078</v>
          </cell>
          <cell r="L3">
            <v>-78.92</v>
          </cell>
          <cell r="M3">
            <v>-78.92</v>
          </cell>
          <cell r="N3">
            <v>-78.92</v>
          </cell>
          <cell r="O3" t="str">
            <v>indiretto</v>
          </cell>
          <cell r="P3">
            <v>1</v>
          </cell>
          <cell r="Q3" t="str">
            <v>0.727758</v>
          </cell>
          <cell r="R3" t="str">
            <v>0.510250</v>
          </cell>
          <cell r="S3" t="str">
            <v>0.203423</v>
          </cell>
          <cell r="T3" t="str">
            <v>NO</v>
          </cell>
          <cell r="U3" t="str">
            <v>DELIBERAZIONE EGATO 29 19/12/2018</v>
          </cell>
        </row>
        <row r="4">
          <cell r="A4" t="str">
            <v>C131028</v>
          </cell>
          <cell r="B4">
            <v>202100123376608</v>
          </cell>
          <cell r="D4" t="str">
            <v>ATO4</v>
          </cell>
          <cell r="E4" t="str">
            <v>C131028</v>
          </cell>
          <cell r="F4">
            <v>44197</v>
          </cell>
          <cell r="G4">
            <v>44561</v>
          </cell>
          <cell r="H4">
            <v>46191</v>
          </cell>
          <cell r="I4">
            <v>46191</v>
          </cell>
          <cell r="K4" t="str">
            <v>004233</v>
          </cell>
          <cell r="L4">
            <v>-71.03</v>
          </cell>
          <cell r="M4">
            <v>-71.03</v>
          </cell>
          <cell r="N4">
            <v>-71.03</v>
          </cell>
          <cell r="O4" t="str">
            <v>indiretto</v>
          </cell>
          <cell r="P4">
            <v>1</v>
          </cell>
          <cell r="Q4" t="str">
            <v>0.654983</v>
          </cell>
          <cell r="R4" t="str">
            <v>0.459225</v>
          </cell>
          <cell r="S4" t="str">
            <v>0.183080</v>
          </cell>
          <cell r="T4" t="str">
            <v>NO</v>
          </cell>
          <cell r="U4" t="str">
            <v>DELIBERAZIONE EGATO 29 19/12/2018</v>
          </cell>
        </row>
        <row r="5">
          <cell r="A5" t="str">
            <v>C311082</v>
          </cell>
          <cell r="B5">
            <v>202100123395189</v>
          </cell>
          <cell r="D5" t="str">
            <v>ATO4</v>
          </cell>
          <cell r="E5" t="str">
            <v>C311082</v>
          </cell>
          <cell r="F5">
            <v>44197</v>
          </cell>
          <cell r="G5">
            <v>44561</v>
          </cell>
          <cell r="H5">
            <v>46153</v>
          </cell>
          <cell r="I5">
            <v>46153</v>
          </cell>
          <cell r="K5" t="str">
            <v>004041</v>
          </cell>
          <cell r="L5">
            <v>-78.92</v>
          </cell>
          <cell r="M5">
            <v>-78.92</v>
          </cell>
          <cell r="N5">
            <v>-78.92</v>
          </cell>
          <cell r="O5" t="str">
            <v>indiretto</v>
          </cell>
          <cell r="P5">
            <v>2</v>
          </cell>
          <cell r="Q5" t="str">
            <v>0.727758</v>
          </cell>
          <cell r="R5" t="str">
            <v>0.510250</v>
          </cell>
          <cell r="S5" t="str">
            <v>0.203423</v>
          </cell>
          <cell r="T5" t="str">
            <v>NO</v>
          </cell>
          <cell r="U5" t="str">
            <v>DELIBERAZIONE EGATO 29 19/12/2018</v>
          </cell>
        </row>
        <row r="6">
          <cell r="A6" t="str">
            <v>C309233</v>
          </cell>
          <cell r="B6">
            <v>202100123424439</v>
          </cell>
          <cell r="D6" t="str">
            <v>ATO4</v>
          </cell>
          <cell r="E6" t="str">
            <v>C309233</v>
          </cell>
          <cell r="F6">
            <v>44197</v>
          </cell>
          <cell r="G6">
            <v>44561</v>
          </cell>
          <cell r="H6">
            <v>46169</v>
          </cell>
          <cell r="I6">
            <v>46169</v>
          </cell>
          <cell r="K6" t="str">
            <v>004078</v>
          </cell>
          <cell r="L6">
            <v>-105.22</v>
          </cell>
          <cell r="M6">
            <v>-105.22</v>
          </cell>
          <cell r="N6">
            <v>-105.22</v>
          </cell>
          <cell r="O6" t="str">
            <v>indiretto</v>
          </cell>
          <cell r="P6">
            <v>4</v>
          </cell>
          <cell r="Q6" t="str">
            <v>0.727758</v>
          </cell>
          <cell r="R6" t="str">
            <v>0.510250</v>
          </cell>
          <cell r="S6" t="str">
            <v>0.203423</v>
          </cell>
          <cell r="T6" t="str">
            <v>NO</v>
          </cell>
          <cell r="U6" t="str">
            <v>DELIBERAZIONE EGATO 29 19/12/2018</v>
          </cell>
        </row>
        <row r="7">
          <cell r="A7" t="str">
            <v>C312509</v>
          </cell>
          <cell r="B7">
            <v>202200123448145</v>
          </cell>
          <cell r="D7" t="str">
            <v>ATO4</v>
          </cell>
          <cell r="E7" t="str">
            <v>C312509</v>
          </cell>
          <cell r="F7">
            <v>44562</v>
          </cell>
          <cell r="G7">
            <v>44926</v>
          </cell>
          <cell r="H7">
            <v>46169</v>
          </cell>
          <cell r="I7">
            <v>46169</v>
          </cell>
          <cell r="K7" t="str">
            <v>004028</v>
          </cell>
          <cell r="L7">
            <v>-85.42</v>
          </cell>
          <cell r="M7">
            <v>-85.42</v>
          </cell>
          <cell r="N7">
            <v>-85.42</v>
          </cell>
          <cell r="O7" t="str">
            <v>indiretto</v>
          </cell>
          <cell r="P7">
            <v>1</v>
          </cell>
          <cell r="Q7" t="str">
            <v>0.787676</v>
          </cell>
          <cell r="R7" t="str">
            <v>0.552260</v>
          </cell>
          <cell r="S7" t="str">
            <v>0.220171</v>
          </cell>
          <cell r="T7" t="str">
            <v>NO</v>
          </cell>
          <cell r="U7" t="str">
            <v>DELIBERAZIONE EGATO 29 19/12/2018</v>
          </cell>
        </row>
        <row r="8">
          <cell r="A8" t="str">
            <v>C311310</v>
          </cell>
          <cell r="B8">
            <v>202200123478471</v>
          </cell>
          <cell r="D8" t="str">
            <v>ATO4</v>
          </cell>
          <cell r="E8" t="str">
            <v>C311310</v>
          </cell>
          <cell r="F8">
            <v>44562</v>
          </cell>
          <cell r="G8">
            <v>44926</v>
          </cell>
          <cell r="H8">
            <v>46153</v>
          </cell>
          <cell r="I8">
            <v>46153</v>
          </cell>
          <cell r="K8" t="str">
            <v>004012</v>
          </cell>
          <cell r="L8">
            <v>-63.17</v>
          </cell>
          <cell r="M8">
            <v>-63.17</v>
          </cell>
          <cell r="N8">
            <v>-63.17</v>
          </cell>
          <cell r="O8" t="str">
            <v>indiretto</v>
          </cell>
          <cell r="P8">
            <v>2</v>
          </cell>
          <cell r="Q8" t="str">
            <v>0.613187</v>
          </cell>
          <cell r="R8" t="str">
            <v>0.396055</v>
          </cell>
          <cell r="S8" t="str">
            <v>0.144597</v>
          </cell>
          <cell r="T8" t="str">
            <v>NO</v>
          </cell>
          <cell r="U8" t="str">
            <v>DELIBERAZIONE EGATO 2 04/02/2019</v>
          </cell>
        </row>
        <row r="9">
          <cell r="A9" t="str">
            <v>C309462</v>
          </cell>
          <cell r="B9">
            <v>202200123485744</v>
          </cell>
          <cell r="D9" t="str">
            <v>ATO4</v>
          </cell>
          <cell r="E9" t="str">
            <v>C309462</v>
          </cell>
          <cell r="F9">
            <v>44562</v>
          </cell>
          <cell r="G9">
            <v>44926</v>
          </cell>
          <cell r="H9">
            <v>46191</v>
          </cell>
          <cell r="I9">
            <v>46191</v>
          </cell>
          <cell r="K9" t="str">
            <v>004157</v>
          </cell>
          <cell r="L9">
            <v>-85.42</v>
          </cell>
          <cell r="M9">
            <v>-85.42</v>
          </cell>
          <cell r="N9">
            <v>-85.42</v>
          </cell>
          <cell r="O9" t="str">
            <v>indiretto</v>
          </cell>
          <cell r="P9">
            <v>1</v>
          </cell>
          <cell r="Q9" t="str">
            <v>0.787676</v>
          </cell>
          <cell r="R9" t="str">
            <v>0.552260</v>
          </cell>
          <cell r="S9" t="str">
            <v>0.220171</v>
          </cell>
          <cell r="T9" t="str">
            <v>NO</v>
          </cell>
          <cell r="U9" t="str">
            <v>DELIBERAZIONE EGATO 29 19/12/2018</v>
          </cell>
        </row>
        <row r="10">
          <cell r="A10" t="str">
            <v>C309462</v>
          </cell>
          <cell r="B10">
            <v>202301126498351</v>
          </cell>
          <cell r="D10" t="str">
            <v>ATO4</v>
          </cell>
          <cell r="E10" t="str">
            <v>C309462</v>
          </cell>
          <cell r="F10">
            <v>45078</v>
          </cell>
          <cell r="G10">
            <v>45443</v>
          </cell>
          <cell r="H10">
            <v>46191</v>
          </cell>
          <cell r="I10">
            <v>46191</v>
          </cell>
          <cell r="K10" t="str">
            <v>004068</v>
          </cell>
          <cell r="L10">
            <v>-92.72</v>
          </cell>
          <cell r="M10">
            <v>-92.72</v>
          </cell>
          <cell r="N10">
            <v>-92.72</v>
          </cell>
          <cell r="O10" t="str">
            <v>indiretto</v>
          </cell>
          <cell r="P10">
            <v>3</v>
          </cell>
          <cell r="Q10" t="str">
            <v>0.854998</v>
          </cell>
          <cell r="R10" t="str">
            <v>0.599462</v>
          </cell>
          <cell r="S10" t="str">
            <v>0.238989</v>
          </cell>
          <cell r="T10" t="str">
            <v>NO</v>
          </cell>
          <cell r="U10" t="str">
            <v>DELIBERAZIONE EGATO 29 19/12/2018</v>
          </cell>
        </row>
        <row r="11">
          <cell r="A11" t="str">
            <v>C317242</v>
          </cell>
          <cell r="B11">
            <v>202305143984151</v>
          </cell>
          <cell r="D11" t="str">
            <v>ATO4</v>
          </cell>
          <cell r="E11" t="str">
            <v>C317242</v>
          </cell>
          <cell r="F11">
            <v>45170</v>
          </cell>
          <cell r="G11">
            <v>45535</v>
          </cell>
          <cell r="H11">
            <v>46191</v>
          </cell>
          <cell r="I11">
            <v>46191</v>
          </cell>
          <cell r="K11" t="str">
            <v>004062</v>
          </cell>
          <cell r="L11">
            <v>-96.46</v>
          </cell>
          <cell r="M11">
            <v>-96.46</v>
          </cell>
          <cell r="N11">
            <v>-96.46</v>
          </cell>
          <cell r="O11" t="str">
            <v>indiretto</v>
          </cell>
          <cell r="P11">
            <v>3</v>
          </cell>
          <cell r="Q11">
            <v>1080003</v>
          </cell>
          <cell r="R11" t="str">
            <v>0.508762</v>
          </cell>
          <cell r="S11" t="str">
            <v>0.172979</v>
          </cell>
          <cell r="T11" t="str">
            <v>NO</v>
          </cell>
          <cell r="U11" t="str">
            <v>DELIBERAZIONE EGATO 11 27/03/2019</v>
          </cell>
        </row>
        <row r="12">
          <cell r="A12" t="str">
            <v>C309233</v>
          </cell>
          <cell r="B12">
            <v>202310168404689</v>
          </cell>
          <cell r="D12" t="str">
            <v>ATO4</v>
          </cell>
          <cell r="E12" t="str">
            <v>C309233</v>
          </cell>
          <cell r="F12">
            <v>45323</v>
          </cell>
          <cell r="G12">
            <v>45688</v>
          </cell>
          <cell r="H12">
            <v>46169</v>
          </cell>
          <cell r="I12">
            <v>46169</v>
          </cell>
          <cell r="K12" t="str">
            <v>004078</v>
          </cell>
          <cell r="L12">
            <v>-92.72</v>
          </cell>
          <cell r="M12">
            <v>-92.72</v>
          </cell>
          <cell r="N12">
            <v>-92.72</v>
          </cell>
          <cell r="O12" t="str">
            <v>indiretto</v>
          </cell>
          <cell r="P12">
            <v>3</v>
          </cell>
          <cell r="Q12" t="str">
            <v>0.854998</v>
          </cell>
          <cell r="R12" t="str">
            <v>0.599462</v>
          </cell>
          <cell r="S12" t="str">
            <v>0.238989</v>
          </cell>
          <cell r="T12" t="str">
            <v>NO</v>
          </cell>
          <cell r="U12" t="str">
            <v>DELIBERAZIONE EGATO 29 19/12/2018</v>
          </cell>
        </row>
        <row r="13">
          <cell r="A13" t="str">
            <v>C018784</v>
          </cell>
          <cell r="B13">
            <v>202403203138578</v>
          </cell>
          <cell r="D13" t="str">
            <v>ATO4</v>
          </cell>
          <cell r="E13" t="str">
            <v>C018784</v>
          </cell>
          <cell r="F13">
            <v>45474</v>
          </cell>
          <cell r="G13">
            <v>45838</v>
          </cell>
          <cell r="H13">
            <v>46191</v>
          </cell>
          <cell r="I13">
            <v>46191</v>
          </cell>
          <cell r="K13" t="str">
            <v>004078</v>
          </cell>
          <cell r="L13">
            <v>-92.72</v>
          </cell>
          <cell r="M13">
            <v>-92.72</v>
          </cell>
          <cell r="N13">
            <v>-92.72</v>
          </cell>
          <cell r="O13" t="str">
            <v>indiretto</v>
          </cell>
          <cell r="P13">
            <v>3</v>
          </cell>
          <cell r="Q13" t="str">
            <v>0.854998</v>
          </cell>
          <cell r="R13" t="str">
            <v>0.599462</v>
          </cell>
          <cell r="S13" t="str">
            <v>0.599462</v>
          </cell>
          <cell r="T13" t="str">
            <v>NO</v>
          </cell>
          <cell r="U13" t="str">
            <v>DELIBERAZIONE EGATO 29 19/12/2018</v>
          </cell>
        </row>
        <row r="14">
          <cell r="A14" t="str">
            <v>C319733</v>
          </cell>
          <cell r="B14">
            <v>202403203225167</v>
          </cell>
          <cell r="D14" t="str">
            <v>ATO4</v>
          </cell>
          <cell r="E14" t="str">
            <v>C319733</v>
          </cell>
          <cell r="F14">
            <v>45474</v>
          </cell>
          <cell r="G14">
            <v>45838</v>
          </cell>
          <cell r="H14">
            <v>46191</v>
          </cell>
          <cell r="I14">
            <v>46191</v>
          </cell>
          <cell r="K14" t="str">
            <v>004008</v>
          </cell>
          <cell r="L14">
            <v>-92.72</v>
          </cell>
          <cell r="M14">
            <v>-92.72</v>
          </cell>
          <cell r="N14">
            <v>-92.72</v>
          </cell>
          <cell r="O14" t="str">
            <v>indiretto</v>
          </cell>
          <cell r="P14">
            <v>3</v>
          </cell>
          <cell r="Q14" t="str">
            <v>0.854998</v>
          </cell>
          <cell r="R14" t="str">
            <v>0.599462</v>
          </cell>
          <cell r="S14" t="str">
            <v>0.599462</v>
          </cell>
          <cell r="T14" t="str">
            <v>NO</v>
          </cell>
          <cell r="U14" t="str">
            <v>DELIBERAZIONE EGATO 29 19/12/2018</v>
          </cell>
        </row>
        <row r="15">
          <cell r="A15" t="str">
            <v>C314116</v>
          </cell>
          <cell r="B15">
            <v>202408222514952</v>
          </cell>
          <cell r="D15" t="str">
            <v>ATO4</v>
          </cell>
          <cell r="E15" t="str">
            <v>C314116</v>
          </cell>
          <cell r="F15">
            <v>45627</v>
          </cell>
          <cell r="G15">
            <v>45991</v>
          </cell>
          <cell r="H15">
            <v>46153</v>
          </cell>
          <cell r="I15">
            <v>46153</v>
          </cell>
          <cell r="K15" t="str">
            <v>004028</v>
          </cell>
          <cell r="L15">
            <v>-92.72</v>
          </cell>
          <cell r="M15">
            <v>-92.72</v>
          </cell>
          <cell r="N15">
            <v>-92.72</v>
          </cell>
          <cell r="O15" t="str">
            <v>indiretto</v>
          </cell>
          <cell r="P15">
            <v>3</v>
          </cell>
          <cell r="Q15" t="str">
            <v>0.854998</v>
          </cell>
          <cell r="R15" t="str">
            <v>0.599462</v>
          </cell>
          <cell r="S15" t="str">
            <v>0.238989</v>
          </cell>
          <cell r="T15" t="str">
            <v>NO</v>
          </cell>
          <cell r="U15" t="str">
            <v>DELIBERAZIONE EGATO 29 19/12/2018</v>
          </cell>
        </row>
        <row r="16">
          <cell r="A16" t="str">
            <v>C309233</v>
          </cell>
          <cell r="B16">
            <v>202410231807290</v>
          </cell>
          <cell r="D16" t="str">
            <v>ATO4</v>
          </cell>
          <cell r="E16" t="str">
            <v>C309233</v>
          </cell>
          <cell r="F16">
            <v>45689</v>
          </cell>
          <cell r="G16">
            <v>46053</v>
          </cell>
          <cell r="H16">
            <v>46169</v>
          </cell>
          <cell r="I16">
            <v>46169</v>
          </cell>
          <cell r="K16" t="str">
            <v>004078</v>
          </cell>
          <cell r="L16">
            <v>-99.21</v>
          </cell>
          <cell r="M16">
            <v>-99.21</v>
          </cell>
          <cell r="N16">
            <v>-99.21</v>
          </cell>
          <cell r="O16" t="str">
            <v>indiretto</v>
          </cell>
          <cell r="P16">
            <v>3</v>
          </cell>
          <cell r="Q16" t="str">
            <v>0.914848</v>
          </cell>
          <cell r="R16" t="str">
            <v>0.641424</v>
          </cell>
          <cell r="S16" t="str">
            <v>0.255718</v>
          </cell>
          <cell r="T16" t="str">
            <v>NO</v>
          </cell>
          <cell r="U16" t="str">
            <v>DELIBERAZIONE EGATO 29 19/12/2018</v>
          </cell>
        </row>
        <row r="17">
          <cell r="A17" t="str">
            <v>C309462</v>
          </cell>
          <cell r="B17">
            <v>202412237952579</v>
          </cell>
          <cell r="D17" t="str">
            <v>ATO4</v>
          </cell>
          <cell r="E17" t="str">
            <v>C309462</v>
          </cell>
          <cell r="F17">
            <v>45748</v>
          </cell>
          <cell r="G17">
            <v>46112</v>
          </cell>
          <cell r="H17">
            <v>46191</v>
          </cell>
          <cell r="I17">
            <v>46191</v>
          </cell>
          <cell r="K17" t="str">
            <v>004009</v>
          </cell>
          <cell r="L17">
            <v>-24.57</v>
          </cell>
          <cell r="M17">
            <v>-24.57</v>
          </cell>
          <cell r="N17">
            <v>-24.57</v>
          </cell>
          <cell r="O17" t="str">
            <v>indiretto</v>
          </cell>
          <cell r="P17">
            <v>1</v>
          </cell>
          <cell r="Q17" t="str">
            <v>0.715605</v>
          </cell>
          <cell r="R17" t="str">
            <v>0.462207</v>
          </cell>
          <cell r="S17" t="str">
            <v>0.168749</v>
          </cell>
          <cell r="T17" t="str">
            <v>NO</v>
          </cell>
          <cell r="U17" t="str">
            <v>DELIBERAZIONE EGATO 2 04/02/2019</v>
          </cell>
        </row>
        <row r="18">
          <cell r="A18" t="str">
            <v>C007200</v>
          </cell>
          <cell r="B18">
            <v>202502250703405</v>
          </cell>
          <cell r="D18" t="str">
            <v>ATO4</v>
          </cell>
          <cell r="E18" t="str">
            <v>C007200</v>
          </cell>
          <cell r="F18">
            <v>45809</v>
          </cell>
          <cell r="G18">
            <v>46173</v>
          </cell>
          <cell r="H18">
            <v>46181</v>
          </cell>
          <cell r="I18">
            <v>46181</v>
          </cell>
          <cell r="K18" t="str">
            <v>004049</v>
          </cell>
          <cell r="L18">
            <v>-175.39</v>
          </cell>
          <cell r="M18">
            <v>-175.39</v>
          </cell>
          <cell r="N18">
            <v>-175.39</v>
          </cell>
          <cell r="O18" t="str">
            <v>indiretto</v>
          </cell>
          <cell r="P18">
            <v>5</v>
          </cell>
          <cell r="Q18" t="str">
            <v>0.970423</v>
          </cell>
          <cell r="R18" t="str">
            <v>0.680389</v>
          </cell>
          <cell r="S18" t="str">
            <v>0.271253</v>
          </cell>
          <cell r="T18" t="str">
            <v>NO</v>
          </cell>
          <cell r="U18" t="str">
            <v>DELIBERAZIONE EGATO 29 19/12/2018</v>
          </cell>
        </row>
        <row r="19">
          <cell r="A19" t="str">
            <v>C307784</v>
          </cell>
          <cell r="B19">
            <v>202502253150221</v>
          </cell>
          <cell r="D19" t="str">
            <v>ATO4</v>
          </cell>
          <cell r="E19" t="str">
            <v>C307784</v>
          </cell>
          <cell r="F19">
            <v>45809</v>
          </cell>
          <cell r="G19">
            <v>46173</v>
          </cell>
          <cell r="H19">
            <v>46192</v>
          </cell>
          <cell r="I19">
            <v>46192</v>
          </cell>
          <cell r="K19" t="str">
            <v>004078</v>
          </cell>
          <cell r="L19">
            <v>-105.23</v>
          </cell>
          <cell r="M19">
            <v>-105.23</v>
          </cell>
          <cell r="N19">
            <v>-105.23</v>
          </cell>
          <cell r="O19" t="str">
            <v>indiretto</v>
          </cell>
          <cell r="P19">
            <v>3</v>
          </cell>
          <cell r="Q19" t="str">
            <v>0.970423</v>
          </cell>
          <cell r="R19" t="str">
            <v>0.680389</v>
          </cell>
          <cell r="S19" t="str">
            <v>0.271253</v>
          </cell>
          <cell r="T19" t="str">
            <v>NO</v>
          </cell>
          <cell r="U19" t="str">
            <v>DELIBERAZIONE EGATO 29 19/12/2018</v>
          </cell>
        </row>
        <row r="20">
          <cell r="A20" t="str">
            <v>C339592</v>
          </cell>
          <cell r="B20">
            <v>202503258040017</v>
          </cell>
          <cell r="D20" t="str">
            <v>ATO4</v>
          </cell>
          <cell r="E20" t="str">
            <v>C339592</v>
          </cell>
          <cell r="F20">
            <v>45839</v>
          </cell>
          <cell r="G20">
            <v>46203</v>
          </cell>
          <cell r="H20">
            <v>46181</v>
          </cell>
          <cell r="I20">
            <v>46181</v>
          </cell>
          <cell r="K20" t="str">
            <v>004082</v>
          </cell>
          <cell r="L20">
            <v>-70.16</v>
          </cell>
          <cell r="M20">
            <v>-70.16</v>
          </cell>
          <cell r="N20">
            <v>-70.16</v>
          </cell>
          <cell r="O20" t="str">
            <v>indiretto</v>
          </cell>
          <cell r="P20">
            <v>2</v>
          </cell>
          <cell r="Q20" t="str">
            <v>0.970423</v>
          </cell>
          <cell r="R20" t="str">
            <v>0.680389</v>
          </cell>
          <cell r="S20" t="str">
            <v>0.271253</v>
          </cell>
          <cell r="T20" t="str">
            <v>NO</v>
          </cell>
          <cell r="U20" t="str">
            <v>DELIBERAZIONE EGATO 29 19/12/2018</v>
          </cell>
        </row>
        <row r="21">
          <cell r="A21" t="str">
            <v>C018784</v>
          </cell>
          <cell r="B21">
            <v>202503258051874</v>
          </cell>
          <cell r="D21" t="str">
            <v>ATO4</v>
          </cell>
          <cell r="E21" t="str">
            <v>C018784</v>
          </cell>
          <cell r="F21">
            <v>45839</v>
          </cell>
          <cell r="G21">
            <v>46203</v>
          </cell>
          <cell r="H21">
            <v>46191</v>
          </cell>
          <cell r="I21">
            <v>46191</v>
          </cell>
          <cell r="K21" t="str">
            <v>004078</v>
          </cell>
          <cell r="L21">
            <v>-35.08</v>
          </cell>
          <cell r="M21">
            <v>-35.08</v>
          </cell>
          <cell r="N21">
            <v>-35.08</v>
          </cell>
          <cell r="O21" t="str">
            <v>indiretto</v>
          </cell>
          <cell r="P21">
            <v>1</v>
          </cell>
          <cell r="Q21" t="str">
            <v>0.970423</v>
          </cell>
          <cell r="R21" t="str">
            <v>0.680389</v>
          </cell>
          <cell r="S21" t="str">
            <v>0.271253</v>
          </cell>
          <cell r="T21" t="str">
            <v>NO</v>
          </cell>
          <cell r="U21" t="str">
            <v>DELIBERAZIONE EGATO 29 19/12/2018</v>
          </cell>
        </row>
        <row r="22">
          <cell r="A22" t="str">
            <v>C341166</v>
          </cell>
          <cell r="B22">
            <v>202506273163046</v>
          </cell>
          <cell r="D22" t="str">
            <v>ATO4</v>
          </cell>
          <cell r="E22" t="str">
            <v>C341166</v>
          </cell>
          <cell r="F22">
            <v>45931</v>
          </cell>
          <cell r="G22">
            <v>46295</v>
          </cell>
          <cell r="H22">
            <v>46169</v>
          </cell>
          <cell r="I22">
            <v>46169</v>
          </cell>
          <cell r="K22" t="str">
            <v>004245</v>
          </cell>
          <cell r="L22">
            <v>-222.41</v>
          </cell>
          <cell r="M22">
            <v>-222.41</v>
          </cell>
          <cell r="N22">
            <v>-222.41</v>
          </cell>
          <cell r="O22" t="str">
            <v>indiretto</v>
          </cell>
          <cell r="P22">
            <v>8</v>
          </cell>
          <cell r="Q22" t="str">
            <v>0.577221</v>
          </cell>
          <cell r="R22" t="str">
            <v>0.647377</v>
          </cell>
          <cell r="S22" t="str">
            <v>0.298792</v>
          </cell>
          <cell r="T22" t="str">
            <v>NO</v>
          </cell>
          <cell r="U22" t="str">
            <v>DELIBERA EGATO N.29 DEL 19/12/2018</v>
          </cell>
        </row>
        <row r="23">
          <cell r="A23" t="str">
            <v>C311198</v>
          </cell>
          <cell r="B23">
            <v>202506273598225</v>
          </cell>
          <cell r="D23" t="str">
            <v>ATO4</v>
          </cell>
          <cell r="E23" t="str">
            <v>C311198</v>
          </cell>
          <cell r="F23">
            <v>45931</v>
          </cell>
          <cell r="G23">
            <v>46295</v>
          </cell>
          <cell r="H23">
            <v>46181</v>
          </cell>
          <cell r="I23">
            <v>46181</v>
          </cell>
          <cell r="K23" t="str">
            <v>004078</v>
          </cell>
          <cell r="L23">
            <v>-70.16</v>
          </cell>
          <cell r="M23">
            <v>-70.16</v>
          </cell>
          <cell r="N23">
            <v>-70.16</v>
          </cell>
          <cell r="O23" t="str">
            <v>indiretto</v>
          </cell>
          <cell r="P23">
            <v>2</v>
          </cell>
          <cell r="Q23" t="str">
            <v>0.970423</v>
          </cell>
          <cell r="R23" t="str">
            <v>0.680389</v>
          </cell>
          <cell r="S23" t="str">
            <v>0.271253</v>
          </cell>
          <cell r="T23" t="str">
            <v>NO</v>
          </cell>
          <cell r="U23" t="str">
            <v>DELIBERAZIONE EGATO 29 19/12/2018</v>
          </cell>
        </row>
        <row r="24">
          <cell r="A24" t="str">
            <v>C311198</v>
          </cell>
          <cell r="B24">
            <v>202506273598225</v>
          </cell>
          <cell r="D24" t="str">
            <v>ATO4</v>
          </cell>
          <cell r="E24" t="str">
            <v>C311198</v>
          </cell>
          <cell r="F24">
            <v>45931</v>
          </cell>
          <cell r="G24">
            <v>46295</v>
          </cell>
          <cell r="H24">
            <v>46153</v>
          </cell>
          <cell r="I24">
            <v>46153</v>
          </cell>
          <cell r="K24" t="str">
            <v>004078</v>
          </cell>
          <cell r="L24">
            <v>-70.16</v>
          </cell>
          <cell r="M24">
            <v>-70.16</v>
          </cell>
          <cell r="N24">
            <v>-70.16</v>
          </cell>
          <cell r="O24" t="str">
            <v>indiretto</v>
          </cell>
          <cell r="P24">
            <v>2</v>
          </cell>
          <cell r="Q24" t="str">
            <v>0.970423</v>
          </cell>
          <cell r="R24" t="str">
            <v>0.680389</v>
          </cell>
          <cell r="S24" t="str">
            <v>0.271253</v>
          </cell>
          <cell r="T24" t="str">
            <v>NO</v>
          </cell>
          <cell r="U24" t="str">
            <v>DELIBERAZIONE EGATO 29 19/12/2018</v>
          </cell>
        </row>
        <row r="25">
          <cell r="A25" t="str">
            <v>C312140</v>
          </cell>
          <cell r="B25">
            <v>202507277412924</v>
          </cell>
          <cell r="D25" t="str">
            <v>ATO4</v>
          </cell>
          <cell r="E25" t="str">
            <v>C312140</v>
          </cell>
          <cell r="F25">
            <v>45962</v>
          </cell>
          <cell r="G25">
            <v>46326</v>
          </cell>
          <cell r="H25">
            <v>46168</v>
          </cell>
          <cell r="I25">
            <v>46168</v>
          </cell>
          <cell r="K25" t="str">
            <v>004078</v>
          </cell>
          <cell r="L25">
            <v>-105.23</v>
          </cell>
          <cell r="M25">
            <v>-105.23</v>
          </cell>
          <cell r="N25">
            <v>-105.23</v>
          </cell>
          <cell r="O25" t="str">
            <v>indiretto</v>
          </cell>
          <cell r="P25">
            <v>3</v>
          </cell>
          <cell r="Q25" t="str">
            <v>0.970423</v>
          </cell>
          <cell r="R25" t="str">
            <v>0.680389</v>
          </cell>
          <cell r="S25" t="str">
            <v>0.271253</v>
          </cell>
          <cell r="T25" t="str">
            <v>NO</v>
          </cell>
          <cell r="U25" t="str">
            <v>DELIBERAZIONE EGATO 29 19/12/2018</v>
          </cell>
        </row>
        <row r="26">
          <cell r="A26" t="str">
            <v>C314116</v>
          </cell>
          <cell r="B26">
            <v>202508282159077</v>
          </cell>
          <cell r="D26" t="str">
            <v>ATO4</v>
          </cell>
          <cell r="E26" t="str">
            <v>C314116</v>
          </cell>
          <cell r="F26">
            <v>45992</v>
          </cell>
          <cell r="G26">
            <v>46356</v>
          </cell>
          <cell r="H26">
            <v>46153</v>
          </cell>
          <cell r="I26">
            <v>46153</v>
          </cell>
          <cell r="K26" t="str">
            <v>004028</v>
          </cell>
          <cell r="L26">
            <v>-70.16</v>
          </cell>
          <cell r="M26">
            <v>-70.16</v>
          </cell>
          <cell r="N26">
            <v>-70.16</v>
          </cell>
          <cell r="O26" t="str">
            <v>indiretto</v>
          </cell>
          <cell r="P26">
            <v>2</v>
          </cell>
          <cell r="Q26" t="str">
            <v>0.970423</v>
          </cell>
          <cell r="R26" t="str">
            <v>0.680389</v>
          </cell>
          <cell r="S26" t="str">
            <v>0.271253</v>
          </cell>
          <cell r="T26" t="str">
            <v>NO</v>
          </cell>
          <cell r="U26" t="str">
            <v>DELIBERAZIONE EGATO 29 19/12/2018</v>
          </cell>
        </row>
        <row r="27">
          <cell r="A27" t="str">
            <v>C342553</v>
          </cell>
          <cell r="B27">
            <v>202509286241879</v>
          </cell>
          <cell r="D27" t="str">
            <v>ATO4</v>
          </cell>
          <cell r="E27" t="str">
            <v>C342553</v>
          </cell>
          <cell r="F27">
            <v>46023</v>
          </cell>
          <cell r="G27">
            <v>46387</v>
          </cell>
          <cell r="H27">
            <v>46169</v>
          </cell>
          <cell r="I27">
            <v>46169</v>
          </cell>
          <cell r="K27" t="str">
            <v>004110</v>
          </cell>
          <cell r="L27">
            <v>-104.88</v>
          </cell>
          <cell r="M27">
            <v>-104.88</v>
          </cell>
          <cell r="N27">
            <v>-104.88</v>
          </cell>
          <cell r="O27" t="str">
            <v>indiretto</v>
          </cell>
          <cell r="P27">
            <v>1</v>
          </cell>
          <cell r="Q27" t="str">
            <v>0.970423</v>
          </cell>
          <cell r="R27" t="str">
            <v>0.680389</v>
          </cell>
          <cell r="S27" t="str">
            <v>0.271253</v>
          </cell>
          <cell r="T27" t="str">
            <v>NO</v>
          </cell>
          <cell r="U27" t="str">
            <v>DELIBERAZIONE EGATO 29 19/12/2018</v>
          </cell>
        </row>
        <row r="28">
          <cell r="A28" t="str">
            <v>C308450</v>
          </cell>
          <cell r="B28">
            <v>202509286449305</v>
          </cell>
          <cell r="D28" t="str">
            <v>ATO4</v>
          </cell>
          <cell r="E28" t="str">
            <v>C308450</v>
          </cell>
          <cell r="F28">
            <v>46023</v>
          </cell>
          <cell r="G28">
            <v>46387</v>
          </cell>
          <cell r="H28">
            <v>46153</v>
          </cell>
          <cell r="I28">
            <v>46153</v>
          </cell>
          <cell r="K28" t="str">
            <v>004028</v>
          </cell>
          <cell r="L28">
            <v>-104.88</v>
          </cell>
          <cell r="M28">
            <v>-104.88</v>
          </cell>
          <cell r="N28">
            <v>-104.88</v>
          </cell>
          <cell r="O28" t="str">
            <v>indiretto</v>
          </cell>
          <cell r="P28">
            <v>1</v>
          </cell>
          <cell r="Q28" t="str">
            <v>0.970423</v>
          </cell>
          <cell r="R28" t="str">
            <v>0.680389</v>
          </cell>
          <cell r="S28" t="str">
            <v>0.271253</v>
          </cell>
          <cell r="T28" t="str">
            <v>NO</v>
          </cell>
          <cell r="U28" t="str">
            <v>DELIBERAZIONE EGATO 29 19/12/2018</v>
          </cell>
        </row>
        <row r="29">
          <cell r="A29" t="str">
            <v>C309363</v>
          </cell>
          <cell r="B29">
            <v>202509286452085</v>
          </cell>
          <cell r="D29" t="str">
            <v>ATO4</v>
          </cell>
          <cell r="E29" t="str">
            <v>C309363</v>
          </cell>
          <cell r="F29">
            <v>46023</v>
          </cell>
          <cell r="G29">
            <v>46387</v>
          </cell>
          <cell r="H29">
            <v>46181</v>
          </cell>
          <cell r="I29">
            <v>46181</v>
          </cell>
          <cell r="K29" t="str">
            <v>004028</v>
          </cell>
          <cell r="L29">
            <v>-209.76</v>
          </cell>
          <cell r="M29">
            <v>-209.76</v>
          </cell>
          <cell r="N29">
            <v>-209.76</v>
          </cell>
          <cell r="O29" t="str">
            <v>indiretto</v>
          </cell>
          <cell r="P29">
            <v>2</v>
          </cell>
          <cell r="Q29" t="str">
            <v>0.970423</v>
          </cell>
          <cell r="R29" t="str">
            <v>0.680389</v>
          </cell>
          <cell r="S29" t="str">
            <v>0.271253</v>
          </cell>
          <cell r="T29" t="str">
            <v>NO</v>
          </cell>
          <cell r="U29" t="str">
            <v>DELIBERAZIONE EGATO 29 19/12/2018</v>
          </cell>
        </row>
        <row r="30">
          <cell r="A30" t="str">
            <v>C342580</v>
          </cell>
          <cell r="B30">
            <v>202509286625539</v>
          </cell>
          <cell r="D30" t="str">
            <v>ATO4</v>
          </cell>
          <cell r="E30" t="str">
            <v>C342580</v>
          </cell>
          <cell r="F30">
            <v>46023</v>
          </cell>
          <cell r="G30">
            <v>46387</v>
          </cell>
          <cell r="H30">
            <v>46153</v>
          </cell>
          <cell r="I30">
            <v>46153</v>
          </cell>
          <cell r="K30" t="str">
            <v>004091</v>
          </cell>
          <cell r="L30">
            <v>-126.28</v>
          </cell>
          <cell r="M30">
            <v>-126.28</v>
          </cell>
          <cell r="N30">
            <v>-126.28</v>
          </cell>
          <cell r="O30" t="str">
            <v>indiretto</v>
          </cell>
          <cell r="P30">
            <v>2</v>
          </cell>
          <cell r="Q30" t="str">
            <v>0.873381</v>
          </cell>
          <cell r="R30" t="str">
            <v>0.612350</v>
          </cell>
          <cell r="S30" t="str">
            <v>0.244127</v>
          </cell>
          <cell r="T30" t="str">
            <v>NO</v>
          </cell>
          <cell r="U30" t="str">
            <v>DELIBERAZIONE EGATO 29 19/12/2018</v>
          </cell>
        </row>
        <row r="31">
          <cell r="A31" t="str">
            <v>C343072</v>
          </cell>
          <cell r="B31">
            <v>202510289020158</v>
          </cell>
          <cell r="D31" t="str">
            <v>ATO4</v>
          </cell>
          <cell r="E31" t="str">
            <v>C343072</v>
          </cell>
          <cell r="F31">
            <v>46054</v>
          </cell>
          <cell r="G31">
            <v>46418</v>
          </cell>
          <cell r="H31">
            <v>46168</v>
          </cell>
          <cell r="I31">
            <v>46168</v>
          </cell>
          <cell r="K31" t="str">
            <v>004078</v>
          </cell>
          <cell r="L31">
            <v>-70.16</v>
          </cell>
          <cell r="M31">
            <v>-70.16</v>
          </cell>
          <cell r="N31">
            <v>-70.16</v>
          </cell>
          <cell r="O31" t="str">
            <v>indiretto</v>
          </cell>
          <cell r="P31">
            <v>2</v>
          </cell>
          <cell r="Q31" t="str">
            <v>0.970423</v>
          </cell>
          <cell r="R31" t="str">
            <v>0.680389</v>
          </cell>
          <cell r="S31" t="str">
            <v>0.271253</v>
          </cell>
          <cell r="T31" t="str">
            <v>NO</v>
          </cell>
          <cell r="U31" t="str">
            <v>DELIBERAZIONE EGATO 29 19/12/2018</v>
          </cell>
        </row>
        <row r="32">
          <cell r="A32" t="str">
            <v>C317493</v>
          </cell>
          <cell r="B32">
            <v>202510289073799</v>
          </cell>
          <cell r="D32" t="str">
            <v>ATO4</v>
          </cell>
          <cell r="E32" t="str">
            <v>C317493</v>
          </cell>
          <cell r="F32">
            <v>46054</v>
          </cell>
          <cell r="G32">
            <v>46418</v>
          </cell>
          <cell r="H32">
            <v>46191</v>
          </cell>
          <cell r="I32">
            <v>46191</v>
          </cell>
          <cell r="K32" t="str">
            <v>004066</v>
          </cell>
          <cell r="L32">
            <v>-140.31</v>
          </cell>
          <cell r="M32">
            <v>-140.31</v>
          </cell>
          <cell r="N32">
            <v>-140.31</v>
          </cell>
          <cell r="O32" t="str">
            <v>indiretto</v>
          </cell>
          <cell r="P32">
            <v>4</v>
          </cell>
          <cell r="Q32" t="str">
            <v>0.970423</v>
          </cell>
          <cell r="R32" t="str">
            <v>0.680389</v>
          </cell>
          <cell r="S32" t="str">
            <v>0.271253</v>
          </cell>
          <cell r="T32" t="str">
            <v>NO</v>
          </cell>
          <cell r="U32" t="str">
            <v>DELIBERAZIONE EGATO 29 19/12/2018</v>
          </cell>
        </row>
        <row r="33">
          <cell r="A33" t="str">
            <v>C314065</v>
          </cell>
          <cell r="B33">
            <v>202510290556897</v>
          </cell>
          <cell r="D33" t="str">
            <v>ATO4</v>
          </cell>
          <cell r="E33" t="str">
            <v>C314065</v>
          </cell>
          <cell r="F33">
            <v>46054</v>
          </cell>
          <cell r="G33">
            <v>46418</v>
          </cell>
          <cell r="H33">
            <v>46169</v>
          </cell>
          <cell r="I33">
            <v>46169</v>
          </cell>
          <cell r="K33" t="str">
            <v>004078</v>
          </cell>
          <cell r="L33">
            <v>-35.08</v>
          </cell>
          <cell r="M33">
            <v>-35.08</v>
          </cell>
          <cell r="N33">
            <v>-35.08</v>
          </cell>
          <cell r="O33" t="str">
            <v>indiretto</v>
          </cell>
          <cell r="P33">
            <v>1</v>
          </cell>
          <cell r="Q33" t="str">
            <v>0.970423</v>
          </cell>
          <cell r="R33" t="str">
            <v>0.680389</v>
          </cell>
          <cell r="S33" t="str">
            <v>0.271253</v>
          </cell>
          <cell r="T33" t="str">
            <v>NO</v>
          </cell>
          <cell r="U33" t="str">
            <v>DELIBERAZIONE EGATO 29 19/12/2018</v>
          </cell>
        </row>
        <row r="34">
          <cell r="A34" t="str">
            <v>C320180</v>
          </cell>
          <cell r="B34">
            <v>202510291105630</v>
          </cell>
          <cell r="D34" t="str">
            <v>ATO4</v>
          </cell>
          <cell r="E34" t="str">
            <v>C320180</v>
          </cell>
          <cell r="F34">
            <v>46054</v>
          </cell>
          <cell r="G34">
            <v>46418</v>
          </cell>
          <cell r="H34">
            <v>46181</v>
          </cell>
          <cell r="I34">
            <v>46181</v>
          </cell>
          <cell r="K34" t="str">
            <v>004081</v>
          </cell>
          <cell r="L34">
            <v>-118.31</v>
          </cell>
          <cell r="M34">
            <v>-118.31</v>
          </cell>
          <cell r="N34">
            <v>-118.31</v>
          </cell>
          <cell r="O34" t="str">
            <v>indiretto</v>
          </cell>
          <cell r="P34">
            <v>3</v>
          </cell>
          <cell r="Q34">
            <v>1155411</v>
          </cell>
          <cell r="R34" t="str">
            <v>0.691798</v>
          </cell>
          <cell r="S34" t="str">
            <v>0.313675</v>
          </cell>
          <cell r="T34" t="str">
            <v>NO</v>
          </cell>
          <cell r="U34" t="str">
            <v>DELIBERAZIONE EGATO 2 04/02/2019</v>
          </cell>
        </row>
        <row r="35">
          <cell r="A35" t="str">
            <v>C319640</v>
          </cell>
          <cell r="B35">
            <v>202511295863031</v>
          </cell>
          <cell r="D35" t="str">
            <v>ATO4</v>
          </cell>
          <cell r="E35" t="str">
            <v>C319640</v>
          </cell>
          <cell r="F35">
            <v>46082</v>
          </cell>
          <cell r="G35">
            <v>46446</v>
          </cell>
          <cell r="H35">
            <v>46149</v>
          </cell>
          <cell r="I35">
            <v>46149</v>
          </cell>
          <cell r="K35" t="str">
            <v>004213</v>
          </cell>
          <cell r="L35">
            <v>-95.07</v>
          </cell>
          <cell r="M35">
            <v>-95.07</v>
          </cell>
          <cell r="N35">
            <v>-95.07</v>
          </cell>
          <cell r="O35" t="str">
            <v>indiretto</v>
          </cell>
          <cell r="P35">
            <v>3</v>
          </cell>
          <cell r="Q35" t="str">
            <v>0.670523</v>
          </cell>
          <cell r="R35" t="str">
            <v>0.790874</v>
          </cell>
          <cell r="S35" t="str">
            <v>0.275088</v>
          </cell>
          <cell r="T35" t="str">
            <v>NO</v>
          </cell>
          <cell r="U35" t="str">
            <v>DELIBERA EGATO 12 22/04/21</v>
          </cell>
        </row>
        <row r="36">
          <cell r="A36" t="str">
            <v>C336624</v>
          </cell>
          <cell r="B36">
            <v>202511296021791</v>
          </cell>
          <cell r="D36" t="str">
            <v>ATO4</v>
          </cell>
          <cell r="E36" t="str">
            <v>C336624</v>
          </cell>
          <cell r="F36">
            <v>46082</v>
          </cell>
          <cell r="G36">
            <v>46446</v>
          </cell>
          <cell r="H36">
            <v>46191</v>
          </cell>
          <cell r="I36">
            <v>46191</v>
          </cell>
          <cell r="K36" t="str">
            <v>004066</v>
          </cell>
          <cell r="L36">
            <v>-245.54</v>
          </cell>
          <cell r="M36">
            <v>-245.54</v>
          </cell>
          <cell r="N36">
            <v>-245.54</v>
          </cell>
          <cell r="O36" t="str">
            <v>indiretto</v>
          </cell>
          <cell r="P36">
            <v>7</v>
          </cell>
          <cell r="Q36" t="str">
            <v>0.970423</v>
          </cell>
          <cell r="R36" t="str">
            <v>0.680389</v>
          </cell>
          <cell r="S36" t="str">
            <v>0.271253</v>
          </cell>
          <cell r="T36" t="str">
            <v>NO</v>
          </cell>
          <cell r="U36" t="str">
            <v>DELIBERAZIONE EGATO 29 19/12/2018</v>
          </cell>
        </row>
        <row r="37">
          <cell r="A37" t="str">
            <v>C336636</v>
          </cell>
          <cell r="B37">
            <v>202511296509637</v>
          </cell>
          <cell r="D37" t="str">
            <v>ATO4</v>
          </cell>
          <cell r="E37" t="str">
            <v>C336636</v>
          </cell>
          <cell r="F37">
            <v>46082</v>
          </cell>
          <cell r="G37">
            <v>46446</v>
          </cell>
          <cell r="H37">
            <v>46191</v>
          </cell>
          <cell r="I37">
            <v>46191</v>
          </cell>
          <cell r="K37" t="str">
            <v>004061</v>
          </cell>
          <cell r="L37">
            <v>-175.39</v>
          </cell>
          <cell r="M37">
            <v>-175.39</v>
          </cell>
          <cell r="N37">
            <v>-175.39</v>
          </cell>
          <cell r="O37" t="str">
            <v>indiretto</v>
          </cell>
          <cell r="P37">
            <v>5</v>
          </cell>
          <cell r="Q37" t="str">
            <v>0.970423</v>
          </cell>
          <cell r="R37" t="str">
            <v>0.680389</v>
          </cell>
          <cell r="S37" t="str">
            <v>0.271253</v>
          </cell>
          <cell r="T37" t="str">
            <v>NO</v>
          </cell>
          <cell r="U37" t="str">
            <v>DELIBERAZIONE EGATO 29 19/12/2018</v>
          </cell>
        </row>
        <row r="38">
          <cell r="A38" t="str">
            <v>C343882</v>
          </cell>
          <cell r="B38">
            <v>202512302665805</v>
          </cell>
          <cell r="D38" t="str">
            <v>ATO4</v>
          </cell>
          <cell r="E38" t="str">
            <v>C343882</v>
          </cell>
          <cell r="F38">
            <v>46113</v>
          </cell>
          <cell r="G38">
            <v>46477</v>
          </cell>
          <cell r="H38">
            <v>46149</v>
          </cell>
          <cell r="I38">
            <v>46149</v>
          </cell>
          <cell r="K38" t="str">
            <v>004157</v>
          </cell>
          <cell r="L38">
            <v>-35.08</v>
          </cell>
          <cell r="M38">
            <v>-35.08</v>
          </cell>
          <cell r="N38">
            <v>-35.08</v>
          </cell>
          <cell r="O38" t="str">
            <v>indiretto</v>
          </cell>
          <cell r="P38">
            <v>1</v>
          </cell>
          <cell r="Q38" t="str">
            <v>0.970423</v>
          </cell>
          <cell r="R38" t="str">
            <v>0.680389</v>
          </cell>
          <cell r="S38" t="str">
            <v>0.271253</v>
          </cell>
          <cell r="T38" t="str">
            <v>NO</v>
          </cell>
          <cell r="U38" t="str">
            <v>DELIBERAZIONE EGATO 29 19/12/2018</v>
          </cell>
        </row>
        <row r="39">
          <cell r="A39" t="str">
            <v>C343923</v>
          </cell>
          <cell r="B39">
            <v>202512302666921</v>
          </cell>
          <cell r="D39" t="str">
            <v>ATO4</v>
          </cell>
          <cell r="E39" t="str">
            <v>C343923</v>
          </cell>
          <cell r="F39">
            <v>46113</v>
          </cell>
          <cell r="G39">
            <v>46477</v>
          </cell>
          <cell r="H39">
            <v>46149</v>
          </cell>
          <cell r="I39">
            <v>46149</v>
          </cell>
          <cell r="K39" t="str">
            <v>004208</v>
          </cell>
          <cell r="L39">
            <v>-111.52</v>
          </cell>
          <cell r="M39">
            <v>-111.52</v>
          </cell>
          <cell r="N39">
            <v>-111.52</v>
          </cell>
          <cell r="O39" t="str">
            <v>indiretto</v>
          </cell>
          <cell r="P39">
            <v>3</v>
          </cell>
          <cell r="Q39">
            <v>1263176</v>
          </cell>
          <cell r="R39" t="str">
            <v>0.577445</v>
          </cell>
          <cell r="S39" t="str">
            <v>0.196331</v>
          </cell>
          <cell r="T39" t="str">
            <v>NO</v>
          </cell>
          <cell r="U39" t="str">
            <v>DELIBERAZIONE EGATO 11 27/03/2019</v>
          </cell>
        </row>
        <row r="40">
          <cell r="A40" t="str">
            <v>C343887</v>
          </cell>
          <cell r="B40">
            <v>202512302667989</v>
          </cell>
          <cell r="D40" t="str">
            <v>ATO4</v>
          </cell>
          <cell r="E40" t="str">
            <v>C343887</v>
          </cell>
          <cell r="F40">
            <v>46113</v>
          </cell>
          <cell r="G40">
            <v>46477</v>
          </cell>
          <cell r="H40">
            <v>46149</v>
          </cell>
          <cell r="I40">
            <v>46149</v>
          </cell>
          <cell r="K40" t="str">
            <v>004179</v>
          </cell>
          <cell r="L40">
            <v>-59.27</v>
          </cell>
          <cell r="M40">
            <v>-59.27</v>
          </cell>
          <cell r="N40">
            <v>-59.27</v>
          </cell>
          <cell r="O40" t="str">
            <v>indiretto</v>
          </cell>
          <cell r="P40">
            <v>2</v>
          </cell>
          <cell r="Q40" t="str">
            <v>0.850124</v>
          </cell>
          <cell r="R40" t="str">
            <v>0.568257</v>
          </cell>
          <cell r="S40" t="str">
            <v>0.205575</v>
          </cell>
          <cell r="T40" t="str">
            <v>NO</v>
          </cell>
          <cell r="U40" t="str">
            <v>DELIBERAZIONE EGATO 11 27/03/2019</v>
          </cell>
        </row>
        <row r="41">
          <cell r="A41" t="str">
            <v>C343910</v>
          </cell>
          <cell r="B41">
            <v>202512302668842</v>
          </cell>
          <cell r="D41" t="str">
            <v>ATO4</v>
          </cell>
          <cell r="E41" t="str">
            <v>C343910</v>
          </cell>
          <cell r="F41">
            <v>46113</v>
          </cell>
          <cell r="G41">
            <v>46477</v>
          </cell>
          <cell r="H41">
            <v>46149</v>
          </cell>
          <cell r="I41">
            <v>46149</v>
          </cell>
          <cell r="K41" t="str">
            <v>004078</v>
          </cell>
          <cell r="L41">
            <v>-35.08</v>
          </cell>
          <cell r="M41">
            <v>-35.08</v>
          </cell>
          <cell r="N41">
            <v>-35.08</v>
          </cell>
          <cell r="O41" t="str">
            <v>indiretto</v>
          </cell>
          <cell r="P41">
            <v>1</v>
          </cell>
          <cell r="Q41" t="str">
            <v>0.970423</v>
          </cell>
          <cell r="R41" t="str">
            <v>0.680389</v>
          </cell>
          <cell r="S41" t="str">
            <v>0.271253</v>
          </cell>
          <cell r="T41" t="str">
            <v>NO</v>
          </cell>
          <cell r="U41" t="str">
            <v>DELIBERAZIONE EGATO 29 19/12/2018</v>
          </cell>
        </row>
        <row r="42">
          <cell r="A42" t="str">
            <v>C320029</v>
          </cell>
          <cell r="B42">
            <v>202512302671495</v>
          </cell>
          <cell r="D42" t="str">
            <v>ATO4</v>
          </cell>
          <cell r="E42" t="str">
            <v>C320029</v>
          </cell>
          <cell r="F42">
            <v>46113</v>
          </cell>
          <cell r="G42">
            <v>46477</v>
          </cell>
          <cell r="H42">
            <v>46149</v>
          </cell>
          <cell r="I42">
            <v>46149</v>
          </cell>
          <cell r="K42" t="str">
            <v>004034</v>
          </cell>
          <cell r="L42">
            <v>-70.16</v>
          </cell>
          <cell r="M42">
            <v>-70.16</v>
          </cell>
          <cell r="N42">
            <v>-70.16</v>
          </cell>
          <cell r="O42" t="str">
            <v>indiretto</v>
          </cell>
          <cell r="P42">
            <v>2</v>
          </cell>
          <cell r="Q42" t="str">
            <v>0.970423</v>
          </cell>
          <cell r="R42" t="str">
            <v>0.680389</v>
          </cell>
          <cell r="S42" t="str">
            <v>0.271253</v>
          </cell>
          <cell r="T42" t="str">
            <v>NO</v>
          </cell>
          <cell r="U42" t="str">
            <v>DELIBERAZIONE EGATO 29 19/12/2018</v>
          </cell>
        </row>
        <row r="43">
          <cell r="A43" t="str">
            <v>C341839</v>
          </cell>
          <cell r="B43">
            <v>202512302671686</v>
          </cell>
          <cell r="D43" t="str">
            <v>ATO4</v>
          </cell>
          <cell r="E43" t="str">
            <v>C341839</v>
          </cell>
          <cell r="F43">
            <v>46113</v>
          </cell>
          <cell r="G43">
            <v>46477</v>
          </cell>
          <cell r="H43">
            <v>46149</v>
          </cell>
          <cell r="I43">
            <v>46149</v>
          </cell>
          <cell r="K43" t="str">
            <v>004121</v>
          </cell>
          <cell r="L43">
            <v>-40.479999999999997</v>
          </cell>
          <cell r="M43">
            <v>-40.479999999999997</v>
          </cell>
          <cell r="N43">
            <v>-40.479999999999997</v>
          </cell>
          <cell r="O43" t="str">
            <v>indiretto</v>
          </cell>
          <cell r="P43">
            <v>3</v>
          </cell>
          <cell r="Q43" t="str">
            <v>0.238563</v>
          </cell>
          <cell r="R43" t="str">
            <v>0.373689</v>
          </cell>
          <cell r="S43" t="str">
            <v>0.127053</v>
          </cell>
          <cell r="T43" t="str">
            <v>NO</v>
          </cell>
          <cell r="U43" t="str">
            <v>DELIBERAZIONE EGATO 2 04/02/2019</v>
          </cell>
        </row>
        <row r="44">
          <cell r="A44" t="str">
            <v>C343892</v>
          </cell>
          <cell r="B44">
            <v>202512302677978</v>
          </cell>
          <cell r="D44" t="str">
            <v>ATO4</v>
          </cell>
          <cell r="E44" t="str">
            <v>C343892</v>
          </cell>
          <cell r="F44">
            <v>46113</v>
          </cell>
          <cell r="G44">
            <v>46477</v>
          </cell>
          <cell r="H44">
            <v>46149</v>
          </cell>
          <cell r="I44">
            <v>46149</v>
          </cell>
          <cell r="K44" t="str">
            <v>004130</v>
          </cell>
          <cell r="L44">
            <v>-83.41</v>
          </cell>
          <cell r="M44">
            <v>-83.41</v>
          </cell>
          <cell r="N44">
            <v>-83.41</v>
          </cell>
          <cell r="O44" t="str">
            <v>indiretto</v>
          </cell>
          <cell r="P44">
            <v>3</v>
          </cell>
          <cell r="Q44" t="str">
            <v>0.577221</v>
          </cell>
          <cell r="R44" t="str">
            <v>0.647377</v>
          </cell>
          <cell r="S44" t="str">
            <v>0.298792</v>
          </cell>
          <cell r="T44" t="str">
            <v>NO</v>
          </cell>
          <cell r="U44" t="str">
            <v>DELIBERA EGATO N.29 DEL 19/12/2018</v>
          </cell>
        </row>
        <row r="45">
          <cell r="A45" t="str">
            <v>C343922</v>
          </cell>
          <cell r="B45">
            <v>202512302678775</v>
          </cell>
          <cell r="D45" t="str">
            <v>ATO4</v>
          </cell>
          <cell r="E45" t="str">
            <v>C343922</v>
          </cell>
          <cell r="F45">
            <v>46113</v>
          </cell>
          <cell r="G45">
            <v>46477</v>
          </cell>
          <cell r="H45">
            <v>46149</v>
          </cell>
          <cell r="I45">
            <v>46149</v>
          </cell>
          <cell r="K45" t="str">
            <v>004208</v>
          </cell>
          <cell r="L45">
            <v>-37.17</v>
          </cell>
          <cell r="M45">
            <v>-37.17</v>
          </cell>
          <cell r="N45">
            <v>-37.17</v>
          </cell>
          <cell r="O45" t="str">
            <v>indiretto</v>
          </cell>
          <cell r="P45">
            <v>1</v>
          </cell>
          <cell r="Q45">
            <v>1263176</v>
          </cell>
          <cell r="R45" t="str">
            <v>0.577445</v>
          </cell>
          <cell r="S45" t="str">
            <v>0.196331</v>
          </cell>
          <cell r="T45" t="str">
            <v>NO</v>
          </cell>
          <cell r="U45" t="str">
            <v>DELIBERAZIONE EGATO 11 27/03/2019</v>
          </cell>
        </row>
        <row r="46">
          <cell r="A46" t="str">
            <v>C308713</v>
          </cell>
          <cell r="B46">
            <v>202512302682042</v>
          </cell>
          <cell r="D46" t="str">
            <v>ATO4</v>
          </cell>
          <cell r="E46" t="str">
            <v>C308713</v>
          </cell>
          <cell r="F46">
            <v>46113</v>
          </cell>
          <cell r="G46">
            <v>46477</v>
          </cell>
          <cell r="H46">
            <v>46149</v>
          </cell>
          <cell r="I46">
            <v>46149</v>
          </cell>
          <cell r="K46" t="str">
            <v>004233</v>
          </cell>
          <cell r="L46">
            <v>-31.57</v>
          </cell>
          <cell r="M46">
            <v>-31.57</v>
          </cell>
          <cell r="N46">
            <v>-31.57</v>
          </cell>
          <cell r="O46" t="str">
            <v>indiretto</v>
          </cell>
          <cell r="P46">
            <v>1</v>
          </cell>
          <cell r="Q46" t="str">
            <v>0.873381</v>
          </cell>
          <cell r="R46" t="str">
            <v>0.612350</v>
          </cell>
          <cell r="S46" t="str">
            <v>0.244127</v>
          </cell>
          <cell r="T46" t="str">
            <v>NO</v>
          </cell>
          <cell r="U46" t="str">
            <v>DELIBERAZIONE EGATO 29 19/12/2018</v>
          </cell>
        </row>
        <row r="47">
          <cell r="A47" t="str">
            <v>C343913</v>
          </cell>
          <cell r="B47">
            <v>202512302684829</v>
          </cell>
          <cell r="D47" t="str">
            <v>ATO4</v>
          </cell>
          <cell r="E47" t="str">
            <v>C343913</v>
          </cell>
          <cell r="F47">
            <v>46113</v>
          </cell>
          <cell r="G47">
            <v>46477</v>
          </cell>
          <cell r="H47">
            <v>46149</v>
          </cell>
          <cell r="I47">
            <v>46149</v>
          </cell>
          <cell r="K47" t="str">
            <v>004078</v>
          </cell>
          <cell r="L47">
            <v>-105.23</v>
          </cell>
          <cell r="M47">
            <v>-105.23</v>
          </cell>
          <cell r="N47">
            <v>-105.23</v>
          </cell>
          <cell r="O47" t="str">
            <v>indiretto</v>
          </cell>
          <cell r="P47">
            <v>3</v>
          </cell>
          <cell r="Q47" t="str">
            <v>0.970423</v>
          </cell>
          <cell r="R47" t="str">
            <v>0.680389</v>
          </cell>
          <cell r="S47" t="str">
            <v>0.271253</v>
          </cell>
          <cell r="T47" t="str">
            <v>NO</v>
          </cell>
          <cell r="U47" t="str">
            <v>DELIBERAZIONE EGATO 29 19/12/2018</v>
          </cell>
        </row>
        <row r="48">
          <cell r="A48" t="str">
            <v>C312362</v>
          </cell>
          <cell r="B48">
            <v>202512302685591</v>
          </cell>
          <cell r="D48" t="str">
            <v>ATO4</v>
          </cell>
          <cell r="E48" t="str">
            <v>C312362</v>
          </cell>
          <cell r="F48">
            <v>46113</v>
          </cell>
          <cell r="G48">
            <v>46477</v>
          </cell>
          <cell r="H48">
            <v>46149</v>
          </cell>
          <cell r="I48">
            <v>46149</v>
          </cell>
          <cell r="K48" t="str">
            <v>004025</v>
          </cell>
          <cell r="L48">
            <v>-210.47</v>
          </cell>
          <cell r="M48">
            <v>-210.47</v>
          </cell>
          <cell r="N48">
            <v>-210.47</v>
          </cell>
          <cell r="O48" t="str">
            <v>indiretto</v>
          </cell>
          <cell r="P48">
            <v>6</v>
          </cell>
          <cell r="Q48" t="str">
            <v>0.970423</v>
          </cell>
          <cell r="R48" t="str">
            <v>0.680389</v>
          </cell>
          <cell r="S48" t="str">
            <v>0.271253</v>
          </cell>
          <cell r="T48" t="str">
            <v>NO</v>
          </cell>
          <cell r="U48" t="str">
            <v>DELIBERAZIONE EGATO 29 19/12/2018</v>
          </cell>
        </row>
        <row r="49">
          <cell r="A49" t="str">
            <v>C320109</v>
          </cell>
          <cell r="B49">
            <v>202512302685909</v>
          </cell>
          <cell r="D49" t="str">
            <v>ATO4</v>
          </cell>
          <cell r="E49" t="str">
            <v>C320109</v>
          </cell>
          <cell r="F49">
            <v>46113</v>
          </cell>
          <cell r="G49">
            <v>46477</v>
          </cell>
          <cell r="H49">
            <v>46149</v>
          </cell>
          <cell r="I49">
            <v>46149</v>
          </cell>
          <cell r="K49" t="str">
            <v>004068</v>
          </cell>
          <cell r="L49">
            <v>-35.08</v>
          </cell>
          <cell r="M49">
            <v>-35.08</v>
          </cell>
          <cell r="N49">
            <v>-35.08</v>
          </cell>
          <cell r="O49" t="str">
            <v>indiretto</v>
          </cell>
          <cell r="P49">
            <v>1</v>
          </cell>
          <cell r="Q49" t="str">
            <v>0.970423</v>
          </cell>
          <cell r="R49" t="str">
            <v>0.680389</v>
          </cell>
          <cell r="S49" t="str">
            <v>0.271253</v>
          </cell>
          <cell r="T49" t="str">
            <v>NO</v>
          </cell>
          <cell r="U49" t="str">
            <v>DELIBERAZIONE EGATO 29 19/12/2018</v>
          </cell>
        </row>
        <row r="50">
          <cell r="A50" t="str">
            <v>C343915</v>
          </cell>
          <cell r="B50">
            <v>202512302687122</v>
          </cell>
          <cell r="D50" t="str">
            <v>ATO4</v>
          </cell>
          <cell r="E50" t="str">
            <v>C343915</v>
          </cell>
          <cell r="F50">
            <v>46113</v>
          </cell>
          <cell r="G50">
            <v>46477</v>
          </cell>
          <cell r="H50">
            <v>46149</v>
          </cell>
          <cell r="I50">
            <v>46149</v>
          </cell>
          <cell r="K50" t="str">
            <v>004192</v>
          </cell>
          <cell r="L50">
            <v>-70.16</v>
          </cell>
          <cell r="M50">
            <v>-70.16</v>
          </cell>
          <cell r="N50">
            <v>-70.16</v>
          </cell>
          <cell r="O50" t="str">
            <v>indiretto</v>
          </cell>
          <cell r="P50">
            <v>2</v>
          </cell>
          <cell r="Q50" t="str">
            <v>0.970423</v>
          </cell>
          <cell r="R50" t="str">
            <v>0.680389</v>
          </cell>
          <cell r="S50" t="str">
            <v>0.271253</v>
          </cell>
          <cell r="T50" t="str">
            <v>NO</v>
          </cell>
          <cell r="U50" t="str">
            <v>DELIBERAZIONE EGATO 29 19/12/2018</v>
          </cell>
        </row>
        <row r="51">
          <cell r="A51" t="str">
            <v>C309807</v>
          </cell>
          <cell r="B51">
            <v>202512302687841</v>
          </cell>
          <cell r="D51" t="str">
            <v>ATO4</v>
          </cell>
          <cell r="E51" t="str">
            <v>C309807</v>
          </cell>
          <cell r="F51">
            <v>46113</v>
          </cell>
          <cell r="G51">
            <v>46477</v>
          </cell>
          <cell r="H51">
            <v>46149</v>
          </cell>
          <cell r="I51">
            <v>46149</v>
          </cell>
          <cell r="K51" t="str">
            <v>004192</v>
          </cell>
          <cell r="L51">
            <v>-70.16</v>
          </cell>
          <cell r="M51">
            <v>-70.16</v>
          </cell>
          <cell r="N51">
            <v>-70.16</v>
          </cell>
          <cell r="O51" t="str">
            <v>indiretto</v>
          </cell>
          <cell r="P51">
            <v>2</v>
          </cell>
          <cell r="Q51" t="str">
            <v>0.970423</v>
          </cell>
          <cell r="R51" t="str">
            <v>0.680389</v>
          </cell>
          <cell r="S51" t="str">
            <v>0.271253</v>
          </cell>
          <cell r="T51" t="str">
            <v>NO</v>
          </cell>
          <cell r="U51" t="str">
            <v>DELIBERAZIONE EGATO 29 19/12/2018</v>
          </cell>
        </row>
        <row r="52">
          <cell r="A52" t="str">
            <v>C343918</v>
          </cell>
          <cell r="B52">
            <v>202512302688211</v>
          </cell>
          <cell r="D52" t="str">
            <v>ATO4</v>
          </cell>
          <cell r="E52" t="str">
            <v>C343918</v>
          </cell>
          <cell r="F52">
            <v>46113</v>
          </cell>
          <cell r="G52">
            <v>46477</v>
          </cell>
          <cell r="H52">
            <v>46149</v>
          </cell>
          <cell r="I52">
            <v>46149</v>
          </cell>
          <cell r="K52" t="str">
            <v>004061</v>
          </cell>
          <cell r="L52">
            <v>-105.23</v>
          </cell>
          <cell r="M52">
            <v>-105.23</v>
          </cell>
          <cell r="N52">
            <v>-105.23</v>
          </cell>
          <cell r="O52" t="str">
            <v>indiretto</v>
          </cell>
          <cell r="P52">
            <v>3</v>
          </cell>
          <cell r="Q52" t="str">
            <v>0.970423</v>
          </cell>
          <cell r="R52" t="str">
            <v>0.680389</v>
          </cell>
          <cell r="S52" t="str">
            <v>0.271253</v>
          </cell>
          <cell r="T52" t="str">
            <v>NO</v>
          </cell>
          <cell r="U52" t="str">
            <v>DELIBERAZIONE EGATO 29 19/12/2018</v>
          </cell>
        </row>
        <row r="53">
          <cell r="A53" t="str">
            <v>C343914</v>
          </cell>
          <cell r="B53">
            <v>202512302688298</v>
          </cell>
          <cell r="D53" t="str">
            <v>ATO4</v>
          </cell>
          <cell r="E53" t="str">
            <v>C343914</v>
          </cell>
          <cell r="F53">
            <v>46113</v>
          </cell>
          <cell r="G53">
            <v>46477</v>
          </cell>
          <cell r="H53">
            <v>46149</v>
          </cell>
          <cell r="I53">
            <v>46149</v>
          </cell>
          <cell r="K53" t="str">
            <v>004078</v>
          </cell>
          <cell r="L53">
            <v>-35.08</v>
          </cell>
          <cell r="M53">
            <v>-35.08</v>
          </cell>
          <cell r="N53">
            <v>-35.08</v>
          </cell>
          <cell r="O53" t="str">
            <v>indiretto</v>
          </cell>
          <cell r="P53">
            <v>1</v>
          </cell>
          <cell r="Q53" t="str">
            <v>0.970423</v>
          </cell>
          <cell r="R53" t="str">
            <v>0.680389</v>
          </cell>
          <cell r="S53" t="str">
            <v>0.271253</v>
          </cell>
          <cell r="T53" t="str">
            <v>NO</v>
          </cell>
          <cell r="U53" t="str">
            <v>DELIBERAZIONE EGATO 29 19/12/2018</v>
          </cell>
        </row>
        <row r="54">
          <cell r="A54" t="str">
            <v>C343894</v>
          </cell>
          <cell r="B54">
            <v>202512302689844</v>
          </cell>
          <cell r="D54" t="str">
            <v>ATO4</v>
          </cell>
          <cell r="E54" t="str">
            <v>C343894</v>
          </cell>
          <cell r="F54">
            <v>46113</v>
          </cell>
          <cell r="G54">
            <v>46477</v>
          </cell>
          <cell r="H54">
            <v>46149</v>
          </cell>
          <cell r="I54">
            <v>46149</v>
          </cell>
          <cell r="K54" t="str">
            <v>004064</v>
          </cell>
          <cell r="L54">
            <v>-105.23</v>
          </cell>
          <cell r="M54">
            <v>-105.23</v>
          </cell>
          <cell r="N54">
            <v>-105.23</v>
          </cell>
          <cell r="O54" t="str">
            <v>indiretto</v>
          </cell>
          <cell r="P54">
            <v>3</v>
          </cell>
          <cell r="Q54" t="str">
            <v>0.970423</v>
          </cell>
          <cell r="R54" t="str">
            <v>0.680389</v>
          </cell>
          <cell r="S54" t="str">
            <v>0.271253</v>
          </cell>
          <cell r="T54" t="str">
            <v>NO</v>
          </cell>
          <cell r="U54" t="str">
            <v>DELIBERAZIONE EGATO 29 19/12/2018</v>
          </cell>
        </row>
        <row r="55">
          <cell r="A55" t="str">
            <v>C343896</v>
          </cell>
          <cell r="B55">
            <v>202512302689931</v>
          </cell>
          <cell r="D55" t="str">
            <v>ATO4</v>
          </cell>
          <cell r="E55" t="str">
            <v>C343896</v>
          </cell>
          <cell r="F55">
            <v>46113</v>
          </cell>
          <cell r="G55">
            <v>46477</v>
          </cell>
          <cell r="H55">
            <v>46149</v>
          </cell>
          <cell r="I55">
            <v>46149</v>
          </cell>
          <cell r="K55" t="str">
            <v>004130</v>
          </cell>
          <cell r="L55">
            <v>-139.01</v>
          </cell>
          <cell r="M55">
            <v>-139.01</v>
          </cell>
          <cell r="N55">
            <v>-139.01</v>
          </cell>
          <cell r="O55" t="str">
            <v>indiretto</v>
          </cell>
          <cell r="P55">
            <v>5</v>
          </cell>
          <cell r="Q55" t="str">
            <v>0.577221</v>
          </cell>
          <cell r="R55" t="str">
            <v>0.647377</v>
          </cell>
          <cell r="S55" t="str">
            <v>0.298792</v>
          </cell>
          <cell r="T55" t="str">
            <v>NO</v>
          </cell>
          <cell r="U55" t="str">
            <v>DELIBERA EGATO N.29 DEL 19/12/2018</v>
          </cell>
        </row>
        <row r="56">
          <cell r="A56" t="str">
            <v>C128516</v>
          </cell>
          <cell r="B56">
            <v>202512302693828</v>
          </cell>
          <cell r="D56" t="str">
            <v>ATO4</v>
          </cell>
          <cell r="E56" t="str">
            <v>C128516</v>
          </cell>
          <cell r="F56">
            <v>46113</v>
          </cell>
          <cell r="G56">
            <v>46477</v>
          </cell>
          <cell r="H56">
            <v>46149</v>
          </cell>
          <cell r="I56">
            <v>46149</v>
          </cell>
          <cell r="K56" t="str">
            <v>004078</v>
          </cell>
          <cell r="L56">
            <v>-175.39</v>
          </cell>
          <cell r="M56">
            <v>-175.39</v>
          </cell>
          <cell r="N56">
            <v>-175.39</v>
          </cell>
          <cell r="O56" t="str">
            <v>indiretto</v>
          </cell>
          <cell r="P56">
            <v>5</v>
          </cell>
          <cell r="Q56" t="str">
            <v>0.970423</v>
          </cell>
          <cell r="R56" t="str">
            <v>0.680389</v>
          </cell>
          <cell r="S56" t="str">
            <v>0.271253</v>
          </cell>
          <cell r="T56" t="str">
            <v>NO</v>
          </cell>
          <cell r="U56" t="str">
            <v>DELIBERAZIONE EGATO 29 19/12/2018</v>
          </cell>
        </row>
        <row r="57">
          <cell r="A57" t="str">
            <v>C343911</v>
          </cell>
          <cell r="B57">
            <v>202512302693929</v>
          </cell>
          <cell r="D57" t="str">
            <v>ATO4</v>
          </cell>
          <cell r="E57" t="str">
            <v>C343911</v>
          </cell>
          <cell r="F57">
            <v>46113</v>
          </cell>
          <cell r="G57">
            <v>46477</v>
          </cell>
          <cell r="H57">
            <v>46149</v>
          </cell>
          <cell r="I57">
            <v>46149</v>
          </cell>
          <cell r="K57" t="str">
            <v>004078</v>
          </cell>
          <cell r="L57">
            <v>-35.08</v>
          </cell>
          <cell r="M57">
            <v>-35.08</v>
          </cell>
          <cell r="N57">
            <v>-35.08</v>
          </cell>
          <cell r="O57" t="str">
            <v>indiretto</v>
          </cell>
          <cell r="P57">
            <v>1</v>
          </cell>
          <cell r="Q57" t="str">
            <v>0.970423</v>
          </cell>
          <cell r="R57" t="str">
            <v>0.680389</v>
          </cell>
          <cell r="S57" t="str">
            <v>0.271253</v>
          </cell>
          <cell r="T57" t="str">
            <v>NO</v>
          </cell>
          <cell r="U57" t="str">
            <v>DELIBERAZIONE EGATO 29 19/12/2018</v>
          </cell>
        </row>
        <row r="58">
          <cell r="A58" t="str">
            <v>C343893</v>
          </cell>
          <cell r="B58">
            <v>202512302695539</v>
          </cell>
          <cell r="D58" t="str">
            <v>ATO4</v>
          </cell>
          <cell r="E58" t="str">
            <v>C343893</v>
          </cell>
          <cell r="F58">
            <v>46113</v>
          </cell>
          <cell r="G58">
            <v>46477</v>
          </cell>
          <cell r="H58">
            <v>46149</v>
          </cell>
          <cell r="I58">
            <v>46149</v>
          </cell>
          <cell r="K58" t="str">
            <v>004061</v>
          </cell>
          <cell r="L58">
            <v>-70.16</v>
          </cell>
          <cell r="M58">
            <v>-70.16</v>
          </cell>
          <cell r="N58">
            <v>-70.16</v>
          </cell>
          <cell r="O58" t="str">
            <v>indiretto</v>
          </cell>
          <cell r="P58">
            <v>2</v>
          </cell>
          <cell r="Q58" t="str">
            <v>0.970423</v>
          </cell>
          <cell r="R58" t="str">
            <v>0.680389</v>
          </cell>
          <cell r="S58" t="str">
            <v>0.271253</v>
          </cell>
          <cell r="T58" t="str">
            <v>NO</v>
          </cell>
          <cell r="U58" t="str">
            <v>DELIBERAZIONE EGATO 29 19/12/2018</v>
          </cell>
        </row>
        <row r="59">
          <cell r="A59" t="str">
            <v>C343889</v>
          </cell>
          <cell r="B59">
            <v>202512302696730</v>
          </cell>
          <cell r="D59" t="str">
            <v>ATO4</v>
          </cell>
          <cell r="E59" t="str">
            <v>C343889</v>
          </cell>
          <cell r="F59">
            <v>46113</v>
          </cell>
          <cell r="G59">
            <v>46477</v>
          </cell>
          <cell r="H59">
            <v>46149</v>
          </cell>
          <cell r="I59">
            <v>46149</v>
          </cell>
          <cell r="K59" t="str">
            <v>004012</v>
          </cell>
          <cell r="L59">
            <v>-130.34</v>
          </cell>
          <cell r="M59">
            <v>-130.34</v>
          </cell>
          <cell r="N59">
            <v>-130.34</v>
          </cell>
          <cell r="O59" t="str">
            <v>indiretto</v>
          </cell>
          <cell r="P59">
            <v>5</v>
          </cell>
          <cell r="Q59" t="str">
            <v>0.759077</v>
          </cell>
          <cell r="R59" t="str">
            <v>0.490285</v>
          </cell>
          <cell r="S59" t="str">
            <v>0.179000</v>
          </cell>
          <cell r="T59" t="str">
            <v>NO</v>
          </cell>
          <cell r="U59" t="str">
            <v>DELIBERAZIONE EGATO 2 04/02/2019</v>
          </cell>
        </row>
        <row r="60">
          <cell r="A60" t="str">
            <v>C343897</v>
          </cell>
          <cell r="B60">
            <v>202512302697201</v>
          </cell>
          <cell r="D60" t="str">
            <v>ATO4</v>
          </cell>
          <cell r="E60" t="str">
            <v>C343897</v>
          </cell>
          <cell r="F60">
            <v>46113</v>
          </cell>
          <cell r="G60">
            <v>46477</v>
          </cell>
          <cell r="H60">
            <v>46149</v>
          </cell>
          <cell r="I60">
            <v>46149</v>
          </cell>
          <cell r="K60" t="str">
            <v>004130</v>
          </cell>
          <cell r="L60">
            <v>-166.81</v>
          </cell>
          <cell r="M60">
            <v>-166.81</v>
          </cell>
          <cell r="N60">
            <v>-166.81</v>
          </cell>
          <cell r="O60" t="str">
            <v>indiretto</v>
          </cell>
          <cell r="P60">
            <v>6</v>
          </cell>
          <cell r="Q60" t="str">
            <v>0.577221</v>
          </cell>
          <cell r="R60" t="str">
            <v>0.647377</v>
          </cell>
          <cell r="S60" t="str">
            <v>0.298792</v>
          </cell>
          <cell r="T60" t="str">
            <v>NO</v>
          </cell>
          <cell r="U60" t="str">
            <v>DELIBERA EGATO N.29 DEL 19/12/2018</v>
          </cell>
        </row>
        <row r="61">
          <cell r="A61" t="str">
            <v>C315043</v>
          </cell>
          <cell r="B61">
            <v>202512302704752</v>
          </cell>
          <cell r="D61" t="str">
            <v>ATO4</v>
          </cell>
          <cell r="E61" t="str">
            <v>C315043</v>
          </cell>
          <cell r="F61">
            <v>46113</v>
          </cell>
          <cell r="G61">
            <v>46477</v>
          </cell>
          <cell r="H61">
            <v>46149</v>
          </cell>
          <cell r="I61">
            <v>46149</v>
          </cell>
          <cell r="K61" t="str">
            <v>004233</v>
          </cell>
          <cell r="L61">
            <v>-31.57</v>
          </cell>
          <cell r="M61">
            <v>-31.57</v>
          </cell>
          <cell r="N61">
            <v>-31.57</v>
          </cell>
          <cell r="O61" t="str">
            <v>indiretto</v>
          </cell>
          <cell r="P61">
            <v>1</v>
          </cell>
          <cell r="Q61" t="str">
            <v>0.873381</v>
          </cell>
          <cell r="R61" t="str">
            <v>0.612350</v>
          </cell>
          <cell r="S61" t="str">
            <v>0.244127</v>
          </cell>
          <cell r="T61" t="str">
            <v>NO</v>
          </cell>
          <cell r="U61" t="str">
            <v>DELIBERAZIONE EGATO 29 19/12/2018</v>
          </cell>
        </row>
        <row r="62">
          <cell r="A62" t="str">
            <v>C311703</v>
          </cell>
          <cell r="B62">
            <v>202512302704897</v>
          </cell>
          <cell r="D62" t="str">
            <v>ATO4</v>
          </cell>
          <cell r="E62" t="str">
            <v>C311703</v>
          </cell>
          <cell r="F62">
            <v>46113</v>
          </cell>
          <cell r="G62">
            <v>46477</v>
          </cell>
          <cell r="H62">
            <v>46149</v>
          </cell>
          <cell r="I62">
            <v>46149</v>
          </cell>
          <cell r="K62" t="str">
            <v>004078</v>
          </cell>
          <cell r="L62">
            <v>-35.08</v>
          </cell>
          <cell r="M62">
            <v>-35.08</v>
          </cell>
          <cell r="N62">
            <v>-35.08</v>
          </cell>
          <cell r="O62" t="str">
            <v>indiretto</v>
          </cell>
          <cell r="P62">
            <v>1</v>
          </cell>
          <cell r="Q62" t="str">
            <v>0.970423</v>
          </cell>
          <cell r="R62" t="str">
            <v>0.680389</v>
          </cell>
          <cell r="S62" t="str">
            <v>0.271253</v>
          </cell>
          <cell r="T62" t="str">
            <v>NO</v>
          </cell>
          <cell r="U62" t="str">
            <v>DELIBERAZIONE EGATO 29 19/12/2018</v>
          </cell>
        </row>
        <row r="63">
          <cell r="A63" t="str">
            <v>C321357</v>
          </cell>
          <cell r="B63">
            <v>202512302705453</v>
          </cell>
          <cell r="D63" t="str">
            <v>ATO4</v>
          </cell>
          <cell r="E63" t="str">
            <v>C321357</v>
          </cell>
          <cell r="F63">
            <v>46113</v>
          </cell>
          <cell r="G63">
            <v>46477</v>
          </cell>
          <cell r="H63">
            <v>46149</v>
          </cell>
          <cell r="I63">
            <v>46149</v>
          </cell>
          <cell r="K63" t="str">
            <v>004078</v>
          </cell>
          <cell r="L63">
            <v>-175.39</v>
          </cell>
          <cell r="M63">
            <v>-175.39</v>
          </cell>
          <cell r="N63">
            <v>-175.39</v>
          </cell>
          <cell r="O63" t="str">
            <v>indiretto</v>
          </cell>
          <cell r="P63">
            <v>5</v>
          </cell>
          <cell r="Q63" t="str">
            <v>0.970423</v>
          </cell>
          <cell r="R63" t="str">
            <v>0.680389</v>
          </cell>
          <cell r="S63" t="str">
            <v>0.271253</v>
          </cell>
          <cell r="T63" t="str">
            <v>NO</v>
          </cell>
          <cell r="U63" t="str">
            <v>DELIBERAZIONE EGATO 29 19/12/2018</v>
          </cell>
        </row>
        <row r="64">
          <cell r="A64" t="str">
            <v>C343903</v>
          </cell>
          <cell r="B64">
            <v>202512302705862</v>
          </cell>
          <cell r="D64" t="str">
            <v>ATO4</v>
          </cell>
          <cell r="E64" t="str">
            <v>C343903</v>
          </cell>
          <cell r="F64">
            <v>46113</v>
          </cell>
          <cell r="G64">
            <v>46477</v>
          </cell>
          <cell r="H64">
            <v>46149</v>
          </cell>
          <cell r="I64">
            <v>46149</v>
          </cell>
          <cell r="K64" t="str">
            <v>004078</v>
          </cell>
          <cell r="L64">
            <v>-210.47</v>
          </cell>
          <cell r="M64">
            <v>-210.47</v>
          </cell>
          <cell r="N64">
            <v>-210.47</v>
          </cell>
          <cell r="O64" t="str">
            <v>indiretto</v>
          </cell>
          <cell r="P64">
            <v>6</v>
          </cell>
          <cell r="Q64" t="str">
            <v>0.970423</v>
          </cell>
          <cell r="R64" t="str">
            <v>0.680389</v>
          </cell>
          <cell r="S64" t="str">
            <v>0.271253</v>
          </cell>
          <cell r="T64" t="str">
            <v>NO</v>
          </cell>
          <cell r="U64" t="str">
            <v>DELIBERAZIONE EGATO 29 19/12/2018</v>
          </cell>
        </row>
        <row r="65">
          <cell r="A65" t="str">
            <v>C343895</v>
          </cell>
          <cell r="B65">
            <v>202512302705931</v>
          </cell>
          <cell r="D65" t="str">
            <v>ATO4</v>
          </cell>
          <cell r="E65" t="str">
            <v>C343895</v>
          </cell>
          <cell r="F65">
            <v>46113</v>
          </cell>
          <cell r="G65">
            <v>46477</v>
          </cell>
          <cell r="H65">
            <v>46149</v>
          </cell>
          <cell r="I65">
            <v>46149</v>
          </cell>
          <cell r="K65" t="str">
            <v>004078</v>
          </cell>
          <cell r="L65">
            <v>-175.39</v>
          </cell>
          <cell r="M65">
            <v>-175.39</v>
          </cell>
          <cell r="N65">
            <v>-175.39</v>
          </cell>
          <cell r="O65" t="str">
            <v>indiretto</v>
          </cell>
          <cell r="P65">
            <v>5</v>
          </cell>
          <cell r="Q65" t="str">
            <v>0.970423</v>
          </cell>
          <cell r="R65" t="str">
            <v>0.680389</v>
          </cell>
          <cell r="S65" t="str">
            <v>0.271253</v>
          </cell>
          <cell r="T65" t="str">
            <v>NO</v>
          </cell>
          <cell r="U65" t="str">
            <v>DELIBERAZIONE EGATO 29 19/12/2018</v>
          </cell>
        </row>
        <row r="66">
          <cell r="A66" t="str">
            <v>C343888</v>
          </cell>
          <cell r="B66">
            <v>202512302706725</v>
          </cell>
          <cell r="D66" t="str">
            <v>ATO4</v>
          </cell>
          <cell r="E66" t="str">
            <v>C343888</v>
          </cell>
          <cell r="F66">
            <v>46113</v>
          </cell>
          <cell r="G66">
            <v>46477</v>
          </cell>
          <cell r="H66">
            <v>46149</v>
          </cell>
          <cell r="I66">
            <v>46149</v>
          </cell>
          <cell r="K66" t="str">
            <v>004130</v>
          </cell>
          <cell r="L66">
            <v>-83.41</v>
          </cell>
          <cell r="M66">
            <v>-83.41</v>
          </cell>
          <cell r="N66">
            <v>-83.41</v>
          </cell>
          <cell r="O66" t="str">
            <v>indiretto</v>
          </cell>
          <cell r="P66">
            <v>3</v>
          </cell>
          <cell r="Q66" t="str">
            <v>0.577221</v>
          </cell>
          <cell r="R66" t="str">
            <v>0.647377</v>
          </cell>
          <cell r="S66" t="str">
            <v>0.298792</v>
          </cell>
          <cell r="T66" t="str">
            <v>NO</v>
          </cell>
          <cell r="U66" t="str">
            <v>DELIBERA EGATO N.29 DEL 19/12/2018</v>
          </cell>
        </row>
        <row r="67">
          <cell r="A67" t="str">
            <v>C109542</v>
          </cell>
          <cell r="B67">
            <v>202512303916498</v>
          </cell>
          <cell r="D67" t="str">
            <v>ATO4</v>
          </cell>
          <cell r="E67" t="str">
            <v>C109542</v>
          </cell>
          <cell r="F67">
            <v>46113</v>
          </cell>
          <cell r="G67">
            <v>46477</v>
          </cell>
          <cell r="H67">
            <v>46149</v>
          </cell>
          <cell r="I67">
            <v>46149</v>
          </cell>
          <cell r="K67" t="str">
            <v>004079</v>
          </cell>
          <cell r="L67">
            <v>-31.57</v>
          </cell>
          <cell r="M67">
            <v>-31.57</v>
          </cell>
          <cell r="N67">
            <v>-31.57</v>
          </cell>
          <cell r="O67" t="str">
            <v>indiretto</v>
          </cell>
          <cell r="P67">
            <v>1</v>
          </cell>
          <cell r="Q67" t="str">
            <v>0.873381</v>
          </cell>
          <cell r="R67" t="str">
            <v>0.612350</v>
          </cell>
          <cell r="S67" t="str">
            <v>0.244127</v>
          </cell>
          <cell r="T67" t="str">
            <v>NO</v>
          </cell>
          <cell r="U67" t="str">
            <v>DELIBERAZIONE EGATO 29 19/12/2018</v>
          </cell>
        </row>
        <row r="68">
          <cell r="A68" t="str">
            <v>C312185</v>
          </cell>
          <cell r="B68">
            <v>202512303933989</v>
          </cell>
          <cell r="D68" t="str">
            <v>ATO4</v>
          </cell>
          <cell r="E68" t="str">
            <v>C312185</v>
          </cell>
          <cell r="F68">
            <v>46113</v>
          </cell>
          <cell r="G68">
            <v>46477</v>
          </cell>
          <cell r="H68">
            <v>46149</v>
          </cell>
          <cell r="I68">
            <v>46149</v>
          </cell>
          <cell r="K68" t="str">
            <v>004207</v>
          </cell>
          <cell r="L68">
            <v>-113.11</v>
          </cell>
          <cell r="M68">
            <v>-113.11</v>
          </cell>
          <cell r="N68">
            <v>-113.11</v>
          </cell>
          <cell r="O68" t="str">
            <v>indiretto</v>
          </cell>
          <cell r="P68">
            <v>5</v>
          </cell>
          <cell r="Q68" t="str">
            <v>0.539916</v>
          </cell>
          <cell r="R68" t="str">
            <v>0.522137</v>
          </cell>
          <cell r="S68" t="str">
            <v>0.177482</v>
          </cell>
          <cell r="T68" t="str">
            <v>NO</v>
          </cell>
          <cell r="U68" t="str">
            <v>DELIBERAZIONE EGATO 2 04/02/2019</v>
          </cell>
        </row>
        <row r="69">
          <cell r="A69" t="str">
            <v>C343157</v>
          </cell>
          <cell r="B69">
            <v>202512303939444</v>
          </cell>
          <cell r="D69" t="str">
            <v>ATO4</v>
          </cell>
          <cell r="E69" t="str">
            <v>C343157</v>
          </cell>
          <cell r="F69">
            <v>46113</v>
          </cell>
          <cell r="G69">
            <v>46477</v>
          </cell>
          <cell r="H69">
            <v>46149</v>
          </cell>
          <cell r="I69">
            <v>46149</v>
          </cell>
          <cell r="K69" t="str">
            <v>004019</v>
          </cell>
          <cell r="L69">
            <v>-111.21</v>
          </cell>
          <cell r="M69">
            <v>-111.21</v>
          </cell>
          <cell r="N69">
            <v>-111.21</v>
          </cell>
          <cell r="O69" t="str">
            <v>indiretto</v>
          </cell>
          <cell r="P69">
            <v>4</v>
          </cell>
          <cell r="Q69" t="str">
            <v>0.577221</v>
          </cell>
          <cell r="R69" t="str">
            <v>0.647377</v>
          </cell>
          <cell r="S69" t="str">
            <v>0.298792</v>
          </cell>
          <cell r="T69" t="str">
            <v>NO</v>
          </cell>
          <cell r="U69" t="str">
            <v>DELIBERA EGATO N.29 DEL 19/12/2018</v>
          </cell>
        </row>
        <row r="70">
          <cell r="A70" t="str">
            <v>C337149</v>
          </cell>
          <cell r="B70">
            <v>202512303949697</v>
          </cell>
          <cell r="D70" t="str">
            <v>ATO4</v>
          </cell>
          <cell r="E70" t="str">
            <v>C337149</v>
          </cell>
          <cell r="F70">
            <v>46113</v>
          </cell>
          <cell r="G70">
            <v>46477</v>
          </cell>
          <cell r="H70">
            <v>46149</v>
          </cell>
          <cell r="I70">
            <v>46149</v>
          </cell>
          <cell r="K70" t="str">
            <v>004078</v>
          </cell>
          <cell r="L70">
            <v>-175.39</v>
          </cell>
          <cell r="M70">
            <v>-175.39</v>
          </cell>
          <cell r="N70">
            <v>-175.39</v>
          </cell>
          <cell r="O70" t="str">
            <v>indiretto</v>
          </cell>
          <cell r="P70">
            <v>5</v>
          </cell>
          <cell r="Q70" t="str">
            <v>0.970423</v>
          </cell>
          <cell r="R70" t="str">
            <v>0.680389</v>
          </cell>
          <cell r="S70" t="str">
            <v>0.271253</v>
          </cell>
          <cell r="T70" t="str">
            <v>NO</v>
          </cell>
          <cell r="U70" t="str">
            <v>DELIBERAZIONE EGATO 29 19/12/2018</v>
          </cell>
        </row>
        <row r="71">
          <cell r="A71" t="str">
            <v>C343905</v>
          </cell>
          <cell r="B71">
            <v>202512303957874</v>
          </cell>
          <cell r="D71" t="str">
            <v>ATO4</v>
          </cell>
          <cell r="E71" t="str">
            <v>C343905</v>
          </cell>
          <cell r="F71">
            <v>46113</v>
          </cell>
          <cell r="G71">
            <v>46477</v>
          </cell>
          <cell r="H71">
            <v>46149</v>
          </cell>
          <cell r="I71">
            <v>46149</v>
          </cell>
          <cell r="K71" t="str">
            <v>004130</v>
          </cell>
          <cell r="L71">
            <v>-55.6</v>
          </cell>
          <cell r="M71">
            <v>-55.6</v>
          </cell>
          <cell r="N71">
            <v>-55.6</v>
          </cell>
          <cell r="O71" t="str">
            <v>indiretto</v>
          </cell>
          <cell r="P71">
            <v>2</v>
          </cell>
          <cell r="Q71" t="str">
            <v>0.577221</v>
          </cell>
          <cell r="R71" t="str">
            <v>0.647377</v>
          </cell>
          <cell r="S71" t="str">
            <v>0.298792</v>
          </cell>
          <cell r="T71" t="str">
            <v>NO</v>
          </cell>
          <cell r="U71" t="str">
            <v>DELIBERA EGATO N.29 DEL 19/12/2018</v>
          </cell>
        </row>
        <row r="72">
          <cell r="A72" t="str">
            <v>C339262</v>
          </cell>
          <cell r="B72">
            <v>202512303966799</v>
          </cell>
          <cell r="D72" t="str">
            <v>ATO4</v>
          </cell>
          <cell r="E72" t="str">
            <v>C339262</v>
          </cell>
          <cell r="F72">
            <v>46113</v>
          </cell>
          <cell r="G72">
            <v>46477</v>
          </cell>
          <cell r="H72">
            <v>46149</v>
          </cell>
          <cell r="I72">
            <v>46149</v>
          </cell>
          <cell r="K72" t="str">
            <v>004130</v>
          </cell>
          <cell r="L72">
            <v>-166.81</v>
          </cell>
          <cell r="M72">
            <v>-166.81</v>
          </cell>
          <cell r="N72">
            <v>-166.81</v>
          </cell>
          <cell r="O72" t="str">
            <v>indiretto</v>
          </cell>
          <cell r="P72">
            <v>6</v>
          </cell>
          <cell r="Q72" t="str">
            <v>0.577221</v>
          </cell>
          <cell r="R72" t="str">
            <v>0.647377</v>
          </cell>
          <cell r="S72" t="str">
            <v>0.298792</v>
          </cell>
          <cell r="T72" t="str">
            <v>NO</v>
          </cell>
          <cell r="U72" t="str">
            <v>DELIBERA EGATO N.29 DEL 19/12/2018</v>
          </cell>
        </row>
        <row r="73">
          <cell r="A73" t="str">
            <v>C337163</v>
          </cell>
          <cell r="B73">
            <v>202512303967420</v>
          </cell>
          <cell r="D73" t="str">
            <v>ATO4</v>
          </cell>
          <cell r="E73" t="str">
            <v>C337163</v>
          </cell>
          <cell r="F73">
            <v>46113</v>
          </cell>
          <cell r="G73">
            <v>46477</v>
          </cell>
          <cell r="H73">
            <v>46149</v>
          </cell>
          <cell r="I73">
            <v>46149</v>
          </cell>
          <cell r="K73" t="str">
            <v>004082</v>
          </cell>
          <cell r="L73">
            <v>-35.08</v>
          </cell>
          <cell r="M73">
            <v>-35.08</v>
          </cell>
          <cell r="N73">
            <v>-35.08</v>
          </cell>
          <cell r="O73" t="str">
            <v>indiretto</v>
          </cell>
          <cell r="P73">
            <v>1</v>
          </cell>
          <cell r="Q73" t="str">
            <v>0.970423</v>
          </cell>
          <cell r="R73" t="str">
            <v>0.680389</v>
          </cell>
          <cell r="S73" t="str">
            <v>0.271253</v>
          </cell>
          <cell r="T73" t="str">
            <v>NO</v>
          </cell>
          <cell r="U73" t="str">
            <v>DELIBERAZIONE EGATO 29 19/12/2018</v>
          </cell>
        </row>
        <row r="74">
          <cell r="A74" t="str">
            <v>C316354</v>
          </cell>
          <cell r="B74">
            <v>202512303982462</v>
          </cell>
          <cell r="D74" t="str">
            <v>ATO4</v>
          </cell>
          <cell r="E74" t="str">
            <v>C316354</v>
          </cell>
          <cell r="F74">
            <v>46113</v>
          </cell>
          <cell r="G74">
            <v>46477</v>
          </cell>
          <cell r="H74">
            <v>46149</v>
          </cell>
          <cell r="I74">
            <v>46149</v>
          </cell>
          <cell r="K74" t="str">
            <v>004179</v>
          </cell>
          <cell r="L74">
            <v>-59.27</v>
          </cell>
          <cell r="M74">
            <v>-59.27</v>
          </cell>
          <cell r="N74">
            <v>-59.27</v>
          </cell>
          <cell r="O74" t="str">
            <v>indiretto</v>
          </cell>
          <cell r="P74">
            <v>2</v>
          </cell>
          <cell r="Q74" t="str">
            <v>0.850124</v>
          </cell>
          <cell r="R74" t="str">
            <v>0.568257</v>
          </cell>
          <cell r="S74" t="str">
            <v>0.205575</v>
          </cell>
          <cell r="T74" t="str">
            <v>NO</v>
          </cell>
          <cell r="U74" t="str">
            <v>DELIBERAZIONE EGATO 11 27/03/2019</v>
          </cell>
        </row>
        <row r="75">
          <cell r="A75" t="str">
            <v>C343919</v>
          </cell>
          <cell r="B75">
            <v>202512303983036</v>
          </cell>
          <cell r="D75" t="str">
            <v>ATO4</v>
          </cell>
          <cell r="E75" t="str">
            <v>C343919</v>
          </cell>
          <cell r="F75">
            <v>46113</v>
          </cell>
          <cell r="G75">
            <v>46477</v>
          </cell>
          <cell r="H75">
            <v>46149</v>
          </cell>
          <cell r="I75">
            <v>46149</v>
          </cell>
          <cell r="K75" t="str">
            <v>004016</v>
          </cell>
          <cell r="L75">
            <v>-70.16</v>
          </cell>
          <cell r="M75">
            <v>-70.16</v>
          </cell>
          <cell r="N75">
            <v>-70.16</v>
          </cell>
          <cell r="O75" t="str">
            <v>indiretto</v>
          </cell>
          <cell r="P75">
            <v>2</v>
          </cell>
          <cell r="Q75" t="str">
            <v>0.970423</v>
          </cell>
          <cell r="R75" t="str">
            <v>0.680389</v>
          </cell>
          <cell r="S75" t="str">
            <v>0.271253</v>
          </cell>
          <cell r="T75" t="str">
            <v>NO</v>
          </cell>
          <cell r="U75" t="str">
            <v>DELIBERAZIONE EGATO 29 19/12/2018</v>
          </cell>
        </row>
        <row r="76">
          <cell r="A76" t="str">
            <v>C312839</v>
          </cell>
          <cell r="B76">
            <v>202512304003374</v>
          </cell>
          <cell r="D76" t="str">
            <v>ATO4</v>
          </cell>
          <cell r="E76" t="str">
            <v>C312839</v>
          </cell>
          <cell r="F76">
            <v>46113</v>
          </cell>
          <cell r="G76">
            <v>46477</v>
          </cell>
          <cell r="H76">
            <v>46149</v>
          </cell>
          <cell r="I76">
            <v>46149</v>
          </cell>
          <cell r="K76" t="str">
            <v>004078</v>
          </cell>
          <cell r="L76">
            <v>-35.08</v>
          </cell>
          <cell r="M76">
            <v>-35.08</v>
          </cell>
          <cell r="N76">
            <v>-35.08</v>
          </cell>
          <cell r="O76" t="str">
            <v>indiretto</v>
          </cell>
          <cell r="P76">
            <v>1</v>
          </cell>
          <cell r="Q76" t="str">
            <v>0.970423</v>
          </cell>
          <cell r="R76" t="str">
            <v>0.680389</v>
          </cell>
          <cell r="S76" t="str">
            <v>0.271253</v>
          </cell>
          <cell r="T76" t="str">
            <v>NO</v>
          </cell>
          <cell r="U76" t="str">
            <v>DELIBERAZIONE EGATO 29 19/12/2018</v>
          </cell>
        </row>
        <row r="77">
          <cell r="A77" t="str">
            <v>C308632</v>
          </cell>
          <cell r="B77">
            <v>202512304004771</v>
          </cell>
          <cell r="D77" t="str">
            <v>ATO4</v>
          </cell>
          <cell r="E77" t="str">
            <v>C308632</v>
          </cell>
          <cell r="F77">
            <v>46113</v>
          </cell>
          <cell r="G77">
            <v>46477</v>
          </cell>
          <cell r="H77">
            <v>46149</v>
          </cell>
          <cell r="I77">
            <v>46149</v>
          </cell>
          <cell r="K77" t="str">
            <v>004078</v>
          </cell>
          <cell r="L77">
            <v>-70.16</v>
          </cell>
          <cell r="M77">
            <v>-70.16</v>
          </cell>
          <cell r="N77">
            <v>-70.16</v>
          </cell>
          <cell r="O77" t="str">
            <v>indiretto</v>
          </cell>
          <cell r="P77">
            <v>2</v>
          </cell>
          <cell r="Q77" t="str">
            <v>0.970423</v>
          </cell>
          <cell r="R77" t="str">
            <v>0.680389</v>
          </cell>
          <cell r="S77" t="str">
            <v>0.271253</v>
          </cell>
          <cell r="T77" t="str">
            <v>NO</v>
          </cell>
          <cell r="U77" t="str">
            <v>DELIBERAZIONE EGATO 29 19/12/2018</v>
          </cell>
        </row>
        <row r="78">
          <cell r="A78" t="str">
            <v>C310297</v>
          </cell>
          <cell r="B78">
            <v>202512304011989</v>
          </cell>
          <cell r="D78" t="str">
            <v>ATO4</v>
          </cell>
          <cell r="E78" t="str">
            <v>C310297</v>
          </cell>
          <cell r="F78">
            <v>46113</v>
          </cell>
          <cell r="G78">
            <v>46477</v>
          </cell>
          <cell r="H78">
            <v>46149</v>
          </cell>
          <cell r="I78">
            <v>46149</v>
          </cell>
          <cell r="K78" t="str">
            <v>004078</v>
          </cell>
          <cell r="L78">
            <v>-140.31</v>
          </cell>
          <cell r="M78">
            <v>-140.31</v>
          </cell>
          <cell r="N78">
            <v>-140.31</v>
          </cell>
          <cell r="O78" t="str">
            <v>indiretto</v>
          </cell>
          <cell r="P78">
            <v>4</v>
          </cell>
          <cell r="Q78" t="str">
            <v>0.970423</v>
          </cell>
          <cell r="R78" t="str">
            <v>0.680389</v>
          </cell>
          <cell r="S78" t="str">
            <v>0.271253</v>
          </cell>
          <cell r="T78" t="str">
            <v>NO</v>
          </cell>
          <cell r="U78" t="str">
            <v>DELIBERAZIONE EGATO 29 19/12/2018</v>
          </cell>
        </row>
        <row r="79">
          <cell r="A79" t="str">
            <v>C337162</v>
          </cell>
          <cell r="B79">
            <v>202512304036718</v>
          </cell>
          <cell r="D79" t="str">
            <v>ATO4</v>
          </cell>
          <cell r="E79" t="str">
            <v>C337162</v>
          </cell>
          <cell r="F79">
            <v>46113</v>
          </cell>
          <cell r="G79">
            <v>46477</v>
          </cell>
          <cell r="H79">
            <v>46149</v>
          </cell>
          <cell r="I79">
            <v>46149</v>
          </cell>
          <cell r="K79" t="str">
            <v>004033</v>
          </cell>
          <cell r="L79">
            <v>-76.13</v>
          </cell>
          <cell r="M79">
            <v>-76.13</v>
          </cell>
          <cell r="N79">
            <v>-76.13</v>
          </cell>
          <cell r="O79" t="str">
            <v>indiretto</v>
          </cell>
          <cell r="P79">
            <v>3</v>
          </cell>
          <cell r="Q79" t="str">
            <v>0.763729</v>
          </cell>
          <cell r="R79" t="str">
            <v>0.467552</v>
          </cell>
          <cell r="S79" t="str">
            <v>0.159233</v>
          </cell>
          <cell r="T79" t="str">
            <v>NO</v>
          </cell>
          <cell r="U79" t="str">
            <v>DELIBERAZIONE EGATO 2 04/02/2019</v>
          </cell>
        </row>
        <row r="80">
          <cell r="A80" t="str">
            <v>C343906</v>
          </cell>
          <cell r="B80">
            <v>202512304042163</v>
          </cell>
          <cell r="D80" t="str">
            <v>ATO4</v>
          </cell>
          <cell r="E80" t="str">
            <v>C343906</v>
          </cell>
          <cell r="F80">
            <v>46113</v>
          </cell>
          <cell r="G80">
            <v>46477</v>
          </cell>
          <cell r="H80">
            <v>46149</v>
          </cell>
          <cell r="I80">
            <v>46149</v>
          </cell>
          <cell r="K80" t="str">
            <v>004179</v>
          </cell>
          <cell r="L80">
            <v>-88.91</v>
          </cell>
          <cell r="M80">
            <v>-88.91</v>
          </cell>
          <cell r="N80">
            <v>-88.91</v>
          </cell>
          <cell r="O80" t="str">
            <v>indiretto</v>
          </cell>
          <cell r="P80">
            <v>3</v>
          </cell>
          <cell r="Q80" t="str">
            <v>0.850124</v>
          </cell>
          <cell r="R80" t="str">
            <v>0.568257</v>
          </cell>
          <cell r="S80" t="str">
            <v>0.205575</v>
          </cell>
          <cell r="T80" t="str">
            <v>NO</v>
          </cell>
          <cell r="U80" t="str">
            <v>DELIBERAZIONE EGATO 11 27/03/2019</v>
          </cell>
        </row>
        <row r="81">
          <cell r="A81" t="str">
            <v>C308226</v>
          </cell>
          <cell r="B81">
            <v>202512304068830</v>
          </cell>
          <cell r="D81" t="str">
            <v>ATO4</v>
          </cell>
          <cell r="E81" t="str">
            <v>C308226</v>
          </cell>
          <cell r="F81">
            <v>46113</v>
          </cell>
          <cell r="G81">
            <v>46477</v>
          </cell>
          <cell r="H81">
            <v>46149</v>
          </cell>
          <cell r="I81">
            <v>46149</v>
          </cell>
          <cell r="K81" t="str">
            <v>004078</v>
          </cell>
          <cell r="L81">
            <v>-35.08</v>
          </cell>
          <cell r="M81">
            <v>-35.08</v>
          </cell>
          <cell r="N81">
            <v>-35.08</v>
          </cell>
          <cell r="O81" t="str">
            <v>indiretto</v>
          </cell>
          <cell r="P81">
            <v>1</v>
          </cell>
          <cell r="Q81" t="str">
            <v>0.970423</v>
          </cell>
          <cell r="R81" t="str">
            <v>0.680389</v>
          </cell>
          <cell r="S81" t="str">
            <v>0.271253</v>
          </cell>
          <cell r="T81" t="str">
            <v>NO</v>
          </cell>
          <cell r="U81" t="str">
            <v>DELIBERAZIONE EGATO 29 19/12/2018</v>
          </cell>
        </row>
        <row r="82">
          <cell r="A82" t="str">
            <v>C343921</v>
          </cell>
          <cell r="B82">
            <v>202512304069706</v>
          </cell>
          <cell r="D82" t="str">
            <v>ATO4</v>
          </cell>
          <cell r="E82" t="str">
            <v>C343921</v>
          </cell>
          <cell r="F82">
            <v>46113</v>
          </cell>
          <cell r="G82">
            <v>46477</v>
          </cell>
          <cell r="H82">
            <v>46149</v>
          </cell>
          <cell r="I82">
            <v>46149</v>
          </cell>
          <cell r="K82" t="str">
            <v>004034</v>
          </cell>
          <cell r="L82">
            <v>-140.31</v>
          </cell>
          <cell r="M82">
            <v>-140.31</v>
          </cell>
          <cell r="N82">
            <v>-140.31</v>
          </cell>
          <cell r="O82" t="str">
            <v>indiretto</v>
          </cell>
          <cell r="P82">
            <v>4</v>
          </cell>
          <cell r="Q82" t="str">
            <v>0.970423</v>
          </cell>
          <cell r="R82" t="str">
            <v>0.680389</v>
          </cell>
          <cell r="S82" t="str">
            <v>0.271253</v>
          </cell>
          <cell r="T82" t="str">
            <v>NO</v>
          </cell>
          <cell r="U82" t="str">
            <v>DELIBERAZIONE EGATO 29 19/12/2018</v>
          </cell>
        </row>
        <row r="83">
          <cell r="A83" t="str">
            <v>C311323</v>
          </cell>
          <cell r="B83">
            <v>202512304075028</v>
          </cell>
          <cell r="D83" t="str">
            <v>ATO4</v>
          </cell>
          <cell r="E83" t="str">
            <v>C311323</v>
          </cell>
          <cell r="F83">
            <v>46113</v>
          </cell>
          <cell r="G83">
            <v>46477</v>
          </cell>
          <cell r="H83">
            <v>46149</v>
          </cell>
          <cell r="I83">
            <v>46149</v>
          </cell>
          <cell r="K83" t="str">
            <v>004078</v>
          </cell>
          <cell r="L83">
            <v>-35.08</v>
          </cell>
          <cell r="M83">
            <v>-35.08</v>
          </cell>
          <cell r="N83">
            <v>-35.08</v>
          </cell>
          <cell r="O83" t="str">
            <v>indiretto</v>
          </cell>
          <cell r="P83">
            <v>1</v>
          </cell>
          <cell r="Q83" t="str">
            <v>0.970423</v>
          </cell>
          <cell r="R83" t="str">
            <v>0.680389</v>
          </cell>
          <cell r="S83" t="str">
            <v>0.271253</v>
          </cell>
          <cell r="T83" t="str">
            <v>NO</v>
          </cell>
          <cell r="U83" t="str">
            <v>DELIBERAZIONE EGATO 29 19/12/2018</v>
          </cell>
        </row>
        <row r="84">
          <cell r="A84" t="str">
            <v>C343902</v>
          </cell>
          <cell r="B84">
            <v>202512304075814</v>
          </cell>
          <cell r="D84" t="str">
            <v>ATO4</v>
          </cell>
          <cell r="E84" t="str">
            <v>C343902</v>
          </cell>
          <cell r="F84">
            <v>46113</v>
          </cell>
          <cell r="G84">
            <v>46477</v>
          </cell>
          <cell r="H84">
            <v>46149</v>
          </cell>
          <cell r="I84">
            <v>46149</v>
          </cell>
          <cell r="K84" t="str">
            <v>004032</v>
          </cell>
          <cell r="L84">
            <v>-84.19</v>
          </cell>
          <cell r="M84">
            <v>-84.19</v>
          </cell>
          <cell r="N84">
            <v>-84.19</v>
          </cell>
          <cell r="O84" t="str">
            <v>indiretto</v>
          </cell>
          <cell r="P84">
            <v>3</v>
          </cell>
          <cell r="Q84" t="str">
            <v>0.776338</v>
          </cell>
          <cell r="R84" t="str">
            <v>0.544311</v>
          </cell>
          <cell r="S84" t="str">
            <v>0.217002</v>
          </cell>
          <cell r="T84" t="str">
            <v>NO</v>
          </cell>
          <cell r="U84" t="str">
            <v>DELIBERAZIONE EGATO 2 04/02/2019</v>
          </cell>
        </row>
        <row r="85">
          <cell r="A85" t="str">
            <v>C343925</v>
          </cell>
          <cell r="B85">
            <v>202512304101748</v>
          </cell>
          <cell r="D85" t="str">
            <v>ATO4</v>
          </cell>
          <cell r="E85" t="str">
            <v>C343925</v>
          </cell>
          <cell r="F85">
            <v>46113</v>
          </cell>
          <cell r="G85">
            <v>46477</v>
          </cell>
          <cell r="H85">
            <v>46149</v>
          </cell>
          <cell r="I85">
            <v>46149</v>
          </cell>
          <cell r="K85" t="str">
            <v>004025</v>
          </cell>
          <cell r="L85">
            <v>-175.39</v>
          </cell>
          <cell r="M85">
            <v>-175.39</v>
          </cell>
          <cell r="N85">
            <v>-175.39</v>
          </cell>
          <cell r="O85" t="str">
            <v>indiretto</v>
          </cell>
          <cell r="P85">
            <v>5</v>
          </cell>
          <cell r="Q85" t="str">
            <v>0.970423</v>
          </cell>
          <cell r="R85" t="str">
            <v>0.680389</v>
          </cell>
          <cell r="S85" t="str">
            <v>0.271253</v>
          </cell>
          <cell r="T85" t="str">
            <v>NO</v>
          </cell>
          <cell r="U85" t="str">
            <v>DELIBERAZIONE EGATO 29 19/12/2018</v>
          </cell>
        </row>
        <row r="86">
          <cell r="A86" t="str">
            <v>C343916</v>
          </cell>
          <cell r="B86">
            <v>202512304105560</v>
          </cell>
          <cell r="D86" t="str">
            <v>ATO4</v>
          </cell>
          <cell r="E86" t="str">
            <v>C343916</v>
          </cell>
          <cell r="F86">
            <v>46113</v>
          </cell>
          <cell r="G86">
            <v>46477</v>
          </cell>
          <cell r="H86">
            <v>46149</v>
          </cell>
          <cell r="I86">
            <v>46149</v>
          </cell>
          <cell r="K86" t="str">
            <v>004078</v>
          </cell>
          <cell r="L86">
            <v>-35.08</v>
          </cell>
          <cell r="M86">
            <v>-35.08</v>
          </cell>
          <cell r="N86">
            <v>-35.08</v>
          </cell>
          <cell r="O86" t="str">
            <v>indiretto</v>
          </cell>
          <cell r="P86">
            <v>1</v>
          </cell>
          <cell r="Q86" t="str">
            <v>0.970423</v>
          </cell>
          <cell r="R86" t="str">
            <v>0.680389</v>
          </cell>
          <cell r="S86" t="str">
            <v>0.271253</v>
          </cell>
          <cell r="T86" t="str">
            <v>NO</v>
          </cell>
          <cell r="U86" t="str">
            <v>DELIBERAZIONE EGATO 29 19/12/2018</v>
          </cell>
        </row>
        <row r="87">
          <cell r="A87" t="str">
            <v>C124340</v>
          </cell>
          <cell r="B87">
            <v>202512304115130</v>
          </cell>
          <cell r="D87" t="str">
            <v>ATO4</v>
          </cell>
          <cell r="E87" t="str">
            <v>C124340</v>
          </cell>
          <cell r="F87">
            <v>46113</v>
          </cell>
          <cell r="G87">
            <v>46477</v>
          </cell>
          <cell r="H87">
            <v>46149</v>
          </cell>
          <cell r="I87">
            <v>46149</v>
          </cell>
          <cell r="K87" t="str">
            <v>004092</v>
          </cell>
          <cell r="L87">
            <v>-76.13</v>
          </cell>
          <cell r="M87">
            <v>-76.13</v>
          </cell>
          <cell r="N87">
            <v>-76.13</v>
          </cell>
          <cell r="O87" t="str">
            <v>indiretto</v>
          </cell>
          <cell r="P87">
            <v>3</v>
          </cell>
          <cell r="Q87" t="str">
            <v>0.763729</v>
          </cell>
          <cell r="R87" t="str">
            <v>0.467552</v>
          </cell>
          <cell r="S87" t="str">
            <v>0.159233</v>
          </cell>
          <cell r="T87" t="str">
            <v>NO</v>
          </cell>
          <cell r="U87" t="str">
            <v>DELIBERAZIONE EGATO 2 04/02/2019</v>
          </cell>
        </row>
        <row r="88">
          <cell r="A88" t="str">
            <v>C337144</v>
          </cell>
          <cell r="B88">
            <v>202512304126755</v>
          </cell>
          <cell r="D88" t="str">
            <v>ATO4</v>
          </cell>
          <cell r="E88" t="str">
            <v>C337144</v>
          </cell>
          <cell r="F88">
            <v>46113</v>
          </cell>
          <cell r="G88">
            <v>46477</v>
          </cell>
          <cell r="H88">
            <v>46149</v>
          </cell>
          <cell r="I88">
            <v>46149</v>
          </cell>
          <cell r="K88" t="str">
            <v>004078</v>
          </cell>
          <cell r="L88">
            <v>-175.39</v>
          </cell>
          <cell r="M88">
            <v>-175.39</v>
          </cell>
          <cell r="N88">
            <v>-175.39</v>
          </cell>
          <cell r="O88" t="str">
            <v>indiretto</v>
          </cell>
          <cell r="P88">
            <v>5</v>
          </cell>
          <cell r="Q88" t="str">
            <v>0.970423</v>
          </cell>
          <cell r="R88" t="str">
            <v>0.680389</v>
          </cell>
          <cell r="S88" t="str">
            <v>0.271253</v>
          </cell>
          <cell r="T88" t="str">
            <v>NO</v>
          </cell>
          <cell r="U88" t="str">
            <v>DELIBERAZIONE EGATO 29 19/12/2018</v>
          </cell>
        </row>
        <row r="89">
          <cell r="A89" t="str">
            <v>C337151</v>
          </cell>
          <cell r="B89">
            <v>202512304154013</v>
          </cell>
          <cell r="D89" t="str">
            <v>ATO4</v>
          </cell>
          <cell r="E89" t="str">
            <v>C337151</v>
          </cell>
          <cell r="F89">
            <v>46113</v>
          </cell>
          <cell r="G89">
            <v>46477</v>
          </cell>
          <cell r="H89">
            <v>46149</v>
          </cell>
          <cell r="I89">
            <v>46149</v>
          </cell>
          <cell r="K89" t="str">
            <v>004078</v>
          </cell>
          <cell r="L89">
            <v>-70.16</v>
          </cell>
          <cell r="M89">
            <v>-70.16</v>
          </cell>
          <cell r="N89">
            <v>-70.16</v>
          </cell>
          <cell r="O89" t="str">
            <v>indiretto</v>
          </cell>
          <cell r="P89">
            <v>2</v>
          </cell>
          <cell r="Q89" t="str">
            <v>0.970423</v>
          </cell>
          <cell r="R89" t="str">
            <v>0.680389</v>
          </cell>
          <cell r="S89" t="str">
            <v>0.271253</v>
          </cell>
          <cell r="T89" t="str">
            <v>NO</v>
          </cell>
          <cell r="U89" t="str">
            <v>DELIBERAZIONE EGATO 29 19/12/2018</v>
          </cell>
        </row>
        <row r="90">
          <cell r="A90" t="str">
            <v>C337147</v>
          </cell>
          <cell r="B90">
            <v>202512304164788</v>
          </cell>
          <cell r="D90" t="str">
            <v>ATO4</v>
          </cell>
          <cell r="E90" t="str">
            <v>C337147</v>
          </cell>
          <cell r="F90">
            <v>46113</v>
          </cell>
          <cell r="G90">
            <v>46477</v>
          </cell>
          <cell r="H90">
            <v>46149</v>
          </cell>
          <cell r="I90">
            <v>46149</v>
          </cell>
          <cell r="K90" t="str">
            <v>004085</v>
          </cell>
          <cell r="L90">
            <v>-94.71</v>
          </cell>
          <cell r="M90">
            <v>-94.71</v>
          </cell>
          <cell r="N90">
            <v>-94.71</v>
          </cell>
          <cell r="O90" t="str">
            <v>indiretto</v>
          </cell>
          <cell r="P90">
            <v>3</v>
          </cell>
          <cell r="Q90" t="str">
            <v>0.873381</v>
          </cell>
          <cell r="R90" t="str">
            <v>0.612350</v>
          </cell>
          <cell r="S90" t="str">
            <v>0.244127</v>
          </cell>
          <cell r="T90" t="str">
            <v>NO</v>
          </cell>
          <cell r="U90" t="str">
            <v>DELIBERAZIONE EGATO 29 19/12/2018</v>
          </cell>
        </row>
        <row r="91">
          <cell r="A91" t="str">
            <v>C343924</v>
          </cell>
          <cell r="B91">
            <v>202512304180486</v>
          </cell>
          <cell r="D91" t="str">
            <v>ATO4</v>
          </cell>
          <cell r="E91" t="str">
            <v>C343924</v>
          </cell>
          <cell r="F91">
            <v>46113</v>
          </cell>
          <cell r="G91">
            <v>46477</v>
          </cell>
          <cell r="H91">
            <v>46149</v>
          </cell>
          <cell r="I91">
            <v>46149</v>
          </cell>
          <cell r="K91" t="str">
            <v>004022</v>
          </cell>
          <cell r="L91">
            <v>-175.39</v>
          </cell>
          <cell r="M91">
            <v>-175.39</v>
          </cell>
          <cell r="N91">
            <v>-175.39</v>
          </cell>
          <cell r="O91" t="str">
            <v>indiretto</v>
          </cell>
          <cell r="P91">
            <v>5</v>
          </cell>
          <cell r="Q91" t="str">
            <v>0.970423</v>
          </cell>
          <cell r="R91" t="str">
            <v>0.680389</v>
          </cell>
          <cell r="S91" t="str">
            <v>0.271253</v>
          </cell>
          <cell r="T91" t="str">
            <v>NO</v>
          </cell>
          <cell r="U91" t="str">
            <v>DELIBERAZIONE EGATO 29 19/12/2018</v>
          </cell>
        </row>
        <row r="92">
          <cell r="A92" t="str">
            <v>C343885</v>
          </cell>
          <cell r="B92">
            <v>202512304197854</v>
          </cell>
          <cell r="D92" t="str">
            <v>ATO4</v>
          </cell>
          <cell r="E92" t="str">
            <v>C343885</v>
          </cell>
          <cell r="F92">
            <v>46113</v>
          </cell>
          <cell r="G92">
            <v>46477</v>
          </cell>
          <cell r="H92">
            <v>46149</v>
          </cell>
          <cell r="I92">
            <v>46149</v>
          </cell>
          <cell r="K92" t="str">
            <v>004066</v>
          </cell>
          <cell r="L92">
            <v>-140.31</v>
          </cell>
          <cell r="M92">
            <v>-140.31</v>
          </cell>
          <cell r="N92">
            <v>-140.31</v>
          </cell>
          <cell r="O92" t="str">
            <v>indiretto</v>
          </cell>
          <cell r="P92">
            <v>4</v>
          </cell>
          <cell r="Q92" t="str">
            <v>0.970423</v>
          </cell>
          <cell r="R92" t="str">
            <v>0.680389</v>
          </cell>
          <cell r="S92" t="str">
            <v>0.271253</v>
          </cell>
          <cell r="T92" t="str">
            <v>NO</v>
          </cell>
          <cell r="U92" t="str">
            <v>DELIBERAZIONE EGATO 29 19/12/2018</v>
          </cell>
        </row>
        <row r="93">
          <cell r="A93" t="str">
            <v>C317131</v>
          </cell>
          <cell r="B93">
            <v>202512304201168</v>
          </cell>
          <cell r="D93" t="str">
            <v>ATO4</v>
          </cell>
          <cell r="E93" t="str">
            <v>C317131</v>
          </cell>
          <cell r="F93">
            <v>46113</v>
          </cell>
          <cell r="G93">
            <v>46477</v>
          </cell>
          <cell r="H93">
            <v>46149</v>
          </cell>
          <cell r="I93">
            <v>46149</v>
          </cell>
          <cell r="K93" t="str">
            <v>004022</v>
          </cell>
          <cell r="L93">
            <v>-35.08</v>
          </cell>
          <cell r="M93">
            <v>-35.08</v>
          </cell>
          <cell r="N93">
            <v>-35.08</v>
          </cell>
          <cell r="O93" t="str">
            <v>indiretto</v>
          </cell>
          <cell r="P93">
            <v>1</v>
          </cell>
          <cell r="Q93" t="str">
            <v>0.970423</v>
          </cell>
          <cell r="R93" t="str">
            <v>0.680389</v>
          </cell>
          <cell r="S93" t="str">
            <v>0.271253</v>
          </cell>
          <cell r="T93" t="str">
            <v>NO</v>
          </cell>
          <cell r="U93" t="str">
            <v>DELIBERAZIONE EGATO 29 19/12/2018</v>
          </cell>
        </row>
        <row r="94">
          <cell r="A94" t="str">
            <v>C313549</v>
          </cell>
          <cell r="B94">
            <v>202512304202849</v>
          </cell>
          <cell r="D94" t="str">
            <v>ATO4</v>
          </cell>
          <cell r="E94" t="str">
            <v>C313549</v>
          </cell>
          <cell r="F94">
            <v>46113</v>
          </cell>
          <cell r="G94">
            <v>46477</v>
          </cell>
          <cell r="H94">
            <v>46149</v>
          </cell>
          <cell r="I94">
            <v>46149</v>
          </cell>
          <cell r="K94" t="str">
            <v>004078</v>
          </cell>
          <cell r="L94">
            <v>-35.08</v>
          </cell>
          <cell r="M94">
            <v>-35.08</v>
          </cell>
          <cell r="N94">
            <v>-35.08</v>
          </cell>
          <cell r="O94" t="str">
            <v>indiretto</v>
          </cell>
          <cell r="P94">
            <v>1</v>
          </cell>
          <cell r="Q94" t="str">
            <v>0.970423</v>
          </cell>
          <cell r="R94" t="str">
            <v>0.680389</v>
          </cell>
          <cell r="S94" t="str">
            <v>0.271253</v>
          </cell>
          <cell r="T94" t="str">
            <v>NO</v>
          </cell>
          <cell r="U94" t="str">
            <v>DELIBERAZIONE EGATO 29 19/12/2018</v>
          </cell>
        </row>
        <row r="95">
          <cell r="A95" t="str">
            <v>C308930</v>
          </cell>
          <cell r="B95">
            <v>202512304215001</v>
          </cell>
          <cell r="D95" t="str">
            <v>ATO4</v>
          </cell>
          <cell r="E95" t="str">
            <v>C308930</v>
          </cell>
          <cell r="F95">
            <v>46113</v>
          </cell>
          <cell r="G95">
            <v>46477</v>
          </cell>
          <cell r="H95">
            <v>46149</v>
          </cell>
          <cell r="I95">
            <v>46149</v>
          </cell>
          <cell r="K95" t="str">
            <v>004066</v>
          </cell>
          <cell r="L95">
            <v>-140.31</v>
          </cell>
          <cell r="M95">
            <v>-140.31</v>
          </cell>
          <cell r="N95">
            <v>-140.31</v>
          </cell>
          <cell r="O95" t="str">
            <v>indiretto</v>
          </cell>
          <cell r="P95">
            <v>4</v>
          </cell>
          <cell r="Q95" t="str">
            <v>0.970423</v>
          </cell>
          <cell r="R95" t="str">
            <v>0.680389</v>
          </cell>
          <cell r="S95" t="str">
            <v>0.271253</v>
          </cell>
          <cell r="T95" t="str">
            <v>NO</v>
          </cell>
          <cell r="U95" t="str">
            <v>DELIBERAZIONE EGATO 29 19/12/2018</v>
          </cell>
        </row>
        <row r="96">
          <cell r="A96" t="str">
            <v>C343900</v>
          </cell>
          <cell r="B96">
            <v>202512304225903</v>
          </cell>
          <cell r="D96" t="str">
            <v>ATO4</v>
          </cell>
          <cell r="E96" t="str">
            <v>C343900</v>
          </cell>
          <cell r="F96">
            <v>46113</v>
          </cell>
          <cell r="G96">
            <v>46477</v>
          </cell>
          <cell r="H96">
            <v>46149</v>
          </cell>
          <cell r="I96">
            <v>46149</v>
          </cell>
          <cell r="K96" t="str">
            <v>004082</v>
          </cell>
          <cell r="L96">
            <v>-35.08</v>
          </cell>
          <cell r="M96">
            <v>-35.08</v>
          </cell>
          <cell r="N96">
            <v>-35.08</v>
          </cell>
          <cell r="O96" t="str">
            <v>indiretto</v>
          </cell>
          <cell r="P96">
            <v>1</v>
          </cell>
          <cell r="Q96" t="str">
            <v>0.970423</v>
          </cell>
          <cell r="R96" t="str">
            <v>0.680389</v>
          </cell>
          <cell r="S96" t="str">
            <v>0.271253</v>
          </cell>
          <cell r="T96" t="str">
            <v>NO</v>
          </cell>
          <cell r="U96" t="str">
            <v>DELIBERAZIONE EGATO 29 19/12/2018</v>
          </cell>
        </row>
        <row r="97">
          <cell r="A97" t="str">
            <v>C320227</v>
          </cell>
          <cell r="B97">
            <v>202512304231146</v>
          </cell>
          <cell r="D97" t="str">
            <v>ATO4</v>
          </cell>
          <cell r="E97" t="str">
            <v>C320227</v>
          </cell>
          <cell r="F97">
            <v>46113</v>
          </cell>
          <cell r="G97">
            <v>46477</v>
          </cell>
          <cell r="H97">
            <v>46149</v>
          </cell>
          <cell r="I97">
            <v>46149</v>
          </cell>
          <cell r="K97" t="str">
            <v>004012</v>
          </cell>
          <cell r="L97">
            <v>-104.27</v>
          </cell>
          <cell r="M97">
            <v>-104.27</v>
          </cell>
          <cell r="N97">
            <v>-104.27</v>
          </cell>
          <cell r="O97" t="str">
            <v>indiretto</v>
          </cell>
          <cell r="P97">
            <v>4</v>
          </cell>
          <cell r="Q97" t="str">
            <v>0.759077</v>
          </cell>
          <cell r="R97" t="str">
            <v>0.490285</v>
          </cell>
          <cell r="S97" t="str">
            <v>0.179000</v>
          </cell>
          <cell r="T97" t="str">
            <v>NO</v>
          </cell>
          <cell r="U97" t="str">
            <v>DELIBERAZIONE EGATO 2 04/02/2019</v>
          </cell>
        </row>
        <row r="98">
          <cell r="A98" t="str">
            <v>C343891</v>
          </cell>
          <cell r="B98">
            <v>202512304234218</v>
          </cell>
          <cell r="D98" t="str">
            <v>ATO4</v>
          </cell>
          <cell r="E98" t="str">
            <v>C343891</v>
          </cell>
          <cell r="F98">
            <v>46113</v>
          </cell>
          <cell r="G98">
            <v>46477</v>
          </cell>
          <cell r="H98">
            <v>46149</v>
          </cell>
          <cell r="I98">
            <v>46149</v>
          </cell>
          <cell r="K98" t="str">
            <v>004130</v>
          </cell>
          <cell r="L98">
            <v>-83.41</v>
          </cell>
          <cell r="M98">
            <v>-83.41</v>
          </cell>
          <cell r="N98">
            <v>-83.41</v>
          </cell>
          <cell r="O98" t="str">
            <v>indiretto</v>
          </cell>
          <cell r="P98">
            <v>3</v>
          </cell>
          <cell r="Q98" t="str">
            <v>0.577221</v>
          </cell>
          <cell r="R98" t="str">
            <v>0.647377</v>
          </cell>
          <cell r="S98" t="str">
            <v>0.298792</v>
          </cell>
          <cell r="T98" t="str">
            <v>NO</v>
          </cell>
          <cell r="U98" t="str">
            <v>DELIBERA EGATO N.29 DEL 19/12/2018</v>
          </cell>
        </row>
        <row r="99">
          <cell r="A99" t="str">
            <v>C307742</v>
          </cell>
          <cell r="B99">
            <v>202512304245121</v>
          </cell>
          <cell r="D99" t="str">
            <v>ATO4</v>
          </cell>
          <cell r="E99" t="str">
            <v>C307742</v>
          </cell>
          <cell r="F99">
            <v>46113</v>
          </cell>
          <cell r="G99">
            <v>46477</v>
          </cell>
          <cell r="H99">
            <v>46149</v>
          </cell>
          <cell r="I99">
            <v>46149</v>
          </cell>
          <cell r="K99" t="str">
            <v>004078</v>
          </cell>
          <cell r="L99">
            <v>-35.08</v>
          </cell>
          <cell r="M99">
            <v>-35.08</v>
          </cell>
          <cell r="N99">
            <v>-35.08</v>
          </cell>
          <cell r="O99" t="str">
            <v>indiretto</v>
          </cell>
          <cell r="P99">
            <v>1</v>
          </cell>
          <cell r="Q99" t="str">
            <v>0.970423</v>
          </cell>
          <cell r="R99" t="str">
            <v>0.680389</v>
          </cell>
          <cell r="S99" t="str">
            <v>0.271253</v>
          </cell>
          <cell r="T99" t="str">
            <v>NO</v>
          </cell>
          <cell r="U99" t="str">
            <v>DELIBERAZIONE EGATO 29 19/12/2018</v>
          </cell>
        </row>
        <row r="100">
          <cell r="A100" t="str">
            <v>C343886</v>
          </cell>
          <cell r="B100">
            <v>202512304245810</v>
          </cell>
          <cell r="D100" t="str">
            <v>ATO4</v>
          </cell>
          <cell r="E100" t="str">
            <v>C343886</v>
          </cell>
          <cell r="F100">
            <v>46113</v>
          </cell>
          <cell r="G100">
            <v>46477</v>
          </cell>
          <cell r="H100">
            <v>46149</v>
          </cell>
          <cell r="I100">
            <v>46149</v>
          </cell>
          <cell r="K100" t="str">
            <v>004130</v>
          </cell>
          <cell r="L100">
            <v>-27.8</v>
          </cell>
          <cell r="M100">
            <v>-27.8</v>
          </cell>
          <cell r="N100">
            <v>-27.8</v>
          </cell>
          <cell r="O100" t="str">
            <v>indiretto</v>
          </cell>
          <cell r="P100">
            <v>1</v>
          </cell>
          <cell r="Q100" t="str">
            <v>0.577221</v>
          </cell>
          <cell r="R100" t="str">
            <v>0.647377</v>
          </cell>
          <cell r="S100" t="str">
            <v>0.298792</v>
          </cell>
          <cell r="T100" t="str">
            <v>NO</v>
          </cell>
          <cell r="U100" t="str">
            <v>DELIBERA EGATO N.29 DEL 19/12/2018</v>
          </cell>
        </row>
        <row r="101">
          <cell r="A101" t="str">
            <v>C343890</v>
          </cell>
          <cell r="B101">
            <v>202512304246785</v>
          </cell>
          <cell r="D101" t="str">
            <v>ATO4</v>
          </cell>
          <cell r="E101" t="str">
            <v>C343890</v>
          </cell>
          <cell r="F101">
            <v>46113</v>
          </cell>
          <cell r="G101">
            <v>46477</v>
          </cell>
          <cell r="H101">
            <v>46149</v>
          </cell>
          <cell r="I101">
            <v>46149</v>
          </cell>
          <cell r="K101" t="str">
            <v>004078</v>
          </cell>
          <cell r="L101">
            <v>-105.23</v>
          </cell>
          <cell r="M101">
            <v>-105.23</v>
          </cell>
          <cell r="N101">
            <v>-105.23</v>
          </cell>
          <cell r="O101" t="str">
            <v>indiretto</v>
          </cell>
          <cell r="P101">
            <v>3</v>
          </cell>
          <cell r="Q101" t="str">
            <v>0.970423</v>
          </cell>
          <cell r="R101" t="str">
            <v>0.680389</v>
          </cell>
          <cell r="S101" t="str">
            <v>0.271253</v>
          </cell>
          <cell r="T101" t="str">
            <v>NO</v>
          </cell>
          <cell r="U101" t="str">
            <v>DELIBERAZIONE EGATO 29 19/12/2018</v>
          </cell>
        </row>
        <row r="102">
          <cell r="A102" t="str">
            <v>C343901</v>
          </cell>
          <cell r="B102">
            <v>202512304264590</v>
          </cell>
          <cell r="D102" t="str">
            <v>ATO4</v>
          </cell>
          <cell r="E102" t="str">
            <v>C343901</v>
          </cell>
          <cell r="F102">
            <v>46113</v>
          </cell>
          <cell r="G102">
            <v>46477</v>
          </cell>
          <cell r="H102">
            <v>46149</v>
          </cell>
          <cell r="I102">
            <v>46149</v>
          </cell>
          <cell r="K102" t="str">
            <v>004025</v>
          </cell>
          <cell r="L102">
            <v>-105.23</v>
          </cell>
          <cell r="M102">
            <v>-105.23</v>
          </cell>
          <cell r="N102">
            <v>-105.23</v>
          </cell>
          <cell r="O102" t="str">
            <v>indiretto</v>
          </cell>
          <cell r="P102">
            <v>3</v>
          </cell>
          <cell r="Q102" t="str">
            <v>0.970423</v>
          </cell>
          <cell r="R102" t="str">
            <v>0.680389</v>
          </cell>
          <cell r="S102" t="str">
            <v>0.271253</v>
          </cell>
          <cell r="T102" t="str">
            <v>NO</v>
          </cell>
          <cell r="U102" t="str">
            <v>DELIBERAZIONE EGATO 29 19/12/2018</v>
          </cell>
        </row>
        <row r="103">
          <cell r="A103" t="str">
            <v>C320210</v>
          </cell>
          <cell r="B103">
            <v>202512304273538</v>
          </cell>
          <cell r="D103" t="str">
            <v>ATO4</v>
          </cell>
          <cell r="E103" t="str">
            <v>C320210</v>
          </cell>
          <cell r="F103">
            <v>46113</v>
          </cell>
          <cell r="G103">
            <v>46477</v>
          </cell>
          <cell r="H103">
            <v>46149</v>
          </cell>
          <cell r="I103">
            <v>46149</v>
          </cell>
          <cell r="K103" t="str">
            <v>004078</v>
          </cell>
          <cell r="L103">
            <v>-35.08</v>
          </cell>
          <cell r="M103">
            <v>-35.08</v>
          </cell>
          <cell r="N103">
            <v>-35.08</v>
          </cell>
          <cell r="O103" t="str">
            <v>indiretto</v>
          </cell>
          <cell r="P103">
            <v>1</v>
          </cell>
          <cell r="Q103" t="str">
            <v>0.970423</v>
          </cell>
          <cell r="R103" t="str">
            <v>0.680389</v>
          </cell>
          <cell r="S103" t="str">
            <v>0.271253</v>
          </cell>
          <cell r="T103" t="str">
            <v>NO</v>
          </cell>
          <cell r="U103" t="str">
            <v>DELIBERAZIONE EGATO 29 19/12/2018</v>
          </cell>
        </row>
        <row r="104">
          <cell r="A104" t="str">
            <v>C343912</v>
          </cell>
          <cell r="B104">
            <v>202512304274335</v>
          </cell>
          <cell r="D104" t="str">
            <v>ATO4</v>
          </cell>
          <cell r="E104" t="str">
            <v>C343912</v>
          </cell>
          <cell r="F104">
            <v>46113</v>
          </cell>
          <cell r="G104">
            <v>46477</v>
          </cell>
          <cell r="H104">
            <v>46149</v>
          </cell>
          <cell r="I104">
            <v>46149</v>
          </cell>
          <cell r="K104" t="str">
            <v>004110</v>
          </cell>
          <cell r="L104">
            <v>-35.08</v>
          </cell>
          <cell r="M104">
            <v>-35.08</v>
          </cell>
          <cell r="N104">
            <v>-35.08</v>
          </cell>
          <cell r="O104" t="str">
            <v>indiretto</v>
          </cell>
          <cell r="P104">
            <v>1</v>
          </cell>
          <cell r="Q104" t="str">
            <v>0.970423</v>
          </cell>
          <cell r="R104" t="str">
            <v>0.680389</v>
          </cell>
          <cell r="S104" t="str">
            <v>0.271253</v>
          </cell>
          <cell r="T104" t="str">
            <v>NO</v>
          </cell>
          <cell r="U104" t="str">
            <v>DELIBERAZIONE EGATO 29 19/12/2018</v>
          </cell>
        </row>
        <row r="105">
          <cell r="A105" t="str">
            <v>C343920</v>
          </cell>
          <cell r="B105">
            <v>202512304281473</v>
          </cell>
          <cell r="D105" t="str">
            <v>ATO4</v>
          </cell>
          <cell r="E105" t="str">
            <v>C343920</v>
          </cell>
          <cell r="F105">
            <v>46113</v>
          </cell>
          <cell r="G105">
            <v>46477</v>
          </cell>
          <cell r="H105">
            <v>46149</v>
          </cell>
          <cell r="I105">
            <v>46149</v>
          </cell>
          <cell r="K105" t="str">
            <v>004130</v>
          </cell>
          <cell r="L105">
            <v>-27.8</v>
          </cell>
          <cell r="M105">
            <v>-27.8</v>
          </cell>
          <cell r="N105">
            <v>-27.8</v>
          </cell>
          <cell r="O105" t="str">
            <v>indiretto</v>
          </cell>
          <cell r="P105">
            <v>1</v>
          </cell>
          <cell r="Q105" t="str">
            <v>0.577221</v>
          </cell>
          <cell r="R105" t="str">
            <v>0.647377</v>
          </cell>
          <cell r="S105" t="str">
            <v>0.298792</v>
          </cell>
          <cell r="T105" t="str">
            <v>NO</v>
          </cell>
          <cell r="U105" t="str">
            <v>DELIBERA EGATO N.29 DEL 19/12/2018</v>
          </cell>
        </row>
        <row r="106">
          <cell r="A106" t="str">
            <v>C343899</v>
          </cell>
          <cell r="B106">
            <v>202512304298599</v>
          </cell>
          <cell r="D106" t="str">
            <v>ATO4</v>
          </cell>
          <cell r="E106" t="str">
            <v>C343899</v>
          </cell>
          <cell r="F106">
            <v>46113</v>
          </cell>
          <cell r="G106">
            <v>46477</v>
          </cell>
          <cell r="H106">
            <v>46149</v>
          </cell>
          <cell r="I106">
            <v>46149</v>
          </cell>
          <cell r="K106" t="str">
            <v>004078</v>
          </cell>
          <cell r="L106">
            <v>-105.23</v>
          </cell>
          <cell r="M106">
            <v>-105.23</v>
          </cell>
          <cell r="N106">
            <v>-105.23</v>
          </cell>
          <cell r="O106" t="str">
            <v>indiretto</v>
          </cell>
          <cell r="P106">
            <v>3</v>
          </cell>
          <cell r="Q106" t="str">
            <v>0.970423</v>
          </cell>
          <cell r="R106" t="str">
            <v>0.680389</v>
          </cell>
          <cell r="S106" t="str">
            <v>0.271253</v>
          </cell>
          <cell r="T106" t="str">
            <v>NO</v>
          </cell>
          <cell r="U106" t="str">
            <v>DELIBERAZIONE EGATO 29 19/12/2018</v>
          </cell>
        </row>
        <row r="107">
          <cell r="A107" t="str">
            <v>C343907</v>
          </cell>
          <cell r="B107">
            <v>202512304298666</v>
          </cell>
          <cell r="D107" t="str">
            <v>ATO4</v>
          </cell>
          <cell r="E107" t="str">
            <v>C343907</v>
          </cell>
          <cell r="F107">
            <v>46113</v>
          </cell>
          <cell r="G107">
            <v>46477</v>
          </cell>
          <cell r="H107">
            <v>46149</v>
          </cell>
          <cell r="I107">
            <v>46149</v>
          </cell>
          <cell r="K107" t="str">
            <v>004079</v>
          </cell>
          <cell r="L107">
            <v>-157.85</v>
          </cell>
          <cell r="M107">
            <v>-157.85</v>
          </cell>
          <cell r="N107">
            <v>-157.85</v>
          </cell>
          <cell r="O107" t="str">
            <v>indiretto</v>
          </cell>
          <cell r="P107">
            <v>5</v>
          </cell>
          <cell r="Q107" t="str">
            <v>0.873381</v>
          </cell>
          <cell r="R107" t="str">
            <v>0.612350</v>
          </cell>
          <cell r="S107" t="str">
            <v>0.244127</v>
          </cell>
          <cell r="T107" t="str">
            <v>NO</v>
          </cell>
          <cell r="U107" t="str">
            <v>DELIBERAZIONE EGATO 29 19/12/2018</v>
          </cell>
        </row>
        <row r="108">
          <cell r="A108" t="str">
            <v>C337146</v>
          </cell>
          <cell r="B108">
            <v>202512304301856</v>
          </cell>
          <cell r="D108" t="str">
            <v>ATO4</v>
          </cell>
          <cell r="E108" t="str">
            <v>C337146</v>
          </cell>
          <cell r="F108">
            <v>46113</v>
          </cell>
          <cell r="G108">
            <v>46477</v>
          </cell>
          <cell r="H108">
            <v>46149</v>
          </cell>
          <cell r="I108">
            <v>46149</v>
          </cell>
          <cell r="K108" t="str">
            <v>004061</v>
          </cell>
          <cell r="L108">
            <v>-35.08</v>
          </cell>
          <cell r="M108">
            <v>-35.08</v>
          </cell>
          <cell r="N108">
            <v>-35.08</v>
          </cell>
          <cell r="O108" t="str">
            <v>indiretto</v>
          </cell>
          <cell r="P108">
            <v>1</v>
          </cell>
          <cell r="Q108" t="str">
            <v>0.970423</v>
          </cell>
          <cell r="R108" t="str">
            <v>0.680389</v>
          </cell>
          <cell r="S108" t="str">
            <v>0.271253</v>
          </cell>
          <cell r="T108" t="str">
            <v>NO</v>
          </cell>
          <cell r="U108" t="str">
            <v>DELIBERAZIONE EGATO 29 19/12/2018</v>
          </cell>
        </row>
        <row r="109">
          <cell r="A109" t="str">
            <v>C337156</v>
          </cell>
          <cell r="B109">
            <v>202512304307527</v>
          </cell>
          <cell r="D109" t="str">
            <v>ATO4</v>
          </cell>
          <cell r="E109" t="str">
            <v>C337156</v>
          </cell>
          <cell r="F109">
            <v>46113</v>
          </cell>
          <cell r="G109">
            <v>46477</v>
          </cell>
          <cell r="H109">
            <v>46149</v>
          </cell>
          <cell r="I109">
            <v>46149</v>
          </cell>
          <cell r="K109" t="str">
            <v>004078</v>
          </cell>
          <cell r="L109">
            <v>-105.23</v>
          </cell>
          <cell r="M109">
            <v>-105.23</v>
          </cell>
          <cell r="N109">
            <v>-105.23</v>
          </cell>
          <cell r="O109" t="str">
            <v>indiretto</v>
          </cell>
          <cell r="P109">
            <v>3</v>
          </cell>
          <cell r="Q109" t="str">
            <v>0.970423</v>
          </cell>
          <cell r="R109" t="str">
            <v>0.680389</v>
          </cell>
          <cell r="S109" t="str">
            <v>0.271253</v>
          </cell>
          <cell r="T109" t="str">
            <v>NO</v>
          </cell>
          <cell r="U109" t="str">
            <v>DELIBERAZIONE EGATO 29 19/12/2018</v>
          </cell>
        </row>
        <row r="110">
          <cell r="A110" t="str">
            <v>C314416</v>
          </cell>
          <cell r="B110">
            <v>202512304307862</v>
          </cell>
          <cell r="D110" t="str">
            <v>ATO4</v>
          </cell>
          <cell r="E110" t="str">
            <v>C314416</v>
          </cell>
          <cell r="F110">
            <v>46113</v>
          </cell>
          <cell r="G110">
            <v>46477</v>
          </cell>
          <cell r="H110">
            <v>46149</v>
          </cell>
          <cell r="I110">
            <v>46149</v>
          </cell>
          <cell r="K110" t="str">
            <v>004078</v>
          </cell>
          <cell r="L110">
            <v>-35.08</v>
          </cell>
          <cell r="M110">
            <v>-35.08</v>
          </cell>
          <cell r="N110">
            <v>-35.08</v>
          </cell>
          <cell r="O110" t="str">
            <v>indiretto</v>
          </cell>
          <cell r="P110">
            <v>1</v>
          </cell>
          <cell r="Q110" t="str">
            <v>0.970423</v>
          </cell>
          <cell r="R110" t="str">
            <v>0.680389</v>
          </cell>
          <cell r="S110" t="str">
            <v>0.271253</v>
          </cell>
          <cell r="T110" t="str">
            <v>NO</v>
          </cell>
          <cell r="U110" t="str">
            <v>DELIBERAZIONE EGATO 29 19/12/2018</v>
          </cell>
        </row>
        <row r="111">
          <cell r="A111" t="str">
            <v>C343884</v>
          </cell>
          <cell r="B111">
            <v>202512304317497</v>
          </cell>
          <cell r="D111" t="str">
            <v>ATO4</v>
          </cell>
          <cell r="E111" t="str">
            <v>C343884</v>
          </cell>
          <cell r="F111">
            <v>46113</v>
          </cell>
          <cell r="G111">
            <v>46477</v>
          </cell>
          <cell r="H111">
            <v>46149</v>
          </cell>
          <cell r="I111">
            <v>46149</v>
          </cell>
          <cell r="K111" t="str">
            <v>004157</v>
          </cell>
          <cell r="L111">
            <v>-35.08</v>
          </cell>
          <cell r="M111">
            <v>-35.08</v>
          </cell>
          <cell r="N111">
            <v>-35.08</v>
          </cell>
          <cell r="O111" t="str">
            <v>indiretto</v>
          </cell>
          <cell r="P111">
            <v>1</v>
          </cell>
          <cell r="Q111" t="str">
            <v>0.970423</v>
          </cell>
          <cell r="R111" t="str">
            <v>0.680389</v>
          </cell>
          <cell r="S111" t="str">
            <v>0.271253</v>
          </cell>
          <cell r="T111" t="str">
            <v>NO</v>
          </cell>
          <cell r="U111" t="str">
            <v>DELIBERAZIONE EGATO 29 19/12/2018</v>
          </cell>
        </row>
        <row r="112">
          <cell r="A112" t="str">
            <v>C308147</v>
          </cell>
          <cell r="B112">
            <v>202512304325940</v>
          </cell>
          <cell r="D112" t="str">
            <v>ATO4</v>
          </cell>
          <cell r="E112" t="str">
            <v>C308147</v>
          </cell>
          <cell r="F112">
            <v>46113</v>
          </cell>
          <cell r="G112">
            <v>46477</v>
          </cell>
          <cell r="H112">
            <v>46149</v>
          </cell>
          <cell r="I112">
            <v>46149</v>
          </cell>
          <cell r="K112" t="str">
            <v>004061</v>
          </cell>
          <cell r="L112">
            <v>-35.08</v>
          </cell>
          <cell r="M112">
            <v>-35.08</v>
          </cell>
          <cell r="N112">
            <v>-35.08</v>
          </cell>
          <cell r="O112" t="str">
            <v>indiretto</v>
          </cell>
          <cell r="P112">
            <v>1</v>
          </cell>
          <cell r="Q112" t="str">
            <v>0.970423</v>
          </cell>
          <cell r="R112" t="str">
            <v>0.680389</v>
          </cell>
          <cell r="S112" t="str">
            <v>0.271253</v>
          </cell>
          <cell r="T112" t="str">
            <v>NO</v>
          </cell>
          <cell r="U112" t="str">
            <v>DELIBERAZIONE EGATO 29 19/12/2018</v>
          </cell>
        </row>
        <row r="113">
          <cell r="A113" t="str">
            <v>C343898</v>
          </cell>
          <cell r="B113">
            <v>202512304328934</v>
          </cell>
          <cell r="D113" t="str">
            <v>ATO4</v>
          </cell>
          <cell r="E113" t="str">
            <v>C343898</v>
          </cell>
          <cell r="F113">
            <v>46113</v>
          </cell>
          <cell r="G113">
            <v>46477</v>
          </cell>
          <cell r="H113">
            <v>46149</v>
          </cell>
          <cell r="I113">
            <v>46149</v>
          </cell>
          <cell r="K113" t="str">
            <v>004190</v>
          </cell>
          <cell r="L113">
            <v>-83.41</v>
          </cell>
          <cell r="M113">
            <v>-83.41</v>
          </cell>
          <cell r="N113">
            <v>-83.41</v>
          </cell>
          <cell r="O113" t="str">
            <v>indiretto</v>
          </cell>
          <cell r="P113">
            <v>3</v>
          </cell>
          <cell r="Q113" t="str">
            <v>0.577221</v>
          </cell>
          <cell r="R113" t="str">
            <v>0.647377</v>
          </cell>
          <cell r="S113" t="str">
            <v>0.298792</v>
          </cell>
          <cell r="T113" t="str">
            <v>NO</v>
          </cell>
          <cell r="U113" t="str">
            <v>DELIBERA EGATO N.29 DEL 19/12/2018</v>
          </cell>
        </row>
        <row r="114">
          <cell r="A114" t="str">
            <v>C308391</v>
          </cell>
          <cell r="B114">
            <v>202512304330153</v>
          </cell>
          <cell r="D114" t="str">
            <v>ATO4</v>
          </cell>
          <cell r="E114" t="str">
            <v>C308391</v>
          </cell>
          <cell r="F114">
            <v>46113</v>
          </cell>
          <cell r="G114">
            <v>46477</v>
          </cell>
          <cell r="H114">
            <v>46149</v>
          </cell>
          <cell r="I114">
            <v>46149</v>
          </cell>
          <cell r="K114" t="str">
            <v>004131</v>
          </cell>
          <cell r="L114">
            <v>-25.72</v>
          </cell>
          <cell r="M114">
            <v>-25.72</v>
          </cell>
          <cell r="N114">
            <v>-25.72</v>
          </cell>
          <cell r="O114" t="str">
            <v>indiretto</v>
          </cell>
          <cell r="P114">
            <v>1</v>
          </cell>
          <cell r="Q114" t="str">
            <v>0.869600</v>
          </cell>
          <cell r="R114" t="str">
            <v>0.402562</v>
          </cell>
          <cell r="S114" t="str">
            <v>0.137151</v>
          </cell>
          <cell r="T114" t="str">
            <v>NO</v>
          </cell>
          <cell r="U114" t="str">
            <v>DELIBERAZIONE EGATO 2 04/02/2019</v>
          </cell>
        </row>
        <row r="115">
          <cell r="A115" t="str">
            <v>C310944</v>
          </cell>
          <cell r="B115">
            <v>202512304336891</v>
          </cell>
          <cell r="D115" t="str">
            <v>ATO4</v>
          </cell>
          <cell r="E115" t="str">
            <v>C310944</v>
          </cell>
          <cell r="F115">
            <v>46113</v>
          </cell>
          <cell r="G115">
            <v>46477</v>
          </cell>
          <cell r="H115">
            <v>46149</v>
          </cell>
          <cell r="I115">
            <v>46149</v>
          </cell>
          <cell r="K115" t="str">
            <v>004012</v>
          </cell>
          <cell r="L115">
            <v>-156.41</v>
          </cell>
          <cell r="M115">
            <v>-156.41</v>
          </cell>
          <cell r="N115">
            <v>-156.41</v>
          </cell>
          <cell r="O115" t="str">
            <v>indiretto</v>
          </cell>
          <cell r="P115">
            <v>6</v>
          </cell>
          <cell r="Q115" t="str">
            <v>0.759077</v>
          </cell>
          <cell r="R115" t="str">
            <v>0.490285</v>
          </cell>
          <cell r="S115" t="str">
            <v>0.179000</v>
          </cell>
          <cell r="T115" t="str">
            <v>NO</v>
          </cell>
          <cell r="U115" t="str">
            <v>DELIBERAZIONE EGATO 2 04/02/2019</v>
          </cell>
        </row>
        <row r="116">
          <cell r="A116" t="str">
            <v>C313727</v>
          </cell>
          <cell r="B116">
            <v>202512304340062</v>
          </cell>
          <cell r="D116" t="str">
            <v>ATO4</v>
          </cell>
          <cell r="E116" t="str">
            <v>C313727</v>
          </cell>
          <cell r="F116">
            <v>46113</v>
          </cell>
          <cell r="G116">
            <v>46477</v>
          </cell>
          <cell r="H116">
            <v>46149</v>
          </cell>
          <cell r="I116">
            <v>46149</v>
          </cell>
          <cell r="K116" t="str">
            <v>004008</v>
          </cell>
          <cell r="L116">
            <v>-175.39</v>
          </cell>
          <cell r="M116">
            <v>-175.39</v>
          </cell>
          <cell r="N116">
            <v>-175.39</v>
          </cell>
          <cell r="O116" t="str">
            <v>indiretto</v>
          </cell>
          <cell r="P116">
            <v>5</v>
          </cell>
          <cell r="Q116" t="str">
            <v>0.970423</v>
          </cell>
          <cell r="R116" t="str">
            <v>0.680389</v>
          </cell>
          <cell r="S116" t="str">
            <v>0.271253</v>
          </cell>
          <cell r="T116" t="str">
            <v>NO</v>
          </cell>
          <cell r="U116" t="str">
            <v>DELIBERAZIONE EGATO 29 19/12/2018</v>
          </cell>
        </row>
        <row r="117">
          <cell r="A117" t="str">
            <v>C342162</v>
          </cell>
          <cell r="B117">
            <v>202512304340304</v>
          </cell>
          <cell r="D117" t="str">
            <v>ATO4</v>
          </cell>
          <cell r="E117" t="str">
            <v>C342162</v>
          </cell>
          <cell r="F117">
            <v>46113</v>
          </cell>
          <cell r="G117">
            <v>46477</v>
          </cell>
          <cell r="H117">
            <v>46149</v>
          </cell>
          <cell r="I117">
            <v>46149</v>
          </cell>
          <cell r="K117" t="str">
            <v>004130</v>
          </cell>
          <cell r="L117">
            <v>-27.8</v>
          </cell>
          <cell r="M117">
            <v>-27.8</v>
          </cell>
          <cell r="N117">
            <v>-27.8</v>
          </cell>
          <cell r="O117" t="str">
            <v>indiretto</v>
          </cell>
          <cell r="P117">
            <v>1</v>
          </cell>
          <cell r="Q117" t="str">
            <v>0.577221</v>
          </cell>
          <cell r="R117" t="str">
            <v>0.647377</v>
          </cell>
          <cell r="S117" t="str">
            <v>0.298792</v>
          </cell>
          <cell r="T117" t="str">
            <v>NO</v>
          </cell>
          <cell r="U117" t="str">
            <v>DELIBERA EGATO N.29 DEL 19/12/2018</v>
          </cell>
        </row>
        <row r="118">
          <cell r="A118" t="str">
            <v>C309462</v>
          </cell>
          <cell r="B118">
            <v>202512304344744</v>
          </cell>
          <cell r="D118" t="str">
            <v>ATO4</v>
          </cell>
          <cell r="E118" t="str">
            <v>C309462</v>
          </cell>
          <cell r="F118">
            <v>46113</v>
          </cell>
          <cell r="G118">
            <v>46477</v>
          </cell>
          <cell r="H118">
            <v>46149</v>
          </cell>
          <cell r="I118">
            <v>46149</v>
          </cell>
          <cell r="K118" t="str">
            <v>004009</v>
          </cell>
          <cell r="L118">
            <v>-26.07</v>
          </cell>
          <cell r="M118">
            <v>-26.07</v>
          </cell>
          <cell r="N118">
            <v>-26.07</v>
          </cell>
          <cell r="O118" t="str">
            <v>indiretto</v>
          </cell>
          <cell r="P118">
            <v>1</v>
          </cell>
          <cell r="Q118" t="str">
            <v>0.759077</v>
          </cell>
          <cell r="R118" t="str">
            <v>0.490285</v>
          </cell>
          <cell r="S118" t="str">
            <v>0.179000</v>
          </cell>
          <cell r="T118" t="str">
            <v>NO</v>
          </cell>
          <cell r="U118" t="str">
            <v>DELIBERAZIONE EGATO 2 04/02/2019</v>
          </cell>
        </row>
        <row r="119">
          <cell r="A119" t="str">
            <v>C337150</v>
          </cell>
          <cell r="B119">
            <v>202512304350770</v>
          </cell>
          <cell r="D119" t="str">
            <v>ATO4</v>
          </cell>
          <cell r="E119" t="str">
            <v>C337150</v>
          </cell>
          <cell r="F119">
            <v>46113</v>
          </cell>
          <cell r="G119">
            <v>46477</v>
          </cell>
          <cell r="H119">
            <v>46149</v>
          </cell>
          <cell r="I119">
            <v>46149</v>
          </cell>
          <cell r="K119" t="str">
            <v>004068</v>
          </cell>
          <cell r="L119">
            <v>-175.39</v>
          </cell>
          <cell r="M119">
            <v>-175.39</v>
          </cell>
          <cell r="N119">
            <v>-175.39</v>
          </cell>
          <cell r="O119" t="str">
            <v>indiretto</v>
          </cell>
          <cell r="P119">
            <v>5</v>
          </cell>
          <cell r="Q119" t="str">
            <v>0.970423</v>
          </cell>
          <cell r="R119" t="str">
            <v>0.680389</v>
          </cell>
          <cell r="S119" t="str">
            <v>0.271253</v>
          </cell>
          <cell r="T119" t="str">
            <v>NO</v>
          </cell>
          <cell r="U119" t="str">
            <v>DELIBERAZIONE EGATO 29 19/12/2018</v>
          </cell>
        </row>
        <row r="120">
          <cell r="A120" t="str">
            <v>C312760</v>
          </cell>
          <cell r="B120">
            <v>202512304367154</v>
          </cell>
          <cell r="D120" t="str">
            <v>ATO4</v>
          </cell>
          <cell r="E120" t="str">
            <v>C312760</v>
          </cell>
          <cell r="F120">
            <v>46113</v>
          </cell>
          <cell r="G120">
            <v>46477</v>
          </cell>
          <cell r="H120">
            <v>46149</v>
          </cell>
          <cell r="I120">
            <v>46149</v>
          </cell>
          <cell r="K120" t="str">
            <v>004012</v>
          </cell>
          <cell r="L120">
            <v>-78.2</v>
          </cell>
          <cell r="M120">
            <v>-78.2</v>
          </cell>
          <cell r="N120">
            <v>-78.2</v>
          </cell>
          <cell r="O120" t="str">
            <v>indiretto</v>
          </cell>
          <cell r="P120">
            <v>3</v>
          </cell>
          <cell r="Q120" t="str">
            <v>0.759077</v>
          </cell>
          <cell r="R120" t="str">
            <v>0.490285</v>
          </cell>
          <cell r="S120" t="str">
            <v>0.179000</v>
          </cell>
          <cell r="T120" t="str">
            <v>NO</v>
          </cell>
          <cell r="U120" t="str">
            <v>DELIBERAZIONE EGATO 2 04/02/2019</v>
          </cell>
        </row>
        <row r="121">
          <cell r="A121" t="str">
            <v>C337142</v>
          </cell>
          <cell r="B121">
            <v>202512304370913</v>
          </cell>
          <cell r="D121" t="str">
            <v>ATO4</v>
          </cell>
          <cell r="E121" t="str">
            <v>C337142</v>
          </cell>
          <cell r="F121">
            <v>46113</v>
          </cell>
          <cell r="G121">
            <v>46477</v>
          </cell>
          <cell r="H121">
            <v>46149</v>
          </cell>
          <cell r="I121">
            <v>46149</v>
          </cell>
          <cell r="K121" t="str">
            <v>004166</v>
          </cell>
          <cell r="L121">
            <v>-50.75</v>
          </cell>
          <cell r="M121">
            <v>-50.75</v>
          </cell>
          <cell r="N121">
            <v>-50.75</v>
          </cell>
          <cell r="O121" t="str">
            <v>indiretto</v>
          </cell>
          <cell r="P121">
            <v>2</v>
          </cell>
          <cell r="Q121" t="str">
            <v>0.763729</v>
          </cell>
          <cell r="R121" t="str">
            <v>0.467552</v>
          </cell>
          <cell r="S121" t="str">
            <v>0.159233</v>
          </cell>
          <cell r="T121" t="str">
            <v>NO</v>
          </cell>
          <cell r="U121" t="str">
            <v>DELIBERAZIONE EGATO 2 04/02/2019</v>
          </cell>
        </row>
        <row r="122">
          <cell r="A122" t="str">
            <v>C343883</v>
          </cell>
          <cell r="B122">
            <v>202512304380254</v>
          </cell>
          <cell r="D122" t="str">
            <v>ATO4</v>
          </cell>
          <cell r="E122" t="str">
            <v>C343883</v>
          </cell>
          <cell r="F122">
            <v>46113</v>
          </cell>
          <cell r="G122">
            <v>46477</v>
          </cell>
          <cell r="H122">
            <v>46149</v>
          </cell>
          <cell r="I122">
            <v>46149</v>
          </cell>
          <cell r="K122" t="str">
            <v>004074</v>
          </cell>
          <cell r="L122">
            <v>-95.39</v>
          </cell>
          <cell r="M122">
            <v>-95.39</v>
          </cell>
          <cell r="N122">
            <v>-95.39</v>
          </cell>
          <cell r="O122" t="str">
            <v>indiretto</v>
          </cell>
          <cell r="P122">
            <v>3</v>
          </cell>
          <cell r="Q122" t="str">
            <v>0.676412</v>
          </cell>
          <cell r="R122" t="str">
            <v>0.790874</v>
          </cell>
          <cell r="S122" t="str">
            <v>0.275088</v>
          </cell>
          <cell r="T122" t="str">
            <v>NO</v>
          </cell>
          <cell r="U122" t="str">
            <v xml:space="preserve">DELIBERA EGATO/4 N. 29 DEL 19/12/2018  </v>
          </cell>
        </row>
        <row r="123">
          <cell r="A123" t="str">
            <v>C343908</v>
          </cell>
          <cell r="B123">
            <v>202512304385487</v>
          </cell>
          <cell r="D123" t="str">
            <v>ATO4</v>
          </cell>
          <cell r="E123" t="str">
            <v>C343908</v>
          </cell>
          <cell r="F123">
            <v>46113</v>
          </cell>
          <cell r="G123">
            <v>46477</v>
          </cell>
          <cell r="H123">
            <v>46149</v>
          </cell>
          <cell r="I123">
            <v>46149</v>
          </cell>
          <cell r="K123" t="str">
            <v>004078</v>
          </cell>
          <cell r="L123">
            <v>-35.08</v>
          </cell>
          <cell r="M123">
            <v>-35.08</v>
          </cell>
          <cell r="N123">
            <v>-35.08</v>
          </cell>
          <cell r="O123" t="str">
            <v>indiretto</v>
          </cell>
          <cell r="P123">
            <v>1</v>
          </cell>
          <cell r="Q123" t="str">
            <v>0.970423</v>
          </cell>
          <cell r="R123" t="str">
            <v>0.680389</v>
          </cell>
          <cell r="S123" t="str">
            <v>0.271253</v>
          </cell>
          <cell r="T123" t="str">
            <v>NO</v>
          </cell>
          <cell r="U123" t="str">
            <v>DELIBERAZIONE EGATO 29 19/12/2018</v>
          </cell>
        </row>
        <row r="124">
          <cell r="A124" t="str">
            <v>C337152</v>
          </cell>
          <cell r="B124">
            <v>202512304402221</v>
          </cell>
          <cell r="D124" t="str">
            <v>ATO4</v>
          </cell>
          <cell r="E124" t="str">
            <v>C337152</v>
          </cell>
          <cell r="F124">
            <v>46113</v>
          </cell>
          <cell r="G124">
            <v>46477</v>
          </cell>
          <cell r="H124">
            <v>46149</v>
          </cell>
          <cell r="I124">
            <v>46149</v>
          </cell>
          <cell r="K124" t="str">
            <v>004156</v>
          </cell>
          <cell r="L124">
            <v>-84.19</v>
          </cell>
          <cell r="M124">
            <v>-84.19</v>
          </cell>
          <cell r="N124">
            <v>-84.19</v>
          </cell>
          <cell r="O124" t="str">
            <v>indiretto</v>
          </cell>
          <cell r="P124">
            <v>3</v>
          </cell>
          <cell r="Q124" t="str">
            <v>0.776338</v>
          </cell>
          <cell r="R124" t="str">
            <v>0.544311</v>
          </cell>
          <cell r="S124" t="str">
            <v>0.217002</v>
          </cell>
          <cell r="T124" t="str">
            <v>NO</v>
          </cell>
          <cell r="U124" t="str">
            <v>DELIBERAZIONE EGATO 2 04/02/2019</v>
          </cell>
        </row>
        <row r="125">
          <cell r="A125" t="str">
            <v>C337159</v>
          </cell>
          <cell r="B125">
            <v>202512304427693</v>
          </cell>
          <cell r="D125" t="str">
            <v>ATO4</v>
          </cell>
          <cell r="E125" t="str">
            <v>C337159</v>
          </cell>
          <cell r="F125">
            <v>46113</v>
          </cell>
          <cell r="G125">
            <v>46477</v>
          </cell>
          <cell r="H125">
            <v>46149</v>
          </cell>
          <cell r="I125">
            <v>46149</v>
          </cell>
          <cell r="K125" t="str">
            <v>004022</v>
          </cell>
          <cell r="L125">
            <v>-105.23</v>
          </cell>
          <cell r="M125">
            <v>-105.23</v>
          </cell>
          <cell r="N125">
            <v>-105.23</v>
          </cell>
          <cell r="O125" t="str">
            <v>indiretto</v>
          </cell>
          <cell r="P125">
            <v>3</v>
          </cell>
          <cell r="Q125" t="str">
            <v>0.970423</v>
          </cell>
          <cell r="R125" t="str">
            <v>0.680389</v>
          </cell>
          <cell r="S125" t="str">
            <v>0.271253</v>
          </cell>
          <cell r="T125" t="str">
            <v>NO</v>
          </cell>
          <cell r="U125" t="str">
            <v>DELIBERAZIONE EGATO 29 19/12/2018</v>
          </cell>
        </row>
        <row r="126">
          <cell r="A126" t="str">
            <v>C343917</v>
          </cell>
          <cell r="B126">
            <v>202512304433975</v>
          </cell>
          <cell r="D126" t="str">
            <v>ATO4</v>
          </cell>
          <cell r="E126" t="str">
            <v>C343917</v>
          </cell>
          <cell r="F126">
            <v>46113</v>
          </cell>
          <cell r="G126">
            <v>46477</v>
          </cell>
          <cell r="H126">
            <v>46149</v>
          </cell>
          <cell r="I126">
            <v>46149</v>
          </cell>
          <cell r="K126" t="str">
            <v>004130</v>
          </cell>
          <cell r="L126">
            <v>-83.41</v>
          </cell>
          <cell r="M126">
            <v>-83.41</v>
          </cell>
          <cell r="N126">
            <v>-83.41</v>
          </cell>
          <cell r="O126" t="str">
            <v>indiretto</v>
          </cell>
          <cell r="P126">
            <v>3</v>
          </cell>
          <cell r="Q126" t="str">
            <v>0.577221</v>
          </cell>
          <cell r="R126" t="str">
            <v>0.647377</v>
          </cell>
          <cell r="S126" t="str">
            <v>0.298792</v>
          </cell>
          <cell r="T126" t="str">
            <v>NO</v>
          </cell>
          <cell r="U126" t="str">
            <v>DELIBERA EGATO N.29 DEL 19/12/2018</v>
          </cell>
        </row>
        <row r="127">
          <cell r="A127" t="str">
            <v>C314744</v>
          </cell>
          <cell r="B127">
            <v>202512304435523</v>
          </cell>
          <cell r="D127" t="str">
            <v>ATO4</v>
          </cell>
          <cell r="E127" t="str">
            <v>C314744</v>
          </cell>
          <cell r="F127">
            <v>46113</v>
          </cell>
          <cell r="G127">
            <v>46477</v>
          </cell>
          <cell r="H127">
            <v>46149</v>
          </cell>
          <cell r="I127">
            <v>46149</v>
          </cell>
          <cell r="K127" t="str">
            <v>004078</v>
          </cell>
          <cell r="L127">
            <v>-35.08</v>
          </cell>
          <cell r="M127">
            <v>-35.08</v>
          </cell>
          <cell r="N127">
            <v>-35.08</v>
          </cell>
          <cell r="O127" t="str">
            <v>indiretto</v>
          </cell>
          <cell r="P127">
            <v>1</v>
          </cell>
          <cell r="Q127" t="str">
            <v>0.970423</v>
          </cell>
          <cell r="R127" t="str">
            <v>0.680389</v>
          </cell>
          <cell r="S127" t="str">
            <v>0.271253</v>
          </cell>
          <cell r="T127" t="str">
            <v>NO</v>
          </cell>
          <cell r="U127" t="str">
            <v>DELIBERAZIONE EGATO 29 19/12/2018</v>
          </cell>
        </row>
        <row r="128">
          <cell r="A128" t="str">
            <v>C311042</v>
          </cell>
          <cell r="B128">
            <v>202512304437502</v>
          </cell>
          <cell r="D128" t="str">
            <v>ATO4</v>
          </cell>
          <cell r="E128" t="str">
            <v>C311042</v>
          </cell>
          <cell r="F128">
            <v>46113</v>
          </cell>
          <cell r="G128">
            <v>46477</v>
          </cell>
          <cell r="H128">
            <v>46149</v>
          </cell>
          <cell r="I128">
            <v>46149</v>
          </cell>
          <cell r="K128" t="str">
            <v>004078</v>
          </cell>
          <cell r="L128">
            <v>-175.39</v>
          </cell>
          <cell r="M128">
            <v>-175.39</v>
          </cell>
          <cell r="N128">
            <v>-175.39</v>
          </cell>
          <cell r="O128" t="str">
            <v>indiretto</v>
          </cell>
          <cell r="P128">
            <v>5</v>
          </cell>
          <cell r="Q128" t="str">
            <v>0.970423</v>
          </cell>
          <cell r="R128" t="str">
            <v>0.680389</v>
          </cell>
          <cell r="S128" t="str">
            <v>0.271253</v>
          </cell>
          <cell r="T128" t="str">
            <v>NO</v>
          </cell>
          <cell r="U128" t="str">
            <v>DELIBERAZIONE EGATO 29 19/12/2018</v>
          </cell>
        </row>
        <row r="129">
          <cell r="A129" t="str">
            <v>C312993</v>
          </cell>
          <cell r="B129">
            <v>202512304455957</v>
          </cell>
          <cell r="D129" t="str">
            <v>ATO4</v>
          </cell>
          <cell r="E129" t="str">
            <v>C312993</v>
          </cell>
          <cell r="F129">
            <v>46113</v>
          </cell>
          <cell r="G129">
            <v>46477</v>
          </cell>
          <cell r="H129">
            <v>46149</v>
          </cell>
          <cell r="I129">
            <v>46149</v>
          </cell>
          <cell r="K129" t="str">
            <v>004196</v>
          </cell>
          <cell r="L129">
            <v>-158.44999999999999</v>
          </cell>
          <cell r="M129">
            <v>-158.44999999999999</v>
          </cell>
          <cell r="N129">
            <v>-158.44999999999999</v>
          </cell>
          <cell r="O129" t="str">
            <v>indiretto</v>
          </cell>
          <cell r="P129">
            <v>5</v>
          </cell>
          <cell r="Q129" t="str">
            <v>0.670523</v>
          </cell>
          <cell r="R129" t="str">
            <v>0.790874</v>
          </cell>
          <cell r="S129" t="str">
            <v>0.275088</v>
          </cell>
          <cell r="T129" t="str">
            <v>NO</v>
          </cell>
          <cell r="U129" t="str">
            <v>DELIBERA EGATO 12 22/04/21</v>
          </cell>
        </row>
        <row r="130">
          <cell r="A130" t="str">
            <v>C343909</v>
          </cell>
          <cell r="B130">
            <v>202512304460027</v>
          </cell>
          <cell r="D130" t="str">
            <v>ATO4</v>
          </cell>
          <cell r="E130" t="str">
            <v>C343909</v>
          </cell>
          <cell r="F130">
            <v>46113</v>
          </cell>
          <cell r="G130">
            <v>46477</v>
          </cell>
          <cell r="H130">
            <v>46149</v>
          </cell>
          <cell r="I130">
            <v>46149</v>
          </cell>
          <cell r="K130" t="str">
            <v>004209</v>
          </cell>
          <cell r="L130">
            <v>-94.71</v>
          </cell>
          <cell r="M130">
            <v>-94.71</v>
          </cell>
          <cell r="N130">
            <v>-94.71</v>
          </cell>
          <cell r="O130" t="str">
            <v>indiretto</v>
          </cell>
          <cell r="P130">
            <v>3</v>
          </cell>
          <cell r="Q130" t="str">
            <v>0.873381</v>
          </cell>
          <cell r="R130" t="str">
            <v>0.612350</v>
          </cell>
          <cell r="S130" t="str">
            <v>0.244127</v>
          </cell>
          <cell r="T130" t="str">
            <v>NO</v>
          </cell>
          <cell r="U130" t="str">
            <v>DELIBERAZIONE EGATO 29 19/12/2018</v>
          </cell>
        </row>
        <row r="131">
          <cell r="A131" t="str">
            <v>C343904</v>
          </cell>
          <cell r="B131">
            <v>202512304464209</v>
          </cell>
          <cell r="D131" t="str">
            <v>ATO4</v>
          </cell>
          <cell r="E131" t="str">
            <v>C343904</v>
          </cell>
          <cell r="F131">
            <v>46113</v>
          </cell>
          <cell r="G131">
            <v>46477</v>
          </cell>
          <cell r="H131">
            <v>46149</v>
          </cell>
          <cell r="I131">
            <v>46149</v>
          </cell>
          <cell r="K131" t="str">
            <v>004130</v>
          </cell>
          <cell r="L131">
            <v>-55.6</v>
          </cell>
          <cell r="M131">
            <v>-55.6</v>
          </cell>
          <cell r="N131">
            <v>-55.6</v>
          </cell>
          <cell r="O131" t="str">
            <v>indiretto</v>
          </cell>
          <cell r="P131">
            <v>2</v>
          </cell>
          <cell r="Q131" t="str">
            <v>0.577221</v>
          </cell>
          <cell r="R131" t="str">
            <v>0.647377</v>
          </cell>
          <cell r="S131" t="str">
            <v>0.298792</v>
          </cell>
          <cell r="T131" t="str">
            <v>NO</v>
          </cell>
          <cell r="U131" t="str">
            <v>DELIBERA EGATO N.29 DEL 19/12/2018</v>
          </cell>
        </row>
        <row r="132">
          <cell r="A132" t="str">
            <v>C320208</v>
          </cell>
          <cell r="B132">
            <v>202512304472519</v>
          </cell>
          <cell r="D132" t="str">
            <v>ATO4</v>
          </cell>
          <cell r="E132" t="str">
            <v>C320208</v>
          </cell>
          <cell r="F132">
            <v>46113</v>
          </cell>
          <cell r="G132">
            <v>46477</v>
          </cell>
          <cell r="H132">
            <v>46149</v>
          </cell>
          <cell r="I132">
            <v>46149</v>
          </cell>
          <cell r="K132" t="str">
            <v>004064</v>
          </cell>
          <cell r="L132">
            <v>-105.23</v>
          </cell>
          <cell r="M132">
            <v>-105.23</v>
          </cell>
          <cell r="N132">
            <v>-105.23</v>
          </cell>
          <cell r="O132" t="str">
            <v>indiretto</v>
          </cell>
          <cell r="P132">
            <v>3</v>
          </cell>
          <cell r="Q132" t="str">
            <v>0.970423</v>
          </cell>
          <cell r="R132" t="str">
            <v>0.680389</v>
          </cell>
          <cell r="S132" t="str">
            <v>0.271253</v>
          </cell>
          <cell r="T132" t="str">
            <v>NO</v>
          </cell>
          <cell r="U132" t="str">
            <v>DELIBERAZIONE EGATO 29 19/12/2018</v>
          </cell>
        </row>
        <row r="133">
          <cell r="A133" t="str">
            <v>C343128</v>
          </cell>
          <cell r="B133">
            <v>202512304489730</v>
          </cell>
          <cell r="D133" t="str">
            <v>ATO4</v>
          </cell>
          <cell r="E133" t="str">
            <v>C343128</v>
          </cell>
          <cell r="F133">
            <v>46113</v>
          </cell>
          <cell r="G133">
            <v>46477</v>
          </cell>
          <cell r="H133">
            <v>46149</v>
          </cell>
          <cell r="I133">
            <v>46149</v>
          </cell>
          <cell r="K133" t="str">
            <v>004095</v>
          </cell>
          <cell r="L133">
            <v>-31.57</v>
          </cell>
          <cell r="M133">
            <v>-31.57</v>
          </cell>
          <cell r="N133">
            <v>-31.57</v>
          </cell>
          <cell r="O133" t="str">
            <v>indiretto</v>
          </cell>
          <cell r="P133">
            <v>1</v>
          </cell>
          <cell r="Q133" t="str">
            <v>0.873381</v>
          </cell>
          <cell r="R133" t="str">
            <v>0.612350</v>
          </cell>
          <cell r="S133" t="str">
            <v>0.244127</v>
          </cell>
          <cell r="T133" t="str">
            <v>NO</v>
          </cell>
          <cell r="U133" t="str">
            <v>DELIBERAZIONE EGATO 29 19/12/2018</v>
          </cell>
        </row>
        <row r="134">
          <cell r="A134" t="str">
            <v>C337666</v>
          </cell>
          <cell r="B134">
            <v>202601306499127</v>
          </cell>
          <cell r="D134" t="str">
            <v>ATO4</v>
          </cell>
          <cell r="E134" t="str">
            <v>C337666</v>
          </cell>
          <cell r="F134">
            <v>46143</v>
          </cell>
          <cell r="G134">
            <v>46507</v>
          </cell>
          <cell r="H134">
            <v>46179</v>
          </cell>
          <cell r="I134">
            <v>46179</v>
          </cell>
          <cell r="K134" t="str">
            <v>004082</v>
          </cell>
          <cell r="L134">
            <v>-99.39</v>
          </cell>
          <cell r="M134">
            <v>-99.39</v>
          </cell>
          <cell r="N134">
            <v>-99.39</v>
          </cell>
          <cell r="O134" t="str">
            <v>indiretto</v>
          </cell>
          <cell r="P134">
            <v>3</v>
          </cell>
          <cell r="Q134" t="str">
            <v>0.916558</v>
          </cell>
          <cell r="R134" t="str">
            <v>0.642623</v>
          </cell>
          <cell r="S134" t="str">
            <v>0.256196</v>
          </cell>
          <cell r="T134" t="str">
            <v>NO</v>
          </cell>
          <cell r="U134" t="str">
            <v>DELIBERAZIONE EGATO 29 19/12/2018</v>
          </cell>
        </row>
        <row r="135">
          <cell r="A135" t="str">
            <v>C344248</v>
          </cell>
          <cell r="B135">
            <v>202601306508823</v>
          </cell>
          <cell r="D135" t="str">
            <v>ATO4</v>
          </cell>
          <cell r="E135" t="str">
            <v>C344248</v>
          </cell>
          <cell r="F135">
            <v>46143</v>
          </cell>
          <cell r="G135">
            <v>46507</v>
          </cell>
          <cell r="H135">
            <v>46179</v>
          </cell>
          <cell r="I135">
            <v>46179</v>
          </cell>
          <cell r="K135" t="str">
            <v>004130</v>
          </cell>
          <cell r="L135">
            <v>-131.29</v>
          </cell>
          <cell r="M135">
            <v>-131.29</v>
          </cell>
          <cell r="N135">
            <v>-131.29</v>
          </cell>
          <cell r="O135" t="str">
            <v>indiretto</v>
          </cell>
          <cell r="P135">
            <v>5</v>
          </cell>
          <cell r="Q135" t="str">
            <v>0.545182</v>
          </cell>
          <cell r="R135" t="str">
            <v>0.611443</v>
          </cell>
          <cell r="S135" t="str">
            <v>0.282207</v>
          </cell>
          <cell r="T135" t="str">
            <v>NO</v>
          </cell>
          <cell r="U135" t="str">
            <v>DELIBERA EGATO N.29 DEL 19/12/2018</v>
          </cell>
        </row>
        <row r="136">
          <cell r="A136" t="str">
            <v>C319959</v>
          </cell>
          <cell r="B136">
            <v>202601306515768</v>
          </cell>
          <cell r="D136" t="str">
            <v>ATO4</v>
          </cell>
          <cell r="E136" t="str">
            <v>C319959</v>
          </cell>
          <cell r="F136">
            <v>46143</v>
          </cell>
          <cell r="G136">
            <v>46507</v>
          </cell>
          <cell r="H136">
            <v>46179</v>
          </cell>
          <cell r="I136">
            <v>46179</v>
          </cell>
          <cell r="K136" t="str">
            <v>004163</v>
          </cell>
          <cell r="L136">
            <v>-165.65</v>
          </cell>
          <cell r="M136">
            <v>-165.65</v>
          </cell>
          <cell r="N136">
            <v>-165.65</v>
          </cell>
          <cell r="O136" t="str">
            <v>indiretto</v>
          </cell>
          <cell r="P136">
            <v>5</v>
          </cell>
          <cell r="Q136" t="str">
            <v>0.916558</v>
          </cell>
          <cell r="R136" t="str">
            <v>0.642623</v>
          </cell>
          <cell r="S136" t="str">
            <v>0.256196</v>
          </cell>
          <cell r="T136" t="str">
            <v>NO</v>
          </cell>
          <cell r="U136" t="str">
            <v>DELIBERAZIONE EGATO 29 19/12/2018</v>
          </cell>
        </row>
        <row r="137">
          <cell r="A137" t="str">
            <v>C317546</v>
          </cell>
          <cell r="B137">
            <v>202601306516163</v>
          </cell>
          <cell r="D137" t="str">
            <v>ATO4</v>
          </cell>
          <cell r="E137" t="str">
            <v>C317546</v>
          </cell>
          <cell r="F137">
            <v>46143</v>
          </cell>
          <cell r="G137">
            <v>46507</v>
          </cell>
          <cell r="H137">
            <v>46179</v>
          </cell>
          <cell r="I137">
            <v>46179</v>
          </cell>
          <cell r="K137" t="str">
            <v>004062</v>
          </cell>
          <cell r="L137">
            <v>-137.87</v>
          </cell>
          <cell r="M137">
            <v>-137.87</v>
          </cell>
          <cell r="N137">
            <v>-137.87</v>
          </cell>
          <cell r="O137" t="str">
            <v>indiretto</v>
          </cell>
          <cell r="P137">
            <v>4</v>
          </cell>
          <cell r="Q137">
            <v>1157763</v>
          </cell>
          <cell r="R137" t="str">
            <v>0.545393</v>
          </cell>
          <cell r="S137" t="str">
            <v>0.185433</v>
          </cell>
          <cell r="T137" t="str">
            <v>NO</v>
          </cell>
          <cell r="U137" t="str">
            <v>DELIBERAZIONE EGATO 11 27/03/2019</v>
          </cell>
        </row>
        <row r="138">
          <cell r="A138" t="str">
            <v>C344178</v>
          </cell>
          <cell r="B138">
            <v>202601306516388</v>
          </cell>
          <cell r="D138" t="str">
            <v>ATO4</v>
          </cell>
          <cell r="E138" t="str">
            <v>C344178</v>
          </cell>
          <cell r="F138">
            <v>46143</v>
          </cell>
          <cell r="G138">
            <v>46507</v>
          </cell>
          <cell r="H138">
            <v>46179</v>
          </cell>
          <cell r="I138">
            <v>46179</v>
          </cell>
          <cell r="K138" t="str">
            <v>004081</v>
          </cell>
          <cell r="L138">
            <v>-37.950000000000003</v>
          </cell>
          <cell r="M138">
            <v>-37.950000000000003</v>
          </cell>
          <cell r="N138">
            <v>-37.950000000000003</v>
          </cell>
          <cell r="O138" t="str">
            <v>indiretto</v>
          </cell>
          <cell r="P138">
            <v>1</v>
          </cell>
          <cell r="Q138">
            <v>1091278</v>
          </cell>
          <cell r="R138" t="str">
            <v>0.691798</v>
          </cell>
          <cell r="S138" t="str">
            <v>0.296264</v>
          </cell>
          <cell r="T138" t="str">
            <v>NO</v>
          </cell>
          <cell r="U138" t="str">
            <v>DELIBERAZIONE EGATO 2 04/02/2019</v>
          </cell>
        </row>
        <row r="139">
          <cell r="A139" t="str">
            <v>C317813</v>
          </cell>
          <cell r="B139">
            <v>202601306519198</v>
          </cell>
          <cell r="D139" t="str">
            <v>ATO4</v>
          </cell>
          <cell r="E139" t="str">
            <v>C317813</v>
          </cell>
          <cell r="F139">
            <v>46143</v>
          </cell>
          <cell r="G139">
            <v>46507</v>
          </cell>
          <cell r="H139">
            <v>46179</v>
          </cell>
          <cell r="I139">
            <v>46179</v>
          </cell>
          <cell r="K139" t="str">
            <v>004116</v>
          </cell>
          <cell r="L139">
            <v>-23.97</v>
          </cell>
          <cell r="M139">
            <v>-23.97</v>
          </cell>
          <cell r="N139">
            <v>-23.97</v>
          </cell>
          <cell r="O139" t="str">
            <v>indiretto</v>
          </cell>
          <cell r="P139">
            <v>1</v>
          </cell>
          <cell r="Q139" t="str">
            <v>0.721337</v>
          </cell>
          <cell r="R139" t="str">
            <v>0.441600</v>
          </cell>
          <cell r="S139" t="str">
            <v>0.150394</v>
          </cell>
          <cell r="T139" t="str">
            <v>NO</v>
          </cell>
          <cell r="U139" t="str">
            <v>DELIBERAZIONE EGATO 2 04/02/2019</v>
          </cell>
        </row>
        <row r="140">
          <cell r="A140" t="str">
            <v>C310819</v>
          </cell>
          <cell r="B140">
            <v>202601306524308</v>
          </cell>
          <cell r="D140" t="str">
            <v>ATO4</v>
          </cell>
          <cell r="E140" t="str">
            <v>C310819</v>
          </cell>
          <cell r="F140">
            <v>46143</v>
          </cell>
          <cell r="G140">
            <v>46507</v>
          </cell>
          <cell r="H140">
            <v>46179</v>
          </cell>
          <cell r="I140">
            <v>46179</v>
          </cell>
          <cell r="K140" t="str">
            <v>004066</v>
          </cell>
          <cell r="L140">
            <v>-132.52000000000001</v>
          </cell>
          <cell r="M140">
            <v>-132.52000000000001</v>
          </cell>
          <cell r="N140">
            <v>-132.52000000000001</v>
          </cell>
          <cell r="O140" t="str">
            <v>indiretto</v>
          </cell>
          <cell r="P140">
            <v>4</v>
          </cell>
          <cell r="Q140" t="str">
            <v>0.916558</v>
          </cell>
          <cell r="R140" t="str">
            <v>0.642623</v>
          </cell>
          <cell r="S140" t="str">
            <v>0.256196</v>
          </cell>
          <cell r="T140" t="str">
            <v>NO</v>
          </cell>
          <cell r="U140" t="str">
            <v>DELIBERAZIONE EGATO 29 19/12/2018</v>
          </cell>
        </row>
        <row r="141">
          <cell r="A141" t="str">
            <v>C337598</v>
          </cell>
          <cell r="B141">
            <v>202601306525679</v>
          </cell>
          <cell r="D141" t="str">
            <v>ATO4</v>
          </cell>
          <cell r="E141" t="str">
            <v>C337598</v>
          </cell>
          <cell r="F141">
            <v>46143</v>
          </cell>
          <cell r="G141">
            <v>46507</v>
          </cell>
          <cell r="H141">
            <v>46179</v>
          </cell>
          <cell r="I141">
            <v>46179</v>
          </cell>
          <cell r="K141" t="str">
            <v>004066</v>
          </cell>
          <cell r="L141">
            <v>-165.65</v>
          </cell>
          <cell r="M141">
            <v>-165.65</v>
          </cell>
          <cell r="N141">
            <v>-165.65</v>
          </cell>
          <cell r="O141" t="str">
            <v>indiretto</v>
          </cell>
          <cell r="P141">
            <v>5</v>
          </cell>
          <cell r="Q141" t="str">
            <v>0.916558</v>
          </cell>
          <cell r="R141" t="str">
            <v>0.642623</v>
          </cell>
          <cell r="S141" t="str">
            <v>0.256196</v>
          </cell>
          <cell r="T141" t="str">
            <v>NO</v>
          </cell>
          <cell r="U141" t="str">
            <v>DELIBERAZIONE EGATO 29 19/12/2018</v>
          </cell>
        </row>
        <row r="142">
          <cell r="A142" t="str">
            <v>C308856</v>
          </cell>
          <cell r="B142">
            <v>202601306540843</v>
          </cell>
          <cell r="D142" t="str">
            <v>ATO4</v>
          </cell>
          <cell r="E142" t="str">
            <v>C308856</v>
          </cell>
          <cell r="F142">
            <v>46143</v>
          </cell>
          <cell r="G142">
            <v>46507</v>
          </cell>
          <cell r="H142">
            <v>46179</v>
          </cell>
          <cell r="I142">
            <v>46179</v>
          </cell>
          <cell r="K142" t="str">
            <v>004225</v>
          </cell>
          <cell r="L142">
            <v>-132.52000000000001</v>
          </cell>
          <cell r="M142">
            <v>-132.52000000000001</v>
          </cell>
          <cell r="N142">
            <v>-132.52000000000001</v>
          </cell>
          <cell r="O142" t="str">
            <v>indiretto</v>
          </cell>
          <cell r="P142">
            <v>4</v>
          </cell>
          <cell r="Q142" t="str">
            <v>0.916558</v>
          </cell>
          <cell r="R142" t="str">
            <v>0.642623</v>
          </cell>
          <cell r="S142" t="str">
            <v>0.256196</v>
          </cell>
          <cell r="T142" t="str">
            <v>NO</v>
          </cell>
          <cell r="U142" t="str">
            <v>DELIBERAZIONE EGATO 29 19/12/2018</v>
          </cell>
        </row>
        <row r="143">
          <cell r="A143" t="str">
            <v>C344267</v>
          </cell>
          <cell r="B143">
            <v>202601306547210</v>
          </cell>
          <cell r="D143" t="str">
            <v>ATO4</v>
          </cell>
          <cell r="E143" t="str">
            <v>C344267</v>
          </cell>
          <cell r="F143">
            <v>46143</v>
          </cell>
          <cell r="G143">
            <v>46507</v>
          </cell>
          <cell r="H143">
            <v>46179</v>
          </cell>
          <cell r="I143">
            <v>46179</v>
          </cell>
          <cell r="K143" t="str">
            <v>004207</v>
          </cell>
          <cell r="L143">
            <v>-42.73</v>
          </cell>
          <cell r="M143">
            <v>-42.73</v>
          </cell>
          <cell r="N143">
            <v>-42.73</v>
          </cell>
          <cell r="O143" t="str">
            <v>indiretto</v>
          </cell>
          <cell r="P143">
            <v>2</v>
          </cell>
          <cell r="Q143" t="str">
            <v>0.509947</v>
          </cell>
          <cell r="R143" t="str">
            <v>0.493155</v>
          </cell>
          <cell r="S143" t="str">
            <v>0.167631</v>
          </cell>
          <cell r="T143" t="str">
            <v>NO</v>
          </cell>
          <cell r="U143" t="str">
            <v>DELIBERAZIONE EGATO 2 04/02/2019</v>
          </cell>
        </row>
        <row r="144">
          <cell r="A144" t="str">
            <v>C307876</v>
          </cell>
          <cell r="B144">
            <v>202601306547932</v>
          </cell>
          <cell r="D144" t="str">
            <v>ATO4</v>
          </cell>
          <cell r="E144" t="str">
            <v>C307876</v>
          </cell>
          <cell r="F144">
            <v>46143</v>
          </cell>
          <cell r="G144">
            <v>46507</v>
          </cell>
          <cell r="H144">
            <v>46179</v>
          </cell>
          <cell r="I144">
            <v>46179</v>
          </cell>
          <cell r="K144" t="str">
            <v>004025</v>
          </cell>
          <cell r="L144">
            <v>-99.39</v>
          </cell>
          <cell r="M144">
            <v>-99.39</v>
          </cell>
          <cell r="N144">
            <v>-99.39</v>
          </cell>
          <cell r="O144" t="str">
            <v>indiretto</v>
          </cell>
          <cell r="P144">
            <v>3</v>
          </cell>
          <cell r="Q144" t="str">
            <v>0.916558</v>
          </cell>
          <cell r="R144" t="str">
            <v>0.642623</v>
          </cell>
          <cell r="S144" t="str">
            <v>0.256196</v>
          </cell>
          <cell r="T144" t="str">
            <v>NO</v>
          </cell>
          <cell r="U144" t="str">
            <v>DELIBERAZIONE EGATO 29 19/12/2018</v>
          </cell>
        </row>
        <row r="145">
          <cell r="A145" t="str">
            <v>C337651</v>
          </cell>
          <cell r="B145">
            <v>202601306552382</v>
          </cell>
          <cell r="D145" t="str">
            <v>ATO4</v>
          </cell>
          <cell r="E145" t="str">
            <v>C337651</v>
          </cell>
          <cell r="F145">
            <v>46143</v>
          </cell>
          <cell r="G145">
            <v>46507</v>
          </cell>
          <cell r="H145">
            <v>46179</v>
          </cell>
          <cell r="I145">
            <v>46179</v>
          </cell>
          <cell r="K145" t="str">
            <v>004078</v>
          </cell>
          <cell r="L145">
            <v>-33.130000000000003</v>
          </cell>
          <cell r="M145">
            <v>-33.130000000000003</v>
          </cell>
          <cell r="N145">
            <v>-33.130000000000003</v>
          </cell>
          <cell r="O145" t="str">
            <v>indiretto</v>
          </cell>
          <cell r="P145">
            <v>1</v>
          </cell>
          <cell r="Q145" t="str">
            <v>0.916558</v>
          </cell>
          <cell r="R145" t="str">
            <v>0.642623</v>
          </cell>
          <cell r="S145" t="str">
            <v>0.256196</v>
          </cell>
          <cell r="T145" t="str">
            <v>NO</v>
          </cell>
          <cell r="U145" t="str">
            <v>DELIBERAZIONE EGATO 29 19/12/2018</v>
          </cell>
        </row>
        <row r="146">
          <cell r="A146" t="str">
            <v>C315649</v>
          </cell>
          <cell r="B146">
            <v>202601306554298</v>
          </cell>
          <cell r="D146" t="str">
            <v>ATO4</v>
          </cell>
          <cell r="E146" t="str">
            <v>C315649</v>
          </cell>
          <cell r="F146">
            <v>46143</v>
          </cell>
          <cell r="G146">
            <v>46507</v>
          </cell>
          <cell r="H146">
            <v>46179</v>
          </cell>
          <cell r="I146">
            <v>46179</v>
          </cell>
          <cell r="K146" t="str">
            <v>004075</v>
          </cell>
          <cell r="L146">
            <v>-32.369999999999997</v>
          </cell>
          <cell r="M146">
            <v>-32.369999999999997</v>
          </cell>
          <cell r="N146">
            <v>-32.369999999999997</v>
          </cell>
          <cell r="O146" t="str">
            <v>indiretto</v>
          </cell>
          <cell r="P146">
            <v>1</v>
          </cell>
          <cell r="Q146" t="str">
            <v>0.874880</v>
          </cell>
          <cell r="R146" t="str">
            <v>0.642623</v>
          </cell>
          <cell r="S146" t="str">
            <v>0.256196</v>
          </cell>
          <cell r="T146" t="str">
            <v>NO</v>
          </cell>
          <cell r="U146" t="str">
            <v>DELIBERAZIONE EGATO 11 27/03/2019</v>
          </cell>
        </row>
        <row r="147">
          <cell r="A147" t="str">
            <v>C309498</v>
          </cell>
          <cell r="B147">
            <v>202601306571248</v>
          </cell>
          <cell r="D147" t="str">
            <v>ATO4</v>
          </cell>
          <cell r="E147" t="str">
            <v>C309498</v>
          </cell>
          <cell r="F147">
            <v>46143</v>
          </cell>
          <cell r="G147">
            <v>46507</v>
          </cell>
          <cell r="H147">
            <v>46179</v>
          </cell>
          <cell r="I147">
            <v>46179</v>
          </cell>
          <cell r="K147" t="str">
            <v>004040</v>
          </cell>
          <cell r="L147">
            <v>-99.39</v>
          </cell>
          <cell r="M147">
            <v>-99.39</v>
          </cell>
          <cell r="N147">
            <v>-99.39</v>
          </cell>
          <cell r="O147" t="str">
            <v>indiretto</v>
          </cell>
          <cell r="P147">
            <v>3</v>
          </cell>
          <cell r="Q147" t="str">
            <v>0.916558</v>
          </cell>
          <cell r="R147" t="str">
            <v>0.642623</v>
          </cell>
          <cell r="S147" t="str">
            <v>0.256196</v>
          </cell>
          <cell r="T147" t="str">
            <v>NO</v>
          </cell>
          <cell r="U147" t="str">
            <v>DELIBERAZIONE EGATO 29 19/12/2018</v>
          </cell>
        </row>
        <row r="148">
          <cell r="A148" t="str">
            <v>C311889</v>
          </cell>
          <cell r="B148">
            <v>202601306572632</v>
          </cell>
          <cell r="D148" t="str">
            <v>ATO4</v>
          </cell>
          <cell r="E148" t="str">
            <v>C311889</v>
          </cell>
          <cell r="F148">
            <v>46143</v>
          </cell>
          <cell r="G148">
            <v>46507</v>
          </cell>
          <cell r="H148">
            <v>46179</v>
          </cell>
          <cell r="I148">
            <v>46179</v>
          </cell>
          <cell r="K148" t="str">
            <v>004028</v>
          </cell>
          <cell r="L148">
            <v>-99.39</v>
          </cell>
          <cell r="M148">
            <v>-99.39</v>
          </cell>
          <cell r="N148">
            <v>-99.39</v>
          </cell>
          <cell r="O148" t="str">
            <v>indiretto</v>
          </cell>
          <cell r="P148">
            <v>3</v>
          </cell>
          <cell r="Q148" t="str">
            <v>0.916558</v>
          </cell>
          <cell r="R148" t="str">
            <v>0.642623</v>
          </cell>
          <cell r="S148" t="str">
            <v>0.256196</v>
          </cell>
          <cell r="T148" t="str">
            <v>NO</v>
          </cell>
          <cell r="U148" t="str">
            <v>DELIBERAZIONE EGATO 29 19/12/2018</v>
          </cell>
        </row>
        <row r="149">
          <cell r="A149" t="str">
            <v>C344254</v>
          </cell>
          <cell r="B149">
            <v>202601306575010</v>
          </cell>
          <cell r="D149" t="str">
            <v>ATO4</v>
          </cell>
          <cell r="E149" t="str">
            <v>C344254</v>
          </cell>
          <cell r="F149">
            <v>46143</v>
          </cell>
          <cell r="G149">
            <v>46507</v>
          </cell>
          <cell r="H149">
            <v>46179</v>
          </cell>
          <cell r="I149">
            <v>46179</v>
          </cell>
          <cell r="K149" t="str">
            <v>004192</v>
          </cell>
          <cell r="L149">
            <v>-66.260000000000005</v>
          </cell>
          <cell r="M149">
            <v>-66.260000000000005</v>
          </cell>
          <cell r="N149">
            <v>-66.260000000000005</v>
          </cell>
          <cell r="O149" t="str">
            <v>indiretto</v>
          </cell>
          <cell r="P149">
            <v>2</v>
          </cell>
          <cell r="Q149" t="str">
            <v>0.916558</v>
          </cell>
          <cell r="R149" t="str">
            <v>0.642623</v>
          </cell>
          <cell r="S149" t="str">
            <v>0.256196</v>
          </cell>
          <cell r="T149" t="str">
            <v>NO</v>
          </cell>
          <cell r="U149" t="str">
            <v>DELIBERAZIONE EGATO 29 19/12/2018</v>
          </cell>
        </row>
        <row r="150">
          <cell r="A150" t="str">
            <v>C344170</v>
          </cell>
          <cell r="B150">
            <v>202601306584205</v>
          </cell>
          <cell r="D150" t="str">
            <v>ATO4</v>
          </cell>
          <cell r="E150" t="str">
            <v>C344170</v>
          </cell>
          <cell r="F150">
            <v>46143</v>
          </cell>
          <cell r="G150">
            <v>46507</v>
          </cell>
          <cell r="H150">
            <v>46179</v>
          </cell>
          <cell r="I150">
            <v>46179</v>
          </cell>
          <cell r="K150" t="str">
            <v>004075</v>
          </cell>
          <cell r="L150">
            <v>-64.739999999999995</v>
          </cell>
          <cell r="M150">
            <v>-64.739999999999995</v>
          </cell>
          <cell r="N150">
            <v>-64.739999999999995</v>
          </cell>
          <cell r="O150" t="str">
            <v>indiretto</v>
          </cell>
          <cell r="P150">
            <v>2</v>
          </cell>
          <cell r="Q150" t="str">
            <v>0.874880</v>
          </cell>
          <cell r="R150" t="str">
            <v>0.642623</v>
          </cell>
          <cell r="S150" t="str">
            <v>0.256196</v>
          </cell>
          <cell r="T150" t="str">
            <v>NO</v>
          </cell>
          <cell r="U150" t="str">
            <v>DELIBERAZIONE EGATO 11 27/03/2019</v>
          </cell>
        </row>
        <row r="151">
          <cell r="A151" t="str">
            <v>C321378</v>
          </cell>
          <cell r="B151">
            <v>202601306587235</v>
          </cell>
          <cell r="D151" t="str">
            <v>ATO4</v>
          </cell>
          <cell r="E151" t="str">
            <v>C321378</v>
          </cell>
          <cell r="F151">
            <v>46143</v>
          </cell>
          <cell r="G151">
            <v>46507</v>
          </cell>
          <cell r="H151">
            <v>46179</v>
          </cell>
          <cell r="I151">
            <v>46179</v>
          </cell>
          <cell r="K151" t="str">
            <v>004028</v>
          </cell>
          <cell r="L151">
            <v>-33.130000000000003</v>
          </cell>
          <cell r="M151">
            <v>-33.130000000000003</v>
          </cell>
          <cell r="N151">
            <v>-33.130000000000003</v>
          </cell>
          <cell r="O151" t="str">
            <v>indiretto</v>
          </cell>
          <cell r="P151">
            <v>1</v>
          </cell>
          <cell r="Q151" t="str">
            <v>0.916558</v>
          </cell>
          <cell r="R151" t="str">
            <v>0.642623</v>
          </cell>
          <cell r="S151" t="str">
            <v>0.256196</v>
          </cell>
          <cell r="T151" t="str">
            <v>NO</v>
          </cell>
          <cell r="U151" t="str">
            <v>DELIBERAZIONE EGATO 29 19/12/2018</v>
          </cell>
        </row>
        <row r="152">
          <cell r="A152" t="str">
            <v>C091341</v>
          </cell>
          <cell r="B152">
            <v>202601306589197</v>
          </cell>
          <cell r="D152" t="str">
            <v>ATO4</v>
          </cell>
          <cell r="E152" t="str">
            <v>C091341</v>
          </cell>
          <cell r="F152">
            <v>46143</v>
          </cell>
          <cell r="G152">
            <v>46507</v>
          </cell>
          <cell r="H152">
            <v>46179</v>
          </cell>
          <cell r="I152">
            <v>46179</v>
          </cell>
          <cell r="K152" t="str">
            <v>004192</v>
          </cell>
          <cell r="L152">
            <v>-33.130000000000003</v>
          </cell>
          <cell r="M152">
            <v>-33.130000000000003</v>
          </cell>
          <cell r="N152">
            <v>-33.130000000000003</v>
          </cell>
          <cell r="O152" t="str">
            <v>indiretto</v>
          </cell>
          <cell r="P152">
            <v>1</v>
          </cell>
          <cell r="Q152" t="str">
            <v>0.916558</v>
          </cell>
          <cell r="R152" t="str">
            <v>0.642623</v>
          </cell>
          <cell r="S152" t="str">
            <v>0.256196</v>
          </cell>
          <cell r="T152" t="str">
            <v>NO</v>
          </cell>
          <cell r="U152" t="str">
            <v>DELIBERAZIONE EGATO 29 19/12/2018</v>
          </cell>
        </row>
        <row r="153">
          <cell r="A153" t="str">
            <v>C344235</v>
          </cell>
          <cell r="B153">
            <v>202601306589609</v>
          </cell>
          <cell r="D153" t="str">
            <v>ATO4</v>
          </cell>
          <cell r="E153" t="str">
            <v>C344235</v>
          </cell>
          <cell r="F153">
            <v>46143</v>
          </cell>
          <cell r="G153">
            <v>46507</v>
          </cell>
          <cell r="H153">
            <v>46179</v>
          </cell>
          <cell r="I153">
            <v>46179</v>
          </cell>
          <cell r="K153" t="str">
            <v>004130</v>
          </cell>
          <cell r="L153">
            <v>-52.52</v>
          </cell>
          <cell r="M153">
            <v>-52.52</v>
          </cell>
          <cell r="N153">
            <v>-52.52</v>
          </cell>
          <cell r="O153" t="str">
            <v>indiretto</v>
          </cell>
          <cell r="P153">
            <v>2</v>
          </cell>
          <cell r="Q153" t="str">
            <v>0.545182</v>
          </cell>
          <cell r="R153" t="str">
            <v>0.611443</v>
          </cell>
          <cell r="S153" t="str">
            <v>0.282207</v>
          </cell>
          <cell r="T153" t="str">
            <v>NO</v>
          </cell>
          <cell r="U153" t="str">
            <v>DELIBERA EGATO N.29 DEL 19/12/2018</v>
          </cell>
        </row>
        <row r="154">
          <cell r="A154" t="str">
            <v>C310223</v>
          </cell>
          <cell r="B154">
            <v>202601306592571</v>
          </cell>
          <cell r="D154" t="str">
            <v>ATO4</v>
          </cell>
          <cell r="E154" t="str">
            <v>C310223</v>
          </cell>
          <cell r="F154">
            <v>46143</v>
          </cell>
          <cell r="G154">
            <v>46507</v>
          </cell>
          <cell r="H154">
            <v>46179</v>
          </cell>
          <cell r="I154">
            <v>46179</v>
          </cell>
          <cell r="K154" t="str">
            <v>004171</v>
          </cell>
          <cell r="L154">
            <v>-108.96</v>
          </cell>
          <cell r="M154">
            <v>-108.96</v>
          </cell>
          <cell r="N154">
            <v>-108.96</v>
          </cell>
          <cell r="O154" t="str">
            <v>indiretto</v>
          </cell>
          <cell r="P154">
            <v>6</v>
          </cell>
          <cell r="Q154" t="str">
            <v>0.483220</v>
          </cell>
          <cell r="R154" t="str">
            <v>0.350215</v>
          </cell>
          <cell r="S154" t="str">
            <v>0.161638</v>
          </cell>
          <cell r="T154" t="str">
            <v>NO</v>
          </cell>
          <cell r="U154" t="str">
            <v>DELIBERAZIONE EGATO 23 16/11/2020</v>
          </cell>
        </row>
        <row r="155">
          <cell r="A155" t="str">
            <v>C337724</v>
          </cell>
          <cell r="B155">
            <v>202601306595531</v>
          </cell>
          <cell r="D155" t="str">
            <v>ATO4</v>
          </cell>
          <cell r="E155" t="str">
            <v>C337724</v>
          </cell>
          <cell r="F155">
            <v>46143</v>
          </cell>
          <cell r="G155">
            <v>46507</v>
          </cell>
          <cell r="H155">
            <v>46179</v>
          </cell>
          <cell r="I155">
            <v>46179</v>
          </cell>
          <cell r="K155" t="str">
            <v>004074</v>
          </cell>
          <cell r="L155">
            <v>-30.03</v>
          </cell>
          <cell r="M155">
            <v>-30.03</v>
          </cell>
          <cell r="N155">
            <v>-30.03</v>
          </cell>
          <cell r="O155" t="str">
            <v>indiretto</v>
          </cell>
          <cell r="P155">
            <v>1</v>
          </cell>
          <cell r="Q155" t="str">
            <v>0.638867</v>
          </cell>
          <cell r="R155" t="str">
            <v>0.746975</v>
          </cell>
          <cell r="S155" t="str">
            <v>0.259818</v>
          </cell>
          <cell r="T155" t="str">
            <v>NO</v>
          </cell>
          <cell r="U155" t="str">
            <v xml:space="preserve">DELIBERA EGATO/4 N. 29 DEL 19/12/2018  </v>
          </cell>
        </row>
        <row r="156">
          <cell r="A156" t="str">
            <v>C344234</v>
          </cell>
          <cell r="B156">
            <v>202601306596269</v>
          </cell>
          <cell r="D156" t="str">
            <v>ATO4</v>
          </cell>
          <cell r="E156" t="str">
            <v>C344234</v>
          </cell>
          <cell r="F156">
            <v>46143</v>
          </cell>
          <cell r="G156">
            <v>46507</v>
          </cell>
          <cell r="H156">
            <v>46179</v>
          </cell>
          <cell r="I156">
            <v>46179</v>
          </cell>
          <cell r="K156" t="str">
            <v>004151</v>
          </cell>
          <cell r="L156">
            <v>-193.3</v>
          </cell>
          <cell r="M156">
            <v>-193.3</v>
          </cell>
          <cell r="N156">
            <v>-193.3</v>
          </cell>
          <cell r="O156" t="str">
            <v>indiretto</v>
          </cell>
          <cell r="P156">
            <v>5</v>
          </cell>
          <cell r="Q156">
            <v>1091278</v>
          </cell>
          <cell r="R156" t="str">
            <v>0.730790</v>
          </cell>
          <cell r="S156" t="str">
            <v>0.296264</v>
          </cell>
          <cell r="T156" t="str">
            <v>NO</v>
          </cell>
          <cell r="U156" t="str">
            <v>DELIBERAZIONE EGATO 2 04/02/2019</v>
          </cell>
        </row>
        <row r="157">
          <cell r="A157" t="str">
            <v>C310840</v>
          </cell>
          <cell r="B157">
            <v>202601306597279</v>
          </cell>
          <cell r="D157" t="str">
            <v>ATO4</v>
          </cell>
          <cell r="E157" t="str">
            <v>C310840</v>
          </cell>
          <cell r="F157">
            <v>46143</v>
          </cell>
          <cell r="G157">
            <v>46507</v>
          </cell>
          <cell r="H157">
            <v>46179</v>
          </cell>
          <cell r="I157">
            <v>46179</v>
          </cell>
          <cell r="K157" t="str">
            <v>004163</v>
          </cell>
          <cell r="L157">
            <v>-99.39</v>
          </cell>
          <cell r="M157">
            <v>-99.39</v>
          </cell>
          <cell r="N157">
            <v>-99.39</v>
          </cell>
          <cell r="O157" t="str">
            <v>indiretto</v>
          </cell>
          <cell r="P157">
            <v>3</v>
          </cell>
          <cell r="Q157" t="str">
            <v>0.916558</v>
          </cell>
          <cell r="R157" t="str">
            <v>0.642623</v>
          </cell>
          <cell r="S157" t="str">
            <v>0.256196</v>
          </cell>
          <cell r="T157" t="str">
            <v>NO</v>
          </cell>
          <cell r="U157" t="str">
            <v>DELIBERAZIONE EGATO 29 19/12/2018</v>
          </cell>
        </row>
        <row r="158">
          <cell r="A158" t="str">
            <v>C337585</v>
          </cell>
          <cell r="B158">
            <v>202601306601887</v>
          </cell>
          <cell r="D158" t="str">
            <v>ATO4</v>
          </cell>
          <cell r="E158" t="str">
            <v>C337585</v>
          </cell>
          <cell r="F158">
            <v>46143</v>
          </cell>
          <cell r="G158">
            <v>46507</v>
          </cell>
          <cell r="H158">
            <v>46179</v>
          </cell>
          <cell r="I158">
            <v>46179</v>
          </cell>
          <cell r="K158" t="str">
            <v>004249</v>
          </cell>
          <cell r="L158">
            <v>-13.29</v>
          </cell>
          <cell r="M158">
            <v>-13.29</v>
          </cell>
          <cell r="N158">
            <v>-13.29</v>
          </cell>
          <cell r="O158" t="str">
            <v>indiretto</v>
          </cell>
          <cell r="P158">
            <v>1</v>
          </cell>
          <cell r="Q158" t="str">
            <v>0.222532</v>
          </cell>
          <cell r="R158" t="str">
            <v>0.366671</v>
          </cell>
          <cell r="S158" t="str">
            <v>0.139082</v>
          </cell>
          <cell r="T158" t="str">
            <v>NO</v>
          </cell>
          <cell r="U158" t="str">
            <v>DELIBERAZIONE EGATO 4 23/02/2023</v>
          </cell>
        </row>
        <row r="159">
          <cell r="A159" t="str">
            <v>C337513</v>
          </cell>
          <cell r="B159">
            <v>202601306604169</v>
          </cell>
          <cell r="D159" t="str">
            <v>ATO4</v>
          </cell>
          <cell r="E159" t="str">
            <v>C337513</v>
          </cell>
          <cell r="F159">
            <v>46143</v>
          </cell>
          <cell r="G159">
            <v>46507</v>
          </cell>
          <cell r="H159">
            <v>46179</v>
          </cell>
          <cell r="I159">
            <v>46179</v>
          </cell>
          <cell r="K159" t="str">
            <v>004025</v>
          </cell>
          <cell r="L159">
            <v>-165.65</v>
          </cell>
          <cell r="M159">
            <v>-165.65</v>
          </cell>
          <cell r="N159">
            <v>-165.65</v>
          </cell>
          <cell r="O159" t="str">
            <v>indiretto</v>
          </cell>
          <cell r="P159">
            <v>5</v>
          </cell>
          <cell r="Q159" t="str">
            <v>0.916558</v>
          </cell>
          <cell r="R159" t="str">
            <v>0.642623</v>
          </cell>
          <cell r="S159" t="str">
            <v>0.256196</v>
          </cell>
          <cell r="T159" t="str">
            <v>NO</v>
          </cell>
          <cell r="U159" t="str">
            <v>DELIBERAZIONE EGATO 29 19/12/2018</v>
          </cell>
        </row>
        <row r="160">
          <cell r="A160" t="str">
            <v>C344133</v>
          </cell>
          <cell r="B160">
            <v>202601306605329</v>
          </cell>
          <cell r="D160" t="str">
            <v>ATO4</v>
          </cell>
          <cell r="E160" t="str">
            <v>C344133</v>
          </cell>
          <cell r="F160">
            <v>46143</v>
          </cell>
          <cell r="G160">
            <v>46507</v>
          </cell>
          <cell r="H160">
            <v>46179</v>
          </cell>
          <cell r="I160">
            <v>46179</v>
          </cell>
          <cell r="K160" t="str">
            <v>004116</v>
          </cell>
          <cell r="L160">
            <v>-23.97</v>
          </cell>
          <cell r="M160">
            <v>-23.97</v>
          </cell>
          <cell r="N160">
            <v>-23.97</v>
          </cell>
          <cell r="O160" t="str">
            <v>indiretto</v>
          </cell>
          <cell r="P160">
            <v>1</v>
          </cell>
          <cell r="Q160" t="str">
            <v>0.721337</v>
          </cell>
          <cell r="R160" t="str">
            <v>0.441600</v>
          </cell>
          <cell r="S160" t="str">
            <v>0.150394</v>
          </cell>
          <cell r="T160" t="str">
            <v>NO</v>
          </cell>
          <cell r="U160" t="str">
            <v>DELIBERAZIONE EGATO 2 04/02/2019</v>
          </cell>
        </row>
        <row r="161">
          <cell r="A161" t="str">
            <v>C310622</v>
          </cell>
          <cell r="B161">
            <v>202601306608099</v>
          </cell>
          <cell r="D161" t="str">
            <v>ATO4</v>
          </cell>
          <cell r="E161" t="str">
            <v>C310622</v>
          </cell>
          <cell r="F161">
            <v>46143</v>
          </cell>
          <cell r="G161">
            <v>46507</v>
          </cell>
          <cell r="H161">
            <v>46179</v>
          </cell>
          <cell r="I161">
            <v>46179</v>
          </cell>
          <cell r="K161" t="str">
            <v>004078</v>
          </cell>
          <cell r="L161">
            <v>-165.65</v>
          </cell>
          <cell r="M161">
            <v>-165.65</v>
          </cell>
          <cell r="N161">
            <v>-165.65</v>
          </cell>
          <cell r="O161" t="str">
            <v>indiretto</v>
          </cell>
          <cell r="P161">
            <v>5</v>
          </cell>
          <cell r="Q161" t="str">
            <v>0.916558</v>
          </cell>
          <cell r="R161" t="str">
            <v>0.642623</v>
          </cell>
          <cell r="S161" t="str">
            <v>0.256196</v>
          </cell>
          <cell r="T161" t="str">
            <v>NO</v>
          </cell>
          <cell r="U161" t="str">
            <v>DELIBERAZIONE EGATO 29 19/12/2018</v>
          </cell>
        </row>
        <row r="162">
          <cell r="A162" t="str">
            <v>C344266</v>
          </cell>
          <cell r="B162">
            <v>202601306610709</v>
          </cell>
          <cell r="D162" t="str">
            <v>ATO4</v>
          </cell>
          <cell r="E162" t="str">
            <v>C344266</v>
          </cell>
          <cell r="F162">
            <v>46143</v>
          </cell>
          <cell r="G162">
            <v>46507</v>
          </cell>
          <cell r="H162">
            <v>46179</v>
          </cell>
          <cell r="I162">
            <v>46179</v>
          </cell>
          <cell r="K162" t="str">
            <v>004095</v>
          </cell>
          <cell r="L162">
            <v>-119.27</v>
          </cell>
          <cell r="M162">
            <v>-119.27</v>
          </cell>
          <cell r="N162">
            <v>-119.27</v>
          </cell>
          <cell r="O162" t="str">
            <v>indiretto</v>
          </cell>
          <cell r="P162">
            <v>4</v>
          </cell>
          <cell r="Q162" t="str">
            <v>0.824903</v>
          </cell>
          <cell r="R162" t="str">
            <v>0.578360</v>
          </cell>
          <cell r="S162" t="str">
            <v>0.230576</v>
          </cell>
          <cell r="T162" t="str">
            <v>NO</v>
          </cell>
          <cell r="U162" t="str">
            <v>DELIBERAZIONE EGATO 29 19/12/2018</v>
          </cell>
        </row>
        <row r="163">
          <cell r="A163" t="str">
            <v>C344169</v>
          </cell>
          <cell r="B163">
            <v>202601306615550</v>
          </cell>
          <cell r="D163" t="str">
            <v>ATO4</v>
          </cell>
          <cell r="E163" t="str">
            <v>C344169</v>
          </cell>
          <cell r="F163">
            <v>46143</v>
          </cell>
          <cell r="G163">
            <v>46507</v>
          </cell>
          <cell r="H163">
            <v>46179</v>
          </cell>
          <cell r="I163">
            <v>46179</v>
          </cell>
          <cell r="K163" t="str">
            <v>004130</v>
          </cell>
          <cell r="L163">
            <v>-52.52</v>
          </cell>
          <cell r="M163">
            <v>-52.52</v>
          </cell>
          <cell r="N163">
            <v>-52.52</v>
          </cell>
          <cell r="O163" t="str">
            <v>indiretto</v>
          </cell>
          <cell r="P163">
            <v>2</v>
          </cell>
          <cell r="Q163" t="str">
            <v>0.545182</v>
          </cell>
          <cell r="R163" t="str">
            <v>0.611443</v>
          </cell>
          <cell r="S163" t="str">
            <v>0.282207</v>
          </cell>
          <cell r="T163" t="str">
            <v>NO</v>
          </cell>
          <cell r="U163" t="str">
            <v>DELIBERA EGATO N.29 DEL 19/12/2018</v>
          </cell>
        </row>
        <row r="164">
          <cell r="A164" t="str">
            <v>C314617</v>
          </cell>
          <cell r="B164">
            <v>202601306617380</v>
          </cell>
          <cell r="D164" t="str">
            <v>ATO4</v>
          </cell>
          <cell r="E164" t="str">
            <v>C314617</v>
          </cell>
          <cell r="F164">
            <v>46143</v>
          </cell>
          <cell r="G164">
            <v>46507</v>
          </cell>
          <cell r="H164">
            <v>46179</v>
          </cell>
          <cell r="I164">
            <v>46179</v>
          </cell>
          <cell r="K164" t="str">
            <v>004243</v>
          </cell>
          <cell r="L164">
            <v>-66.260000000000005</v>
          </cell>
          <cell r="M164">
            <v>-66.260000000000005</v>
          </cell>
          <cell r="N164">
            <v>-66.260000000000005</v>
          </cell>
          <cell r="O164" t="str">
            <v>indiretto</v>
          </cell>
          <cell r="P164">
            <v>2</v>
          </cell>
          <cell r="Q164" t="str">
            <v>0.916558</v>
          </cell>
          <cell r="R164" t="str">
            <v>0.642623</v>
          </cell>
          <cell r="S164" t="str">
            <v>0.256196</v>
          </cell>
          <cell r="T164" t="str">
            <v>NO</v>
          </cell>
          <cell r="U164" t="str">
            <v>DELIBERAZIONE EGATO 29 19/12/2018</v>
          </cell>
        </row>
        <row r="165">
          <cell r="A165" t="str">
            <v>C309193</v>
          </cell>
          <cell r="B165">
            <v>202601306633731</v>
          </cell>
          <cell r="D165" t="str">
            <v>ATO4</v>
          </cell>
          <cell r="E165" t="str">
            <v>C309193</v>
          </cell>
          <cell r="F165">
            <v>46143</v>
          </cell>
          <cell r="G165">
            <v>46507</v>
          </cell>
          <cell r="H165">
            <v>46179</v>
          </cell>
          <cell r="I165">
            <v>46179</v>
          </cell>
          <cell r="K165" t="str">
            <v>004064</v>
          </cell>
          <cell r="L165">
            <v>-99.39</v>
          </cell>
          <cell r="M165">
            <v>-99.39</v>
          </cell>
          <cell r="N165">
            <v>-99.39</v>
          </cell>
          <cell r="O165" t="str">
            <v>indiretto</v>
          </cell>
          <cell r="P165">
            <v>3</v>
          </cell>
          <cell r="Q165" t="str">
            <v>0.916558</v>
          </cell>
          <cell r="R165" t="str">
            <v>0.642623</v>
          </cell>
          <cell r="S165" t="str">
            <v>0.256196</v>
          </cell>
          <cell r="T165" t="str">
            <v>NO</v>
          </cell>
          <cell r="U165" t="str">
            <v>DELIBERAZIONE EGATO 29 19/12/2018</v>
          </cell>
        </row>
        <row r="166">
          <cell r="A166" t="str">
            <v>C344106</v>
          </cell>
          <cell r="B166">
            <v>202601306636839</v>
          </cell>
          <cell r="D166" t="str">
            <v>ATO4</v>
          </cell>
          <cell r="E166" t="str">
            <v>C344106</v>
          </cell>
          <cell r="F166">
            <v>46143</v>
          </cell>
          <cell r="G166">
            <v>46507</v>
          </cell>
          <cell r="H166">
            <v>46179</v>
          </cell>
          <cell r="I166">
            <v>46179</v>
          </cell>
          <cell r="K166" t="str">
            <v>004064</v>
          </cell>
          <cell r="L166">
            <v>-132.52000000000001</v>
          </cell>
          <cell r="M166">
            <v>-132.52000000000001</v>
          </cell>
          <cell r="N166">
            <v>-132.52000000000001</v>
          </cell>
          <cell r="O166" t="str">
            <v>indiretto</v>
          </cell>
          <cell r="P166">
            <v>4</v>
          </cell>
          <cell r="Q166" t="str">
            <v>0.916558</v>
          </cell>
          <cell r="R166" t="str">
            <v>0.642623</v>
          </cell>
          <cell r="S166" t="str">
            <v>0.256196</v>
          </cell>
          <cell r="T166" t="str">
            <v>NO</v>
          </cell>
          <cell r="U166" t="str">
            <v>DELIBERAZIONE EGATO 29 19/12/2018</v>
          </cell>
        </row>
        <row r="167">
          <cell r="A167" t="str">
            <v>C344123</v>
          </cell>
          <cell r="B167">
            <v>202601306642579</v>
          </cell>
          <cell r="D167" t="str">
            <v>ATO4</v>
          </cell>
          <cell r="E167" t="str">
            <v>C344123</v>
          </cell>
          <cell r="F167">
            <v>46143</v>
          </cell>
          <cell r="G167">
            <v>46507</v>
          </cell>
          <cell r="H167">
            <v>46179</v>
          </cell>
          <cell r="I167">
            <v>46179</v>
          </cell>
          <cell r="K167" t="str">
            <v>004192</v>
          </cell>
          <cell r="L167">
            <v>-33.130000000000003</v>
          </cell>
          <cell r="M167">
            <v>-33.130000000000003</v>
          </cell>
          <cell r="N167">
            <v>-33.130000000000003</v>
          </cell>
          <cell r="O167" t="str">
            <v>indiretto</v>
          </cell>
          <cell r="P167">
            <v>1</v>
          </cell>
          <cell r="Q167" t="str">
            <v>0.916558</v>
          </cell>
          <cell r="R167" t="str">
            <v>0.642623</v>
          </cell>
          <cell r="S167" t="str">
            <v>0.256196</v>
          </cell>
          <cell r="T167" t="str">
            <v>NO</v>
          </cell>
          <cell r="U167" t="str">
            <v>DELIBERAZIONE EGATO 29 19/12/2018</v>
          </cell>
        </row>
        <row r="168">
          <cell r="A168" t="str">
            <v>C344124</v>
          </cell>
          <cell r="B168">
            <v>202601306645421</v>
          </cell>
          <cell r="D168" t="str">
            <v>ATO4</v>
          </cell>
          <cell r="E168" t="str">
            <v>C344124</v>
          </cell>
          <cell r="F168">
            <v>46143</v>
          </cell>
          <cell r="G168">
            <v>46507</v>
          </cell>
          <cell r="H168">
            <v>46179</v>
          </cell>
          <cell r="I168">
            <v>46179</v>
          </cell>
          <cell r="K168" t="str">
            <v>004078</v>
          </cell>
          <cell r="L168">
            <v>-99.39</v>
          </cell>
          <cell r="M168">
            <v>-99.39</v>
          </cell>
          <cell r="N168">
            <v>-99.39</v>
          </cell>
          <cell r="O168" t="str">
            <v>indiretto</v>
          </cell>
          <cell r="P168">
            <v>3</v>
          </cell>
          <cell r="Q168" t="str">
            <v>0.916558</v>
          </cell>
          <cell r="R168" t="str">
            <v>0.642623</v>
          </cell>
          <cell r="S168" t="str">
            <v>0.256196</v>
          </cell>
          <cell r="T168" t="str">
            <v>NO</v>
          </cell>
          <cell r="U168" t="str">
            <v>DELIBERAZIONE EGATO 29 19/12/2018</v>
          </cell>
        </row>
        <row r="169">
          <cell r="A169" t="str">
            <v>C311509</v>
          </cell>
          <cell r="B169">
            <v>202601306649136</v>
          </cell>
          <cell r="D169" t="str">
            <v>ATO4</v>
          </cell>
          <cell r="E169" t="str">
            <v>C311509</v>
          </cell>
          <cell r="F169">
            <v>46143</v>
          </cell>
          <cell r="G169">
            <v>46507</v>
          </cell>
          <cell r="H169">
            <v>46179</v>
          </cell>
          <cell r="I169">
            <v>46179</v>
          </cell>
          <cell r="K169" t="str">
            <v>004078</v>
          </cell>
          <cell r="L169">
            <v>-198.78</v>
          </cell>
          <cell r="M169">
            <v>-198.78</v>
          </cell>
          <cell r="N169">
            <v>-198.78</v>
          </cell>
          <cell r="O169" t="str">
            <v>indiretto</v>
          </cell>
          <cell r="P169">
            <v>6</v>
          </cell>
          <cell r="Q169" t="str">
            <v>0.916558</v>
          </cell>
          <cell r="R169" t="str">
            <v>0.642623</v>
          </cell>
          <cell r="S169" t="str">
            <v>0.256196</v>
          </cell>
          <cell r="T169" t="str">
            <v>NO</v>
          </cell>
          <cell r="U169" t="str">
            <v>DELIBERAZIONE EGATO 29 19/12/2018</v>
          </cell>
        </row>
        <row r="170">
          <cell r="A170" t="str">
            <v>C337695</v>
          </cell>
          <cell r="B170">
            <v>202601306653008</v>
          </cell>
          <cell r="D170" t="str">
            <v>ATO4</v>
          </cell>
          <cell r="E170" t="str">
            <v>C337695</v>
          </cell>
          <cell r="F170">
            <v>46143</v>
          </cell>
          <cell r="G170">
            <v>46507</v>
          </cell>
          <cell r="H170">
            <v>46179</v>
          </cell>
          <cell r="I170">
            <v>46179</v>
          </cell>
          <cell r="K170" t="str">
            <v>004081</v>
          </cell>
          <cell r="L170">
            <v>-227.69</v>
          </cell>
          <cell r="M170">
            <v>-227.69</v>
          </cell>
          <cell r="N170">
            <v>-227.69</v>
          </cell>
          <cell r="O170" t="str">
            <v>indiretto</v>
          </cell>
          <cell r="P170">
            <v>6</v>
          </cell>
          <cell r="Q170">
            <v>1091278</v>
          </cell>
          <cell r="R170" t="str">
            <v>0.691798</v>
          </cell>
          <cell r="S170" t="str">
            <v>0.296264</v>
          </cell>
          <cell r="T170" t="str">
            <v>NO</v>
          </cell>
          <cell r="U170" t="str">
            <v>DELIBERAZIONE EGATO 2 04/02/2019</v>
          </cell>
        </row>
        <row r="171">
          <cell r="A171" t="str">
            <v>C106550</v>
          </cell>
          <cell r="B171">
            <v>202601306653383</v>
          </cell>
          <cell r="D171" t="str">
            <v>ATO4</v>
          </cell>
          <cell r="E171" t="str">
            <v>C106550</v>
          </cell>
          <cell r="F171">
            <v>46143</v>
          </cell>
          <cell r="G171">
            <v>46507</v>
          </cell>
          <cell r="H171">
            <v>46179</v>
          </cell>
          <cell r="I171">
            <v>46179</v>
          </cell>
          <cell r="K171" t="str">
            <v>004095</v>
          </cell>
          <cell r="L171">
            <v>-89.45</v>
          </cell>
          <cell r="M171">
            <v>-89.45</v>
          </cell>
          <cell r="N171">
            <v>-89.45</v>
          </cell>
          <cell r="O171" t="str">
            <v>indiretto</v>
          </cell>
          <cell r="P171">
            <v>3</v>
          </cell>
          <cell r="Q171" t="str">
            <v>0.824903</v>
          </cell>
          <cell r="R171" t="str">
            <v>0.578360</v>
          </cell>
          <cell r="S171" t="str">
            <v>0.230576</v>
          </cell>
          <cell r="T171" t="str">
            <v>NO</v>
          </cell>
          <cell r="U171" t="str">
            <v>DELIBERAZIONE EGATO 29 19/12/2018</v>
          </cell>
        </row>
        <row r="172">
          <cell r="A172" t="str">
            <v>C320087</v>
          </cell>
          <cell r="B172">
            <v>202601306655616</v>
          </cell>
          <cell r="D172" t="str">
            <v>ATO4</v>
          </cell>
          <cell r="E172" t="str">
            <v>C320087</v>
          </cell>
          <cell r="F172">
            <v>46143</v>
          </cell>
          <cell r="G172">
            <v>46507</v>
          </cell>
          <cell r="H172">
            <v>46179</v>
          </cell>
          <cell r="I172">
            <v>46179</v>
          </cell>
          <cell r="K172" t="str">
            <v>004009</v>
          </cell>
          <cell r="L172">
            <v>-123.1</v>
          </cell>
          <cell r="M172">
            <v>-123.1</v>
          </cell>
          <cell r="N172">
            <v>-123.1</v>
          </cell>
          <cell r="O172" t="str">
            <v>indiretto</v>
          </cell>
          <cell r="P172">
            <v>5</v>
          </cell>
          <cell r="Q172" t="str">
            <v>0.716943</v>
          </cell>
          <cell r="R172" t="str">
            <v>0.463071</v>
          </cell>
          <cell r="S172" t="str">
            <v>0.169064</v>
          </cell>
          <cell r="T172" t="str">
            <v>NO</v>
          </cell>
          <cell r="U172" t="str">
            <v>DELIBERAZIONE EGATO 2 04/02/2019</v>
          </cell>
        </row>
        <row r="173">
          <cell r="A173" t="str">
            <v>C097948</v>
          </cell>
          <cell r="B173">
            <v>202601306667781</v>
          </cell>
          <cell r="D173" t="str">
            <v>ATO4</v>
          </cell>
          <cell r="E173" t="str">
            <v>C097948</v>
          </cell>
          <cell r="F173">
            <v>46143</v>
          </cell>
          <cell r="G173">
            <v>46507</v>
          </cell>
          <cell r="H173">
            <v>46179</v>
          </cell>
          <cell r="I173">
            <v>46179</v>
          </cell>
          <cell r="K173" t="str">
            <v>004180</v>
          </cell>
          <cell r="L173">
            <v>-23.97</v>
          </cell>
          <cell r="M173">
            <v>-23.97</v>
          </cell>
          <cell r="N173">
            <v>-23.97</v>
          </cell>
          <cell r="O173" t="str">
            <v>indiretto</v>
          </cell>
          <cell r="P173">
            <v>1</v>
          </cell>
          <cell r="Q173" t="str">
            <v>0.721337</v>
          </cell>
          <cell r="R173" t="str">
            <v>0.441600</v>
          </cell>
          <cell r="S173" t="str">
            <v>0.150394</v>
          </cell>
          <cell r="T173" t="str">
            <v>NO</v>
          </cell>
          <cell r="U173" t="str">
            <v>DELIBERAZIONE EGATO 2 04/02/2019</v>
          </cell>
        </row>
        <row r="174">
          <cell r="A174" t="str">
            <v>C344122</v>
          </cell>
          <cell r="B174">
            <v>202601306669949</v>
          </cell>
          <cell r="D174" t="str">
            <v>ATO4</v>
          </cell>
          <cell r="E174" t="str">
            <v>C344122</v>
          </cell>
          <cell r="F174">
            <v>46143</v>
          </cell>
          <cell r="G174">
            <v>46507</v>
          </cell>
          <cell r="H174">
            <v>46179</v>
          </cell>
          <cell r="I174">
            <v>46179</v>
          </cell>
          <cell r="K174" t="str">
            <v>004157</v>
          </cell>
          <cell r="L174">
            <v>-132.52000000000001</v>
          </cell>
          <cell r="M174">
            <v>-132.52000000000001</v>
          </cell>
          <cell r="N174">
            <v>-132.52000000000001</v>
          </cell>
          <cell r="O174" t="str">
            <v>indiretto</v>
          </cell>
          <cell r="P174">
            <v>4</v>
          </cell>
          <cell r="Q174" t="str">
            <v>0.916558</v>
          </cell>
          <cell r="R174" t="str">
            <v>0.642623</v>
          </cell>
          <cell r="S174" t="str">
            <v>0.256196</v>
          </cell>
          <cell r="T174" t="str">
            <v>NO</v>
          </cell>
          <cell r="U174" t="str">
            <v>DELIBERAZIONE EGATO 29 19/12/2018</v>
          </cell>
        </row>
        <row r="175">
          <cell r="A175" t="str">
            <v>C344253</v>
          </cell>
          <cell r="B175">
            <v>202601306670025</v>
          </cell>
          <cell r="D175" t="str">
            <v>ATO4</v>
          </cell>
          <cell r="E175" t="str">
            <v>C344253</v>
          </cell>
          <cell r="F175">
            <v>46143</v>
          </cell>
          <cell r="G175">
            <v>46507</v>
          </cell>
          <cell r="H175">
            <v>46179</v>
          </cell>
          <cell r="I175">
            <v>46179</v>
          </cell>
          <cell r="K175" t="str">
            <v>004130</v>
          </cell>
          <cell r="L175">
            <v>-26.26</v>
          </cell>
          <cell r="M175">
            <v>-26.26</v>
          </cell>
          <cell r="N175">
            <v>-26.26</v>
          </cell>
          <cell r="O175" t="str">
            <v>indiretto</v>
          </cell>
          <cell r="P175">
            <v>1</v>
          </cell>
          <cell r="Q175" t="str">
            <v>0.545182</v>
          </cell>
          <cell r="R175" t="str">
            <v>0.611443</v>
          </cell>
          <cell r="S175" t="str">
            <v>0.282207</v>
          </cell>
          <cell r="T175" t="str">
            <v>NO</v>
          </cell>
          <cell r="U175" t="str">
            <v>DELIBERA EGATO N.29 DEL 19/12/2018</v>
          </cell>
        </row>
        <row r="176">
          <cell r="A176" t="str">
            <v>C117744</v>
          </cell>
          <cell r="B176">
            <v>202601306676393</v>
          </cell>
          <cell r="D176" t="str">
            <v>ATO4</v>
          </cell>
          <cell r="E176" t="str">
            <v>C117744</v>
          </cell>
          <cell r="F176">
            <v>46143</v>
          </cell>
          <cell r="G176">
            <v>46507</v>
          </cell>
          <cell r="H176">
            <v>46179</v>
          </cell>
          <cell r="I176">
            <v>46179</v>
          </cell>
          <cell r="K176" t="str">
            <v>004078</v>
          </cell>
          <cell r="L176">
            <v>-231.91</v>
          </cell>
          <cell r="M176">
            <v>-231.91</v>
          </cell>
          <cell r="N176">
            <v>-231.91</v>
          </cell>
          <cell r="O176" t="str">
            <v>indiretto</v>
          </cell>
          <cell r="P176">
            <v>7</v>
          </cell>
          <cell r="Q176" t="str">
            <v>0.916558</v>
          </cell>
          <cell r="R176" t="str">
            <v>0.642623</v>
          </cell>
          <cell r="S176" t="str">
            <v>0.256196</v>
          </cell>
          <cell r="T176" t="str">
            <v>NO</v>
          </cell>
          <cell r="U176" t="str">
            <v>DELIBERAZIONE EGATO 29 19/12/2018</v>
          </cell>
        </row>
        <row r="177">
          <cell r="A177" t="str">
            <v>C344180</v>
          </cell>
          <cell r="B177">
            <v>202601306680807</v>
          </cell>
          <cell r="D177" t="str">
            <v>ATO4</v>
          </cell>
          <cell r="E177" t="str">
            <v>C344180</v>
          </cell>
          <cell r="F177">
            <v>46143</v>
          </cell>
          <cell r="G177">
            <v>46507</v>
          </cell>
          <cell r="H177">
            <v>46179</v>
          </cell>
          <cell r="I177">
            <v>46179</v>
          </cell>
          <cell r="K177" t="str">
            <v>004237</v>
          </cell>
          <cell r="L177">
            <v>-23.97</v>
          </cell>
          <cell r="M177">
            <v>-23.97</v>
          </cell>
          <cell r="N177">
            <v>-23.97</v>
          </cell>
          <cell r="O177" t="str">
            <v>indiretto</v>
          </cell>
          <cell r="P177">
            <v>1</v>
          </cell>
          <cell r="Q177" t="str">
            <v>0.721337</v>
          </cell>
          <cell r="R177" t="str">
            <v>0.441600</v>
          </cell>
          <cell r="S177" t="str">
            <v>0.150394</v>
          </cell>
          <cell r="T177" t="str">
            <v>NO</v>
          </cell>
          <cell r="U177" t="str">
            <v>DELIBERAZIONE EGATO 2 04/02/2019</v>
          </cell>
        </row>
        <row r="178">
          <cell r="A178" t="str">
            <v>C342903</v>
          </cell>
          <cell r="B178">
            <v>202601306681622</v>
          </cell>
          <cell r="D178" t="str">
            <v>ATO4</v>
          </cell>
          <cell r="E178" t="str">
            <v>C342903</v>
          </cell>
          <cell r="F178">
            <v>46143</v>
          </cell>
          <cell r="G178">
            <v>46507</v>
          </cell>
          <cell r="H178">
            <v>46179</v>
          </cell>
          <cell r="I178">
            <v>46179</v>
          </cell>
          <cell r="K178" t="str">
            <v>004075</v>
          </cell>
          <cell r="L178">
            <v>-161.85</v>
          </cell>
          <cell r="M178">
            <v>-161.85</v>
          </cell>
          <cell r="N178">
            <v>-161.85</v>
          </cell>
          <cell r="O178" t="str">
            <v>indiretto</v>
          </cell>
          <cell r="P178">
            <v>5</v>
          </cell>
          <cell r="Q178" t="str">
            <v>0.874880</v>
          </cell>
          <cell r="R178" t="str">
            <v>0.642623</v>
          </cell>
          <cell r="S178" t="str">
            <v>0.256196</v>
          </cell>
          <cell r="T178" t="str">
            <v>NO</v>
          </cell>
          <cell r="U178" t="str">
            <v>DELIBERAZIONE EGATO 11 27/03/2019</v>
          </cell>
        </row>
        <row r="179">
          <cell r="A179" t="str">
            <v>C344107</v>
          </cell>
          <cell r="B179">
            <v>202601306683653</v>
          </cell>
          <cell r="D179" t="str">
            <v>ATO4</v>
          </cell>
          <cell r="E179" t="str">
            <v>C344107</v>
          </cell>
          <cell r="F179">
            <v>46143</v>
          </cell>
          <cell r="G179">
            <v>46507</v>
          </cell>
          <cell r="H179">
            <v>46179</v>
          </cell>
          <cell r="I179">
            <v>46179</v>
          </cell>
          <cell r="K179" t="str">
            <v>004078</v>
          </cell>
          <cell r="L179">
            <v>-33.130000000000003</v>
          </cell>
          <cell r="M179">
            <v>-33.130000000000003</v>
          </cell>
          <cell r="N179">
            <v>-33.130000000000003</v>
          </cell>
          <cell r="O179" t="str">
            <v>indiretto</v>
          </cell>
          <cell r="P179">
            <v>1</v>
          </cell>
          <cell r="Q179" t="str">
            <v>0.916558</v>
          </cell>
          <cell r="R179" t="str">
            <v>0.642623</v>
          </cell>
          <cell r="S179" t="str">
            <v>0.256196</v>
          </cell>
          <cell r="T179" t="str">
            <v>NO</v>
          </cell>
          <cell r="U179" t="str">
            <v>DELIBERAZIONE EGATO 29 19/12/2018</v>
          </cell>
        </row>
        <row r="180">
          <cell r="A180" t="str">
            <v>C340449</v>
          </cell>
          <cell r="B180">
            <v>202601306700140</v>
          </cell>
          <cell r="D180" t="str">
            <v>ATO4</v>
          </cell>
          <cell r="E180" t="str">
            <v>C340449</v>
          </cell>
          <cell r="F180">
            <v>46143</v>
          </cell>
          <cell r="G180">
            <v>46507</v>
          </cell>
          <cell r="H180">
            <v>46179</v>
          </cell>
          <cell r="I180">
            <v>46179</v>
          </cell>
          <cell r="K180" t="str">
            <v>004028</v>
          </cell>
          <cell r="L180">
            <v>-132.52000000000001</v>
          </cell>
          <cell r="M180">
            <v>-132.52000000000001</v>
          </cell>
          <cell r="N180">
            <v>-132.52000000000001</v>
          </cell>
          <cell r="O180" t="str">
            <v>indiretto</v>
          </cell>
          <cell r="P180">
            <v>4</v>
          </cell>
          <cell r="Q180" t="str">
            <v>0.916558</v>
          </cell>
          <cell r="R180" t="str">
            <v>0.642623</v>
          </cell>
          <cell r="S180" t="str">
            <v>0.256196</v>
          </cell>
          <cell r="T180" t="str">
            <v>NO</v>
          </cell>
          <cell r="U180" t="str">
            <v>DELIBERAZIONE EGATO 29 19/12/2018</v>
          </cell>
        </row>
        <row r="181">
          <cell r="A181" t="str">
            <v>C344158</v>
          </cell>
          <cell r="B181">
            <v>202601306701815</v>
          </cell>
          <cell r="D181" t="str">
            <v>ATO4</v>
          </cell>
          <cell r="E181" t="str">
            <v>C344158</v>
          </cell>
          <cell r="F181">
            <v>46143</v>
          </cell>
          <cell r="G181">
            <v>46507</v>
          </cell>
          <cell r="H181">
            <v>46179</v>
          </cell>
          <cell r="I181">
            <v>46179</v>
          </cell>
          <cell r="K181" t="str">
            <v>004078</v>
          </cell>
          <cell r="L181">
            <v>-66.260000000000005</v>
          </cell>
          <cell r="M181">
            <v>-66.260000000000005</v>
          </cell>
          <cell r="N181">
            <v>-66.260000000000005</v>
          </cell>
          <cell r="O181" t="str">
            <v>indiretto</v>
          </cell>
          <cell r="P181">
            <v>2</v>
          </cell>
          <cell r="Q181" t="str">
            <v>0.916558</v>
          </cell>
          <cell r="R181" t="str">
            <v>0.642623</v>
          </cell>
          <cell r="S181" t="str">
            <v>0.256196</v>
          </cell>
          <cell r="T181" t="str">
            <v>NO</v>
          </cell>
          <cell r="U181" t="str">
            <v>DELIBERAZIONE EGATO 29 19/12/2018</v>
          </cell>
        </row>
        <row r="182">
          <cell r="A182" t="str">
            <v>C344120</v>
          </cell>
          <cell r="B182">
            <v>202601306703078</v>
          </cell>
          <cell r="D182" t="str">
            <v>ATO4</v>
          </cell>
          <cell r="E182" t="str">
            <v>C344120</v>
          </cell>
          <cell r="F182">
            <v>46143</v>
          </cell>
          <cell r="G182">
            <v>46507</v>
          </cell>
          <cell r="H182">
            <v>46179</v>
          </cell>
          <cell r="I182">
            <v>46179</v>
          </cell>
          <cell r="K182" t="str">
            <v>004130</v>
          </cell>
          <cell r="L182">
            <v>-26.26</v>
          </cell>
          <cell r="M182">
            <v>-26.26</v>
          </cell>
          <cell r="N182">
            <v>-26.26</v>
          </cell>
          <cell r="O182" t="str">
            <v>indiretto</v>
          </cell>
          <cell r="P182">
            <v>1</v>
          </cell>
          <cell r="Q182" t="str">
            <v>0.545182</v>
          </cell>
          <cell r="R182" t="str">
            <v>0.611443</v>
          </cell>
          <cell r="S182" t="str">
            <v>0.282207</v>
          </cell>
          <cell r="T182" t="str">
            <v>NO</v>
          </cell>
          <cell r="U182" t="str">
            <v>DELIBERA EGATO N.29 DEL 19/12/2018</v>
          </cell>
        </row>
        <row r="183">
          <cell r="A183" t="str">
            <v>C337553</v>
          </cell>
          <cell r="B183">
            <v>202601306712111</v>
          </cell>
          <cell r="D183" t="str">
            <v>ATO4</v>
          </cell>
          <cell r="E183" t="str">
            <v>C337553</v>
          </cell>
          <cell r="F183">
            <v>46143</v>
          </cell>
          <cell r="G183">
            <v>46507</v>
          </cell>
          <cell r="H183">
            <v>46179</v>
          </cell>
          <cell r="I183">
            <v>46179</v>
          </cell>
          <cell r="K183" t="str">
            <v>004034</v>
          </cell>
          <cell r="L183">
            <v>-198.78</v>
          </cell>
          <cell r="M183">
            <v>-198.78</v>
          </cell>
          <cell r="N183">
            <v>-198.78</v>
          </cell>
          <cell r="O183" t="str">
            <v>indiretto</v>
          </cell>
          <cell r="P183">
            <v>6</v>
          </cell>
          <cell r="Q183" t="str">
            <v>0.916558</v>
          </cell>
          <cell r="R183" t="str">
            <v>0.642623</v>
          </cell>
          <cell r="S183" t="str">
            <v>0.256196</v>
          </cell>
          <cell r="T183" t="str">
            <v>NO</v>
          </cell>
          <cell r="U183" t="str">
            <v>DELIBERAZIONE EGATO 29 19/12/2018</v>
          </cell>
        </row>
        <row r="184">
          <cell r="A184" t="str">
            <v>C344309</v>
          </cell>
          <cell r="B184">
            <v>202601306712989</v>
          </cell>
          <cell r="D184" t="str">
            <v>ATO4</v>
          </cell>
          <cell r="E184" t="str">
            <v>C344309</v>
          </cell>
          <cell r="F184">
            <v>46143</v>
          </cell>
          <cell r="G184">
            <v>46507</v>
          </cell>
          <cell r="H184">
            <v>46179</v>
          </cell>
          <cell r="I184">
            <v>46179</v>
          </cell>
          <cell r="K184" t="str">
            <v>004185</v>
          </cell>
          <cell r="L184">
            <v>-33.130000000000003</v>
          </cell>
          <cell r="M184">
            <v>-33.130000000000003</v>
          </cell>
          <cell r="N184">
            <v>-33.130000000000003</v>
          </cell>
          <cell r="O184" t="str">
            <v>indiretto</v>
          </cell>
          <cell r="P184">
            <v>1</v>
          </cell>
          <cell r="Q184" t="str">
            <v>0.916558</v>
          </cell>
          <cell r="R184" t="str">
            <v>0.642623</v>
          </cell>
          <cell r="S184" t="str">
            <v>0.256196</v>
          </cell>
          <cell r="T184" t="str">
            <v>NO</v>
          </cell>
          <cell r="U184" t="str">
            <v>DELIBERAZIONE EGATO 29 19/12/2018</v>
          </cell>
        </row>
        <row r="185">
          <cell r="A185" t="str">
            <v>C313553</v>
          </cell>
          <cell r="B185">
            <v>202601306714973</v>
          </cell>
          <cell r="D185" t="str">
            <v>ATO4</v>
          </cell>
          <cell r="E185" t="str">
            <v>C313553</v>
          </cell>
          <cell r="F185">
            <v>46143</v>
          </cell>
          <cell r="G185">
            <v>46507</v>
          </cell>
          <cell r="H185">
            <v>46179</v>
          </cell>
          <cell r="I185">
            <v>46179</v>
          </cell>
          <cell r="K185" t="str">
            <v>004043</v>
          </cell>
          <cell r="L185">
            <v>-154.63999999999999</v>
          </cell>
          <cell r="M185">
            <v>-154.63999999999999</v>
          </cell>
          <cell r="N185">
            <v>-154.63999999999999</v>
          </cell>
          <cell r="O185" t="str">
            <v>indiretto</v>
          </cell>
          <cell r="P185">
            <v>4</v>
          </cell>
          <cell r="Q185">
            <v>1091278</v>
          </cell>
          <cell r="R185" t="str">
            <v>0.730790</v>
          </cell>
          <cell r="S185" t="str">
            <v>0.296264</v>
          </cell>
          <cell r="T185" t="str">
            <v>NO</v>
          </cell>
          <cell r="U185" t="str">
            <v>DELIBERAZIONE EGATO 2 04/02/2019</v>
          </cell>
        </row>
        <row r="186">
          <cell r="A186" t="str">
            <v>C316556</v>
          </cell>
          <cell r="B186">
            <v>202601306722820</v>
          </cell>
          <cell r="D186" t="str">
            <v>ATO4</v>
          </cell>
          <cell r="E186" t="str">
            <v>C316556</v>
          </cell>
          <cell r="F186">
            <v>46143</v>
          </cell>
          <cell r="G186">
            <v>46507</v>
          </cell>
          <cell r="H186">
            <v>46179</v>
          </cell>
          <cell r="I186">
            <v>46179</v>
          </cell>
          <cell r="K186" t="str">
            <v>004034</v>
          </cell>
          <cell r="L186">
            <v>-66.260000000000005</v>
          </cell>
          <cell r="M186">
            <v>-66.260000000000005</v>
          </cell>
          <cell r="N186">
            <v>-66.260000000000005</v>
          </cell>
          <cell r="O186" t="str">
            <v>indiretto</v>
          </cell>
          <cell r="P186">
            <v>2</v>
          </cell>
          <cell r="Q186" t="str">
            <v>0.916558</v>
          </cell>
          <cell r="R186" t="str">
            <v>0.642623</v>
          </cell>
          <cell r="S186" t="str">
            <v>0.256196</v>
          </cell>
          <cell r="T186" t="str">
            <v>NO</v>
          </cell>
          <cell r="U186" t="str">
            <v>DELIBERAZIONE EGATO 29 19/12/2018</v>
          </cell>
        </row>
        <row r="187">
          <cell r="A187" t="str">
            <v>C313419</v>
          </cell>
          <cell r="B187">
            <v>202601306723430</v>
          </cell>
          <cell r="D187" t="str">
            <v>ATO4</v>
          </cell>
          <cell r="E187" t="str">
            <v>C313419</v>
          </cell>
          <cell r="F187">
            <v>46143</v>
          </cell>
          <cell r="G187">
            <v>46507</v>
          </cell>
          <cell r="H187">
            <v>46179</v>
          </cell>
          <cell r="I187">
            <v>46179</v>
          </cell>
          <cell r="K187" t="str">
            <v>004078</v>
          </cell>
          <cell r="L187">
            <v>-66.260000000000005</v>
          </cell>
          <cell r="M187">
            <v>-66.260000000000005</v>
          </cell>
          <cell r="N187">
            <v>-66.260000000000005</v>
          </cell>
          <cell r="O187" t="str">
            <v>indiretto</v>
          </cell>
          <cell r="P187">
            <v>2</v>
          </cell>
          <cell r="Q187" t="str">
            <v>0.916558</v>
          </cell>
          <cell r="R187" t="str">
            <v>0.642623</v>
          </cell>
          <cell r="S187" t="str">
            <v>0.256196</v>
          </cell>
          <cell r="T187" t="str">
            <v>NO</v>
          </cell>
          <cell r="U187" t="str">
            <v>DELIBERAZIONE EGATO 29 19/12/2018</v>
          </cell>
        </row>
        <row r="188">
          <cell r="A188" t="str">
            <v>C344217</v>
          </cell>
          <cell r="B188">
            <v>202601306725753</v>
          </cell>
          <cell r="D188" t="str">
            <v>ATO4</v>
          </cell>
          <cell r="E188" t="str">
            <v>C344217</v>
          </cell>
          <cell r="F188">
            <v>46143</v>
          </cell>
          <cell r="G188">
            <v>46507</v>
          </cell>
          <cell r="H188">
            <v>46179</v>
          </cell>
          <cell r="I188">
            <v>46179</v>
          </cell>
          <cell r="K188" t="str">
            <v>004130</v>
          </cell>
          <cell r="L188">
            <v>-131.29</v>
          </cell>
          <cell r="M188">
            <v>-131.29</v>
          </cell>
          <cell r="N188">
            <v>-131.29</v>
          </cell>
          <cell r="O188" t="str">
            <v>indiretto</v>
          </cell>
          <cell r="P188">
            <v>5</v>
          </cell>
          <cell r="Q188" t="str">
            <v>0.545182</v>
          </cell>
          <cell r="R188" t="str">
            <v>0.611443</v>
          </cell>
          <cell r="S188" t="str">
            <v>0.282207</v>
          </cell>
          <cell r="T188" t="str">
            <v>NO</v>
          </cell>
          <cell r="U188" t="str">
            <v>DELIBERA EGATO N.29 DEL 19/12/2018</v>
          </cell>
        </row>
        <row r="189">
          <cell r="A189" t="str">
            <v>C344250</v>
          </cell>
          <cell r="B189">
            <v>202601306725834</v>
          </cell>
          <cell r="D189" t="str">
            <v>ATO4</v>
          </cell>
          <cell r="E189" t="str">
            <v>C344250</v>
          </cell>
          <cell r="F189">
            <v>46143</v>
          </cell>
          <cell r="G189">
            <v>46507</v>
          </cell>
          <cell r="H189">
            <v>46179</v>
          </cell>
          <cell r="I189">
            <v>46179</v>
          </cell>
          <cell r="K189" t="str">
            <v>004078</v>
          </cell>
          <cell r="L189">
            <v>-33.130000000000003</v>
          </cell>
          <cell r="M189">
            <v>-33.130000000000003</v>
          </cell>
          <cell r="N189">
            <v>-33.130000000000003</v>
          </cell>
          <cell r="O189" t="str">
            <v>indiretto</v>
          </cell>
          <cell r="P189">
            <v>1</v>
          </cell>
          <cell r="Q189" t="str">
            <v>0.916558</v>
          </cell>
          <cell r="R189" t="str">
            <v>0.642623</v>
          </cell>
          <cell r="S189" t="str">
            <v>0.256196</v>
          </cell>
          <cell r="T189" t="str">
            <v>NO</v>
          </cell>
          <cell r="U189" t="str">
            <v>DELIBERAZIONE EGATO 29 19/12/2018</v>
          </cell>
        </row>
        <row r="190">
          <cell r="A190" t="str">
            <v>C090909</v>
          </cell>
          <cell r="B190">
            <v>202601306728897</v>
          </cell>
          <cell r="D190" t="str">
            <v>ATO4</v>
          </cell>
          <cell r="E190" t="str">
            <v>C090909</v>
          </cell>
          <cell r="F190">
            <v>46143</v>
          </cell>
          <cell r="G190">
            <v>46507</v>
          </cell>
          <cell r="H190">
            <v>46179</v>
          </cell>
          <cell r="I190">
            <v>46179</v>
          </cell>
          <cell r="K190" t="str">
            <v>004239</v>
          </cell>
          <cell r="L190">
            <v>-178.91</v>
          </cell>
          <cell r="M190">
            <v>-178.91</v>
          </cell>
          <cell r="N190">
            <v>-178.91</v>
          </cell>
          <cell r="O190" t="str">
            <v>indiretto</v>
          </cell>
          <cell r="P190">
            <v>6</v>
          </cell>
          <cell r="Q190" t="str">
            <v>0.824903</v>
          </cell>
          <cell r="R190" t="str">
            <v>0.578360</v>
          </cell>
          <cell r="S190" t="str">
            <v>0.230576</v>
          </cell>
          <cell r="T190" t="str">
            <v>NO</v>
          </cell>
          <cell r="U190" t="str">
            <v>DELIBERAZIONE EGATO 29 19/12/2018</v>
          </cell>
        </row>
        <row r="191">
          <cell r="A191" t="str">
            <v>C344179</v>
          </cell>
          <cell r="B191">
            <v>202601306733943</v>
          </cell>
          <cell r="D191" t="str">
            <v>ATO4</v>
          </cell>
          <cell r="E191" t="str">
            <v>C344179</v>
          </cell>
          <cell r="F191">
            <v>46143</v>
          </cell>
          <cell r="G191">
            <v>46507</v>
          </cell>
          <cell r="H191">
            <v>46179</v>
          </cell>
          <cell r="I191">
            <v>46179</v>
          </cell>
          <cell r="K191" t="str">
            <v>004130</v>
          </cell>
          <cell r="L191">
            <v>-26.26</v>
          </cell>
          <cell r="M191">
            <v>-26.26</v>
          </cell>
          <cell r="N191">
            <v>-26.26</v>
          </cell>
          <cell r="O191" t="str">
            <v>indiretto</v>
          </cell>
          <cell r="P191">
            <v>1</v>
          </cell>
          <cell r="Q191" t="str">
            <v>0.545182</v>
          </cell>
          <cell r="R191" t="str">
            <v>0.611443</v>
          </cell>
          <cell r="S191" t="str">
            <v>0.282207</v>
          </cell>
          <cell r="T191" t="str">
            <v>NO</v>
          </cell>
          <cell r="U191" t="str">
            <v>DELIBERA EGATO N.29 DEL 19/12/2018</v>
          </cell>
        </row>
        <row r="192">
          <cell r="A192" t="str">
            <v>C344157</v>
          </cell>
          <cell r="B192">
            <v>202601306749932</v>
          </cell>
          <cell r="D192" t="str">
            <v>ATO4</v>
          </cell>
          <cell r="E192" t="str">
            <v>C344157</v>
          </cell>
          <cell r="F192">
            <v>46143</v>
          </cell>
          <cell r="G192">
            <v>46507</v>
          </cell>
          <cell r="H192">
            <v>46179</v>
          </cell>
          <cell r="I192">
            <v>46179</v>
          </cell>
          <cell r="K192" t="str">
            <v>004130</v>
          </cell>
          <cell r="L192">
            <v>-26.26</v>
          </cell>
          <cell r="M192">
            <v>-26.26</v>
          </cell>
          <cell r="N192">
            <v>-26.26</v>
          </cell>
          <cell r="O192" t="str">
            <v>indiretto</v>
          </cell>
          <cell r="P192">
            <v>1</v>
          </cell>
          <cell r="Q192" t="str">
            <v>0.545182</v>
          </cell>
          <cell r="R192" t="str">
            <v>0.611443</v>
          </cell>
          <cell r="S192" t="str">
            <v>0.282207</v>
          </cell>
          <cell r="T192" t="str">
            <v>NO</v>
          </cell>
          <cell r="U192" t="str">
            <v>DELIBERA EGATO N.29 DEL 19/12/2018</v>
          </cell>
        </row>
        <row r="193">
          <cell r="A193" t="str">
            <v>C320293</v>
          </cell>
          <cell r="B193">
            <v>202601306754581</v>
          </cell>
          <cell r="D193" t="str">
            <v>ATO4</v>
          </cell>
          <cell r="E193" t="str">
            <v>C320293</v>
          </cell>
          <cell r="F193">
            <v>46143</v>
          </cell>
          <cell r="G193">
            <v>46507</v>
          </cell>
          <cell r="H193">
            <v>46179</v>
          </cell>
          <cell r="I193">
            <v>46179</v>
          </cell>
          <cell r="K193" t="str">
            <v>004134</v>
          </cell>
          <cell r="L193">
            <v>-53.01</v>
          </cell>
          <cell r="M193">
            <v>-53.01</v>
          </cell>
          <cell r="N193">
            <v>-53.01</v>
          </cell>
          <cell r="O193" t="str">
            <v>indiretto</v>
          </cell>
          <cell r="P193">
            <v>2</v>
          </cell>
          <cell r="Q193" t="str">
            <v>0.733246</v>
          </cell>
          <cell r="R193" t="str">
            <v>0.514098</v>
          </cell>
          <cell r="S193" t="str">
            <v>0.204957</v>
          </cell>
          <cell r="T193" t="str">
            <v>NO</v>
          </cell>
          <cell r="U193" t="str">
            <v>DELIBERAZIONE EGATO 2 04/02/2019</v>
          </cell>
        </row>
        <row r="194">
          <cell r="A194" t="str">
            <v>C313009</v>
          </cell>
          <cell r="B194">
            <v>202601306754656</v>
          </cell>
          <cell r="D194" t="str">
            <v>ATO4</v>
          </cell>
          <cell r="E194" t="str">
            <v>C313009</v>
          </cell>
          <cell r="F194">
            <v>46143</v>
          </cell>
          <cell r="G194">
            <v>46507</v>
          </cell>
          <cell r="H194">
            <v>46179</v>
          </cell>
          <cell r="I194">
            <v>46179</v>
          </cell>
          <cell r="K194" t="str">
            <v>004043</v>
          </cell>
          <cell r="L194">
            <v>-154.63999999999999</v>
          </cell>
          <cell r="M194">
            <v>-154.63999999999999</v>
          </cell>
          <cell r="N194">
            <v>-154.63999999999999</v>
          </cell>
          <cell r="O194" t="str">
            <v>indiretto</v>
          </cell>
          <cell r="P194">
            <v>4</v>
          </cell>
          <cell r="Q194">
            <v>1091278</v>
          </cell>
          <cell r="R194" t="str">
            <v>0.730790</v>
          </cell>
          <cell r="S194" t="str">
            <v>0.296264</v>
          </cell>
          <cell r="T194" t="str">
            <v>NO</v>
          </cell>
          <cell r="U194" t="str">
            <v>DELIBERAZIONE EGATO 2 04/02/2019</v>
          </cell>
        </row>
        <row r="195">
          <cell r="A195" t="str">
            <v>C344249</v>
          </cell>
          <cell r="B195">
            <v>202601306755184</v>
          </cell>
          <cell r="D195" t="str">
            <v>ATO4</v>
          </cell>
          <cell r="E195" t="str">
            <v>C344249</v>
          </cell>
          <cell r="F195">
            <v>46143</v>
          </cell>
          <cell r="G195">
            <v>46507</v>
          </cell>
          <cell r="H195">
            <v>46179</v>
          </cell>
          <cell r="I195">
            <v>46179</v>
          </cell>
          <cell r="K195" t="str">
            <v>004025</v>
          </cell>
          <cell r="L195">
            <v>-66.260000000000005</v>
          </cell>
          <cell r="M195">
            <v>-66.260000000000005</v>
          </cell>
          <cell r="N195">
            <v>-66.260000000000005</v>
          </cell>
          <cell r="O195" t="str">
            <v>indiretto</v>
          </cell>
          <cell r="P195">
            <v>2</v>
          </cell>
          <cell r="Q195" t="str">
            <v>0.916558</v>
          </cell>
          <cell r="R195" t="str">
            <v>0.642623</v>
          </cell>
          <cell r="S195" t="str">
            <v>0.256196</v>
          </cell>
          <cell r="T195" t="str">
            <v>NO</v>
          </cell>
          <cell r="U195" t="str">
            <v>DELIBERAZIONE EGATO 29 19/12/2018</v>
          </cell>
        </row>
        <row r="196">
          <cell r="A196" t="str">
            <v>C121014</v>
          </cell>
          <cell r="B196">
            <v>202601306756417</v>
          </cell>
          <cell r="D196" t="str">
            <v>ATO4</v>
          </cell>
          <cell r="E196" t="str">
            <v>C121014</v>
          </cell>
          <cell r="F196">
            <v>46143</v>
          </cell>
          <cell r="G196">
            <v>46507</v>
          </cell>
          <cell r="H196">
            <v>46179</v>
          </cell>
          <cell r="I196">
            <v>46179</v>
          </cell>
          <cell r="K196" t="str">
            <v>004078</v>
          </cell>
          <cell r="L196">
            <v>-198.78</v>
          </cell>
          <cell r="M196">
            <v>-198.78</v>
          </cell>
          <cell r="N196">
            <v>-198.78</v>
          </cell>
          <cell r="O196" t="str">
            <v>indiretto</v>
          </cell>
          <cell r="P196">
            <v>6</v>
          </cell>
          <cell r="Q196" t="str">
            <v>0.916558</v>
          </cell>
          <cell r="R196" t="str">
            <v>0.642623</v>
          </cell>
          <cell r="S196" t="str">
            <v>0.256196</v>
          </cell>
          <cell r="T196" t="str">
            <v>NO</v>
          </cell>
          <cell r="U196" t="str">
            <v>DELIBERAZIONE EGATO 29 19/12/2018</v>
          </cell>
        </row>
        <row r="197">
          <cell r="A197" t="str">
            <v>C342277</v>
          </cell>
          <cell r="B197">
            <v>202601306756824</v>
          </cell>
          <cell r="D197" t="str">
            <v>ATO4</v>
          </cell>
          <cell r="E197" t="str">
            <v>C342277</v>
          </cell>
          <cell r="F197">
            <v>46143</v>
          </cell>
          <cell r="G197">
            <v>46507</v>
          </cell>
          <cell r="H197">
            <v>46179</v>
          </cell>
          <cell r="I197">
            <v>46179</v>
          </cell>
          <cell r="K197" t="str">
            <v>004130</v>
          </cell>
          <cell r="L197">
            <v>-105.03</v>
          </cell>
          <cell r="M197">
            <v>-105.03</v>
          </cell>
          <cell r="N197">
            <v>-105.03</v>
          </cell>
          <cell r="O197" t="str">
            <v>indiretto</v>
          </cell>
          <cell r="P197">
            <v>4</v>
          </cell>
          <cell r="Q197" t="str">
            <v>0.545182</v>
          </cell>
          <cell r="R197" t="str">
            <v>0.611443</v>
          </cell>
          <cell r="S197" t="str">
            <v>0.282207</v>
          </cell>
          <cell r="T197" t="str">
            <v>NO</v>
          </cell>
          <cell r="U197" t="str">
            <v>DELIBERA EGATO N.29 DEL 19/12/2018</v>
          </cell>
        </row>
        <row r="198">
          <cell r="A198" t="str">
            <v>C344308</v>
          </cell>
          <cell r="B198">
            <v>202601306762754</v>
          </cell>
          <cell r="D198" t="str">
            <v>ATO4</v>
          </cell>
          <cell r="E198" t="str">
            <v>C344308</v>
          </cell>
          <cell r="F198">
            <v>46143</v>
          </cell>
          <cell r="G198">
            <v>46507</v>
          </cell>
          <cell r="H198">
            <v>46179</v>
          </cell>
          <cell r="I198">
            <v>46179</v>
          </cell>
          <cell r="K198" t="str">
            <v>004130</v>
          </cell>
          <cell r="L198">
            <v>-131.29</v>
          </cell>
          <cell r="M198">
            <v>-131.29</v>
          </cell>
          <cell r="N198">
            <v>-131.29</v>
          </cell>
          <cell r="O198" t="str">
            <v>indiretto</v>
          </cell>
          <cell r="P198">
            <v>5</v>
          </cell>
          <cell r="Q198" t="str">
            <v>0.545182</v>
          </cell>
          <cell r="R198" t="str">
            <v>0.611443</v>
          </cell>
          <cell r="S198" t="str">
            <v>0.282207</v>
          </cell>
          <cell r="T198" t="str">
            <v>NO</v>
          </cell>
          <cell r="U198" t="str">
            <v>DELIBERA EGATO N.29 DEL 19/12/2018</v>
          </cell>
        </row>
        <row r="199">
          <cell r="A199" t="str">
            <v>C309987</v>
          </cell>
          <cell r="B199">
            <v>202601306763052</v>
          </cell>
          <cell r="D199" t="str">
            <v>ATO4</v>
          </cell>
          <cell r="E199" t="str">
            <v>C309987</v>
          </cell>
          <cell r="F199">
            <v>46143</v>
          </cell>
          <cell r="G199">
            <v>46507</v>
          </cell>
          <cell r="H199">
            <v>46179</v>
          </cell>
          <cell r="I199">
            <v>46179</v>
          </cell>
          <cell r="K199" t="str">
            <v>004171</v>
          </cell>
          <cell r="L199">
            <v>-54.48</v>
          </cell>
          <cell r="M199">
            <v>-54.48</v>
          </cell>
          <cell r="N199">
            <v>-54.48</v>
          </cell>
          <cell r="O199" t="str">
            <v>indiretto</v>
          </cell>
          <cell r="P199">
            <v>3</v>
          </cell>
          <cell r="Q199" t="str">
            <v>0.483220</v>
          </cell>
          <cell r="R199" t="str">
            <v>0.350215</v>
          </cell>
          <cell r="S199" t="str">
            <v>0.161638</v>
          </cell>
          <cell r="T199" t="str">
            <v>NO</v>
          </cell>
          <cell r="U199" t="str">
            <v>DELIBERAZIONE EGATO 23 16/11/2020</v>
          </cell>
        </row>
        <row r="200">
          <cell r="A200" t="str">
            <v>C319981</v>
          </cell>
          <cell r="B200">
            <v>202601306763088</v>
          </cell>
          <cell r="D200" t="str">
            <v>ATO4</v>
          </cell>
          <cell r="E200" t="str">
            <v>C319981</v>
          </cell>
          <cell r="F200">
            <v>46143</v>
          </cell>
          <cell r="G200">
            <v>46507</v>
          </cell>
          <cell r="H200">
            <v>46179</v>
          </cell>
          <cell r="I200">
            <v>46179</v>
          </cell>
          <cell r="K200" t="str">
            <v>004034</v>
          </cell>
          <cell r="L200">
            <v>-33.130000000000003</v>
          </cell>
          <cell r="M200">
            <v>-33.130000000000003</v>
          </cell>
          <cell r="N200">
            <v>-33.130000000000003</v>
          </cell>
          <cell r="O200" t="str">
            <v>indiretto</v>
          </cell>
          <cell r="P200">
            <v>1</v>
          </cell>
          <cell r="Q200" t="str">
            <v>0.916558</v>
          </cell>
          <cell r="R200" t="str">
            <v>0.642623</v>
          </cell>
          <cell r="S200" t="str">
            <v>0.256196</v>
          </cell>
          <cell r="T200" t="str">
            <v>NO</v>
          </cell>
          <cell r="U200" t="str">
            <v>DELIBERAZIONE EGATO 29 19/12/2018</v>
          </cell>
        </row>
        <row r="201">
          <cell r="A201" t="str">
            <v>C344197</v>
          </cell>
          <cell r="B201">
            <v>202601306763110</v>
          </cell>
          <cell r="D201" t="str">
            <v>ATO4</v>
          </cell>
          <cell r="E201" t="str">
            <v>C344197</v>
          </cell>
          <cell r="F201">
            <v>46143</v>
          </cell>
          <cell r="G201">
            <v>46507</v>
          </cell>
          <cell r="H201">
            <v>46179</v>
          </cell>
          <cell r="I201">
            <v>46179</v>
          </cell>
          <cell r="K201" t="str">
            <v>004014</v>
          </cell>
          <cell r="L201">
            <v>-231.96</v>
          </cell>
          <cell r="M201">
            <v>-231.96</v>
          </cell>
          <cell r="N201">
            <v>-231.96</v>
          </cell>
          <cell r="O201" t="str">
            <v>indiretto</v>
          </cell>
          <cell r="P201">
            <v>6</v>
          </cell>
          <cell r="Q201">
            <v>1091278</v>
          </cell>
          <cell r="R201" t="str">
            <v>0.730790</v>
          </cell>
          <cell r="S201" t="str">
            <v>0.296264</v>
          </cell>
          <cell r="T201" t="str">
            <v>NO</v>
          </cell>
          <cell r="U201" t="str">
            <v>DELIBERAZIONE EGATO 2 04/02/2019</v>
          </cell>
        </row>
        <row r="202">
          <cell r="A202" t="str">
            <v>C311536</v>
          </cell>
          <cell r="B202">
            <v>202601306770214</v>
          </cell>
          <cell r="D202" t="str">
            <v>ATO4</v>
          </cell>
          <cell r="E202" t="str">
            <v>C311536</v>
          </cell>
          <cell r="F202">
            <v>46143</v>
          </cell>
          <cell r="G202">
            <v>46507</v>
          </cell>
          <cell r="H202">
            <v>46179</v>
          </cell>
          <cell r="I202">
            <v>46179</v>
          </cell>
          <cell r="K202" t="str">
            <v>004025</v>
          </cell>
          <cell r="L202">
            <v>-33.130000000000003</v>
          </cell>
          <cell r="M202">
            <v>-33.130000000000003</v>
          </cell>
          <cell r="N202">
            <v>-33.130000000000003</v>
          </cell>
          <cell r="O202" t="str">
            <v>indiretto</v>
          </cell>
          <cell r="P202">
            <v>1</v>
          </cell>
          <cell r="Q202" t="str">
            <v>0.916558</v>
          </cell>
          <cell r="R202" t="str">
            <v>0.642623</v>
          </cell>
          <cell r="S202" t="str">
            <v>0.256196</v>
          </cell>
          <cell r="T202" t="str">
            <v>NO</v>
          </cell>
          <cell r="U202" t="str">
            <v>DELIBERAZIONE EGATO 29 19/12/2018</v>
          </cell>
        </row>
        <row r="203">
          <cell r="A203" t="str">
            <v>C344347</v>
          </cell>
          <cell r="B203">
            <v>202601306772014</v>
          </cell>
          <cell r="D203" t="str">
            <v>ATO4</v>
          </cell>
          <cell r="E203" t="str">
            <v>C344347</v>
          </cell>
          <cell r="F203">
            <v>46143</v>
          </cell>
          <cell r="G203">
            <v>46507</v>
          </cell>
          <cell r="H203">
            <v>46179</v>
          </cell>
          <cell r="I203">
            <v>46179</v>
          </cell>
          <cell r="K203" t="str">
            <v>004213</v>
          </cell>
          <cell r="L203">
            <v>-59.86</v>
          </cell>
          <cell r="M203">
            <v>-59.86</v>
          </cell>
          <cell r="N203">
            <v>-59.86</v>
          </cell>
          <cell r="O203" t="str">
            <v>indiretto</v>
          </cell>
          <cell r="P203">
            <v>2</v>
          </cell>
          <cell r="Q203" t="str">
            <v>0.633304</v>
          </cell>
          <cell r="R203" t="str">
            <v>0.746975</v>
          </cell>
          <cell r="S203" t="str">
            <v>0.259818</v>
          </cell>
          <cell r="T203" t="str">
            <v>NO</v>
          </cell>
          <cell r="U203" t="str">
            <v>DELIBERA EGATO 12 22/04/21</v>
          </cell>
        </row>
        <row r="204">
          <cell r="A204" t="str">
            <v>C344224</v>
          </cell>
          <cell r="B204">
            <v>202601306777816</v>
          </cell>
          <cell r="D204" t="str">
            <v>ATO4</v>
          </cell>
          <cell r="E204" t="str">
            <v>C344224</v>
          </cell>
          <cell r="F204">
            <v>46143</v>
          </cell>
          <cell r="G204">
            <v>46507</v>
          </cell>
          <cell r="H204">
            <v>46179</v>
          </cell>
          <cell r="I204">
            <v>46179</v>
          </cell>
          <cell r="K204" t="str">
            <v>004008</v>
          </cell>
          <cell r="L204">
            <v>-99.39</v>
          </cell>
          <cell r="M204">
            <v>-99.39</v>
          </cell>
          <cell r="N204">
            <v>-99.39</v>
          </cell>
          <cell r="O204" t="str">
            <v>indiretto</v>
          </cell>
          <cell r="P204">
            <v>3</v>
          </cell>
          <cell r="Q204" t="str">
            <v>0.916558</v>
          </cell>
          <cell r="R204" t="str">
            <v>0.642623</v>
          </cell>
          <cell r="S204" t="str">
            <v>0.256196</v>
          </cell>
          <cell r="T204" t="str">
            <v>NO</v>
          </cell>
          <cell r="U204" t="str">
            <v>DELIBERAZIONE EGATO 29 19/12/2018</v>
          </cell>
        </row>
        <row r="205">
          <cell r="A205" t="str">
            <v>C344104</v>
          </cell>
          <cell r="B205">
            <v>202601306793846</v>
          </cell>
          <cell r="D205" t="str">
            <v>ATO4</v>
          </cell>
          <cell r="E205" t="str">
            <v>C344104</v>
          </cell>
          <cell r="F205">
            <v>46143</v>
          </cell>
          <cell r="G205">
            <v>46507</v>
          </cell>
          <cell r="H205">
            <v>46179</v>
          </cell>
          <cell r="I205">
            <v>46179</v>
          </cell>
          <cell r="K205" t="str">
            <v>004130</v>
          </cell>
          <cell r="L205">
            <v>-52.52</v>
          </cell>
          <cell r="M205">
            <v>-52.52</v>
          </cell>
          <cell r="N205">
            <v>-52.52</v>
          </cell>
          <cell r="O205" t="str">
            <v>indiretto</v>
          </cell>
          <cell r="P205">
            <v>2</v>
          </cell>
          <cell r="Q205" t="str">
            <v>0.545182</v>
          </cell>
          <cell r="R205" t="str">
            <v>0.611443</v>
          </cell>
          <cell r="S205" t="str">
            <v>0.282207</v>
          </cell>
          <cell r="T205" t="str">
            <v>NO</v>
          </cell>
          <cell r="U205" t="str">
            <v>DELIBERA EGATO N.29 DEL 19/12/2018</v>
          </cell>
        </row>
        <row r="206">
          <cell r="A206" t="str">
            <v>C307157</v>
          </cell>
          <cell r="B206">
            <v>202601306798088</v>
          </cell>
          <cell r="D206" t="str">
            <v>ATO4</v>
          </cell>
          <cell r="E206" t="str">
            <v>C307157</v>
          </cell>
          <cell r="F206">
            <v>46143</v>
          </cell>
          <cell r="G206">
            <v>46507</v>
          </cell>
          <cell r="H206">
            <v>46179</v>
          </cell>
          <cell r="I206">
            <v>46179</v>
          </cell>
          <cell r="K206" t="str">
            <v>004180</v>
          </cell>
          <cell r="L206">
            <v>-71.900000000000006</v>
          </cell>
          <cell r="M206">
            <v>-71.900000000000006</v>
          </cell>
          <cell r="N206">
            <v>-71.900000000000006</v>
          </cell>
          <cell r="O206" t="str">
            <v>indiretto</v>
          </cell>
          <cell r="P206">
            <v>3</v>
          </cell>
          <cell r="Q206" t="str">
            <v>0.721337</v>
          </cell>
          <cell r="R206" t="str">
            <v>0.441600</v>
          </cell>
          <cell r="S206" t="str">
            <v>0.150394</v>
          </cell>
          <cell r="T206" t="str">
            <v>NO</v>
          </cell>
          <cell r="U206" t="str">
            <v>DELIBERAZIONE EGATO 2 04/02/2019</v>
          </cell>
        </row>
        <row r="207">
          <cell r="A207" t="str">
            <v>C315995</v>
          </cell>
          <cell r="B207">
            <v>202601306803281</v>
          </cell>
          <cell r="D207" t="str">
            <v>ATO4</v>
          </cell>
          <cell r="E207" t="str">
            <v>C315995</v>
          </cell>
          <cell r="F207">
            <v>46143</v>
          </cell>
          <cell r="G207">
            <v>46507</v>
          </cell>
          <cell r="H207">
            <v>46179</v>
          </cell>
          <cell r="I207">
            <v>46179</v>
          </cell>
          <cell r="K207" t="str">
            <v>004075</v>
          </cell>
          <cell r="L207">
            <v>-64.739999999999995</v>
          </cell>
          <cell r="M207">
            <v>-64.739999999999995</v>
          </cell>
          <cell r="N207">
            <v>-64.739999999999995</v>
          </cell>
          <cell r="O207" t="str">
            <v>indiretto</v>
          </cell>
          <cell r="P207">
            <v>2</v>
          </cell>
          <cell r="Q207" t="str">
            <v>0.874880</v>
          </cell>
          <cell r="R207" t="str">
            <v>0.642623</v>
          </cell>
          <cell r="S207" t="str">
            <v>0.256196</v>
          </cell>
          <cell r="T207" t="str">
            <v>NO</v>
          </cell>
          <cell r="U207" t="str">
            <v>DELIBERAZIONE EGATO 11 27/03/2019</v>
          </cell>
        </row>
        <row r="208">
          <cell r="A208" t="str">
            <v>C313852</v>
          </cell>
          <cell r="B208">
            <v>202601306806592</v>
          </cell>
          <cell r="D208" t="str">
            <v>ATO4</v>
          </cell>
          <cell r="E208" t="str">
            <v>C313852</v>
          </cell>
          <cell r="F208">
            <v>46143</v>
          </cell>
          <cell r="G208">
            <v>46507</v>
          </cell>
          <cell r="H208">
            <v>46179</v>
          </cell>
          <cell r="I208">
            <v>46179</v>
          </cell>
          <cell r="K208" t="str">
            <v>004078</v>
          </cell>
          <cell r="L208">
            <v>-132.52000000000001</v>
          </cell>
          <cell r="M208">
            <v>-132.52000000000001</v>
          </cell>
          <cell r="N208">
            <v>-132.52000000000001</v>
          </cell>
          <cell r="O208" t="str">
            <v>indiretto</v>
          </cell>
          <cell r="P208">
            <v>4</v>
          </cell>
          <cell r="Q208" t="str">
            <v>0.916558</v>
          </cell>
          <cell r="R208" t="str">
            <v>0.642623</v>
          </cell>
          <cell r="S208" t="str">
            <v>0.256196</v>
          </cell>
          <cell r="T208" t="str">
            <v>NO</v>
          </cell>
          <cell r="U208" t="str">
            <v>DELIBERAZIONE EGATO 29 19/12/2018</v>
          </cell>
        </row>
        <row r="209">
          <cell r="A209" t="str">
            <v>C128693</v>
          </cell>
          <cell r="B209">
            <v>202601306808193</v>
          </cell>
          <cell r="D209" t="str">
            <v>ATO4</v>
          </cell>
          <cell r="E209" t="str">
            <v>C128693</v>
          </cell>
          <cell r="F209">
            <v>46143</v>
          </cell>
          <cell r="G209">
            <v>46507</v>
          </cell>
          <cell r="H209">
            <v>46179</v>
          </cell>
          <cell r="I209">
            <v>46179</v>
          </cell>
          <cell r="K209" t="str">
            <v>004197</v>
          </cell>
          <cell r="L209">
            <v>-119.84</v>
          </cell>
          <cell r="M209">
            <v>-119.84</v>
          </cell>
          <cell r="N209">
            <v>-119.84</v>
          </cell>
          <cell r="O209" t="str">
            <v>indiretto</v>
          </cell>
          <cell r="P209">
            <v>5</v>
          </cell>
          <cell r="Q209" t="str">
            <v>0.721337</v>
          </cell>
          <cell r="R209" t="str">
            <v>0.441600</v>
          </cell>
          <cell r="S209" t="str">
            <v>0.150394</v>
          </cell>
          <cell r="T209" t="str">
            <v>NO</v>
          </cell>
          <cell r="U209" t="str">
            <v>DELIBERAZIONE EGATO 2 04/02/2019</v>
          </cell>
        </row>
        <row r="210">
          <cell r="A210" t="str">
            <v>C319990</v>
          </cell>
          <cell r="B210">
            <v>202601306813042</v>
          </cell>
          <cell r="D210" t="str">
            <v>ATO4</v>
          </cell>
          <cell r="E210" t="str">
            <v>C319990</v>
          </cell>
          <cell r="F210">
            <v>46143</v>
          </cell>
          <cell r="G210">
            <v>46507</v>
          </cell>
          <cell r="H210">
            <v>46179</v>
          </cell>
          <cell r="I210">
            <v>46179</v>
          </cell>
          <cell r="K210" t="str">
            <v>004078</v>
          </cell>
          <cell r="L210">
            <v>-99.39</v>
          </cell>
          <cell r="M210">
            <v>-99.39</v>
          </cell>
          <cell r="N210">
            <v>-99.39</v>
          </cell>
          <cell r="O210" t="str">
            <v>indiretto</v>
          </cell>
          <cell r="P210">
            <v>3</v>
          </cell>
          <cell r="Q210" t="str">
            <v>0.916558</v>
          </cell>
          <cell r="R210" t="str">
            <v>0.642623</v>
          </cell>
          <cell r="S210" t="str">
            <v>0.256196</v>
          </cell>
          <cell r="T210" t="str">
            <v>NO</v>
          </cell>
          <cell r="U210" t="str">
            <v>DELIBERAZIONE EGATO 29 19/12/2018</v>
          </cell>
        </row>
        <row r="211">
          <cell r="A211" t="str">
            <v>C313872</v>
          </cell>
          <cell r="B211">
            <v>202601306815633</v>
          </cell>
          <cell r="D211" t="str">
            <v>ATO4</v>
          </cell>
          <cell r="E211" t="str">
            <v>C313872</v>
          </cell>
          <cell r="F211">
            <v>46143</v>
          </cell>
          <cell r="G211">
            <v>46507</v>
          </cell>
          <cell r="H211">
            <v>46179</v>
          </cell>
          <cell r="I211">
            <v>46179</v>
          </cell>
          <cell r="K211" t="str">
            <v>004197</v>
          </cell>
          <cell r="L211">
            <v>-47.94</v>
          </cell>
          <cell r="M211">
            <v>-47.94</v>
          </cell>
          <cell r="N211">
            <v>-47.94</v>
          </cell>
          <cell r="O211" t="str">
            <v>indiretto</v>
          </cell>
          <cell r="P211">
            <v>2</v>
          </cell>
          <cell r="Q211" t="str">
            <v>0.721337</v>
          </cell>
          <cell r="R211" t="str">
            <v>0.441600</v>
          </cell>
          <cell r="S211" t="str">
            <v>0.150394</v>
          </cell>
          <cell r="T211" t="str">
            <v>NO</v>
          </cell>
          <cell r="U211" t="str">
            <v>DELIBERAZIONE EGATO 2 04/02/2019</v>
          </cell>
        </row>
        <row r="212">
          <cell r="A212" t="str">
            <v>C311511</v>
          </cell>
          <cell r="B212">
            <v>202601306822300</v>
          </cell>
          <cell r="D212" t="str">
            <v>ATO4</v>
          </cell>
          <cell r="E212" t="str">
            <v>C311511</v>
          </cell>
          <cell r="F212">
            <v>46143</v>
          </cell>
          <cell r="G212">
            <v>46507</v>
          </cell>
          <cell r="H212">
            <v>46179</v>
          </cell>
          <cell r="I212">
            <v>46179</v>
          </cell>
          <cell r="K212" t="str">
            <v>004078</v>
          </cell>
          <cell r="L212">
            <v>-33.130000000000003</v>
          </cell>
          <cell r="M212">
            <v>-33.130000000000003</v>
          </cell>
          <cell r="N212">
            <v>-33.130000000000003</v>
          </cell>
          <cell r="O212" t="str">
            <v>indiretto</v>
          </cell>
          <cell r="P212">
            <v>1</v>
          </cell>
          <cell r="Q212" t="str">
            <v>0.916558</v>
          </cell>
          <cell r="R212" t="str">
            <v>0.642623</v>
          </cell>
          <cell r="S212" t="str">
            <v>0.256196</v>
          </cell>
          <cell r="T212" t="str">
            <v>NO</v>
          </cell>
          <cell r="U212" t="str">
            <v>DELIBERAZIONE EGATO 29 19/12/2018</v>
          </cell>
        </row>
        <row r="213">
          <cell r="A213" t="str">
            <v>C320310</v>
          </cell>
          <cell r="B213">
            <v>202601306828837</v>
          </cell>
          <cell r="D213" t="str">
            <v>ATO4</v>
          </cell>
          <cell r="E213" t="str">
            <v>C320310</v>
          </cell>
          <cell r="F213">
            <v>46143</v>
          </cell>
          <cell r="G213">
            <v>46507</v>
          </cell>
          <cell r="H213">
            <v>46179</v>
          </cell>
          <cell r="I213">
            <v>46179</v>
          </cell>
          <cell r="K213" t="str">
            <v>004078</v>
          </cell>
          <cell r="L213">
            <v>-165.65</v>
          </cell>
          <cell r="M213">
            <v>-165.65</v>
          </cell>
          <cell r="N213">
            <v>-165.65</v>
          </cell>
          <cell r="O213" t="str">
            <v>indiretto</v>
          </cell>
          <cell r="P213">
            <v>5</v>
          </cell>
          <cell r="Q213" t="str">
            <v>0.916558</v>
          </cell>
          <cell r="R213" t="str">
            <v>0.642623</v>
          </cell>
          <cell r="S213" t="str">
            <v>0.256196</v>
          </cell>
          <cell r="T213" t="str">
            <v>NO</v>
          </cell>
          <cell r="U213" t="str">
            <v>DELIBERAZIONE EGATO 29 19/12/2018</v>
          </cell>
        </row>
        <row r="214">
          <cell r="A214" t="str">
            <v>C344283</v>
          </cell>
          <cell r="B214">
            <v>202601306838187</v>
          </cell>
          <cell r="D214" t="str">
            <v>ATO4</v>
          </cell>
          <cell r="E214" t="str">
            <v>C344283</v>
          </cell>
          <cell r="F214">
            <v>46143</v>
          </cell>
          <cell r="G214">
            <v>46507</v>
          </cell>
          <cell r="H214">
            <v>46179</v>
          </cell>
          <cell r="I214">
            <v>46179</v>
          </cell>
          <cell r="K214" t="str">
            <v>004192</v>
          </cell>
          <cell r="L214">
            <v>-33.130000000000003</v>
          </cell>
          <cell r="M214">
            <v>-33.130000000000003</v>
          </cell>
          <cell r="N214">
            <v>-33.130000000000003</v>
          </cell>
          <cell r="O214" t="str">
            <v>indiretto</v>
          </cell>
          <cell r="P214">
            <v>1</v>
          </cell>
          <cell r="Q214" t="str">
            <v>0.916558</v>
          </cell>
          <cell r="R214" t="str">
            <v>0.642623</v>
          </cell>
          <cell r="S214" t="str">
            <v>0.256196</v>
          </cell>
          <cell r="T214" t="str">
            <v>NO</v>
          </cell>
          <cell r="U214" t="str">
            <v>DELIBERAZIONE EGATO 29 19/12/2018</v>
          </cell>
        </row>
        <row r="215">
          <cell r="A215" t="str">
            <v>C307468</v>
          </cell>
          <cell r="B215">
            <v>202601306841574</v>
          </cell>
          <cell r="D215" t="str">
            <v>ATO4</v>
          </cell>
          <cell r="E215" t="str">
            <v>C307468</v>
          </cell>
          <cell r="F215">
            <v>46143</v>
          </cell>
          <cell r="G215">
            <v>46507</v>
          </cell>
          <cell r="H215">
            <v>46179</v>
          </cell>
          <cell r="I215">
            <v>46179</v>
          </cell>
          <cell r="K215" t="str">
            <v>004043</v>
          </cell>
          <cell r="L215">
            <v>-38.659999999999997</v>
          </cell>
          <cell r="M215">
            <v>-38.659999999999997</v>
          </cell>
          <cell r="N215">
            <v>-38.659999999999997</v>
          </cell>
          <cell r="O215" t="str">
            <v>indiretto</v>
          </cell>
          <cell r="P215">
            <v>1</v>
          </cell>
          <cell r="Q215">
            <v>1091278</v>
          </cell>
          <cell r="R215" t="str">
            <v>0.730790</v>
          </cell>
          <cell r="S215" t="str">
            <v>0.296264</v>
          </cell>
          <cell r="T215" t="str">
            <v>NO</v>
          </cell>
          <cell r="U215" t="str">
            <v>DELIBERAZIONE EGATO 2 04/02/2019</v>
          </cell>
        </row>
        <row r="216">
          <cell r="A216" t="str">
            <v>C344144</v>
          </cell>
          <cell r="B216">
            <v>202601306845790</v>
          </cell>
          <cell r="D216" t="str">
            <v>ATO4</v>
          </cell>
          <cell r="E216" t="str">
            <v>C344144</v>
          </cell>
          <cell r="F216">
            <v>46143</v>
          </cell>
          <cell r="G216">
            <v>46507</v>
          </cell>
          <cell r="H216">
            <v>46179</v>
          </cell>
          <cell r="I216">
            <v>46179</v>
          </cell>
          <cell r="K216" t="str">
            <v>004066</v>
          </cell>
          <cell r="L216">
            <v>-231.91</v>
          </cell>
          <cell r="M216">
            <v>-231.91</v>
          </cell>
          <cell r="N216">
            <v>-231.91</v>
          </cell>
          <cell r="O216" t="str">
            <v>indiretto</v>
          </cell>
          <cell r="P216">
            <v>7</v>
          </cell>
          <cell r="Q216" t="str">
            <v>0.916558</v>
          </cell>
          <cell r="R216" t="str">
            <v>0.642623</v>
          </cell>
          <cell r="S216" t="str">
            <v>0.256196</v>
          </cell>
          <cell r="T216" t="str">
            <v>NO</v>
          </cell>
          <cell r="U216" t="str">
            <v>DELIBERAZIONE EGATO 29 19/12/2018</v>
          </cell>
        </row>
        <row r="217">
          <cell r="A217" t="str">
            <v>C344245</v>
          </cell>
          <cell r="B217">
            <v>202601306878293</v>
          </cell>
          <cell r="D217" t="str">
            <v>ATO4</v>
          </cell>
          <cell r="E217" t="str">
            <v>C344245</v>
          </cell>
          <cell r="F217">
            <v>46143</v>
          </cell>
          <cell r="G217">
            <v>46507</v>
          </cell>
          <cell r="H217">
            <v>46179</v>
          </cell>
          <cell r="I217">
            <v>46179</v>
          </cell>
          <cell r="K217" t="str">
            <v>004078</v>
          </cell>
          <cell r="L217">
            <v>-165.65</v>
          </cell>
          <cell r="M217">
            <v>-165.65</v>
          </cell>
          <cell r="N217">
            <v>-165.65</v>
          </cell>
          <cell r="O217" t="str">
            <v>indiretto</v>
          </cell>
          <cell r="P217">
            <v>5</v>
          </cell>
          <cell r="Q217" t="str">
            <v>0.916558</v>
          </cell>
          <cell r="R217" t="str">
            <v>0.642623</v>
          </cell>
          <cell r="S217" t="str">
            <v>0.256196</v>
          </cell>
          <cell r="T217" t="str">
            <v>NO</v>
          </cell>
          <cell r="U217" t="str">
            <v>DELIBERAZIONE EGATO 29 19/12/2018</v>
          </cell>
        </row>
        <row r="218">
          <cell r="A218" t="str">
            <v>C117784</v>
          </cell>
          <cell r="B218">
            <v>202601306881336</v>
          </cell>
          <cell r="D218" t="str">
            <v>ATO4</v>
          </cell>
          <cell r="E218" t="str">
            <v>C117784</v>
          </cell>
          <cell r="F218">
            <v>46143</v>
          </cell>
          <cell r="G218">
            <v>46507</v>
          </cell>
          <cell r="H218">
            <v>46179</v>
          </cell>
          <cell r="I218">
            <v>46179</v>
          </cell>
          <cell r="K218" t="str">
            <v>004082</v>
          </cell>
          <cell r="L218">
            <v>-165.65</v>
          </cell>
          <cell r="M218">
            <v>-165.65</v>
          </cell>
          <cell r="N218">
            <v>-165.65</v>
          </cell>
          <cell r="O218" t="str">
            <v>indiretto</v>
          </cell>
          <cell r="P218">
            <v>5</v>
          </cell>
          <cell r="Q218" t="str">
            <v>0.916558</v>
          </cell>
          <cell r="R218" t="str">
            <v>0.642623</v>
          </cell>
          <cell r="S218" t="str">
            <v>0.256196</v>
          </cell>
          <cell r="T218" t="str">
            <v>NO</v>
          </cell>
          <cell r="U218" t="str">
            <v>DELIBERAZIONE EGATO 29 19/12/2018</v>
          </cell>
        </row>
        <row r="219">
          <cell r="A219" t="str">
            <v>C344195</v>
          </cell>
          <cell r="B219">
            <v>202601306893734</v>
          </cell>
          <cell r="D219" t="str">
            <v>ATO4</v>
          </cell>
          <cell r="E219" t="str">
            <v>C344195</v>
          </cell>
          <cell r="F219">
            <v>46143</v>
          </cell>
          <cell r="G219">
            <v>46507</v>
          </cell>
          <cell r="H219">
            <v>46179</v>
          </cell>
          <cell r="I219">
            <v>46179</v>
          </cell>
          <cell r="K219" t="str">
            <v>004130</v>
          </cell>
          <cell r="L219">
            <v>-131.29</v>
          </cell>
          <cell r="M219">
            <v>-131.29</v>
          </cell>
          <cell r="N219">
            <v>-131.29</v>
          </cell>
          <cell r="O219" t="str">
            <v>indiretto</v>
          </cell>
          <cell r="P219">
            <v>5</v>
          </cell>
          <cell r="Q219" t="str">
            <v>0.545182</v>
          </cell>
          <cell r="R219" t="str">
            <v>0.611443</v>
          </cell>
          <cell r="S219" t="str">
            <v>0.282207</v>
          </cell>
          <cell r="T219" t="str">
            <v>NO</v>
          </cell>
          <cell r="U219" t="str">
            <v>DELIBERA EGATO N.29 DEL 19/12/2018</v>
          </cell>
        </row>
        <row r="220">
          <cell r="A220" t="str">
            <v>C309505</v>
          </cell>
          <cell r="B220">
            <v>202601306897143</v>
          </cell>
          <cell r="D220" t="str">
            <v>ATO4</v>
          </cell>
          <cell r="E220" t="str">
            <v>C309505</v>
          </cell>
          <cell r="F220">
            <v>46143</v>
          </cell>
          <cell r="G220">
            <v>46507</v>
          </cell>
          <cell r="H220">
            <v>46179</v>
          </cell>
          <cell r="I220">
            <v>46179</v>
          </cell>
          <cell r="K220" t="str">
            <v>004081</v>
          </cell>
          <cell r="L220">
            <v>-37.950000000000003</v>
          </cell>
          <cell r="M220">
            <v>-37.950000000000003</v>
          </cell>
          <cell r="N220">
            <v>-37.950000000000003</v>
          </cell>
          <cell r="O220" t="str">
            <v>indiretto</v>
          </cell>
          <cell r="P220">
            <v>1</v>
          </cell>
          <cell r="Q220">
            <v>1091278</v>
          </cell>
          <cell r="R220" t="str">
            <v>0.691798</v>
          </cell>
          <cell r="S220" t="str">
            <v>0.296264</v>
          </cell>
          <cell r="T220" t="str">
            <v>NO</v>
          </cell>
          <cell r="U220" t="str">
            <v>DELIBERAZIONE EGATO 2 04/02/2019</v>
          </cell>
        </row>
        <row r="221">
          <cell r="A221" t="str">
            <v>C311065</v>
          </cell>
          <cell r="B221">
            <v>202601306897526</v>
          </cell>
          <cell r="D221" t="str">
            <v>ATO4</v>
          </cell>
          <cell r="E221" t="str">
            <v>C311065</v>
          </cell>
          <cell r="F221">
            <v>46143</v>
          </cell>
          <cell r="G221">
            <v>46507</v>
          </cell>
          <cell r="H221">
            <v>46179</v>
          </cell>
          <cell r="I221">
            <v>46179</v>
          </cell>
          <cell r="K221" t="str">
            <v>004041</v>
          </cell>
          <cell r="L221">
            <v>-165.65</v>
          </cell>
          <cell r="M221">
            <v>-165.65</v>
          </cell>
          <cell r="N221">
            <v>-165.65</v>
          </cell>
          <cell r="O221" t="str">
            <v>indiretto</v>
          </cell>
          <cell r="P221">
            <v>5</v>
          </cell>
          <cell r="Q221" t="str">
            <v>0.916558</v>
          </cell>
          <cell r="R221" t="str">
            <v>0.642623</v>
          </cell>
          <cell r="S221" t="str">
            <v>0.256196</v>
          </cell>
          <cell r="T221" t="str">
            <v>NO</v>
          </cell>
          <cell r="U221" t="str">
            <v>DELIBERAZIONE EGATO 29 19/12/2018</v>
          </cell>
        </row>
        <row r="222">
          <cell r="A222" t="str">
            <v>C314452</v>
          </cell>
          <cell r="B222">
            <v>202601306900548</v>
          </cell>
          <cell r="D222" t="str">
            <v>ATO4</v>
          </cell>
          <cell r="E222" t="str">
            <v>C314452</v>
          </cell>
          <cell r="F222">
            <v>46143</v>
          </cell>
          <cell r="G222">
            <v>46507</v>
          </cell>
          <cell r="H222">
            <v>46179</v>
          </cell>
          <cell r="I222">
            <v>46179</v>
          </cell>
          <cell r="K222" t="str">
            <v>004025</v>
          </cell>
          <cell r="L222">
            <v>-132.52000000000001</v>
          </cell>
          <cell r="M222">
            <v>-132.52000000000001</v>
          </cell>
          <cell r="N222">
            <v>-132.52000000000001</v>
          </cell>
          <cell r="O222" t="str">
            <v>indiretto</v>
          </cell>
          <cell r="P222">
            <v>4</v>
          </cell>
          <cell r="Q222" t="str">
            <v>0.916558</v>
          </cell>
          <cell r="R222" t="str">
            <v>0.642623</v>
          </cell>
          <cell r="S222" t="str">
            <v>0.256196</v>
          </cell>
          <cell r="T222" t="str">
            <v>NO</v>
          </cell>
          <cell r="U222" t="str">
            <v>DELIBERAZIONE EGATO 29 19/12/2018</v>
          </cell>
        </row>
        <row r="223">
          <cell r="A223" t="str">
            <v>C344263</v>
          </cell>
          <cell r="B223">
            <v>202601306903745</v>
          </cell>
          <cell r="D223" t="str">
            <v>ATO4</v>
          </cell>
          <cell r="E223" t="str">
            <v>C344263</v>
          </cell>
          <cell r="F223">
            <v>46143</v>
          </cell>
          <cell r="G223">
            <v>46507</v>
          </cell>
          <cell r="H223">
            <v>46179</v>
          </cell>
          <cell r="I223">
            <v>46179</v>
          </cell>
          <cell r="K223" t="str">
            <v>004180</v>
          </cell>
          <cell r="L223">
            <v>-23.97</v>
          </cell>
          <cell r="M223">
            <v>-23.97</v>
          </cell>
          <cell r="N223">
            <v>-23.97</v>
          </cell>
          <cell r="O223" t="str">
            <v>indiretto</v>
          </cell>
          <cell r="P223">
            <v>1</v>
          </cell>
          <cell r="Q223" t="str">
            <v>0.721337</v>
          </cell>
          <cell r="R223" t="str">
            <v>0.441600</v>
          </cell>
          <cell r="S223" t="str">
            <v>0.150394</v>
          </cell>
          <cell r="T223" t="str">
            <v>NO</v>
          </cell>
          <cell r="U223" t="str">
            <v>DELIBERAZIONE EGATO 2 04/02/2019</v>
          </cell>
        </row>
        <row r="224">
          <cell r="A224" t="str">
            <v>C344159</v>
          </cell>
          <cell r="B224">
            <v>202601306908313</v>
          </cell>
          <cell r="D224" t="str">
            <v>ATO4</v>
          </cell>
          <cell r="E224" t="str">
            <v>C344159</v>
          </cell>
          <cell r="F224">
            <v>46143</v>
          </cell>
          <cell r="G224">
            <v>46507</v>
          </cell>
          <cell r="H224">
            <v>46179</v>
          </cell>
          <cell r="I224">
            <v>46179</v>
          </cell>
          <cell r="K224" t="str">
            <v>004078</v>
          </cell>
          <cell r="L224">
            <v>-66.260000000000005</v>
          </cell>
          <cell r="M224">
            <v>-66.260000000000005</v>
          </cell>
          <cell r="N224">
            <v>-66.260000000000005</v>
          </cell>
          <cell r="O224" t="str">
            <v>indiretto</v>
          </cell>
          <cell r="P224">
            <v>2</v>
          </cell>
          <cell r="Q224" t="str">
            <v>0.916558</v>
          </cell>
          <cell r="R224" t="str">
            <v>0.642623</v>
          </cell>
          <cell r="S224" t="str">
            <v>0.256196</v>
          </cell>
          <cell r="T224" t="str">
            <v>NO</v>
          </cell>
          <cell r="U224" t="str">
            <v>DELIBERAZIONE EGATO 29 19/12/2018</v>
          </cell>
        </row>
        <row r="225">
          <cell r="A225" t="str">
            <v>C009367</v>
          </cell>
          <cell r="B225">
            <v>202601306911462</v>
          </cell>
          <cell r="D225" t="str">
            <v>ATO4</v>
          </cell>
          <cell r="E225" t="str">
            <v>C009367</v>
          </cell>
          <cell r="F225">
            <v>46143</v>
          </cell>
          <cell r="G225">
            <v>46507</v>
          </cell>
          <cell r="H225">
            <v>46179</v>
          </cell>
          <cell r="I225">
            <v>46179</v>
          </cell>
          <cell r="K225" t="str">
            <v>004066</v>
          </cell>
          <cell r="L225">
            <v>-165.65</v>
          </cell>
          <cell r="M225">
            <v>-165.65</v>
          </cell>
          <cell r="N225">
            <v>-165.65</v>
          </cell>
          <cell r="O225" t="str">
            <v>indiretto</v>
          </cell>
          <cell r="P225">
            <v>5</v>
          </cell>
          <cell r="Q225" t="str">
            <v>0.916558</v>
          </cell>
          <cell r="R225" t="str">
            <v>0.642623</v>
          </cell>
          <cell r="S225" t="str">
            <v>0.256196</v>
          </cell>
          <cell r="T225" t="str">
            <v>NO</v>
          </cell>
          <cell r="U225" t="str">
            <v>DELIBERAZIONE EGATO 29 19/12/2018</v>
          </cell>
        </row>
        <row r="226">
          <cell r="A226" t="str">
            <v>C344128</v>
          </cell>
          <cell r="B226">
            <v>202601306912260</v>
          </cell>
          <cell r="D226" t="str">
            <v>ATO4</v>
          </cell>
          <cell r="E226" t="str">
            <v>C344128</v>
          </cell>
          <cell r="F226">
            <v>46143</v>
          </cell>
          <cell r="G226">
            <v>46507</v>
          </cell>
          <cell r="H226">
            <v>46179</v>
          </cell>
          <cell r="I226">
            <v>46179</v>
          </cell>
          <cell r="K226" t="str">
            <v>004171</v>
          </cell>
          <cell r="L226">
            <v>-72.64</v>
          </cell>
          <cell r="M226">
            <v>-72.64</v>
          </cell>
          <cell r="N226">
            <v>-72.64</v>
          </cell>
          <cell r="O226" t="str">
            <v>indiretto</v>
          </cell>
          <cell r="P226">
            <v>4</v>
          </cell>
          <cell r="Q226" t="str">
            <v>0.483220</v>
          </cell>
          <cell r="R226" t="str">
            <v>0.350215</v>
          </cell>
          <cell r="S226" t="str">
            <v>0.161638</v>
          </cell>
          <cell r="T226" t="str">
            <v>NO</v>
          </cell>
          <cell r="U226" t="str">
            <v>DELIBERAZIONE EGATO 23 16/11/2020</v>
          </cell>
        </row>
        <row r="227">
          <cell r="A227" t="str">
            <v>C310804</v>
          </cell>
          <cell r="B227">
            <v>202601306912469</v>
          </cell>
          <cell r="D227" t="str">
            <v>ATO4</v>
          </cell>
          <cell r="E227" t="str">
            <v>C310804</v>
          </cell>
          <cell r="F227">
            <v>46143</v>
          </cell>
          <cell r="G227">
            <v>46507</v>
          </cell>
          <cell r="H227">
            <v>46179</v>
          </cell>
          <cell r="I227">
            <v>46179</v>
          </cell>
          <cell r="K227" t="str">
            <v>004082</v>
          </cell>
          <cell r="L227">
            <v>-198.78</v>
          </cell>
          <cell r="M227">
            <v>-198.78</v>
          </cell>
          <cell r="N227">
            <v>-198.78</v>
          </cell>
          <cell r="O227" t="str">
            <v>indiretto</v>
          </cell>
          <cell r="P227">
            <v>6</v>
          </cell>
          <cell r="Q227" t="str">
            <v>0.916558</v>
          </cell>
          <cell r="R227" t="str">
            <v>0.642623</v>
          </cell>
          <cell r="S227" t="str">
            <v>0.256196</v>
          </cell>
          <cell r="T227" t="str">
            <v>NO</v>
          </cell>
          <cell r="U227" t="str">
            <v>DELIBERAZIONE EGATO 29 19/12/2018</v>
          </cell>
        </row>
        <row r="228">
          <cell r="A228" t="str">
            <v>C344203</v>
          </cell>
          <cell r="B228">
            <v>202601306913971</v>
          </cell>
          <cell r="D228" t="str">
            <v>ATO4</v>
          </cell>
          <cell r="E228" t="str">
            <v>C344203</v>
          </cell>
          <cell r="F228">
            <v>46143</v>
          </cell>
          <cell r="G228">
            <v>46507</v>
          </cell>
          <cell r="H228">
            <v>46179</v>
          </cell>
          <cell r="I228">
            <v>46179</v>
          </cell>
          <cell r="K228" t="str">
            <v>004145</v>
          </cell>
          <cell r="L228">
            <v>-38.659999999999997</v>
          </cell>
          <cell r="M228">
            <v>-38.659999999999997</v>
          </cell>
          <cell r="N228">
            <v>-38.659999999999997</v>
          </cell>
          <cell r="O228" t="str">
            <v>indiretto</v>
          </cell>
          <cell r="P228">
            <v>1</v>
          </cell>
          <cell r="Q228">
            <v>1091278</v>
          </cell>
          <cell r="R228" t="str">
            <v>0.730790</v>
          </cell>
          <cell r="S228" t="str">
            <v>0.296264</v>
          </cell>
          <cell r="T228" t="str">
            <v>NO</v>
          </cell>
          <cell r="U228" t="str">
            <v>DELIBERAZIONE EGATO 2 04/02/2019</v>
          </cell>
        </row>
        <row r="229">
          <cell r="A229" t="str">
            <v>C344214</v>
          </cell>
          <cell r="B229">
            <v>202601306929223</v>
          </cell>
          <cell r="D229" t="str">
            <v>ATO4</v>
          </cell>
          <cell r="E229" t="str">
            <v>C344214</v>
          </cell>
          <cell r="F229">
            <v>46143</v>
          </cell>
          <cell r="G229">
            <v>46507</v>
          </cell>
          <cell r="H229">
            <v>46179</v>
          </cell>
          <cell r="I229">
            <v>46179</v>
          </cell>
          <cell r="K229" t="str">
            <v>004078</v>
          </cell>
          <cell r="L229">
            <v>-33.130000000000003</v>
          </cell>
          <cell r="M229">
            <v>-33.130000000000003</v>
          </cell>
          <cell r="N229">
            <v>-33.130000000000003</v>
          </cell>
          <cell r="O229" t="str">
            <v>indiretto</v>
          </cell>
          <cell r="P229">
            <v>1</v>
          </cell>
          <cell r="Q229" t="str">
            <v>0.916558</v>
          </cell>
          <cell r="R229" t="str">
            <v>0.642623</v>
          </cell>
          <cell r="S229" t="str">
            <v>0.256196</v>
          </cell>
          <cell r="T229" t="str">
            <v>NO</v>
          </cell>
          <cell r="U229" t="str">
            <v>DELIBERAZIONE EGATO 29 19/12/2018</v>
          </cell>
        </row>
        <row r="230">
          <cell r="A230" t="str">
            <v>C337608</v>
          </cell>
          <cell r="B230">
            <v>202601306929822</v>
          </cell>
          <cell r="D230" t="str">
            <v>ATO4</v>
          </cell>
          <cell r="E230" t="str">
            <v>C337608</v>
          </cell>
          <cell r="F230">
            <v>46143</v>
          </cell>
          <cell r="G230">
            <v>46507</v>
          </cell>
          <cell r="H230">
            <v>46179</v>
          </cell>
          <cell r="I230">
            <v>46179</v>
          </cell>
          <cell r="K230" t="str">
            <v>004078</v>
          </cell>
          <cell r="L230">
            <v>-99.39</v>
          </cell>
          <cell r="M230">
            <v>-99.39</v>
          </cell>
          <cell r="N230">
            <v>-99.39</v>
          </cell>
          <cell r="O230" t="str">
            <v>indiretto</v>
          </cell>
          <cell r="P230">
            <v>3</v>
          </cell>
          <cell r="Q230" t="str">
            <v>0.916558</v>
          </cell>
          <cell r="R230" t="str">
            <v>0.642623</v>
          </cell>
          <cell r="S230" t="str">
            <v>0.256196</v>
          </cell>
          <cell r="T230" t="str">
            <v>NO</v>
          </cell>
          <cell r="U230" t="str">
            <v>DELIBERAZIONE EGATO 29 19/12/2018</v>
          </cell>
        </row>
        <row r="231">
          <cell r="A231" t="str">
            <v>C312189</v>
          </cell>
          <cell r="B231">
            <v>202601306933128</v>
          </cell>
          <cell r="D231" t="str">
            <v>ATO4</v>
          </cell>
          <cell r="E231" t="str">
            <v>C312189</v>
          </cell>
          <cell r="F231">
            <v>46143</v>
          </cell>
          <cell r="G231">
            <v>46507</v>
          </cell>
          <cell r="H231">
            <v>46179</v>
          </cell>
          <cell r="I231">
            <v>46179</v>
          </cell>
          <cell r="K231" t="str">
            <v>004040</v>
          </cell>
          <cell r="L231">
            <v>-132.52000000000001</v>
          </cell>
          <cell r="M231">
            <v>-132.52000000000001</v>
          </cell>
          <cell r="N231">
            <v>-132.52000000000001</v>
          </cell>
          <cell r="O231" t="str">
            <v>indiretto</v>
          </cell>
          <cell r="P231">
            <v>4</v>
          </cell>
          <cell r="Q231" t="str">
            <v>0.916558</v>
          </cell>
          <cell r="R231" t="str">
            <v>0.642623</v>
          </cell>
          <cell r="S231" t="str">
            <v>0.256196</v>
          </cell>
          <cell r="T231" t="str">
            <v>NO</v>
          </cell>
          <cell r="U231" t="str">
            <v>DELIBERAZIONE EGATO 29 19/12/2018</v>
          </cell>
        </row>
        <row r="232">
          <cell r="A232" t="str">
            <v>C337682</v>
          </cell>
          <cell r="B232">
            <v>202601306934757</v>
          </cell>
          <cell r="D232" t="str">
            <v>ATO4</v>
          </cell>
          <cell r="E232" t="str">
            <v>C337682</v>
          </cell>
          <cell r="F232">
            <v>46143</v>
          </cell>
          <cell r="G232">
            <v>46507</v>
          </cell>
          <cell r="H232">
            <v>46179</v>
          </cell>
          <cell r="I232">
            <v>46179</v>
          </cell>
          <cell r="K232" t="str">
            <v>004068</v>
          </cell>
          <cell r="L232">
            <v>-165.65</v>
          </cell>
          <cell r="M232">
            <v>-165.65</v>
          </cell>
          <cell r="N232">
            <v>-165.65</v>
          </cell>
          <cell r="O232" t="str">
            <v>indiretto</v>
          </cell>
          <cell r="P232">
            <v>5</v>
          </cell>
          <cell r="Q232" t="str">
            <v>0.916558</v>
          </cell>
          <cell r="R232" t="str">
            <v>0.642623</v>
          </cell>
          <cell r="S232" t="str">
            <v>0.256196</v>
          </cell>
          <cell r="T232" t="str">
            <v>NO</v>
          </cell>
          <cell r="U232" t="str">
            <v>DELIBERAZIONE EGATO 29 19/12/2018</v>
          </cell>
        </row>
        <row r="233">
          <cell r="A233" t="str">
            <v>C344302</v>
          </cell>
          <cell r="B233">
            <v>202601306941451</v>
          </cell>
          <cell r="D233" t="str">
            <v>ATO4</v>
          </cell>
          <cell r="E233" t="str">
            <v>C344302</v>
          </cell>
          <cell r="F233">
            <v>46143</v>
          </cell>
          <cell r="G233">
            <v>46507</v>
          </cell>
          <cell r="H233">
            <v>46179</v>
          </cell>
          <cell r="I233">
            <v>46179</v>
          </cell>
          <cell r="K233" t="str">
            <v>004179</v>
          </cell>
          <cell r="L233">
            <v>-86.33</v>
          </cell>
          <cell r="M233">
            <v>-86.33</v>
          </cell>
          <cell r="N233">
            <v>-86.33</v>
          </cell>
          <cell r="O233" t="str">
            <v>indiretto</v>
          </cell>
          <cell r="P233">
            <v>3</v>
          </cell>
          <cell r="Q233" t="str">
            <v>0.802937</v>
          </cell>
          <cell r="R233" t="str">
            <v>0.568257</v>
          </cell>
          <cell r="S233" t="str">
            <v>0.205575</v>
          </cell>
          <cell r="T233" t="str">
            <v>NO</v>
          </cell>
          <cell r="U233" t="str">
            <v>DELIBERAZIONE EGATO 11 27/03/2019</v>
          </cell>
        </row>
        <row r="234">
          <cell r="A234" t="str">
            <v>C344129</v>
          </cell>
          <cell r="B234">
            <v>202601306949732</v>
          </cell>
          <cell r="D234" t="str">
            <v>ATO4</v>
          </cell>
          <cell r="E234" t="str">
            <v>C344129</v>
          </cell>
          <cell r="F234">
            <v>46143</v>
          </cell>
          <cell r="G234">
            <v>46507</v>
          </cell>
          <cell r="H234">
            <v>46179</v>
          </cell>
          <cell r="I234">
            <v>46179</v>
          </cell>
          <cell r="K234" t="str">
            <v>004239</v>
          </cell>
          <cell r="L234">
            <v>-89.45</v>
          </cell>
          <cell r="M234">
            <v>-89.45</v>
          </cell>
          <cell r="N234">
            <v>-89.45</v>
          </cell>
          <cell r="O234" t="str">
            <v>indiretto</v>
          </cell>
          <cell r="P234">
            <v>3</v>
          </cell>
          <cell r="Q234" t="str">
            <v>0.824903</v>
          </cell>
          <cell r="R234" t="str">
            <v>0.578360</v>
          </cell>
          <cell r="S234" t="str">
            <v>0.230576</v>
          </cell>
          <cell r="T234" t="str">
            <v>NO</v>
          </cell>
          <cell r="U234" t="str">
            <v>DELIBERAZIONE EGATO 29 19/12/2018</v>
          </cell>
        </row>
        <row r="235">
          <cell r="A235" t="str">
            <v>C312142</v>
          </cell>
          <cell r="B235">
            <v>202601306950838</v>
          </cell>
          <cell r="D235" t="str">
            <v>ATO4</v>
          </cell>
          <cell r="E235" t="str">
            <v>C312142</v>
          </cell>
          <cell r="F235">
            <v>46143</v>
          </cell>
          <cell r="G235">
            <v>46507</v>
          </cell>
          <cell r="H235">
            <v>46179</v>
          </cell>
          <cell r="I235">
            <v>46179</v>
          </cell>
          <cell r="K235" t="str">
            <v>004078</v>
          </cell>
          <cell r="L235">
            <v>-165.65</v>
          </cell>
          <cell r="M235">
            <v>-165.65</v>
          </cell>
          <cell r="N235">
            <v>-165.65</v>
          </cell>
          <cell r="O235" t="str">
            <v>indiretto</v>
          </cell>
          <cell r="P235">
            <v>5</v>
          </cell>
          <cell r="Q235" t="str">
            <v>0.916558</v>
          </cell>
          <cell r="R235" t="str">
            <v>0.642623</v>
          </cell>
          <cell r="S235" t="str">
            <v>0.256196</v>
          </cell>
          <cell r="T235" t="str">
            <v>NO</v>
          </cell>
          <cell r="U235" t="str">
            <v>DELIBERAZIONE EGATO 29 19/12/2018</v>
          </cell>
        </row>
        <row r="236">
          <cell r="A236" t="str">
            <v>C309635</v>
          </cell>
          <cell r="B236">
            <v>202601306955951</v>
          </cell>
          <cell r="D236" t="str">
            <v>ATO4</v>
          </cell>
          <cell r="E236" t="str">
            <v>C309635</v>
          </cell>
          <cell r="F236">
            <v>46143</v>
          </cell>
          <cell r="G236">
            <v>46507</v>
          </cell>
          <cell r="H236">
            <v>46179</v>
          </cell>
          <cell r="I236">
            <v>46179</v>
          </cell>
          <cell r="K236" t="str">
            <v>004040</v>
          </cell>
          <cell r="L236">
            <v>-33.130000000000003</v>
          </cell>
          <cell r="M236">
            <v>-33.130000000000003</v>
          </cell>
          <cell r="N236">
            <v>-33.130000000000003</v>
          </cell>
          <cell r="O236" t="str">
            <v>indiretto</v>
          </cell>
          <cell r="P236">
            <v>1</v>
          </cell>
          <cell r="Q236" t="str">
            <v>0.916558</v>
          </cell>
          <cell r="R236" t="str">
            <v>0.642623</v>
          </cell>
          <cell r="S236" t="str">
            <v>0.256196</v>
          </cell>
          <cell r="T236" t="str">
            <v>NO</v>
          </cell>
          <cell r="U236" t="str">
            <v>DELIBERAZIONE EGATO 29 19/12/2018</v>
          </cell>
        </row>
        <row r="237">
          <cell r="A237" t="str">
            <v>C315061</v>
          </cell>
          <cell r="B237">
            <v>202601306967858</v>
          </cell>
          <cell r="D237" t="str">
            <v>ATO4</v>
          </cell>
          <cell r="E237" t="str">
            <v>C315061</v>
          </cell>
          <cell r="F237">
            <v>46143</v>
          </cell>
          <cell r="G237">
            <v>46507</v>
          </cell>
          <cell r="H237">
            <v>46179</v>
          </cell>
          <cell r="I237">
            <v>46179</v>
          </cell>
          <cell r="K237" t="str">
            <v>004078</v>
          </cell>
          <cell r="L237">
            <v>-165.65</v>
          </cell>
          <cell r="M237">
            <v>-165.65</v>
          </cell>
          <cell r="N237">
            <v>-165.65</v>
          </cell>
          <cell r="O237" t="str">
            <v>indiretto</v>
          </cell>
          <cell r="P237">
            <v>5</v>
          </cell>
          <cell r="Q237" t="str">
            <v>0.916558</v>
          </cell>
          <cell r="R237" t="str">
            <v>0.642623</v>
          </cell>
          <cell r="S237" t="str">
            <v>0.256196</v>
          </cell>
          <cell r="T237" t="str">
            <v>NO</v>
          </cell>
          <cell r="U237" t="str">
            <v>DELIBERAZIONE EGATO 29 19/12/2018</v>
          </cell>
        </row>
        <row r="238">
          <cell r="A238" t="str">
            <v>C311263</v>
          </cell>
          <cell r="B238">
            <v>202601306967864</v>
          </cell>
          <cell r="D238" t="str">
            <v>ATO4</v>
          </cell>
          <cell r="E238" t="str">
            <v>C311263</v>
          </cell>
          <cell r="F238">
            <v>46143</v>
          </cell>
          <cell r="G238">
            <v>46507</v>
          </cell>
          <cell r="H238">
            <v>46179</v>
          </cell>
          <cell r="I238">
            <v>46179</v>
          </cell>
          <cell r="K238" t="str">
            <v>004171</v>
          </cell>
          <cell r="L238">
            <v>-18.16</v>
          </cell>
          <cell r="M238">
            <v>-18.16</v>
          </cell>
          <cell r="N238">
            <v>-18.16</v>
          </cell>
          <cell r="O238" t="str">
            <v>indiretto</v>
          </cell>
          <cell r="P238">
            <v>1</v>
          </cell>
          <cell r="Q238" t="str">
            <v>0.483220</v>
          </cell>
          <cell r="R238" t="str">
            <v>0.350215</v>
          </cell>
          <cell r="S238" t="str">
            <v>0.161638</v>
          </cell>
          <cell r="T238" t="str">
            <v>NO</v>
          </cell>
          <cell r="U238" t="str">
            <v>DELIBERAZIONE EGATO 23 16/11/2020</v>
          </cell>
        </row>
        <row r="239">
          <cell r="A239" t="str">
            <v>C301000</v>
          </cell>
          <cell r="B239">
            <v>202601306969431</v>
          </cell>
          <cell r="D239" t="str">
            <v>ATO4</v>
          </cell>
          <cell r="E239" t="str">
            <v>C301000</v>
          </cell>
          <cell r="F239">
            <v>46143</v>
          </cell>
          <cell r="G239">
            <v>46507</v>
          </cell>
          <cell r="H239">
            <v>46179</v>
          </cell>
          <cell r="I239">
            <v>46179</v>
          </cell>
          <cell r="K239" t="str">
            <v>004197</v>
          </cell>
          <cell r="L239">
            <v>-95.87</v>
          </cell>
          <cell r="M239">
            <v>-95.87</v>
          </cell>
          <cell r="N239">
            <v>-95.87</v>
          </cell>
          <cell r="O239" t="str">
            <v>indiretto</v>
          </cell>
          <cell r="P239">
            <v>4</v>
          </cell>
          <cell r="Q239" t="str">
            <v>0.721337</v>
          </cell>
          <cell r="R239" t="str">
            <v>0.441600</v>
          </cell>
          <cell r="S239" t="str">
            <v>0.150394</v>
          </cell>
          <cell r="T239" t="str">
            <v>NO</v>
          </cell>
          <cell r="U239" t="str">
            <v>DELIBERAZIONE EGATO 2 04/02/2019</v>
          </cell>
        </row>
        <row r="240">
          <cell r="A240" t="str">
            <v>C320294</v>
          </cell>
          <cell r="B240">
            <v>202601306978224</v>
          </cell>
          <cell r="D240" t="str">
            <v>ATO4</v>
          </cell>
          <cell r="E240" t="str">
            <v>C320294</v>
          </cell>
          <cell r="F240">
            <v>46143</v>
          </cell>
          <cell r="G240">
            <v>46507</v>
          </cell>
          <cell r="H240">
            <v>46179</v>
          </cell>
          <cell r="I240">
            <v>46179</v>
          </cell>
          <cell r="K240" t="str">
            <v>004078</v>
          </cell>
          <cell r="L240">
            <v>-132.52000000000001</v>
          </cell>
          <cell r="M240">
            <v>-132.52000000000001</v>
          </cell>
          <cell r="N240">
            <v>-132.52000000000001</v>
          </cell>
          <cell r="O240" t="str">
            <v>indiretto</v>
          </cell>
          <cell r="P240">
            <v>4</v>
          </cell>
          <cell r="Q240" t="str">
            <v>0.916558</v>
          </cell>
          <cell r="R240" t="str">
            <v>0.642623</v>
          </cell>
          <cell r="S240" t="str">
            <v>0.256196</v>
          </cell>
          <cell r="T240" t="str">
            <v>NO</v>
          </cell>
          <cell r="U240" t="str">
            <v>DELIBERAZIONE EGATO 29 19/12/2018</v>
          </cell>
        </row>
        <row r="241">
          <cell r="A241" t="str">
            <v>C312230</v>
          </cell>
          <cell r="B241">
            <v>202601306978337</v>
          </cell>
          <cell r="D241" t="str">
            <v>ATO4</v>
          </cell>
          <cell r="E241" t="str">
            <v>C312230</v>
          </cell>
          <cell r="F241">
            <v>46143</v>
          </cell>
          <cell r="G241">
            <v>46507</v>
          </cell>
          <cell r="H241">
            <v>46179</v>
          </cell>
          <cell r="I241">
            <v>46179</v>
          </cell>
          <cell r="K241" t="str">
            <v>004068</v>
          </cell>
          <cell r="L241">
            <v>-66.260000000000005</v>
          </cell>
          <cell r="M241">
            <v>-66.260000000000005</v>
          </cell>
          <cell r="N241">
            <v>-66.260000000000005</v>
          </cell>
          <cell r="O241" t="str">
            <v>indiretto</v>
          </cell>
          <cell r="P241">
            <v>2</v>
          </cell>
          <cell r="Q241" t="str">
            <v>0.916558</v>
          </cell>
          <cell r="R241" t="str">
            <v>0.642623</v>
          </cell>
          <cell r="S241" t="str">
            <v>0.256196</v>
          </cell>
          <cell r="T241" t="str">
            <v>NO</v>
          </cell>
          <cell r="U241" t="str">
            <v>DELIBERAZIONE EGATO 29 19/12/2018</v>
          </cell>
        </row>
        <row r="242">
          <cell r="A242" t="str">
            <v>C300414</v>
          </cell>
          <cell r="B242">
            <v>202601306978395</v>
          </cell>
          <cell r="D242" t="str">
            <v>ATO4</v>
          </cell>
          <cell r="E242" t="str">
            <v>C300414</v>
          </cell>
          <cell r="F242">
            <v>46143</v>
          </cell>
          <cell r="G242">
            <v>46507</v>
          </cell>
          <cell r="H242">
            <v>46179</v>
          </cell>
          <cell r="I242">
            <v>46179</v>
          </cell>
          <cell r="K242" t="str">
            <v>004185</v>
          </cell>
          <cell r="L242">
            <v>-33.130000000000003</v>
          </cell>
          <cell r="M242">
            <v>-33.130000000000003</v>
          </cell>
          <cell r="N242">
            <v>-33.130000000000003</v>
          </cell>
          <cell r="O242" t="str">
            <v>indiretto</v>
          </cell>
          <cell r="P242">
            <v>1</v>
          </cell>
          <cell r="Q242" t="str">
            <v>0.916558</v>
          </cell>
          <cell r="R242" t="str">
            <v>0.642623</v>
          </cell>
          <cell r="S242" t="str">
            <v>0.256196</v>
          </cell>
          <cell r="T242" t="str">
            <v>NO</v>
          </cell>
          <cell r="U242" t="str">
            <v>DELIBERAZIONE EGATO 29 19/12/2018</v>
          </cell>
        </row>
        <row r="243">
          <cell r="A243" t="str">
            <v>C344257</v>
          </cell>
          <cell r="B243">
            <v>202601306979682</v>
          </cell>
          <cell r="D243" t="str">
            <v>ATO4</v>
          </cell>
          <cell r="E243" t="str">
            <v>C344257</v>
          </cell>
          <cell r="F243">
            <v>46143</v>
          </cell>
          <cell r="G243">
            <v>46507</v>
          </cell>
          <cell r="H243">
            <v>46179</v>
          </cell>
          <cell r="I243">
            <v>46179</v>
          </cell>
          <cell r="K243" t="str">
            <v>004190</v>
          </cell>
          <cell r="L243">
            <v>-131.29</v>
          </cell>
          <cell r="M243">
            <v>-131.29</v>
          </cell>
          <cell r="N243">
            <v>-131.29</v>
          </cell>
          <cell r="O243" t="str">
            <v>indiretto</v>
          </cell>
          <cell r="P243">
            <v>5</v>
          </cell>
          <cell r="Q243" t="str">
            <v>0.545182</v>
          </cell>
          <cell r="R243" t="str">
            <v>0.611443</v>
          </cell>
          <cell r="S243" t="str">
            <v>0.282207</v>
          </cell>
          <cell r="T243" t="str">
            <v>NO</v>
          </cell>
          <cell r="U243" t="str">
            <v>DELIBERA EGATO N.29 DEL 19/12/2018</v>
          </cell>
        </row>
        <row r="244">
          <cell r="A244" t="str">
            <v>C344259</v>
          </cell>
          <cell r="B244">
            <v>202601306981856</v>
          </cell>
          <cell r="D244" t="str">
            <v>ATO4</v>
          </cell>
          <cell r="E244" t="str">
            <v>C344259</v>
          </cell>
          <cell r="F244">
            <v>46143</v>
          </cell>
          <cell r="G244">
            <v>46507</v>
          </cell>
          <cell r="H244">
            <v>46179</v>
          </cell>
          <cell r="I244">
            <v>46179</v>
          </cell>
          <cell r="K244" t="str">
            <v>004064</v>
          </cell>
          <cell r="L244">
            <v>-33.130000000000003</v>
          </cell>
          <cell r="M244">
            <v>-33.130000000000003</v>
          </cell>
          <cell r="N244">
            <v>-33.130000000000003</v>
          </cell>
          <cell r="O244" t="str">
            <v>indiretto</v>
          </cell>
          <cell r="P244">
            <v>1</v>
          </cell>
          <cell r="Q244" t="str">
            <v>0.916558</v>
          </cell>
          <cell r="R244" t="str">
            <v>0.642623</v>
          </cell>
          <cell r="S244" t="str">
            <v>0.256196</v>
          </cell>
          <cell r="T244" t="str">
            <v>NO</v>
          </cell>
          <cell r="U244" t="str">
            <v>DELIBERAZIONE EGATO 29 19/12/2018</v>
          </cell>
        </row>
        <row r="245">
          <cell r="A245" t="str">
            <v>C344278</v>
          </cell>
          <cell r="B245">
            <v>202601306987171</v>
          </cell>
          <cell r="D245" t="str">
            <v>ATO4</v>
          </cell>
          <cell r="E245" t="str">
            <v>C344278</v>
          </cell>
          <cell r="F245">
            <v>46143</v>
          </cell>
          <cell r="G245">
            <v>46507</v>
          </cell>
          <cell r="H245">
            <v>46179</v>
          </cell>
          <cell r="I245">
            <v>46179</v>
          </cell>
          <cell r="K245" t="str">
            <v>004165</v>
          </cell>
          <cell r="L245">
            <v>-99.39</v>
          </cell>
          <cell r="M245">
            <v>-99.39</v>
          </cell>
          <cell r="N245">
            <v>-99.39</v>
          </cell>
          <cell r="O245" t="str">
            <v>indiretto</v>
          </cell>
          <cell r="P245">
            <v>3</v>
          </cell>
          <cell r="Q245" t="str">
            <v>0.916558</v>
          </cell>
          <cell r="R245" t="str">
            <v>0.642623</v>
          </cell>
          <cell r="S245" t="str">
            <v>0.256196</v>
          </cell>
          <cell r="T245" t="str">
            <v>NO</v>
          </cell>
          <cell r="U245" t="str">
            <v>DELIBERAZIONE EGATO 29 19/12/2018</v>
          </cell>
        </row>
        <row r="246">
          <cell r="A246" t="str">
            <v>C314038</v>
          </cell>
          <cell r="B246">
            <v>202601306988050</v>
          </cell>
          <cell r="D246" t="str">
            <v>ATO4</v>
          </cell>
          <cell r="E246" t="str">
            <v>C314038</v>
          </cell>
          <cell r="F246">
            <v>46143</v>
          </cell>
          <cell r="G246">
            <v>46507</v>
          </cell>
          <cell r="H246">
            <v>46179</v>
          </cell>
          <cell r="I246">
            <v>46179</v>
          </cell>
          <cell r="K246" t="str">
            <v>004033</v>
          </cell>
          <cell r="L246">
            <v>-23.97</v>
          </cell>
          <cell r="M246">
            <v>-23.97</v>
          </cell>
          <cell r="N246">
            <v>-23.97</v>
          </cell>
          <cell r="O246" t="str">
            <v>indiretto</v>
          </cell>
          <cell r="P246">
            <v>1</v>
          </cell>
          <cell r="Q246" t="str">
            <v>0.721337</v>
          </cell>
          <cell r="R246" t="str">
            <v>0.441600</v>
          </cell>
          <cell r="S246" t="str">
            <v>0.150394</v>
          </cell>
          <cell r="T246" t="str">
            <v>NO</v>
          </cell>
          <cell r="U246" t="str">
            <v>DELIBERAZIONE EGATO 2 04/02/2019</v>
          </cell>
        </row>
        <row r="247">
          <cell r="A247" t="str">
            <v>C344171</v>
          </cell>
          <cell r="B247">
            <v>202601306990324</v>
          </cell>
          <cell r="D247" t="str">
            <v>ATO4</v>
          </cell>
          <cell r="E247" t="str">
            <v>C344171</v>
          </cell>
          <cell r="F247">
            <v>46143</v>
          </cell>
          <cell r="G247">
            <v>46507</v>
          </cell>
          <cell r="H247">
            <v>46179</v>
          </cell>
          <cell r="I247">
            <v>46179</v>
          </cell>
          <cell r="K247" t="str">
            <v>004163</v>
          </cell>
          <cell r="L247">
            <v>-99.39</v>
          </cell>
          <cell r="M247">
            <v>-99.39</v>
          </cell>
          <cell r="N247">
            <v>-99.39</v>
          </cell>
          <cell r="O247" t="str">
            <v>indiretto</v>
          </cell>
          <cell r="P247">
            <v>3</v>
          </cell>
          <cell r="Q247" t="str">
            <v>0.916558</v>
          </cell>
          <cell r="R247" t="str">
            <v>0.642623</v>
          </cell>
          <cell r="S247" t="str">
            <v>0.256196</v>
          </cell>
          <cell r="T247" t="str">
            <v>NO</v>
          </cell>
          <cell r="U247" t="str">
            <v>DELIBERAZIONE EGATO 29 19/12/2018</v>
          </cell>
        </row>
        <row r="248">
          <cell r="A248" t="str">
            <v>C319974</v>
          </cell>
          <cell r="B248">
            <v>202601306990741</v>
          </cell>
          <cell r="D248" t="str">
            <v>ATO4</v>
          </cell>
          <cell r="E248" t="str">
            <v>C319974</v>
          </cell>
          <cell r="F248">
            <v>46143</v>
          </cell>
          <cell r="G248">
            <v>46507</v>
          </cell>
          <cell r="H248">
            <v>46179</v>
          </cell>
          <cell r="I248">
            <v>46179</v>
          </cell>
          <cell r="K248" t="str">
            <v>004066</v>
          </cell>
          <cell r="L248">
            <v>-66.260000000000005</v>
          </cell>
          <cell r="M248">
            <v>-66.260000000000005</v>
          </cell>
          <cell r="N248">
            <v>-66.260000000000005</v>
          </cell>
          <cell r="O248" t="str">
            <v>indiretto</v>
          </cell>
          <cell r="P248">
            <v>2</v>
          </cell>
          <cell r="Q248" t="str">
            <v>0.916558</v>
          </cell>
          <cell r="R248" t="str">
            <v>0.642623</v>
          </cell>
          <cell r="S248" t="str">
            <v>0.256196</v>
          </cell>
          <cell r="T248" t="str">
            <v>NO</v>
          </cell>
          <cell r="U248" t="str">
            <v>DELIBERAZIONE EGATO 29 19/12/2018</v>
          </cell>
        </row>
        <row r="249">
          <cell r="A249" t="str">
            <v>C344258</v>
          </cell>
          <cell r="B249">
            <v>202601307000688</v>
          </cell>
          <cell r="D249" t="str">
            <v>ATO4</v>
          </cell>
          <cell r="E249" t="str">
            <v>C344258</v>
          </cell>
          <cell r="F249">
            <v>46143</v>
          </cell>
          <cell r="G249">
            <v>46507</v>
          </cell>
          <cell r="H249">
            <v>46179</v>
          </cell>
          <cell r="I249">
            <v>46179</v>
          </cell>
          <cell r="K249" t="str">
            <v>004165</v>
          </cell>
          <cell r="L249">
            <v>-132.52000000000001</v>
          </cell>
          <cell r="M249">
            <v>-132.52000000000001</v>
          </cell>
          <cell r="N249">
            <v>-132.52000000000001</v>
          </cell>
          <cell r="O249" t="str">
            <v>indiretto</v>
          </cell>
          <cell r="P249">
            <v>4</v>
          </cell>
          <cell r="Q249" t="str">
            <v>0.916558</v>
          </cell>
          <cell r="R249" t="str">
            <v>0.642623</v>
          </cell>
          <cell r="S249" t="str">
            <v>0.256196</v>
          </cell>
          <cell r="T249" t="str">
            <v>NO</v>
          </cell>
          <cell r="U249" t="str">
            <v>DELIBERAZIONE EGATO 29 19/12/2018</v>
          </cell>
        </row>
        <row r="250">
          <cell r="A250" t="str">
            <v>C337721</v>
          </cell>
          <cell r="B250">
            <v>202601307004463</v>
          </cell>
          <cell r="D250" t="str">
            <v>ATO4</v>
          </cell>
          <cell r="E250" t="str">
            <v>C337721</v>
          </cell>
          <cell r="F250">
            <v>46143</v>
          </cell>
          <cell r="G250">
            <v>46507</v>
          </cell>
          <cell r="H250">
            <v>46179</v>
          </cell>
          <cell r="I250">
            <v>46179</v>
          </cell>
          <cell r="K250" t="str">
            <v>004078</v>
          </cell>
          <cell r="L250">
            <v>-99.39</v>
          </cell>
          <cell r="M250">
            <v>-99.39</v>
          </cell>
          <cell r="N250">
            <v>-99.39</v>
          </cell>
          <cell r="O250" t="str">
            <v>indiretto</v>
          </cell>
          <cell r="P250">
            <v>3</v>
          </cell>
          <cell r="Q250" t="str">
            <v>0.916558</v>
          </cell>
          <cell r="R250" t="str">
            <v>0.642623</v>
          </cell>
          <cell r="S250" t="str">
            <v>0.256196</v>
          </cell>
          <cell r="T250" t="str">
            <v>NO</v>
          </cell>
          <cell r="U250" t="str">
            <v>DELIBERAZIONE EGATO 29 19/12/2018</v>
          </cell>
        </row>
        <row r="251">
          <cell r="A251" t="str">
            <v>C337549</v>
          </cell>
          <cell r="B251">
            <v>202601307004486</v>
          </cell>
          <cell r="D251" t="str">
            <v>ATO4</v>
          </cell>
          <cell r="E251" t="str">
            <v>C337549</v>
          </cell>
          <cell r="F251">
            <v>46143</v>
          </cell>
          <cell r="G251">
            <v>46507</v>
          </cell>
          <cell r="H251">
            <v>46179</v>
          </cell>
          <cell r="I251">
            <v>46179</v>
          </cell>
          <cell r="K251" t="str">
            <v>004078</v>
          </cell>
          <cell r="L251">
            <v>-33.130000000000003</v>
          </cell>
          <cell r="M251">
            <v>-33.130000000000003</v>
          </cell>
          <cell r="N251">
            <v>-33.130000000000003</v>
          </cell>
          <cell r="O251" t="str">
            <v>indiretto</v>
          </cell>
          <cell r="P251">
            <v>1</v>
          </cell>
          <cell r="Q251" t="str">
            <v>0.916558</v>
          </cell>
          <cell r="R251" t="str">
            <v>0.642623</v>
          </cell>
          <cell r="S251" t="str">
            <v>0.256196</v>
          </cell>
          <cell r="T251" t="str">
            <v>NO</v>
          </cell>
          <cell r="U251" t="str">
            <v>DELIBERAZIONE EGATO 29 19/12/2018</v>
          </cell>
        </row>
        <row r="252">
          <cell r="A252" t="str">
            <v>C344228</v>
          </cell>
          <cell r="B252">
            <v>202601307007159</v>
          </cell>
          <cell r="D252" t="str">
            <v>ATO4</v>
          </cell>
          <cell r="E252" t="str">
            <v>C344228</v>
          </cell>
          <cell r="F252">
            <v>46143</v>
          </cell>
          <cell r="G252">
            <v>46507</v>
          </cell>
          <cell r="H252">
            <v>46179</v>
          </cell>
          <cell r="I252">
            <v>46179</v>
          </cell>
          <cell r="K252" t="str">
            <v>004130</v>
          </cell>
          <cell r="L252">
            <v>-131.29</v>
          </cell>
          <cell r="M252">
            <v>-131.29</v>
          </cell>
          <cell r="N252">
            <v>-131.29</v>
          </cell>
          <cell r="O252" t="str">
            <v>indiretto</v>
          </cell>
          <cell r="P252">
            <v>5</v>
          </cell>
          <cell r="Q252" t="str">
            <v>0.545182</v>
          </cell>
          <cell r="R252" t="str">
            <v>0.611443</v>
          </cell>
          <cell r="S252" t="str">
            <v>0.282207</v>
          </cell>
          <cell r="T252" t="str">
            <v>NO</v>
          </cell>
          <cell r="U252" t="str">
            <v>DELIBERA EGATO N.29 DEL 19/12/2018</v>
          </cell>
        </row>
        <row r="253">
          <cell r="A253" t="str">
            <v>C344208</v>
          </cell>
          <cell r="B253">
            <v>202601307010526</v>
          </cell>
          <cell r="D253" t="str">
            <v>ATO4</v>
          </cell>
          <cell r="E253" t="str">
            <v>C344208</v>
          </cell>
          <cell r="F253">
            <v>46143</v>
          </cell>
          <cell r="G253">
            <v>46507</v>
          </cell>
          <cell r="H253">
            <v>46179</v>
          </cell>
          <cell r="I253">
            <v>46179</v>
          </cell>
          <cell r="K253" t="str">
            <v>004078</v>
          </cell>
          <cell r="L253">
            <v>-165.65</v>
          </cell>
          <cell r="M253">
            <v>-165.65</v>
          </cell>
          <cell r="N253">
            <v>-165.65</v>
          </cell>
          <cell r="O253" t="str">
            <v>indiretto</v>
          </cell>
          <cell r="P253">
            <v>5</v>
          </cell>
          <cell r="Q253" t="str">
            <v>0.916558</v>
          </cell>
          <cell r="R253" t="str">
            <v>0.642623</v>
          </cell>
          <cell r="S253" t="str">
            <v>0.256196</v>
          </cell>
          <cell r="T253" t="str">
            <v>NO</v>
          </cell>
          <cell r="U253" t="str">
            <v>DELIBERAZIONE EGATO 29 19/12/2018</v>
          </cell>
        </row>
        <row r="254">
          <cell r="A254" t="str">
            <v>C344132</v>
          </cell>
          <cell r="B254">
            <v>202601307012725</v>
          </cell>
          <cell r="D254" t="str">
            <v>ATO4</v>
          </cell>
          <cell r="E254" t="str">
            <v>C344132</v>
          </cell>
          <cell r="F254">
            <v>46143</v>
          </cell>
          <cell r="G254">
            <v>46507</v>
          </cell>
          <cell r="H254">
            <v>46179</v>
          </cell>
          <cell r="I254">
            <v>46179</v>
          </cell>
          <cell r="K254" t="str">
            <v>004045</v>
          </cell>
          <cell r="L254">
            <v>-36.32</v>
          </cell>
          <cell r="M254">
            <v>-36.32</v>
          </cell>
          <cell r="N254">
            <v>-36.32</v>
          </cell>
          <cell r="O254" t="str">
            <v>indiretto</v>
          </cell>
          <cell r="P254">
            <v>2</v>
          </cell>
          <cell r="Q254" t="str">
            <v>0.483220</v>
          </cell>
          <cell r="R254" t="str">
            <v>0.350215</v>
          </cell>
          <cell r="S254" t="str">
            <v>0.161638</v>
          </cell>
          <cell r="T254" t="str">
            <v>NO</v>
          </cell>
          <cell r="U254" t="str">
            <v>DELIBERAZIONE EGATO 23 16/11/2020</v>
          </cell>
        </row>
        <row r="255">
          <cell r="A255" t="str">
            <v>C337670</v>
          </cell>
          <cell r="B255">
            <v>202601307012873</v>
          </cell>
          <cell r="D255" t="str">
            <v>ATO4</v>
          </cell>
          <cell r="E255" t="str">
            <v>C337670</v>
          </cell>
          <cell r="F255">
            <v>46143</v>
          </cell>
          <cell r="G255">
            <v>46507</v>
          </cell>
          <cell r="H255">
            <v>46179</v>
          </cell>
          <cell r="I255">
            <v>46179</v>
          </cell>
          <cell r="K255" t="str">
            <v>004043</v>
          </cell>
          <cell r="L255">
            <v>-38.659999999999997</v>
          </cell>
          <cell r="M255">
            <v>-38.659999999999997</v>
          </cell>
          <cell r="N255">
            <v>-38.659999999999997</v>
          </cell>
          <cell r="O255" t="str">
            <v>indiretto</v>
          </cell>
          <cell r="P255">
            <v>1</v>
          </cell>
          <cell r="Q255">
            <v>1091278</v>
          </cell>
          <cell r="R255" t="str">
            <v>0.730790</v>
          </cell>
          <cell r="S255" t="str">
            <v>0.296264</v>
          </cell>
          <cell r="T255" t="str">
            <v>NO</v>
          </cell>
          <cell r="U255" t="str">
            <v>DELIBERAZIONE EGATO 2 04/02/2019</v>
          </cell>
        </row>
        <row r="256">
          <cell r="A256" t="str">
            <v>C317783</v>
          </cell>
          <cell r="B256">
            <v>202601307015552</v>
          </cell>
          <cell r="D256" t="str">
            <v>ATO4</v>
          </cell>
          <cell r="E256" t="str">
            <v>C317783</v>
          </cell>
          <cell r="F256">
            <v>46143</v>
          </cell>
          <cell r="G256">
            <v>46507</v>
          </cell>
          <cell r="H256">
            <v>46179</v>
          </cell>
          <cell r="I256">
            <v>46179</v>
          </cell>
          <cell r="K256" t="str">
            <v>004012</v>
          </cell>
          <cell r="L256">
            <v>-73.86</v>
          </cell>
          <cell r="M256">
            <v>-73.86</v>
          </cell>
          <cell r="N256">
            <v>-73.86</v>
          </cell>
          <cell r="O256" t="str">
            <v>indiretto</v>
          </cell>
          <cell r="P256">
            <v>3</v>
          </cell>
          <cell r="Q256" t="str">
            <v>0.716943</v>
          </cell>
          <cell r="R256" t="str">
            <v>0.463071</v>
          </cell>
          <cell r="S256" t="str">
            <v>0.169064</v>
          </cell>
          <cell r="T256" t="str">
            <v>NO</v>
          </cell>
          <cell r="U256" t="str">
            <v>DELIBERAZIONE EGATO 2 04/02/2019</v>
          </cell>
        </row>
        <row r="257">
          <cell r="A257" t="str">
            <v>C309637</v>
          </cell>
          <cell r="B257">
            <v>202601307020727</v>
          </cell>
          <cell r="D257" t="str">
            <v>ATO4</v>
          </cell>
          <cell r="E257" t="str">
            <v>C309637</v>
          </cell>
          <cell r="F257">
            <v>46143</v>
          </cell>
          <cell r="G257">
            <v>46507</v>
          </cell>
          <cell r="H257">
            <v>46179</v>
          </cell>
          <cell r="I257">
            <v>46179</v>
          </cell>
          <cell r="K257" t="str">
            <v>004078</v>
          </cell>
          <cell r="L257">
            <v>-99.39</v>
          </cell>
          <cell r="M257">
            <v>-99.39</v>
          </cell>
          <cell r="N257">
            <v>-99.39</v>
          </cell>
          <cell r="O257" t="str">
            <v>indiretto</v>
          </cell>
          <cell r="P257">
            <v>3</v>
          </cell>
          <cell r="Q257" t="str">
            <v>0.916558</v>
          </cell>
          <cell r="R257" t="str">
            <v>0.642623</v>
          </cell>
          <cell r="S257" t="str">
            <v>0.256196</v>
          </cell>
          <cell r="T257" t="str">
            <v>NO</v>
          </cell>
          <cell r="U257" t="str">
            <v>DELIBERAZIONE EGATO 29 19/12/2018</v>
          </cell>
        </row>
        <row r="258">
          <cell r="A258" t="str">
            <v>C314210</v>
          </cell>
          <cell r="B258">
            <v>202601307029416</v>
          </cell>
          <cell r="D258" t="str">
            <v>ATO4</v>
          </cell>
          <cell r="E258" t="str">
            <v>C314210</v>
          </cell>
          <cell r="F258">
            <v>46143</v>
          </cell>
          <cell r="G258">
            <v>46507</v>
          </cell>
          <cell r="H258">
            <v>46179</v>
          </cell>
          <cell r="I258">
            <v>46179</v>
          </cell>
          <cell r="K258" t="str">
            <v>004095</v>
          </cell>
          <cell r="L258">
            <v>-29.82</v>
          </cell>
          <cell r="M258">
            <v>-29.82</v>
          </cell>
          <cell r="N258">
            <v>-29.82</v>
          </cell>
          <cell r="O258" t="str">
            <v>indiretto</v>
          </cell>
          <cell r="P258">
            <v>1</v>
          </cell>
          <cell r="Q258" t="str">
            <v>0.824903</v>
          </cell>
          <cell r="R258" t="str">
            <v>0.578360</v>
          </cell>
          <cell r="S258" t="str">
            <v>0.230576</v>
          </cell>
          <cell r="T258" t="str">
            <v>NO</v>
          </cell>
          <cell r="U258" t="str">
            <v>DELIBERAZIONE EGATO 29 19/12/2018</v>
          </cell>
        </row>
        <row r="259">
          <cell r="A259" t="str">
            <v>C344277</v>
          </cell>
          <cell r="B259">
            <v>202601307030258</v>
          </cell>
          <cell r="D259" t="str">
            <v>ATO4</v>
          </cell>
          <cell r="E259" t="str">
            <v>C344277</v>
          </cell>
          <cell r="F259">
            <v>46143</v>
          </cell>
          <cell r="G259">
            <v>46507</v>
          </cell>
          <cell r="H259">
            <v>46179</v>
          </cell>
          <cell r="I259">
            <v>46179</v>
          </cell>
          <cell r="K259" t="str">
            <v>004225</v>
          </cell>
          <cell r="L259">
            <v>-33.130000000000003</v>
          </cell>
          <cell r="M259">
            <v>-33.130000000000003</v>
          </cell>
          <cell r="N259">
            <v>-33.130000000000003</v>
          </cell>
          <cell r="O259" t="str">
            <v>indiretto</v>
          </cell>
          <cell r="P259">
            <v>1</v>
          </cell>
          <cell r="Q259" t="str">
            <v>0.916558</v>
          </cell>
          <cell r="R259" t="str">
            <v>0.642623</v>
          </cell>
          <cell r="S259" t="str">
            <v>0.256196</v>
          </cell>
          <cell r="T259" t="str">
            <v>NO</v>
          </cell>
          <cell r="U259" t="str">
            <v>DELIBERAZIONE EGATO 29 19/12/2018</v>
          </cell>
        </row>
        <row r="260">
          <cell r="A260" t="str">
            <v>C320282</v>
          </cell>
          <cell r="B260">
            <v>202601307043734</v>
          </cell>
          <cell r="D260" t="str">
            <v>ATO4</v>
          </cell>
          <cell r="E260" t="str">
            <v>C320282</v>
          </cell>
          <cell r="F260">
            <v>46143</v>
          </cell>
          <cell r="G260">
            <v>46507</v>
          </cell>
          <cell r="H260">
            <v>46179</v>
          </cell>
          <cell r="I260">
            <v>46179</v>
          </cell>
          <cell r="K260" t="str">
            <v>004068</v>
          </cell>
          <cell r="L260">
            <v>-66.260000000000005</v>
          </cell>
          <cell r="M260">
            <v>-66.260000000000005</v>
          </cell>
          <cell r="N260">
            <v>-66.260000000000005</v>
          </cell>
          <cell r="O260" t="str">
            <v>indiretto</v>
          </cell>
          <cell r="P260">
            <v>2</v>
          </cell>
          <cell r="Q260" t="str">
            <v>0.916558</v>
          </cell>
          <cell r="R260" t="str">
            <v>0.642623</v>
          </cell>
          <cell r="S260" t="str">
            <v>0.256196</v>
          </cell>
          <cell r="T260" t="str">
            <v>NO</v>
          </cell>
          <cell r="U260" t="str">
            <v>DELIBERAZIONE EGATO 29 19/12/2018</v>
          </cell>
        </row>
        <row r="261">
          <cell r="A261" t="str">
            <v>C337545</v>
          </cell>
          <cell r="B261">
            <v>202601307053058</v>
          </cell>
          <cell r="D261" t="str">
            <v>ATO4</v>
          </cell>
          <cell r="E261" t="str">
            <v>C337545</v>
          </cell>
          <cell r="F261">
            <v>46143</v>
          </cell>
          <cell r="G261">
            <v>46507</v>
          </cell>
          <cell r="H261">
            <v>46179</v>
          </cell>
          <cell r="I261">
            <v>46179</v>
          </cell>
          <cell r="K261" t="str">
            <v>004078</v>
          </cell>
          <cell r="L261">
            <v>-33.130000000000003</v>
          </cell>
          <cell r="M261">
            <v>-33.130000000000003</v>
          </cell>
          <cell r="N261">
            <v>-33.130000000000003</v>
          </cell>
          <cell r="O261" t="str">
            <v>indiretto</v>
          </cell>
          <cell r="P261">
            <v>1</v>
          </cell>
          <cell r="Q261" t="str">
            <v>0.916558</v>
          </cell>
          <cell r="R261" t="str">
            <v>0.642623</v>
          </cell>
          <cell r="S261" t="str">
            <v>0.256196</v>
          </cell>
          <cell r="T261" t="str">
            <v>NO</v>
          </cell>
          <cell r="U261" t="str">
            <v>DELIBERAZIONE EGATO 29 19/12/2018</v>
          </cell>
        </row>
        <row r="262">
          <cell r="A262" t="str">
            <v>C344172</v>
          </cell>
          <cell r="B262">
            <v>202601307053652</v>
          </cell>
          <cell r="D262" t="str">
            <v>ATO4</v>
          </cell>
          <cell r="E262" t="str">
            <v>C344172</v>
          </cell>
          <cell r="F262">
            <v>46143</v>
          </cell>
          <cell r="G262">
            <v>46507</v>
          </cell>
          <cell r="H262">
            <v>46179</v>
          </cell>
          <cell r="I262">
            <v>46179</v>
          </cell>
          <cell r="K262" t="str">
            <v>004082</v>
          </cell>
          <cell r="L262">
            <v>-165.65</v>
          </cell>
          <cell r="M262">
            <v>-165.65</v>
          </cell>
          <cell r="N262">
            <v>-165.65</v>
          </cell>
          <cell r="O262" t="str">
            <v>indiretto</v>
          </cell>
          <cell r="P262">
            <v>5</v>
          </cell>
          <cell r="Q262" t="str">
            <v>0.916558</v>
          </cell>
          <cell r="R262" t="str">
            <v>0.642623</v>
          </cell>
          <cell r="S262" t="str">
            <v>0.256196</v>
          </cell>
          <cell r="T262" t="str">
            <v>NO</v>
          </cell>
          <cell r="U262" t="str">
            <v>DELIBERAZIONE EGATO 29 19/12/2018</v>
          </cell>
        </row>
        <row r="263">
          <cell r="A263" t="str">
            <v>C337528</v>
          </cell>
          <cell r="B263">
            <v>202601307055194</v>
          </cell>
          <cell r="D263" t="str">
            <v>ATO4</v>
          </cell>
          <cell r="E263" t="str">
            <v>C337528</v>
          </cell>
          <cell r="F263">
            <v>46143</v>
          </cell>
          <cell r="G263">
            <v>46507</v>
          </cell>
          <cell r="H263">
            <v>46179</v>
          </cell>
          <cell r="I263">
            <v>46179</v>
          </cell>
          <cell r="K263" t="str">
            <v>004163</v>
          </cell>
          <cell r="L263">
            <v>-132.52000000000001</v>
          </cell>
          <cell r="M263">
            <v>-132.52000000000001</v>
          </cell>
          <cell r="N263">
            <v>-132.52000000000001</v>
          </cell>
          <cell r="O263" t="str">
            <v>indiretto</v>
          </cell>
          <cell r="P263">
            <v>4</v>
          </cell>
          <cell r="Q263" t="str">
            <v>0.916558</v>
          </cell>
          <cell r="R263" t="str">
            <v>0.642623</v>
          </cell>
          <cell r="S263" t="str">
            <v>0.256196</v>
          </cell>
          <cell r="T263" t="str">
            <v>NO</v>
          </cell>
          <cell r="U263" t="str">
            <v>DELIBERAZIONE EGATO 29 19/12/2018</v>
          </cell>
        </row>
        <row r="264">
          <cell r="A264" t="str">
            <v>C344220</v>
          </cell>
          <cell r="B264">
            <v>202601307057958</v>
          </cell>
          <cell r="D264" t="str">
            <v>ATO4</v>
          </cell>
          <cell r="E264" t="str">
            <v>C344220</v>
          </cell>
          <cell r="F264">
            <v>46143</v>
          </cell>
          <cell r="G264">
            <v>46507</v>
          </cell>
          <cell r="H264">
            <v>46179</v>
          </cell>
          <cell r="I264">
            <v>46179</v>
          </cell>
          <cell r="K264" t="str">
            <v>004130</v>
          </cell>
          <cell r="L264">
            <v>-78.78</v>
          </cell>
          <cell r="M264">
            <v>-78.78</v>
          </cell>
          <cell r="N264">
            <v>-78.78</v>
          </cell>
          <cell r="O264" t="str">
            <v>indiretto</v>
          </cell>
          <cell r="P264">
            <v>3</v>
          </cell>
          <cell r="Q264" t="str">
            <v>0.545182</v>
          </cell>
          <cell r="R264" t="str">
            <v>0.611443</v>
          </cell>
          <cell r="S264" t="str">
            <v>0.282207</v>
          </cell>
          <cell r="T264" t="str">
            <v>NO</v>
          </cell>
          <cell r="U264" t="str">
            <v>DELIBERA EGATO N.29 DEL 19/12/2018</v>
          </cell>
        </row>
        <row r="265">
          <cell r="A265" t="str">
            <v>C317779</v>
          </cell>
          <cell r="B265">
            <v>202601307058010</v>
          </cell>
          <cell r="D265" t="str">
            <v>ATO4</v>
          </cell>
          <cell r="E265" t="str">
            <v>C317779</v>
          </cell>
          <cell r="F265">
            <v>46143</v>
          </cell>
          <cell r="G265">
            <v>46507</v>
          </cell>
          <cell r="H265">
            <v>46179</v>
          </cell>
          <cell r="I265">
            <v>46179</v>
          </cell>
          <cell r="K265" t="str">
            <v>004061</v>
          </cell>
          <cell r="L265">
            <v>-165.65</v>
          </cell>
          <cell r="M265">
            <v>-165.65</v>
          </cell>
          <cell r="N265">
            <v>-165.65</v>
          </cell>
          <cell r="O265" t="str">
            <v>indiretto</v>
          </cell>
          <cell r="P265">
            <v>5</v>
          </cell>
          <cell r="Q265" t="str">
            <v>0.916558</v>
          </cell>
          <cell r="R265" t="str">
            <v>0.642623</v>
          </cell>
          <cell r="S265" t="str">
            <v>0.256196</v>
          </cell>
          <cell r="T265" t="str">
            <v>NO</v>
          </cell>
          <cell r="U265" t="str">
            <v>DELIBERAZIONE EGATO 29 19/12/2018</v>
          </cell>
        </row>
        <row r="266">
          <cell r="A266" t="str">
            <v>C320322</v>
          </cell>
          <cell r="B266">
            <v>202601307065338</v>
          </cell>
          <cell r="D266" t="str">
            <v>ATO4</v>
          </cell>
          <cell r="E266" t="str">
            <v>C320322</v>
          </cell>
          <cell r="F266">
            <v>46143</v>
          </cell>
          <cell r="G266">
            <v>46507</v>
          </cell>
          <cell r="H266">
            <v>46179</v>
          </cell>
          <cell r="I266">
            <v>46179</v>
          </cell>
          <cell r="K266" t="str">
            <v>004082</v>
          </cell>
          <cell r="L266">
            <v>-33.130000000000003</v>
          </cell>
          <cell r="M266">
            <v>-33.130000000000003</v>
          </cell>
          <cell r="N266">
            <v>-33.130000000000003</v>
          </cell>
          <cell r="O266" t="str">
            <v>indiretto</v>
          </cell>
          <cell r="P266">
            <v>1</v>
          </cell>
          <cell r="Q266" t="str">
            <v>0.916558</v>
          </cell>
          <cell r="R266" t="str">
            <v>0.642623</v>
          </cell>
          <cell r="S266" t="str">
            <v>0.256196</v>
          </cell>
          <cell r="T266" t="str">
            <v>NO</v>
          </cell>
          <cell r="U266" t="str">
            <v>DELIBERAZIONE EGATO 29 19/12/2018</v>
          </cell>
        </row>
        <row r="267">
          <cell r="A267" t="str">
            <v>C344279</v>
          </cell>
          <cell r="B267">
            <v>202601307068265</v>
          </cell>
          <cell r="D267" t="str">
            <v>ATO4</v>
          </cell>
          <cell r="E267" t="str">
            <v>C344279</v>
          </cell>
          <cell r="F267">
            <v>46143</v>
          </cell>
          <cell r="G267">
            <v>46507</v>
          </cell>
          <cell r="H267">
            <v>46179</v>
          </cell>
          <cell r="I267">
            <v>46179</v>
          </cell>
          <cell r="K267" t="str">
            <v>004249</v>
          </cell>
          <cell r="L267">
            <v>-13.29</v>
          </cell>
          <cell r="M267">
            <v>-13.29</v>
          </cell>
          <cell r="N267">
            <v>-13.29</v>
          </cell>
          <cell r="O267" t="str">
            <v>indiretto</v>
          </cell>
          <cell r="P267">
            <v>1</v>
          </cell>
          <cell r="Q267" t="str">
            <v>0.222532</v>
          </cell>
          <cell r="R267" t="str">
            <v>0.366671</v>
          </cell>
          <cell r="S267" t="str">
            <v>0.139082</v>
          </cell>
          <cell r="T267" t="str">
            <v>NO</v>
          </cell>
          <cell r="U267" t="str">
            <v>DELIBERAZIONE EGATO 4 23/02/2023</v>
          </cell>
        </row>
        <row r="268">
          <cell r="A268" t="str">
            <v>C344261</v>
          </cell>
          <cell r="B268">
            <v>202601307073600</v>
          </cell>
          <cell r="D268" t="str">
            <v>ATO4</v>
          </cell>
          <cell r="E268" t="str">
            <v>C344261</v>
          </cell>
          <cell r="F268">
            <v>46143</v>
          </cell>
          <cell r="G268">
            <v>46507</v>
          </cell>
          <cell r="H268">
            <v>46179</v>
          </cell>
          <cell r="I268">
            <v>46179</v>
          </cell>
          <cell r="K268" t="str">
            <v>004012</v>
          </cell>
          <cell r="L268">
            <v>-73.86</v>
          </cell>
          <cell r="M268">
            <v>-73.86</v>
          </cell>
          <cell r="N268">
            <v>-73.86</v>
          </cell>
          <cell r="O268" t="str">
            <v>indiretto</v>
          </cell>
          <cell r="P268">
            <v>3</v>
          </cell>
          <cell r="Q268" t="str">
            <v>0.716943</v>
          </cell>
          <cell r="R268" t="str">
            <v>0.463071</v>
          </cell>
          <cell r="S268" t="str">
            <v>0.169064</v>
          </cell>
          <cell r="T268" t="str">
            <v>NO</v>
          </cell>
          <cell r="U268" t="str">
            <v>DELIBERAZIONE EGATO 2 04/02/2019</v>
          </cell>
        </row>
        <row r="269">
          <cell r="A269" t="str">
            <v>C344272</v>
          </cell>
          <cell r="B269">
            <v>202601307075584</v>
          </cell>
          <cell r="D269" t="str">
            <v>ATO4</v>
          </cell>
          <cell r="E269" t="str">
            <v>C344272</v>
          </cell>
          <cell r="F269">
            <v>46143</v>
          </cell>
          <cell r="G269">
            <v>46507</v>
          </cell>
          <cell r="H269">
            <v>46179</v>
          </cell>
          <cell r="I269">
            <v>46179</v>
          </cell>
          <cell r="K269" t="str">
            <v>004130</v>
          </cell>
          <cell r="L269">
            <v>-52.52</v>
          </cell>
          <cell r="M269">
            <v>-52.52</v>
          </cell>
          <cell r="N269">
            <v>-52.52</v>
          </cell>
          <cell r="O269" t="str">
            <v>indiretto</v>
          </cell>
          <cell r="P269">
            <v>2</v>
          </cell>
          <cell r="Q269" t="str">
            <v>0.545182</v>
          </cell>
          <cell r="R269" t="str">
            <v>0.611443</v>
          </cell>
          <cell r="S269" t="str">
            <v>0.282207</v>
          </cell>
          <cell r="T269" t="str">
            <v>NO</v>
          </cell>
          <cell r="U269" t="str">
            <v>DELIBERA EGATO N.29 DEL 19/12/2018</v>
          </cell>
        </row>
        <row r="270">
          <cell r="A270" t="str">
            <v>C344174</v>
          </cell>
          <cell r="B270">
            <v>202601307077091</v>
          </cell>
          <cell r="D270" t="str">
            <v>ATO4</v>
          </cell>
          <cell r="E270" t="str">
            <v>C344174</v>
          </cell>
          <cell r="F270">
            <v>46143</v>
          </cell>
          <cell r="G270">
            <v>46507</v>
          </cell>
          <cell r="H270">
            <v>46179</v>
          </cell>
          <cell r="I270">
            <v>46179</v>
          </cell>
          <cell r="K270" t="str">
            <v>004028</v>
          </cell>
          <cell r="L270">
            <v>-66.260000000000005</v>
          </cell>
          <cell r="M270">
            <v>-66.260000000000005</v>
          </cell>
          <cell r="N270">
            <v>-66.260000000000005</v>
          </cell>
          <cell r="O270" t="str">
            <v>indiretto</v>
          </cell>
          <cell r="P270">
            <v>2</v>
          </cell>
          <cell r="Q270" t="str">
            <v>0.916558</v>
          </cell>
          <cell r="R270" t="str">
            <v>0.642623</v>
          </cell>
          <cell r="S270" t="str">
            <v>0.256196</v>
          </cell>
          <cell r="T270" t="str">
            <v>NO</v>
          </cell>
          <cell r="U270" t="str">
            <v>DELIBERAZIONE EGATO 29 19/12/2018</v>
          </cell>
        </row>
        <row r="271">
          <cell r="A271" t="str">
            <v>C312889</v>
          </cell>
          <cell r="B271">
            <v>202601307079883</v>
          </cell>
          <cell r="D271" t="str">
            <v>ATO4</v>
          </cell>
          <cell r="E271" t="str">
            <v>C312889</v>
          </cell>
          <cell r="F271">
            <v>46143</v>
          </cell>
          <cell r="G271">
            <v>46507</v>
          </cell>
          <cell r="H271">
            <v>46179</v>
          </cell>
          <cell r="I271">
            <v>46179</v>
          </cell>
          <cell r="K271" t="str">
            <v>004192</v>
          </cell>
          <cell r="L271">
            <v>-66.260000000000005</v>
          </cell>
          <cell r="M271">
            <v>-66.260000000000005</v>
          </cell>
          <cell r="N271">
            <v>-66.260000000000005</v>
          </cell>
          <cell r="O271" t="str">
            <v>indiretto</v>
          </cell>
          <cell r="P271">
            <v>2</v>
          </cell>
          <cell r="Q271" t="str">
            <v>0.916558</v>
          </cell>
          <cell r="R271" t="str">
            <v>0.642623</v>
          </cell>
          <cell r="S271" t="str">
            <v>0.256196</v>
          </cell>
          <cell r="T271" t="str">
            <v>NO</v>
          </cell>
          <cell r="U271" t="str">
            <v>DELIBERAZIONE EGATO 29 19/12/2018</v>
          </cell>
        </row>
        <row r="272">
          <cell r="A272" t="str">
            <v>C344260</v>
          </cell>
          <cell r="B272">
            <v>202601307081654</v>
          </cell>
          <cell r="D272" t="str">
            <v>ATO4</v>
          </cell>
          <cell r="E272" t="str">
            <v>C344260</v>
          </cell>
          <cell r="F272">
            <v>46143</v>
          </cell>
          <cell r="G272">
            <v>46507</v>
          </cell>
          <cell r="H272">
            <v>46179</v>
          </cell>
          <cell r="I272">
            <v>46179</v>
          </cell>
          <cell r="K272" t="str">
            <v>004107</v>
          </cell>
          <cell r="L272">
            <v>-115.98</v>
          </cell>
          <cell r="M272">
            <v>-115.98</v>
          </cell>
          <cell r="N272">
            <v>-115.98</v>
          </cell>
          <cell r="O272" t="str">
            <v>indiretto</v>
          </cell>
          <cell r="P272">
            <v>3</v>
          </cell>
          <cell r="Q272">
            <v>1091278</v>
          </cell>
          <cell r="R272" t="str">
            <v>0.730790</v>
          </cell>
          <cell r="S272" t="str">
            <v>0.296264</v>
          </cell>
          <cell r="T272" t="str">
            <v>NO</v>
          </cell>
          <cell r="U272" t="str">
            <v>DELIBERAZIONE EGATO 2 04/02/2019</v>
          </cell>
        </row>
        <row r="273">
          <cell r="A273" t="str">
            <v>C313061</v>
          </cell>
          <cell r="B273">
            <v>202601307081674</v>
          </cell>
          <cell r="D273" t="str">
            <v>ATO4</v>
          </cell>
          <cell r="E273" t="str">
            <v>C313061</v>
          </cell>
          <cell r="F273">
            <v>46143</v>
          </cell>
          <cell r="G273">
            <v>46507</v>
          </cell>
          <cell r="H273">
            <v>46179</v>
          </cell>
          <cell r="I273">
            <v>46179</v>
          </cell>
          <cell r="K273" t="str">
            <v>004012</v>
          </cell>
          <cell r="L273">
            <v>-123.1</v>
          </cell>
          <cell r="M273">
            <v>-123.1</v>
          </cell>
          <cell r="N273">
            <v>-123.1</v>
          </cell>
          <cell r="O273" t="str">
            <v>indiretto</v>
          </cell>
          <cell r="P273">
            <v>5</v>
          </cell>
          <cell r="Q273" t="str">
            <v>0.716943</v>
          </cell>
          <cell r="R273" t="str">
            <v>0.463071</v>
          </cell>
          <cell r="S273" t="str">
            <v>0.169064</v>
          </cell>
          <cell r="T273" t="str">
            <v>NO</v>
          </cell>
          <cell r="U273" t="str">
            <v>DELIBERAZIONE EGATO 2 04/02/2019</v>
          </cell>
        </row>
        <row r="274">
          <cell r="A274" t="str">
            <v>C344280</v>
          </cell>
          <cell r="B274">
            <v>202601307089267</v>
          </cell>
          <cell r="D274" t="str">
            <v>ATO4</v>
          </cell>
          <cell r="E274" t="str">
            <v>C344280</v>
          </cell>
          <cell r="F274">
            <v>46143</v>
          </cell>
          <cell r="G274">
            <v>46507</v>
          </cell>
          <cell r="H274">
            <v>46179</v>
          </cell>
          <cell r="I274">
            <v>46179</v>
          </cell>
          <cell r="K274" t="str">
            <v>004243</v>
          </cell>
          <cell r="L274">
            <v>-66.260000000000005</v>
          </cell>
          <cell r="M274">
            <v>-66.260000000000005</v>
          </cell>
          <cell r="N274">
            <v>-66.260000000000005</v>
          </cell>
          <cell r="O274" t="str">
            <v>indiretto</v>
          </cell>
          <cell r="P274">
            <v>2</v>
          </cell>
          <cell r="Q274" t="str">
            <v>0.916558</v>
          </cell>
          <cell r="R274" t="str">
            <v>0.642623</v>
          </cell>
          <cell r="S274" t="str">
            <v>0.256196</v>
          </cell>
          <cell r="T274" t="str">
            <v>NO</v>
          </cell>
          <cell r="U274" t="str">
            <v>DELIBERAZIONE EGATO 29 19/12/2018</v>
          </cell>
        </row>
        <row r="275">
          <cell r="A275" t="str">
            <v>C310090</v>
          </cell>
          <cell r="B275">
            <v>202601307091316</v>
          </cell>
          <cell r="D275" t="str">
            <v>ATO4</v>
          </cell>
          <cell r="E275" t="str">
            <v>C310090</v>
          </cell>
          <cell r="F275">
            <v>46143</v>
          </cell>
          <cell r="G275">
            <v>46507</v>
          </cell>
          <cell r="H275">
            <v>46179</v>
          </cell>
          <cell r="I275">
            <v>46179</v>
          </cell>
          <cell r="K275" t="str">
            <v>004078</v>
          </cell>
          <cell r="L275">
            <v>-66.260000000000005</v>
          </cell>
          <cell r="M275">
            <v>-66.260000000000005</v>
          </cell>
          <cell r="N275">
            <v>-66.260000000000005</v>
          </cell>
          <cell r="O275" t="str">
            <v>indiretto</v>
          </cell>
          <cell r="P275">
            <v>2</v>
          </cell>
          <cell r="Q275" t="str">
            <v>0.916558</v>
          </cell>
          <cell r="R275" t="str">
            <v>0.642623</v>
          </cell>
          <cell r="S275" t="str">
            <v>0.256196</v>
          </cell>
          <cell r="T275" t="str">
            <v>NO</v>
          </cell>
          <cell r="U275" t="str">
            <v>DELIBERAZIONE EGATO 29 19/12/2018</v>
          </cell>
        </row>
        <row r="276">
          <cell r="A276" t="str">
            <v>C320317</v>
          </cell>
          <cell r="B276">
            <v>202601307097605</v>
          </cell>
          <cell r="D276" t="str">
            <v>ATO4</v>
          </cell>
          <cell r="E276" t="str">
            <v>C320317</v>
          </cell>
          <cell r="F276">
            <v>46143</v>
          </cell>
          <cell r="G276">
            <v>46507</v>
          </cell>
          <cell r="H276">
            <v>46179</v>
          </cell>
          <cell r="I276">
            <v>46179</v>
          </cell>
          <cell r="K276" t="str">
            <v>004180</v>
          </cell>
          <cell r="L276">
            <v>-23.97</v>
          </cell>
          <cell r="M276">
            <v>-23.97</v>
          </cell>
          <cell r="N276">
            <v>-23.97</v>
          </cell>
          <cell r="O276" t="str">
            <v>indiretto</v>
          </cell>
          <cell r="P276">
            <v>1</v>
          </cell>
          <cell r="Q276" t="str">
            <v>0.721337</v>
          </cell>
          <cell r="R276" t="str">
            <v>0.441600</v>
          </cell>
          <cell r="S276" t="str">
            <v>0.150394</v>
          </cell>
          <cell r="T276" t="str">
            <v>NO</v>
          </cell>
          <cell r="U276" t="str">
            <v>DELIBERAZIONE EGATO 2 04/02/2019</v>
          </cell>
        </row>
        <row r="277">
          <cell r="A277" t="str">
            <v>C344173</v>
          </cell>
          <cell r="B277">
            <v>202601307100742</v>
          </cell>
          <cell r="D277" t="str">
            <v>ATO4</v>
          </cell>
          <cell r="E277" t="str">
            <v>C344173</v>
          </cell>
          <cell r="F277">
            <v>46143</v>
          </cell>
          <cell r="G277">
            <v>46507</v>
          </cell>
          <cell r="H277">
            <v>46179</v>
          </cell>
          <cell r="I277">
            <v>46179</v>
          </cell>
          <cell r="K277" t="str">
            <v>004132</v>
          </cell>
          <cell r="L277">
            <v>-76.58</v>
          </cell>
          <cell r="M277">
            <v>-76.58</v>
          </cell>
          <cell r="N277">
            <v>-76.58</v>
          </cell>
          <cell r="O277" t="str">
            <v>indiretto</v>
          </cell>
          <cell r="P277">
            <v>2</v>
          </cell>
          <cell r="Q277">
            <v>1091278</v>
          </cell>
          <cell r="R277" t="str">
            <v>0.746975</v>
          </cell>
          <cell r="S277" t="str">
            <v>0.259818</v>
          </cell>
          <cell r="T277" t="str">
            <v>NO</v>
          </cell>
          <cell r="U277" t="str">
            <v>DELIBERAZIONE EGATO 2 04/02/2019</v>
          </cell>
        </row>
        <row r="278">
          <cell r="A278" t="str">
            <v>C344230</v>
          </cell>
          <cell r="B278">
            <v>202601307110939</v>
          </cell>
          <cell r="D278" t="str">
            <v>ATO4</v>
          </cell>
          <cell r="E278" t="str">
            <v>C344230</v>
          </cell>
          <cell r="F278">
            <v>46143</v>
          </cell>
          <cell r="G278">
            <v>46507</v>
          </cell>
          <cell r="H278">
            <v>46179</v>
          </cell>
          <cell r="I278">
            <v>46179</v>
          </cell>
          <cell r="K278" t="str">
            <v>004130</v>
          </cell>
          <cell r="L278">
            <v>-26.26</v>
          </cell>
          <cell r="M278">
            <v>-26.26</v>
          </cell>
          <cell r="N278">
            <v>-26.26</v>
          </cell>
          <cell r="O278" t="str">
            <v>indiretto</v>
          </cell>
          <cell r="P278">
            <v>1</v>
          </cell>
          <cell r="Q278" t="str">
            <v>0.545182</v>
          </cell>
          <cell r="R278" t="str">
            <v>0.611443</v>
          </cell>
          <cell r="S278" t="str">
            <v>0.282207</v>
          </cell>
          <cell r="T278" t="str">
            <v>NO</v>
          </cell>
          <cell r="U278" t="str">
            <v>DELIBERA EGATO N.29 DEL 19/12/2018</v>
          </cell>
        </row>
        <row r="279">
          <cell r="A279" t="str">
            <v>C344221</v>
          </cell>
          <cell r="B279">
            <v>202601307113896</v>
          </cell>
          <cell r="D279" t="str">
            <v>ATO4</v>
          </cell>
          <cell r="E279" t="str">
            <v>C344221</v>
          </cell>
          <cell r="F279">
            <v>46143</v>
          </cell>
          <cell r="G279">
            <v>46507</v>
          </cell>
          <cell r="H279">
            <v>46179</v>
          </cell>
          <cell r="I279">
            <v>46179</v>
          </cell>
          <cell r="K279" t="str">
            <v>004040</v>
          </cell>
          <cell r="L279">
            <v>-33.130000000000003</v>
          </cell>
          <cell r="M279">
            <v>-33.130000000000003</v>
          </cell>
          <cell r="N279">
            <v>-33.130000000000003</v>
          </cell>
          <cell r="O279" t="str">
            <v>indiretto</v>
          </cell>
          <cell r="P279">
            <v>1</v>
          </cell>
          <cell r="Q279" t="str">
            <v>0.916558</v>
          </cell>
          <cell r="R279" t="str">
            <v>0.642623</v>
          </cell>
          <cell r="S279" t="str">
            <v>0.256196</v>
          </cell>
          <cell r="T279" t="str">
            <v>NO</v>
          </cell>
          <cell r="U279" t="str">
            <v>DELIBERAZIONE EGATO 29 19/12/2018</v>
          </cell>
        </row>
        <row r="280">
          <cell r="A280" t="str">
            <v>C344222</v>
          </cell>
          <cell r="B280">
            <v>202601307115344</v>
          </cell>
          <cell r="D280" t="str">
            <v>ATO4</v>
          </cell>
          <cell r="E280" t="str">
            <v>C344222</v>
          </cell>
          <cell r="F280">
            <v>46143</v>
          </cell>
          <cell r="G280">
            <v>46507</v>
          </cell>
          <cell r="H280">
            <v>46179</v>
          </cell>
          <cell r="I280">
            <v>46179</v>
          </cell>
          <cell r="K280" t="str">
            <v>004081</v>
          </cell>
          <cell r="L280">
            <v>-151.79</v>
          </cell>
          <cell r="M280">
            <v>-151.79</v>
          </cell>
          <cell r="N280">
            <v>-151.79</v>
          </cell>
          <cell r="O280" t="str">
            <v>indiretto</v>
          </cell>
          <cell r="P280">
            <v>4</v>
          </cell>
          <cell r="Q280">
            <v>1091278</v>
          </cell>
          <cell r="R280" t="str">
            <v>0.691798</v>
          </cell>
          <cell r="S280" t="str">
            <v>0.296264</v>
          </cell>
          <cell r="T280" t="str">
            <v>NO</v>
          </cell>
          <cell r="U280" t="str">
            <v>DELIBERAZIONE EGATO 2 04/02/2019</v>
          </cell>
        </row>
        <row r="281">
          <cell r="A281" t="str">
            <v>C311085</v>
          </cell>
          <cell r="B281">
            <v>202601307122859</v>
          </cell>
          <cell r="D281" t="str">
            <v>ATO4</v>
          </cell>
          <cell r="E281" t="str">
            <v>C311085</v>
          </cell>
          <cell r="F281">
            <v>46143</v>
          </cell>
          <cell r="G281">
            <v>46507</v>
          </cell>
          <cell r="H281">
            <v>46179</v>
          </cell>
          <cell r="I281">
            <v>46179</v>
          </cell>
          <cell r="K281" t="str">
            <v>004028</v>
          </cell>
          <cell r="L281">
            <v>-66.260000000000005</v>
          </cell>
          <cell r="M281">
            <v>-66.260000000000005</v>
          </cell>
          <cell r="N281">
            <v>-66.260000000000005</v>
          </cell>
          <cell r="O281" t="str">
            <v>indiretto</v>
          </cell>
          <cell r="P281">
            <v>2</v>
          </cell>
          <cell r="Q281" t="str">
            <v>0.916558</v>
          </cell>
          <cell r="R281" t="str">
            <v>0.642623</v>
          </cell>
          <cell r="S281" t="str">
            <v>0.256196</v>
          </cell>
          <cell r="T281" t="str">
            <v>NO</v>
          </cell>
          <cell r="U281" t="str">
            <v>DELIBERAZIONE EGATO 29 19/12/2018</v>
          </cell>
        </row>
        <row r="282">
          <cell r="A282" t="str">
            <v>C320296</v>
          </cell>
          <cell r="B282">
            <v>202601307127619</v>
          </cell>
          <cell r="D282" t="str">
            <v>ATO4</v>
          </cell>
          <cell r="E282" t="str">
            <v>C320296</v>
          </cell>
          <cell r="F282">
            <v>46143</v>
          </cell>
          <cell r="G282">
            <v>46507</v>
          </cell>
          <cell r="H282">
            <v>46179</v>
          </cell>
          <cell r="I282">
            <v>46179</v>
          </cell>
          <cell r="K282" t="str">
            <v>004163</v>
          </cell>
          <cell r="L282">
            <v>-198.78</v>
          </cell>
          <cell r="M282">
            <v>-198.78</v>
          </cell>
          <cell r="N282">
            <v>-198.78</v>
          </cell>
          <cell r="O282" t="str">
            <v>indiretto</v>
          </cell>
          <cell r="P282">
            <v>6</v>
          </cell>
          <cell r="Q282" t="str">
            <v>0.916558</v>
          </cell>
          <cell r="R282" t="str">
            <v>0.642623</v>
          </cell>
          <cell r="S282" t="str">
            <v>0.256196</v>
          </cell>
          <cell r="T282" t="str">
            <v>NO</v>
          </cell>
          <cell r="U282" t="str">
            <v>DELIBERAZIONE EGATO 29 19/12/2018</v>
          </cell>
        </row>
        <row r="283">
          <cell r="A283" t="str">
            <v>C344229</v>
          </cell>
          <cell r="B283">
            <v>202601307127623</v>
          </cell>
          <cell r="D283" t="str">
            <v>ATO4</v>
          </cell>
          <cell r="E283" t="str">
            <v>C344229</v>
          </cell>
          <cell r="F283">
            <v>46143</v>
          </cell>
          <cell r="G283">
            <v>46507</v>
          </cell>
          <cell r="H283">
            <v>46179</v>
          </cell>
          <cell r="I283">
            <v>46179</v>
          </cell>
          <cell r="K283" t="str">
            <v>004078</v>
          </cell>
          <cell r="L283">
            <v>-33.130000000000003</v>
          </cell>
          <cell r="M283">
            <v>-33.130000000000003</v>
          </cell>
          <cell r="N283">
            <v>-33.130000000000003</v>
          </cell>
          <cell r="O283" t="str">
            <v>indiretto</v>
          </cell>
          <cell r="P283">
            <v>1</v>
          </cell>
          <cell r="Q283" t="str">
            <v>0.916558</v>
          </cell>
          <cell r="R283" t="str">
            <v>0.642623</v>
          </cell>
          <cell r="S283" t="str">
            <v>0.256196</v>
          </cell>
          <cell r="T283" t="str">
            <v>NO</v>
          </cell>
          <cell r="U283" t="str">
            <v>DELIBERAZIONE EGATO 29 19/12/2018</v>
          </cell>
        </row>
        <row r="284">
          <cell r="A284" t="str">
            <v>C344307</v>
          </cell>
          <cell r="B284">
            <v>202601307132586</v>
          </cell>
          <cell r="D284" t="str">
            <v>ATO4</v>
          </cell>
          <cell r="E284" t="str">
            <v>C344307</v>
          </cell>
          <cell r="F284">
            <v>46143</v>
          </cell>
          <cell r="G284">
            <v>46507</v>
          </cell>
          <cell r="H284">
            <v>46179</v>
          </cell>
          <cell r="I284">
            <v>46179</v>
          </cell>
          <cell r="K284" t="str">
            <v>004078</v>
          </cell>
          <cell r="L284">
            <v>-33.130000000000003</v>
          </cell>
          <cell r="M284">
            <v>-33.130000000000003</v>
          </cell>
          <cell r="N284">
            <v>-33.130000000000003</v>
          </cell>
          <cell r="O284" t="str">
            <v>indiretto</v>
          </cell>
          <cell r="P284">
            <v>1</v>
          </cell>
          <cell r="Q284" t="str">
            <v>0.916558</v>
          </cell>
          <cell r="R284" t="str">
            <v>0.642623</v>
          </cell>
          <cell r="S284" t="str">
            <v>0.256196</v>
          </cell>
          <cell r="T284" t="str">
            <v>NO</v>
          </cell>
          <cell r="U284" t="str">
            <v>DELIBERAZIONE EGATO 29 19/12/2018</v>
          </cell>
        </row>
        <row r="285">
          <cell r="A285" t="str">
            <v>C320041</v>
          </cell>
          <cell r="B285">
            <v>202601307143785</v>
          </cell>
          <cell r="D285" t="str">
            <v>ATO4</v>
          </cell>
          <cell r="E285" t="str">
            <v>C320041</v>
          </cell>
          <cell r="F285">
            <v>46143</v>
          </cell>
          <cell r="G285">
            <v>46507</v>
          </cell>
          <cell r="H285">
            <v>46179</v>
          </cell>
          <cell r="I285">
            <v>46179</v>
          </cell>
          <cell r="K285" t="str">
            <v>004078</v>
          </cell>
          <cell r="L285">
            <v>-33.130000000000003</v>
          </cell>
          <cell r="M285">
            <v>-33.130000000000003</v>
          </cell>
          <cell r="N285">
            <v>-33.130000000000003</v>
          </cell>
          <cell r="O285" t="str">
            <v>indiretto</v>
          </cell>
          <cell r="P285">
            <v>1</v>
          </cell>
          <cell r="Q285" t="str">
            <v>0.916558</v>
          </cell>
          <cell r="R285" t="str">
            <v>0.642623</v>
          </cell>
          <cell r="S285" t="str">
            <v>0.256196</v>
          </cell>
          <cell r="T285" t="str">
            <v>NO</v>
          </cell>
          <cell r="U285" t="str">
            <v>DELIBERAZIONE EGATO 29 19/12/2018</v>
          </cell>
        </row>
        <row r="286">
          <cell r="A286" t="str">
            <v>C319970</v>
          </cell>
          <cell r="B286">
            <v>202601307150862</v>
          </cell>
          <cell r="D286" t="str">
            <v>ATO4</v>
          </cell>
          <cell r="E286" t="str">
            <v>C319970</v>
          </cell>
          <cell r="F286">
            <v>46143</v>
          </cell>
          <cell r="G286">
            <v>46507</v>
          </cell>
          <cell r="H286">
            <v>46179</v>
          </cell>
          <cell r="I286">
            <v>46179</v>
          </cell>
          <cell r="K286" t="str">
            <v>004064</v>
          </cell>
          <cell r="L286">
            <v>-99.39</v>
          </cell>
          <cell r="M286">
            <v>-99.39</v>
          </cell>
          <cell r="N286">
            <v>-99.39</v>
          </cell>
          <cell r="O286" t="str">
            <v>indiretto</v>
          </cell>
          <cell r="P286">
            <v>3</v>
          </cell>
          <cell r="Q286" t="str">
            <v>0.916558</v>
          </cell>
          <cell r="R286" t="str">
            <v>0.642623</v>
          </cell>
          <cell r="S286" t="str">
            <v>0.256196</v>
          </cell>
          <cell r="T286" t="str">
            <v>NO</v>
          </cell>
          <cell r="U286" t="str">
            <v>DELIBERAZIONE EGATO 29 19/12/2018</v>
          </cell>
        </row>
        <row r="287">
          <cell r="A287" t="str">
            <v>C344305</v>
          </cell>
          <cell r="B287">
            <v>202601307151277</v>
          </cell>
          <cell r="D287" t="str">
            <v>ATO4</v>
          </cell>
          <cell r="E287" t="str">
            <v>C344305</v>
          </cell>
          <cell r="F287">
            <v>46143</v>
          </cell>
          <cell r="G287">
            <v>46507</v>
          </cell>
          <cell r="H287">
            <v>46179</v>
          </cell>
          <cell r="I287">
            <v>46179</v>
          </cell>
          <cell r="K287" t="str">
            <v>004208</v>
          </cell>
          <cell r="L287">
            <v>-105.33</v>
          </cell>
          <cell r="M287">
            <v>-105.33</v>
          </cell>
          <cell r="N287">
            <v>-105.33</v>
          </cell>
          <cell r="O287" t="str">
            <v>indiretto</v>
          </cell>
          <cell r="P287">
            <v>3</v>
          </cell>
          <cell r="Q287">
            <v>1193061</v>
          </cell>
          <cell r="R287" t="str">
            <v>0.545393</v>
          </cell>
          <cell r="S287" t="str">
            <v>0.185433</v>
          </cell>
          <cell r="T287" t="str">
            <v>NO</v>
          </cell>
          <cell r="U287" t="str">
            <v>DELIBERAZIONE EGATO 11 27/03/2019</v>
          </cell>
        </row>
        <row r="288">
          <cell r="A288" t="str">
            <v>C119725</v>
          </cell>
          <cell r="B288">
            <v>202601307157949</v>
          </cell>
          <cell r="D288" t="str">
            <v>ATO4</v>
          </cell>
          <cell r="E288" t="str">
            <v>C119725</v>
          </cell>
          <cell r="F288">
            <v>46143</v>
          </cell>
          <cell r="G288">
            <v>46507</v>
          </cell>
          <cell r="H288">
            <v>46179</v>
          </cell>
          <cell r="I288">
            <v>46179</v>
          </cell>
          <cell r="K288" t="str">
            <v>004078</v>
          </cell>
          <cell r="L288">
            <v>-33.130000000000003</v>
          </cell>
          <cell r="M288">
            <v>-33.130000000000003</v>
          </cell>
          <cell r="N288">
            <v>-33.130000000000003</v>
          </cell>
          <cell r="O288" t="str">
            <v>indiretto</v>
          </cell>
          <cell r="P288">
            <v>1</v>
          </cell>
          <cell r="Q288" t="str">
            <v>0.916558</v>
          </cell>
          <cell r="R288" t="str">
            <v>0.642623</v>
          </cell>
          <cell r="S288" t="str">
            <v>0.256196</v>
          </cell>
          <cell r="T288" t="str">
            <v>NO</v>
          </cell>
          <cell r="U288" t="str">
            <v>DELIBERAZIONE EGATO 29 19/12/2018</v>
          </cell>
        </row>
        <row r="289">
          <cell r="A289" t="str">
            <v>C089131</v>
          </cell>
          <cell r="B289">
            <v>202601307165374</v>
          </cell>
          <cell r="D289" t="str">
            <v>ATO4</v>
          </cell>
          <cell r="E289" t="str">
            <v>C089131</v>
          </cell>
          <cell r="F289">
            <v>46143</v>
          </cell>
          <cell r="G289">
            <v>46507</v>
          </cell>
          <cell r="H289">
            <v>46179</v>
          </cell>
          <cell r="I289">
            <v>46179</v>
          </cell>
          <cell r="K289" t="str">
            <v>004078</v>
          </cell>
          <cell r="L289">
            <v>-231.91</v>
          </cell>
          <cell r="M289">
            <v>-231.91</v>
          </cell>
          <cell r="N289">
            <v>-231.91</v>
          </cell>
          <cell r="O289" t="str">
            <v>indiretto</v>
          </cell>
          <cell r="P289">
            <v>7</v>
          </cell>
          <cell r="Q289" t="str">
            <v>0.916558</v>
          </cell>
          <cell r="R289" t="str">
            <v>0.642623</v>
          </cell>
          <cell r="S289" t="str">
            <v>0.256196</v>
          </cell>
          <cell r="T289" t="str">
            <v>NO</v>
          </cell>
          <cell r="U289" t="str">
            <v>DELIBERAZIONE EGATO 29 19/12/2018</v>
          </cell>
        </row>
        <row r="290">
          <cell r="A290" t="str">
            <v>C313983</v>
          </cell>
          <cell r="B290">
            <v>202601307172545</v>
          </cell>
          <cell r="D290" t="str">
            <v>ATO4</v>
          </cell>
          <cell r="E290" t="str">
            <v>C313983</v>
          </cell>
          <cell r="F290">
            <v>46143</v>
          </cell>
          <cell r="G290">
            <v>46507</v>
          </cell>
          <cell r="H290">
            <v>46179</v>
          </cell>
          <cell r="I290">
            <v>46179</v>
          </cell>
          <cell r="K290" t="str">
            <v>004061</v>
          </cell>
          <cell r="L290">
            <v>-165.65</v>
          </cell>
          <cell r="M290">
            <v>-165.65</v>
          </cell>
          <cell r="N290">
            <v>-165.65</v>
          </cell>
          <cell r="O290" t="str">
            <v>indiretto</v>
          </cell>
          <cell r="P290">
            <v>5</v>
          </cell>
          <cell r="Q290" t="str">
            <v>0.916558</v>
          </cell>
          <cell r="R290" t="str">
            <v>0.642623</v>
          </cell>
          <cell r="S290" t="str">
            <v>0.256196</v>
          </cell>
          <cell r="T290" t="str">
            <v>NO</v>
          </cell>
          <cell r="U290" t="str">
            <v>DELIBERAZIONE EGATO 29 19/12/2018</v>
          </cell>
        </row>
        <row r="291">
          <cell r="A291" t="str">
            <v>C314347</v>
          </cell>
          <cell r="B291">
            <v>202601307174634</v>
          </cell>
          <cell r="D291" t="str">
            <v>ATO4</v>
          </cell>
          <cell r="E291" t="str">
            <v>C314347</v>
          </cell>
          <cell r="F291">
            <v>46143</v>
          </cell>
          <cell r="G291">
            <v>46507</v>
          </cell>
          <cell r="H291">
            <v>46179</v>
          </cell>
          <cell r="I291">
            <v>46179</v>
          </cell>
          <cell r="K291" t="str">
            <v>004078</v>
          </cell>
          <cell r="L291">
            <v>-99.39</v>
          </cell>
          <cell r="M291">
            <v>-99.39</v>
          </cell>
          <cell r="N291">
            <v>-99.39</v>
          </cell>
          <cell r="O291" t="str">
            <v>indiretto</v>
          </cell>
          <cell r="P291">
            <v>3</v>
          </cell>
          <cell r="Q291" t="str">
            <v>0.916558</v>
          </cell>
          <cell r="R291" t="str">
            <v>0.642623</v>
          </cell>
          <cell r="S291" t="str">
            <v>0.256196</v>
          </cell>
          <cell r="T291" t="str">
            <v>NO</v>
          </cell>
          <cell r="U291" t="str">
            <v>DELIBERAZIONE EGATO 29 19/12/2018</v>
          </cell>
        </row>
        <row r="292">
          <cell r="A292" t="str">
            <v>C344196</v>
          </cell>
          <cell r="B292">
            <v>202601307180084</v>
          </cell>
          <cell r="D292" t="str">
            <v>ATO4</v>
          </cell>
          <cell r="E292" t="str">
            <v>C344196</v>
          </cell>
          <cell r="F292">
            <v>46143</v>
          </cell>
          <cell r="G292">
            <v>46507</v>
          </cell>
          <cell r="H292">
            <v>46179</v>
          </cell>
          <cell r="I292">
            <v>46179</v>
          </cell>
          <cell r="K292" t="str">
            <v>004104</v>
          </cell>
          <cell r="L292">
            <v>-23.97</v>
          </cell>
          <cell r="M292">
            <v>-23.97</v>
          </cell>
          <cell r="N292">
            <v>-23.97</v>
          </cell>
          <cell r="O292" t="str">
            <v>indiretto</v>
          </cell>
          <cell r="P292">
            <v>1</v>
          </cell>
          <cell r="Q292" t="str">
            <v>0.721337</v>
          </cell>
          <cell r="R292" t="str">
            <v>0.441600</v>
          </cell>
          <cell r="S292" t="str">
            <v>0.150394</v>
          </cell>
          <cell r="T292" t="str">
            <v>NO</v>
          </cell>
          <cell r="U292" t="str">
            <v>DELIBERAZIONE EGATO 2 04/02/2019</v>
          </cell>
        </row>
        <row r="293">
          <cell r="A293" t="str">
            <v>C320518</v>
          </cell>
          <cell r="B293">
            <v>202601307181633</v>
          </cell>
          <cell r="D293" t="str">
            <v>ATO4</v>
          </cell>
          <cell r="E293" t="str">
            <v>C320518</v>
          </cell>
          <cell r="F293">
            <v>46143</v>
          </cell>
          <cell r="G293">
            <v>46507</v>
          </cell>
          <cell r="H293">
            <v>46179</v>
          </cell>
          <cell r="I293">
            <v>46179</v>
          </cell>
          <cell r="K293" t="str">
            <v>004040</v>
          </cell>
          <cell r="L293">
            <v>-132.52000000000001</v>
          </cell>
          <cell r="M293">
            <v>-132.52000000000001</v>
          </cell>
          <cell r="N293">
            <v>-132.52000000000001</v>
          </cell>
          <cell r="O293" t="str">
            <v>indiretto</v>
          </cell>
          <cell r="P293">
            <v>4</v>
          </cell>
          <cell r="Q293" t="str">
            <v>0.916558</v>
          </cell>
          <cell r="R293" t="str">
            <v>0.642623</v>
          </cell>
          <cell r="S293" t="str">
            <v>0.256196</v>
          </cell>
          <cell r="T293" t="str">
            <v>NO</v>
          </cell>
          <cell r="U293" t="str">
            <v>DELIBERAZIONE EGATO 29 19/12/2018</v>
          </cell>
        </row>
        <row r="294">
          <cell r="A294" t="str">
            <v>C307110</v>
          </cell>
          <cell r="B294">
            <v>202601307188960</v>
          </cell>
          <cell r="D294" t="str">
            <v>ATO4</v>
          </cell>
          <cell r="E294" t="str">
            <v>C307110</v>
          </cell>
          <cell r="F294">
            <v>46143</v>
          </cell>
          <cell r="G294">
            <v>46507</v>
          </cell>
          <cell r="H294">
            <v>46179</v>
          </cell>
          <cell r="I294">
            <v>46179</v>
          </cell>
          <cell r="K294" t="str">
            <v>004197</v>
          </cell>
          <cell r="L294">
            <v>-71.900000000000006</v>
          </cell>
          <cell r="M294">
            <v>-71.900000000000006</v>
          </cell>
          <cell r="N294">
            <v>-71.900000000000006</v>
          </cell>
          <cell r="O294" t="str">
            <v>indiretto</v>
          </cell>
          <cell r="P294">
            <v>3</v>
          </cell>
          <cell r="Q294" t="str">
            <v>0.721337</v>
          </cell>
          <cell r="R294" t="str">
            <v>0.441600</v>
          </cell>
          <cell r="S294" t="str">
            <v>0.150394</v>
          </cell>
          <cell r="T294" t="str">
            <v>NO</v>
          </cell>
          <cell r="U294" t="str">
            <v>DELIBERAZIONE EGATO 2 04/02/2019</v>
          </cell>
        </row>
        <row r="295">
          <cell r="A295" t="str">
            <v>C344306</v>
          </cell>
          <cell r="B295">
            <v>202601307190525</v>
          </cell>
          <cell r="D295" t="str">
            <v>ATO4</v>
          </cell>
          <cell r="E295" t="str">
            <v>C344306</v>
          </cell>
          <cell r="F295">
            <v>46143</v>
          </cell>
          <cell r="G295">
            <v>46507</v>
          </cell>
          <cell r="H295">
            <v>46179</v>
          </cell>
          <cell r="I295">
            <v>46179</v>
          </cell>
          <cell r="K295" t="str">
            <v>004123</v>
          </cell>
          <cell r="L295">
            <v>-53.01</v>
          </cell>
          <cell r="M295">
            <v>-53.01</v>
          </cell>
          <cell r="N295">
            <v>-53.01</v>
          </cell>
          <cell r="O295" t="str">
            <v>indiretto</v>
          </cell>
          <cell r="P295">
            <v>2</v>
          </cell>
          <cell r="Q295" t="str">
            <v>0.733246</v>
          </cell>
          <cell r="R295" t="str">
            <v>0.514098</v>
          </cell>
          <cell r="S295" t="str">
            <v>0.204957</v>
          </cell>
          <cell r="T295" t="str">
            <v>NO</v>
          </cell>
          <cell r="U295" t="str">
            <v>DELIBERAZIONE EGATO 2 04/02/2019</v>
          </cell>
        </row>
        <row r="296">
          <cell r="A296" t="str">
            <v>C344099</v>
          </cell>
          <cell r="B296">
            <v>202601307195348</v>
          </cell>
          <cell r="D296" t="str">
            <v>ATO4</v>
          </cell>
          <cell r="E296" t="str">
            <v>C344099</v>
          </cell>
          <cell r="F296">
            <v>46143</v>
          </cell>
          <cell r="G296">
            <v>46507</v>
          </cell>
          <cell r="H296">
            <v>46179</v>
          </cell>
          <cell r="I296">
            <v>46179</v>
          </cell>
          <cell r="K296" t="str">
            <v>004157</v>
          </cell>
          <cell r="L296">
            <v>-66.260000000000005</v>
          </cell>
          <cell r="M296">
            <v>-66.260000000000005</v>
          </cell>
          <cell r="N296">
            <v>-66.260000000000005</v>
          </cell>
          <cell r="O296" t="str">
            <v>indiretto</v>
          </cell>
          <cell r="P296">
            <v>2</v>
          </cell>
          <cell r="Q296" t="str">
            <v>0.916558</v>
          </cell>
          <cell r="R296" t="str">
            <v>0.642623</v>
          </cell>
          <cell r="S296" t="str">
            <v>0.256196</v>
          </cell>
          <cell r="T296" t="str">
            <v>NO</v>
          </cell>
          <cell r="U296" t="str">
            <v>DELIBERAZIONE EGATO 29 19/12/2018</v>
          </cell>
        </row>
        <row r="297">
          <cell r="A297" t="str">
            <v>C321195</v>
          </cell>
          <cell r="B297">
            <v>202601307207645</v>
          </cell>
          <cell r="D297" t="str">
            <v>ATO4</v>
          </cell>
          <cell r="E297" t="str">
            <v>C321195</v>
          </cell>
          <cell r="F297">
            <v>46143</v>
          </cell>
          <cell r="G297">
            <v>46507</v>
          </cell>
          <cell r="H297">
            <v>46179</v>
          </cell>
          <cell r="I297">
            <v>46179</v>
          </cell>
          <cell r="K297" t="str">
            <v>004066</v>
          </cell>
          <cell r="L297">
            <v>-132.52000000000001</v>
          </cell>
          <cell r="M297">
            <v>-132.52000000000001</v>
          </cell>
          <cell r="N297">
            <v>-132.52000000000001</v>
          </cell>
          <cell r="O297" t="str">
            <v>indiretto</v>
          </cell>
          <cell r="P297">
            <v>4</v>
          </cell>
          <cell r="Q297" t="str">
            <v>0.916558</v>
          </cell>
          <cell r="R297" t="str">
            <v>0.642623</v>
          </cell>
          <cell r="S297" t="str">
            <v>0.256196</v>
          </cell>
          <cell r="T297" t="str">
            <v>NO</v>
          </cell>
          <cell r="U297" t="str">
            <v>DELIBERAZIONE EGATO 29 19/12/2018</v>
          </cell>
        </row>
        <row r="298">
          <cell r="A298" t="str">
            <v>C344156</v>
          </cell>
          <cell r="B298">
            <v>202601307208720</v>
          </cell>
          <cell r="D298" t="str">
            <v>ATO4</v>
          </cell>
          <cell r="E298" t="str">
            <v>C344156</v>
          </cell>
          <cell r="F298">
            <v>46143</v>
          </cell>
          <cell r="G298">
            <v>46507</v>
          </cell>
          <cell r="H298">
            <v>46179</v>
          </cell>
          <cell r="I298">
            <v>46179</v>
          </cell>
          <cell r="K298" t="str">
            <v>004033</v>
          </cell>
          <cell r="L298">
            <v>-71.900000000000006</v>
          </cell>
          <cell r="M298">
            <v>-71.900000000000006</v>
          </cell>
          <cell r="N298">
            <v>-71.900000000000006</v>
          </cell>
          <cell r="O298" t="str">
            <v>indiretto</v>
          </cell>
          <cell r="P298">
            <v>3</v>
          </cell>
          <cell r="Q298" t="str">
            <v>0.721337</v>
          </cell>
          <cell r="R298" t="str">
            <v>0.441600</v>
          </cell>
          <cell r="S298" t="str">
            <v>0.150394</v>
          </cell>
          <cell r="T298" t="str">
            <v>NO</v>
          </cell>
          <cell r="U298" t="str">
            <v>DELIBERAZIONE EGATO 2 04/02/2019</v>
          </cell>
        </row>
        <row r="299">
          <cell r="A299" t="str">
            <v>C320252</v>
          </cell>
          <cell r="B299">
            <v>202601307211369</v>
          </cell>
          <cell r="D299" t="str">
            <v>ATO4</v>
          </cell>
          <cell r="E299" t="str">
            <v>C320252</v>
          </cell>
          <cell r="F299">
            <v>46143</v>
          </cell>
          <cell r="G299">
            <v>46507</v>
          </cell>
          <cell r="H299">
            <v>46179</v>
          </cell>
          <cell r="I299">
            <v>46179</v>
          </cell>
          <cell r="K299" t="str">
            <v>004078</v>
          </cell>
          <cell r="L299">
            <v>-99.39</v>
          </cell>
          <cell r="M299">
            <v>-99.39</v>
          </cell>
          <cell r="N299">
            <v>-99.39</v>
          </cell>
          <cell r="O299" t="str">
            <v>indiretto</v>
          </cell>
          <cell r="P299">
            <v>3</v>
          </cell>
          <cell r="Q299" t="str">
            <v>0.916558</v>
          </cell>
          <cell r="R299" t="str">
            <v>0.642623</v>
          </cell>
          <cell r="S299" t="str">
            <v>0.256196</v>
          </cell>
          <cell r="T299" t="str">
            <v>NO</v>
          </cell>
          <cell r="U299" t="str">
            <v>DELIBERAZIONE EGATO 29 19/12/2018</v>
          </cell>
        </row>
        <row r="300">
          <cell r="A300" t="str">
            <v>C337522</v>
          </cell>
          <cell r="B300">
            <v>202601307213496</v>
          </cell>
          <cell r="D300" t="str">
            <v>ATO4</v>
          </cell>
          <cell r="E300" t="str">
            <v>C337522</v>
          </cell>
          <cell r="F300">
            <v>46143</v>
          </cell>
          <cell r="G300">
            <v>46507</v>
          </cell>
          <cell r="H300">
            <v>46179</v>
          </cell>
          <cell r="I300">
            <v>46179</v>
          </cell>
          <cell r="K300" t="str">
            <v>004078</v>
          </cell>
          <cell r="L300">
            <v>-33.130000000000003</v>
          </cell>
          <cell r="M300">
            <v>-33.130000000000003</v>
          </cell>
          <cell r="N300">
            <v>-33.130000000000003</v>
          </cell>
          <cell r="O300" t="str">
            <v>indiretto</v>
          </cell>
          <cell r="P300">
            <v>1</v>
          </cell>
          <cell r="Q300" t="str">
            <v>0.916558</v>
          </cell>
          <cell r="R300" t="str">
            <v>0.642623</v>
          </cell>
          <cell r="S300" t="str">
            <v>0.256196</v>
          </cell>
          <cell r="T300" t="str">
            <v>NO</v>
          </cell>
          <cell r="U300" t="str">
            <v>DELIBERAZIONE EGATO 29 19/12/2018</v>
          </cell>
        </row>
        <row r="301">
          <cell r="A301" t="str">
            <v>C309902</v>
          </cell>
          <cell r="B301">
            <v>202601307213872</v>
          </cell>
          <cell r="D301" t="str">
            <v>ATO4</v>
          </cell>
          <cell r="E301" t="str">
            <v>C309902</v>
          </cell>
          <cell r="F301">
            <v>46143</v>
          </cell>
          <cell r="G301">
            <v>46507</v>
          </cell>
          <cell r="H301">
            <v>46179</v>
          </cell>
          <cell r="I301">
            <v>46179</v>
          </cell>
          <cell r="K301" t="str">
            <v>004078</v>
          </cell>
          <cell r="L301">
            <v>-66.260000000000005</v>
          </cell>
          <cell r="M301">
            <v>-66.260000000000005</v>
          </cell>
          <cell r="N301">
            <v>-66.260000000000005</v>
          </cell>
          <cell r="O301" t="str">
            <v>indiretto</v>
          </cell>
          <cell r="P301">
            <v>2</v>
          </cell>
          <cell r="Q301" t="str">
            <v>0.916558</v>
          </cell>
          <cell r="R301" t="str">
            <v>0.642623</v>
          </cell>
          <cell r="S301" t="str">
            <v>0.256196</v>
          </cell>
          <cell r="T301" t="str">
            <v>NO</v>
          </cell>
          <cell r="U301" t="str">
            <v>DELIBERAZIONE EGATO 29 19/12/2018</v>
          </cell>
        </row>
        <row r="302">
          <cell r="A302" t="str">
            <v>C344239</v>
          </cell>
          <cell r="B302">
            <v>202601307215667</v>
          </cell>
          <cell r="D302" t="str">
            <v>ATO4</v>
          </cell>
          <cell r="E302" t="str">
            <v>C344239</v>
          </cell>
          <cell r="F302">
            <v>46143</v>
          </cell>
          <cell r="G302">
            <v>46507</v>
          </cell>
          <cell r="H302">
            <v>46179</v>
          </cell>
          <cell r="I302">
            <v>46179</v>
          </cell>
          <cell r="K302" t="str">
            <v>004116</v>
          </cell>
          <cell r="L302">
            <v>-71.900000000000006</v>
          </cell>
          <cell r="M302">
            <v>-71.900000000000006</v>
          </cell>
          <cell r="N302">
            <v>-71.900000000000006</v>
          </cell>
          <cell r="O302" t="str">
            <v>indiretto</v>
          </cell>
          <cell r="P302">
            <v>3</v>
          </cell>
          <cell r="Q302" t="str">
            <v>0.721337</v>
          </cell>
          <cell r="R302" t="str">
            <v>0.441600</v>
          </cell>
          <cell r="S302" t="str">
            <v>0.150394</v>
          </cell>
          <cell r="T302" t="str">
            <v>NO</v>
          </cell>
          <cell r="U302" t="str">
            <v>DELIBERAZIONE EGATO 2 04/02/2019</v>
          </cell>
        </row>
        <row r="303">
          <cell r="A303" t="str">
            <v>C117844</v>
          </cell>
          <cell r="B303">
            <v>202601307219003</v>
          </cell>
          <cell r="D303" t="str">
            <v>ATO4</v>
          </cell>
          <cell r="E303" t="str">
            <v>C117844</v>
          </cell>
          <cell r="F303">
            <v>46143</v>
          </cell>
          <cell r="G303">
            <v>46507</v>
          </cell>
          <cell r="H303">
            <v>46179</v>
          </cell>
          <cell r="I303">
            <v>46179</v>
          </cell>
          <cell r="K303" t="str">
            <v>004016</v>
          </cell>
          <cell r="L303">
            <v>-165.65</v>
          </cell>
          <cell r="M303">
            <v>-165.65</v>
          </cell>
          <cell r="N303">
            <v>-165.65</v>
          </cell>
          <cell r="O303" t="str">
            <v>indiretto</v>
          </cell>
          <cell r="P303">
            <v>5</v>
          </cell>
          <cell r="Q303" t="str">
            <v>0.916558</v>
          </cell>
          <cell r="R303" t="str">
            <v>0.642623</v>
          </cell>
          <cell r="S303" t="str">
            <v>0.256196</v>
          </cell>
          <cell r="T303" t="str">
            <v>NO</v>
          </cell>
          <cell r="U303" t="str">
            <v>DELIBERAZIONE EGATO 29 19/12/2018</v>
          </cell>
        </row>
        <row r="304">
          <cell r="A304" t="str">
            <v>C344131</v>
          </cell>
          <cell r="B304">
            <v>202601307224552</v>
          </cell>
          <cell r="D304" t="str">
            <v>ATO4</v>
          </cell>
          <cell r="E304" t="str">
            <v>C344131</v>
          </cell>
          <cell r="F304">
            <v>46143</v>
          </cell>
          <cell r="G304">
            <v>46507</v>
          </cell>
          <cell r="H304">
            <v>46179</v>
          </cell>
          <cell r="I304">
            <v>46179</v>
          </cell>
          <cell r="K304" t="str">
            <v>004078</v>
          </cell>
          <cell r="L304">
            <v>-99.39</v>
          </cell>
          <cell r="M304">
            <v>-99.39</v>
          </cell>
          <cell r="N304">
            <v>-99.39</v>
          </cell>
          <cell r="O304" t="str">
            <v>indiretto</v>
          </cell>
          <cell r="P304">
            <v>3</v>
          </cell>
          <cell r="Q304" t="str">
            <v>0.916558</v>
          </cell>
          <cell r="R304" t="str">
            <v>0.642623</v>
          </cell>
          <cell r="S304" t="str">
            <v>0.256196</v>
          </cell>
          <cell r="T304" t="str">
            <v>NO</v>
          </cell>
          <cell r="U304" t="str">
            <v>DELIBERAZIONE EGATO 29 19/12/2018</v>
          </cell>
        </row>
        <row r="305">
          <cell r="A305" t="str">
            <v>C344215</v>
          </cell>
          <cell r="B305">
            <v>202601307225415</v>
          </cell>
          <cell r="D305" t="str">
            <v>ATO4</v>
          </cell>
          <cell r="E305" t="str">
            <v>C344215</v>
          </cell>
          <cell r="F305">
            <v>46143</v>
          </cell>
          <cell r="G305">
            <v>46507</v>
          </cell>
          <cell r="H305">
            <v>46179</v>
          </cell>
          <cell r="I305">
            <v>46179</v>
          </cell>
          <cell r="K305" t="str">
            <v>004130</v>
          </cell>
          <cell r="L305">
            <v>-52.52</v>
          </cell>
          <cell r="M305">
            <v>-52.52</v>
          </cell>
          <cell r="N305">
            <v>-52.52</v>
          </cell>
          <cell r="O305" t="str">
            <v>indiretto</v>
          </cell>
          <cell r="P305">
            <v>2</v>
          </cell>
          <cell r="Q305" t="str">
            <v>0.545182</v>
          </cell>
          <cell r="R305" t="str">
            <v>0.611443</v>
          </cell>
          <cell r="S305" t="str">
            <v>0.282207</v>
          </cell>
          <cell r="T305" t="str">
            <v>NO</v>
          </cell>
          <cell r="U305" t="str">
            <v>DELIBERA EGATO N.29 DEL 19/12/2018</v>
          </cell>
        </row>
        <row r="306">
          <cell r="A306" t="str">
            <v>C124130</v>
          </cell>
          <cell r="B306">
            <v>202601307230061</v>
          </cell>
          <cell r="D306" t="str">
            <v>ATO4</v>
          </cell>
          <cell r="E306" t="str">
            <v>C124130</v>
          </cell>
          <cell r="F306">
            <v>46143</v>
          </cell>
          <cell r="G306">
            <v>46507</v>
          </cell>
          <cell r="H306">
            <v>46179</v>
          </cell>
          <cell r="I306">
            <v>46179</v>
          </cell>
          <cell r="K306" t="str">
            <v>004040</v>
          </cell>
          <cell r="L306">
            <v>-66.260000000000005</v>
          </cell>
          <cell r="M306">
            <v>-66.260000000000005</v>
          </cell>
          <cell r="N306">
            <v>-66.260000000000005</v>
          </cell>
          <cell r="O306" t="str">
            <v>indiretto</v>
          </cell>
          <cell r="P306">
            <v>2</v>
          </cell>
          <cell r="Q306" t="str">
            <v>0.916558</v>
          </cell>
          <cell r="R306" t="str">
            <v>0.642623</v>
          </cell>
          <cell r="S306" t="str">
            <v>0.256196</v>
          </cell>
          <cell r="T306" t="str">
            <v>NO</v>
          </cell>
          <cell r="U306" t="str">
            <v>DELIBERAZIONE EGATO 29 19/12/2018</v>
          </cell>
        </row>
        <row r="307">
          <cell r="A307" t="str">
            <v>C307796</v>
          </cell>
          <cell r="B307">
            <v>202601307239124</v>
          </cell>
          <cell r="D307" t="str">
            <v>ATO4</v>
          </cell>
          <cell r="E307" t="str">
            <v>C307796</v>
          </cell>
          <cell r="F307">
            <v>46143</v>
          </cell>
          <cell r="G307">
            <v>46507</v>
          </cell>
          <cell r="H307">
            <v>46179</v>
          </cell>
          <cell r="I307">
            <v>46179</v>
          </cell>
          <cell r="K307" t="str">
            <v>004082</v>
          </cell>
          <cell r="L307">
            <v>-66.260000000000005</v>
          </cell>
          <cell r="M307">
            <v>-66.260000000000005</v>
          </cell>
          <cell r="N307">
            <v>-66.260000000000005</v>
          </cell>
          <cell r="O307" t="str">
            <v>indiretto</v>
          </cell>
          <cell r="P307">
            <v>2</v>
          </cell>
          <cell r="Q307" t="str">
            <v>0.916558</v>
          </cell>
          <cell r="R307" t="str">
            <v>0.642623</v>
          </cell>
          <cell r="S307" t="str">
            <v>0.256196</v>
          </cell>
          <cell r="T307" t="str">
            <v>NO</v>
          </cell>
          <cell r="U307" t="str">
            <v>DELIBERAZIONE EGATO 29 19/12/2018</v>
          </cell>
        </row>
        <row r="308">
          <cell r="A308" t="str">
            <v>C344207</v>
          </cell>
          <cell r="B308">
            <v>202601307243255</v>
          </cell>
          <cell r="D308" t="str">
            <v>ATO4</v>
          </cell>
          <cell r="E308" t="str">
            <v>C344207</v>
          </cell>
          <cell r="F308">
            <v>46143</v>
          </cell>
          <cell r="G308">
            <v>46507</v>
          </cell>
          <cell r="H308">
            <v>46179</v>
          </cell>
          <cell r="I308">
            <v>46179</v>
          </cell>
          <cell r="K308" t="str">
            <v>004074</v>
          </cell>
          <cell r="L308">
            <v>-60.07</v>
          </cell>
          <cell r="M308">
            <v>-60.07</v>
          </cell>
          <cell r="N308">
            <v>-60.07</v>
          </cell>
          <cell r="O308" t="str">
            <v>indiretto</v>
          </cell>
          <cell r="P308">
            <v>2</v>
          </cell>
          <cell r="Q308" t="str">
            <v>0.638867</v>
          </cell>
          <cell r="R308" t="str">
            <v>0.746975</v>
          </cell>
          <cell r="S308" t="str">
            <v>0.259818</v>
          </cell>
          <cell r="T308" t="str">
            <v>NO</v>
          </cell>
          <cell r="U308" t="str">
            <v xml:space="preserve">DELIBERA EGATO/4 N. 29 DEL 19/12/2018  </v>
          </cell>
        </row>
        <row r="309">
          <cell r="A309" t="str">
            <v>C312458</v>
          </cell>
          <cell r="B309">
            <v>202601307247069</v>
          </cell>
          <cell r="D309" t="str">
            <v>ATO4</v>
          </cell>
          <cell r="E309" t="str">
            <v>C312458</v>
          </cell>
          <cell r="F309">
            <v>46143</v>
          </cell>
          <cell r="G309">
            <v>46507</v>
          </cell>
          <cell r="H309">
            <v>46179</v>
          </cell>
          <cell r="I309">
            <v>46179</v>
          </cell>
          <cell r="K309" t="str">
            <v>004078</v>
          </cell>
          <cell r="L309">
            <v>-99.39</v>
          </cell>
          <cell r="M309">
            <v>-99.39</v>
          </cell>
          <cell r="N309">
            <v>-99.39</v>
          </cell>
          <cell r="O309" t="str">
            <v>indiretto</v>
          </cell>
          <cell r="P309">
            <v>3</v>
          </cell>
          <cell r="Q309" t="str">
            <v>0.916558</v>
          </cell>
          <cell r="R309" t="str">
            <v>0.642623</v>
          </cell>
          <cell r="S309" t="str">
            <v>0.256196</v>
          </cell>
          <cell r="T309" t="str">
            <v>NO</v>
          </cell>
          <cell r="U309" t="str">
            <v>DELIBERAZIONE EGATO 29 19/12/2018</v>
          </cell>
        </row>
        <row r="310">
          <cell r="A310" t="str">
            <v>C344206</v>
          </cell>
          <cell r="B310">
            <v>202601307255817</v>
          </cell>
          <cell r="D310" t="str">
            <v>ATO4</v>
          </cell>
          <cell r="E310" t="str">
            <v>C344206</v>
          </cell>
          <cell r="F310">
            <v>46143</v>
          </cell>
          <cell r="G310">
            <v>46507</v>
          </cell>
          <cell r="H310">
            <v>46179</v>
          </cell>
          <cell r="I310">
            <v>46179</v>
          </cell>
          <cell r="K310" t="str">
            <v>004009</v>
          </cell>
          <cell r="L310">
            <v>-49.24</v>
          </cell>
          <cell r="M310">
            <v>-49.24</v>
          </cell>
          <cell r="N310">
            <v>-49.24</v>
          </cell>
          <cell r="O310" t="str">
            <v>indiretto</v>
          </cell>
          <cell r="P310">
            <v>2</v>
          </cell>
          <cell r="Q310" t="str">
            <v>0.716943</v>
          </cell>
          <cell r="R310" t="str">
            <v>0.463071</v>
          </cell>
          <cell r="S310" t="str">
            <v>0.169064</v>
          </cell>
          <cell r="T310" t="str">
            <v>NO</v>
          </cell>
          <cell r="U310" t="str">
            <v>DELIBERAZIONE EGATO 2 04/02/2019</v>
          </cell>
        </row>
        <row r="311">
          <cell r="A311" t="str">
            <v>C344162</v>
          </cell>
          <cell r="B311">
            <v>202601307266662</v>
          </cell>
          <cell r="D311" t="str">
            <v>ATO4</v>
          </cell>
          <cell r="E311" t="str">
            <v>C344162</v>
          </cell>
          <cell r="F311">
            <v>46143</v>
          </cell>
          <cell r="G311">
            <v>46507</v>
          </cell>
          <cell r="H311">
            <v>46179</v>
          </cell>
          <cell r="I311">
            <v>46179</v>
          </cell>
          <cell r="K311" t="str">
            <v>004034</v>
          </cell>
          <cell r="L311">
            <v>-33.130000000000003</v>
          </cell>
          <cell r="M311">
            <v>-33.130000000000003</v>
          </cell>
          <cell r="N311">
            <v>-33.130000000000003</v>
          </cell>
          <cell r="O311" t="str">
            <v>indiretto</v>
          </cell>
          <cell r="P311">
            <v>1</v>
          </cell>
          <cell r="Q311" t="str">
            <v>0.916558</v>
          </cell>
          <cell r="R311" t="str">
            <v>0.642623</v>
          </cell>
          <cell r="S311" t="str">
            <v>0.256196</v>
          </cell>
          <cell r="T311" t="str">
            <v>NO</v>
          </cell>
          <cell r="U311" t="str">
            <v>DELIBERAZIONE EGATO 29 19/12/2018</v>
          </cell>
        </row>
        <row r="312">
          <cell r="A312" t="str">
            <v>C320246</v>
          </cell>
          <cell r="B312">
            <v>202601307266859</v>
          </cell>
          <cell r="D312" t="str">
            <v>ATO4</v>
          </cell>
          <cell r="E312" t="str">
            <v>C320246</v>
          </cell>
          <cell r="F312">
            <v>46143</v>
          </cell>
          <cell r="G312">
            <v>46507</v>
          </cell>
          <cell r="H312">
            <v>46179</v>
          </cell>
          <cell r="I312">
            <v>46179</v>
          </cell>
          <cell r="K312" t="str">
            <v>004078</v>
          </cell>
          <cell r="L312">
            <v>-198.78</v>
          </cell>
          <cell r="M312">
            <v>-198.78</v>
          </cell>
          <cell r="N312">
            <v>-198.78</v>
          </cell>
          <cell r="O312" t="str">
            <v>indiretto</v>
          </cell>
          <cell r="P312">
            <v>6</v>
          </cell>
          <cell r="Q312" t="str">
            <v>0.916558</v>
          </cell>
          <cell r="R312" t="str">
            <v>0.642623</v>
          </cell>
          <cell r="S312" t="str">
            <v>0.256196</v>
          </cell>
          <cell r="T312" t="str">
            <v>NO</v>
          </cell>
          <cell r="U312" t="str">
            <v>DELIBERAZIONE EGATO 29 19/12/2018</v>
          </cell>
        </row>
        <row r="313">
          <cell r="A313" t="str">
            <v>C313812</v>
          </cell>
          <cell r="B313">
            <v>202601307267866</v>
          </cell>
          <cell r="D313" t="str">
            <v>ATO4</v>
          </cell>
          <cell r="E313" t="str">
            <v>C313812</v>
          </cell>
          <cell r="F313">
            <v>46143</v>
          </cell>
          <cell r="G313">
            <v>46507</v>
          </cell>
          <cell r="H313">
            <v>46179</v>
          </cell>
          <cell r="I313">
            <v>46179</v>
          </cell>
          <cell r="K313" t="str">
            <v>004225</v>
          </cell>
          <cell r="L313">
            <v>-33.130000000000003</v>
          </cell>
          <cell r="M313">
            <v>-33.130000000000003</v>
          </cell>
          <cell r="N313">
            <v>-33.130000000000003</v>
          </cell>
          <cell r="O313" t="str">
            <v>indiretto</v>
          </cell>
          <cell r="P313">
            <v>1</v>
          </cell>
          <cell r="Q313" t="str">
            <v>0.916558</v>
          </cell>
          <cell r="R313" t="str">
            <v>0.642623</v>
          </cell>
          <cell r="S313" t="str">
            <v>0.256196</v>
          </cell>
          <cell r="T313" t="str">
            <v>NO</v>
          </cell>
          <cell r="U313" t="str">
            <v>DELIBERAZIONE EGATO 29 19/12/2018</v>
          </cell>
        </row>
        <row r="314">
          <cell r="A314" t="str">
            <v>C344256</v>
          </cell>
          <cell r="B314">
            <v>202601307272042</v>
          </cell>
          <cell r="D314" t="str">
            <v>ATO4</v>
          </cell>
          <cell r="E314" t="str">
            <v>C344256</v>
          </cell>
          <cell r="F314">
            <v>46143</v>
          </cell>
          <cell r="G314">
            <v>46507</v>
          </cell>
          <cell r="H314">
            <v>46179</v>
          </cell>
          <cell r="I314">
            <v>46179</v>
          </cell>
          <cell r="K314" t="str">
            <v>004130</v>
          </cell>
          <cell r="L314">
            <v>-52.52</v>
          </cell>
          <cell r="M314">
            <v>-52.52</v>
          </cell>
          <cell r="N314">
            <v>-52.52</v>
          </cell>
          <cell r="O314" t="str">
            <v>indiretto</v>
          </cell>
          <cell r="P314">
            <v>2</v>
          </cell>
          <cell r="Q314" t="str">
            <v>0.545182</v>
          </cell>
          <cell r="R314" t="str">
            <v>0.611443</v>
          </cell>
          <cell r="S314" t="str">
            <v>0.282207</v>
          </cell>
          <cell r="T314" t="str">
            <v>NO</v>
          </cell>
          <cell r="U314" t="str">
            <v>DELIBERA EGATO N.29 DEL 19/12/2018</v>
          </cell>
        </row>
        <row r="315">
          <cell r="A315" t="str">
            <v>C312348</v>
          </cell>
          <cell r="B315">
            <v>202601307274447</v>
          </cell>
          <cell r="D315" t="str">
            <v>ATO4</v>
          </cell>
          <cell r="E315" t="str">
            <v>C312348</v>
          </cell>
          <cell r="F315">
            <v>46143</v>
          </cell>
          <cell r="G315">
            <v>46507</v>
          </cell>
          <cell r="H315">
            <v>46179</v>
          </cell>
          <cell r="I315">
            <v>46179</v>
          </cell>
          <cell r="K315" t="str">
            <v>004082</v>
          </cell>
          <cell r="L315">
            <v>-132.52000000000001</v>
          </cell>
          <cell r="M315">
            <v>-132.52000000000001</v>
          </cell>
          <cell r="N315">
            <v>-132.52000000000001</v>
          </cell>
          <cell r="O315" t="str">
            <v>indiretto</v>
          </cell>
          <cell r="P315">
            <v>4</v>
          </cell>
          <cell r="Q315" t="str">
            <v>0.916558</v>
          </cell>
          <cell r="R315" t="str">
            <v>0.642623</v>
          </cell>
          <cell r="S315" t="str">
            <v>0.256196</v>
          </cell>
          <cell r="T315" t="str">
            <v>NO</v>
          </cell>
          <cell r="U315" t="str">
            <v>DELIBERAZIONE EGATO 29 19/12/2018</v>
          </cell>
        </row>
        <row r="316">
          <cell r="A316" t="str">
            <v>C337605</v>
          </cell>
          <cell r="B316">
            <v>202601307278069</v>
          </cell>
          <cell r="D316" t="str">
            <v>ATO4</v>
          </cell>
          <cell r="E316" t="str">
            <v>C337605</v>
          </cell>
          <cell r="F316">
            <v>46143</v>
          </cell>
          <cell r="G316">
            <v>46507</v>
          </cell>
          <cell r="H316">
            <v>46179</v>
          </cell>
          <cell r="I316">
            <v>46179</v>
          </cell>
          <cell r="K316" t="str">
            <v>004116</v>
          </cell>
          <cell r="L316">
            <v>-71.900000000000006</v>
          </cell>
          <cell r="M316">
            <v>-71.900000000000006</v>
          </cell>
          <cell r="N316">
            <v>-71.900000000000006</v>
          </cell>
          <cell r="O316" t="str">
            <v>indiretto</v>
          </cell>
          <cell r="P316">
            <v>3</v>
          </cell>
          <cell r="Q316" t="str">
            <v>0.721337</v>
          </cell>
          <cell r="R316" t="str">
            <v>0.441600</v>
          </cell>
          <cell r="S316" t="str">
            <v>0.150394</v>
          </cell>
          <cell r="T316" t="str">
            <v>NO</v>
          </cell>
          <cell r="U316" t="str">
            <v>DELIBERAZIONE EGATO 2 04/02/2019</v>
          </cell>
        </row>
        <row r="317">
          <cell r="A317" t="str">
            <v>C310317</v>
          </cell>
          <cell r="B317">
            <v>202601307280195</v>
          </cell>
          <cell r="D317" t="str">
            <v>ATO4</v>
          </cell>
          <cell r="E317" t="str">
            <v>C310317</v>
          </cell>
          <cell r="F317">
            <v>46143</v>
          </cell>
          <cell r="G317">
            <v>46507</v>
          </cell>
          <cell r="H317">
            <v>46179</v>
          </cell>
          <cell r="I317">
            <v>46179</v>
          </cell>
          <cell r="K317" t="str">
            <v>004012</v>
          </cell>
          <cell r="L317">
            <v>-98.48</v>
          </cell>
          <cell r="M317">
            <v>-98.48</v>
          </cell>
          <cell r="N317">
            <v>-98.48</v>
          </cell>
          <cell r="O317" t="str">
            <v>indiretto</v>
          </cell>
          <cell r="P317">
            <v>4</v>
          </cell>
          <cell r="Q317" t="str">
            <v>0.716943</v>
          </cell>
          <cell r="R317" t="str">
            <v>0.463071</v>
          </cell>
          <cell r="S317" t="str">
            <v>0.169064</v>
          </cell>
          <cell r="T317" t="str">
            <v>NO</v>
          </cell>
          <cell r="U317" t="str">
            <v>DELIBERAZIONE EGATO 2 04/02/2019</v>
          </cell>
        </row>
        <row r="318">
          <cell r="A318" t="str">
            <v>C344265</v>
          </cell>
          <cell r="B318">
            <v>202601307281941</v>
          </cell>
          <cell r="D318" t="str">
            <v>ATO4</v>
          </cell>
          <cell r="E318" t="str">
            <v>C344265</v>
          </cell>
          <cell r="F318">
            <v>46143</v>
          </cell>
          <cell r="G318">
            <v>46507</v>
          </cell>
          <cell r="H318">
            <v>46179</v>
          </cell>
          <cell r="I318">
            <v>46179</v>
          </cell>
          <cell r="K318" t="str">
            <v>004074</v>
          </cell>
          <cell r="L318">
            <v>-150.16999999999999</v>
          </cell>
          <cell r="M318">
            <v>-150.16999999999999</v>
          </cell>
          <cell r="N318">
            <v>-150.16999999999999</v>
          </cell>
          <cell r="O318" t="str">
            <v>indiretto</v>
          </cell>
          <cell r="P318">
            <v>5</v>
          </cell>
          <cell r="Q318" t="str">
            <v>0.638867</v>
          </cell>
          <cell r="R318" t="str">
            <v>0.746975</v>
          </cell>
          <cell r="S318" t="str">
            <v>0.259818</v>
          </cell>
          <cell r="T318" t="str">
            <v>NO</v>
          </cell>
          <cell r="U318" t="str">
            <v xml:space="preserve">DELIBERA EGATO/4 N. 29 DEL 19/12/2018  </v>
          </cell>
        </row>
        <row r="319">
          <cell r="A319" t="str">
            <v>C320271</v>
          </cell>
          <cell r="B319">
            <v>202601307282254</v>
          </cell>
          <cell r="D319" t="str">
            <v>ATO4</v>
          </cell>
          <cell r="E319" t="str">
            <v>C320271</v>
          </cell>
          <cell r="F319">
            <v>46143</v>
          </cell>
          <cell r="G319">
            <v>46507</v>
          </cell>
          <cell r="H319">
            <v>46179</v>
          </cell>
          <cell r="I319">
            <v>46179</v>
          </cell>
          <cell r="K319" t="str">
            <v>004163</v>
          </cell>
          <cell r="L319">
            <v>-198.78</v>
          </cell>
          <cell r="M319">
            <v>-198.78</v>
          </cell>
          <cell r="N319">
            <v>-198.78</v>
          </cell>
          <cell r="O319" t="str">
            <v>indiretto</v>
          </cell>
          <cell r="P319">
            <v>6</v>
          </cell>
          <cell r="Q319" t="str">
            <v>0.916558</v>
          </cell>
          <cell r="R319" t="str">
            <v>0.642623</v>
          </cell>
          <cell r="S319" t="str">
            <v>0.256196</v>
          </cell>
          <cell r="T319" t="str">
            <v>NO</v>
          </cell>
          <cell r="U319" t="str">
            <v>DELIBERAZIONE EGATO 29 19/12/2018</v>
          </cell>
        </row>
        <row r="320">
          <cell r="A320" t="str">
            <v>C307882</v>
          </cell>
          <cell r="B320">
            <v>202601307285836</v>
          </cell>
          <cell r="D320" t="str">
            <v>ATO4</v>
          </cell>
          <cell r="E320" t="str">
            <v>C307882</v>
          </cell>
          <cell r="F320">
            <v>46143</v>
          </cell>
          <cell r="G320">
            <v>46507</v>
          </cell>
          <cell r="H320">
            <v>46179</v>
          </cell>
          <cell r="I320">
            <v>46179</v>
          </cell>
          <cell r="K320" t="str">
            <v>004107</v>
          </cell>
          <cell r="L320">
            <v>-154.63999999999999</v>
          </cell>
          <cell r="M320">
            <v>-154.63999999999999</v>
          </cell>
          <cell r="N320">
            <v>-154.63999999999999</v>
          </cell>
          <cell r="O320" t="str">
            <v>indiretto</v>
          </cell>
          <cell r="P320">
            <v>4</v>
          </cell>
          <cell r="Q320">
            <v>1091278</v>
          </cell>
          <cell r="R320" t="str">
            <v>0.730790</v>
          </cell>
          <cell r="S320" t="str">
            <v>0.296264</v>
          </cell>
          <cell r="T320" t="str">
            <v>NO</v>
          </cell>
          <cell r="U320" t="str">
            <v>DELIBERAZIONE EGATO 2 04/02/2019</v>
          </cell>
        </row>
        <row r="321">
          <cell r="A321" t="str">
            <v>C344130</v>
          </cell>
          <cell r="B321">
            <v>202601307294411</v>
          </cell>
          <cell r="D321" t="str">
            <v>ATO4</v>
          </cell>
          <cell r="E321" t="str">
            <v>C344130</v>
          </cell>
          <cell r="F321">
            <v>46143</v>
          </cell>
          <cell r="G321">
            <v>46507</v>
          </cell>
          <cell r="H321">
            <v>46179</v>
          </cell>
          <cell r="I321">
            <v>46179</v>
          </cell>
          <cell r="K321" t="str">
            <v>004078</v>
          </cell>
          <cell r="L321">
            <v>-99.39</v>
          </cell>
          <cell r="M321">
            <v>-99.39</v>
          </cell>
          <cell r="N321">
            <v>-99.39</v>
          </cell>
          <cell r="O321" t="str">
            <v>indiretto</v>
          </cell>
          <cell r="P321">
            <v>3</v>
          </cell>
          <cell r="Q321" t="str">
            <v>0.916558</v>
          </cell>
          <cell r="R321" t="str">
            <v>0.642623</v>
          </cell>
          <cell r="S321" t="str">
            <v>0.256196</v>
          </cell>
          <cell r="T321" t="str">
            <v>NO</v>
          </cell>
          <cell r="U321" t="str">
            <v>DELIBERAZIONE EGATO 29 19/12/2018</v>
          </cell>
        </row>
        <row r="322">
          <cell r="A322" t="str">
            <v>C308271</v>
          </cell>
          <cell r="B322">
            <v>202601307295077</v>
          </cell>
          <cell r="D322" t="str">
            <v>ATO4</v>
          </cell>
          <cell r="E322" t="str">
            <v>C308271</v>
          </cell>
          <cell r="F322">
            <v>46143</v>
          </cell>
          <cell r="G322">
            <v>46507</v>
          </cell>
          <cell r="H322">
            <v>46179</v>
          </cell>
          <cell r="I322">
            <v>46179</v>
          </cell>
          <cell r="K322" t="str">
            <v>004179</v>
          </cell>
          <cell r="L322">
            <v>-86.33</v>
          </cell>
          <cell r="M322">
            <v>-86.33</v>
          </cell>
          <cell r="N322">
            <v>-86.33</v>
          </cell>
          <cell r="O322" t="str">
            <v>indiretto</v>
          </cell>
          <cell r="P322">
            <v>3</v>
          </cell>
          <cell r="Q322" t="str">
            <v>0.802937</v>
          </cell>
          <cell r="R322" t="str">
            <v>0.568257</v>
          </cell>
          <cell r="S322" t="str">
            <v>0.205575</v>
          </cell>
          <cell r="T322" t="str">
            <v>NO</v>
          </cell>
          <cell r="U322" t="str">
            <v>DELIBERAZIONE EGATO 11 27/03/2019</v>
          </cell>
        </row>
        <row r="323">
          <cell r="A323" t="str">
            <v>C344216</v>
          </cell>
          <cell r="B323">
            <v>202601307298571</v>
          </cell>
          <cell r="D323" t="str">
            <v>ATO4</v>
          </cell>
          <cell r="E323" t="str">
            <v>C344216</v>
          </cell>
          <cell r="F323">
            <v>46143</v>
          </cell>
          <cell r="G323">
            <v>46507</v>
          </cell>
          <cell r="H323">
            <v>46179</v>
          </cell>
          <cell r="I323">
            <v>46179</v>
          </cell>
          <cell r="K323" t="str">
            <v>004012</v>
          </cell>
          <cell r="L323">
            <v>-49.24</v>
          </cell>
          <cell r="M323">
            <v>-49.24</v>
          </cell>
          <cell r="N323">
            <v>-49.24</v>
          </cell>
          <cell r="O323" t="str">
            <v>indiretto</v>
          </cell>
          <cell r="P323">
            <v>2</v>
          </cell>
          <cell r="Q323" t="str">
            <v>0.716943</v>
          </cell>
          <cell r="R323" t="str">
            <v>0.463071</v>
          </cell>
          <cell r="S323" t="str">
            <v>0.169064</v>
          </cell>
          <cell r="T323" t="str">
            <v>NO</v>
          </cell>
          <cell r="U323" t="str">
            <v>DELIBERAZIONE EGATO 2 04/02/2019</v>
          </cell>
        </row>
        <row r="324">
          <cell r="A324" t="str">
            <v>C344303</v>
          </cell>
          <cell r="B324">
            <v>202601307299916</v>
          </cell>
          <cell r="D324" t="str">
            <v>ATO4</v>
          </cell>
          <cell r="E324" t="str">
            <v>C344303</v>
          </cell>
          <cell r="F324">
            <v>46143</v>
          </cell>
          <cell r="G324">
            <v>46507</v>
          </cell>
          <cell r="H324">
            <v>46179</v>
          </cell>
          <cell r="I324">
            <v>46179</v>
          </cell>
          <cell r="K324" t="str">
            <v>004190</v>
          </cell>
          <cell r="L324">
            <v>-26.26</v>
          </cell>
          <cell r="M324">
            <v>-26.26</v>
          </cell>
          <cell r="N324">
            <v>-26.26</v>
          </cell>
          <cell r="O324" t="str">
            <v>indiretto</v>
          </cell>
          <cell r="P324">
            <v>1</v>
          </cell>
          <cell r="Q324" t="str">
            <v>0.545182</v>
          </cell>
          <cell r="R324" t="str">
            <v>0.611443</v>
          </cell>
          <cell r="S324" t="str">
            <v>0.282207</v>
          </cell>
          <cell r="T324" t="str">
            <v>NO</v>
          </cell>
          <cell r="U324" t="str">
            <v>DELIBERA EGATO N.29 DEL 19/12/2018</v>
          </cell>
        </row>
        <row r="325">
          <cell r="A325" t="str">
            <v>C344304</v>
          </cell>
          <cell r="B325">
            <v>202601307307644</v>
          </cell>
          <cell r="D325" t="str">
            <v>ATO4</v>
          </cell>
          <cell r="E325" t="str">
            <v>C344304</v>
          </cell>
          <cell r="F325">
            <v>46143</v>
          </cell>
          <cell r="G325">
            <v>46507</v>
          </cell>
          <cell r="H325">
            <v>46179</v>
          </cell>
          <cell r="I325">
            <v>46179</v>
          </cell>
          <cell r="K325" t="str">
            <v>004130</v>
          </cell>
          <cell r="L325">
            <v>-78.78</v>
          </cell>
          <cell r="M325">
            <v>-78.78</v>
          </cell>
          <cell r="N325">
            <v>-78.78</v>
          </cell>
          <cell r="O325" t="str">
            <v>indiretto</v>
          </cell>
          <cell r="P325">
            <v>3</v>
          </cell>
          <cell r="Q325" t="str">
            <v>0.545182</v>
          </cell>
          <cell r="R325" t="str">
            <v>0.611443</v>
          </cell>
          <cell r="S325" t="str">
            <v>0.282207</v>
          </cell>
          <cell r="T325" t="str">
            <v>NO</v>
          </cell>
          <cell r="U325" t="str">
            <v>DELIBERA EGATO N.29 DEL 19/12/2018</v>
          </cell>
        </row>
        <row r="326">
          <cell r="A326" t="str">
            <v>C307242</v>
          </cell>
          <cell r="B326">
            <v>202601307308280</v>
          </cell>
          <cell r="D326" t="str">
            <v>ATO4</v>
          </cell>
          <cell r="E326" t="str">
            <v>C307242</v>
          </cell>
          <cell r="F326">
            <v>46143</v>
          </cell>
          <cell r="G326">
            <v>46507</v>
          </cell>
          <cell r="H326">
            <v>46179</v>
          </cell>
          <cell r="I326">
            <v>46179</v>
          </cell>
          <cell r="K326" t="str">
            <v>004154</v>
          </cell>
          <cell r="L326">
            <v>-55.54</v>
          </cell>
          <cell r="M326">
            <v>-55.54</v>
          </cell>
          <cell r="N326">
            <v>-55.54</v>
          </cell>
          <cell r="O326" t="str">
            <v>indiretto</v>
          </cell>
          <cell r="P326">
            <v>4</v>
          </cell>
          <cell r="Q326" t="str">
            <v>0.265650</v>
          </cell>
          <cell r="R326" t="str">
            <v>0.369583</v>
          </cell>
          <cell r="S326" t="str">
            <v>0.125657</v>
          </cell>
          <cell r="T326" t="str">
            <v>NO</v>
          </cell>
          <cell r="U326" t="str">
            <v>DELIBERAZIONE EGATO 2 04/02/2019</v>
          </cell>
        </row>
        <row r="327">
          <cell r="A327" t="str">
            <v>C311054</v>
          </cell>
          <cell r="B327">
            <v>202601307315254</v>
          </cell>
          <cell r="D327" t="str">
            <v>ATO4</v>
          </cell>
          <cell r="E327" t="str">
            <v>C311054</v>
          </cell>
          <cell r="F327">
            <v>46143</v>
          </cell>
          <cell r="G327">
            <v>46507</v>
          </cell>
          <cell r="H327">
            <v>46179</v>
          </cell>
          <cell r="I327">
            <v>46179</v>
          </cell>
          <cell r="K327" t="str">
            <v>004081</v>
          </cell>
          <cell r="L327">
            <v>-189.74</v>
          </cell>
          <cell r="M327">
            <v>-189.74</v>
          </cell>
          <cell r="N327">
            <v>-189.74</v>
          </cell>
          <cell r="O327" t="str">
            <v>indiretto</v>
          </cell>
          <cell r="P327">
            <v>5</v>
          </cell>
          <cell r="Q327">
            <v>1091278</v>
          </cell>
          <cell r="R327" t="str">
            <v>0.691798</v>
          </cell>
          <cell r="S327" t="str">
            <v>0.296264</v>
          </cell>
          <cell r="T327" t="str">
            <v>NO</v>
          </cell>
          <cell r="U327" t="str">
            <v>DELIBERAZIONE EGATO 2 04/02/2019</v>
          </cell>
        </row>
        <row r="328">
          <cell r="A328" t="str">
            <v>C344255</v>
          </cell>
          <cell r="B328">
            <v>202601307322410</v>
          </cell>
          <cell r="D328" t="str">
            <v>ATO4</v>
          </cell>
          <cell r="E328" t="str">
            <v>C344255</v>
          </cell>
          <cell r="F328">
            <v>46143</v>
          </cell>
          <cell r="G328">
            <v>46507</v>
          </cell>
          <cell r="H328">
            <v>46179</v>
          </cell>
          <cell r="I328">
            <v>46179</v>
          </cell>
          <cell r="K328" t="str">
            <v>004130</v>
          </cell>
          <cell r="L328">
            <v>-105.03</v>
          </cell>
          <cell r="M328">
            <v>-105.03</v>
          </cell>
          <cell r="N328">
            <v>-105.03</v>
          </cell>
          <cell r="O328" t="str">
            <v>indiretto</v>
          </cell>
          <cell r="P328">
            <v>4</v>
          </cell>
          <cell r="Q328" t="str">
            <v>0.545182</v>
          </cell>
          <cell r="R328" t="str">
            <v>0.611443</v>
          </cell>
          <cell r="S328" t="str">
            <v>0.282207</v>
          </cell>
          <cell r="T328" t="str">
            <v>NO</v>
          </cell>
          <cell r="U328" t="str">
            <v>DELIBERA EGATO N.29 DEL 19/12/2018</v>
          </cell>
        </row>
        <row r="329">
          <cell r="A329" t="str">
            <v>C311408</v>
          </cell>
          <cell r="B329">
            <v>202601307322481</v>
          </cell>
          <cell r="D329" t="str">
            <v>ATO4</v>
          </cell>
          <cell r="E329" t="str">
            <v>C311408</v>
          </cell>
          <cell r="F329">
            <v>46143</v>
          </cell>
          <cell r="G329">
            <v>46507</v>
          </cell>
          <cell r="H329">
            <v>46179</v>
          </cell>
          <cell r="I329">
            <v>46179</v>
          </cell>
          <cell r="K329" t="str">
            <v>004043</v>
          </cell>
          <cell r="L329">
            <v>-154.63999999999999</v>
          </cell>
          <cell r="M329">
            <v>-154.63999999999999</v>
          </cell>
          <cell r="N329">
            <v>-154.63999999999999</v>
          </cell>
          <cell r="O329" t="str">
            <v>indiretto</v>
          </cell>
          <cell r="P329">
            <v>4</v>
          </cell>
          <cell r="Q329">
            <v>1091278</v>
          </cell>
          <cell r="R329" t="str">
            <v>0.730790</v>
          </cell>
          <cell r="S329" t="str">
            <v>0.296264</v>
          </cell>
          <cell r="T329" t="str">
            <v>NO</v>
          </cell>
          <cell r="U329" t="str">
            <v>DELIBERAZIONE EGATO 2 04/02/2019</v>
          </cell>
        </row>
        <row r="330">
          <cell r="A330" t="str">
            <v>C314403</v>
          </cell>
          <cell r="B330">
            <v>202601307330865</v>
          </cell>
          <cell r="D330" t="str">
            <v>ATO4</v>
          </cell>
          <cell r="E330" t="str">
            <v>C314403</v>
          </cell>
          <cell r="F330">
            <v>46143</v>
          </cell>
          <cell r="G330">
            <v>46507</v>
          </cell>
          <cell r="H330">
            <v>46179</v>
          </cell>
          <cell r="I330">
            <v>46179</v>
          </cell>
          <cell r="K330" t="str">
            <v>004040</v>
          </cell>
          <cell r="L330">
            <v>-165.65</v>
          </cell>
          <cell r="M330">
            <v>-165.65</v>
          </cell>
          <cell r="N330">
            <v>-165.65</v>
          </cell>
          <cell r="O330" t="str">
            <v>indiretto</v>
          </cell>
          <cell r="P330">
            <v>5</v>
          </cell>
          <cell r="Q330" t="str">
            <v>0.916558</v>
          </cell>
          <cell r="R330" t="str">
            <v>0.642623</v>
          </cell>
          <cell r="S330" t="str">
            <v>0.256196</v>
          </cell>
          <cell r="T330" t="str">
            <v>NO</v>
          </cell>
          <cell r="U330" t="str">
            <v>DELIBERAZIONE EGATO 29 19/12/2018</v>
          </cell>
        </row>
        <row r="331">
          <cell r="A331" t="str">
            <v>C344204</v>
          </cell>
          <cell r="B331">
            <v>202601307333096</v>
          </cell>
          <cell r="D331" t="str">
            <v>ATO4</v>
          </cell>
          <cell r="E331" t="str">
            <v>C344204</v>
          </cell>
          <cell r="F331">
            <v>46143</v>
          </cell>
          <cell r="G331">
            <v>46507</v>
          </cell>
          <cell r="H331">
            <v>46179</v>
          </cell>
          <cell r="I331">
            <v>46179</v>
          </cell>
          <cell r="K331" t="str">
            <v>004082</v>
          </cell>
          <cell r="L331">
            <v>-298.18</v>
          </cell>
          <cell r="M331">
            <v>-298.18</v>
          </cell>
          <cell r="N331">
            <v>-298.18</v>
          </cell>
          <cell r="O331" t="str">
            <v>indiretto</v>
          </cell>
          <cell r="P331">
            <v>9</v>
          </cell>
          <cell r="Q331" t="str">
            <v>0.916558</v>
          </cell>
          <cell r="R331" t="str">
            <v>0.642623</v>
          </cell>
          <cell r="S331" t="str">
            <v>0.256196</v>
          </cell>
          <cell r="T331" t="str">
            <v>NO</v>
          </cell>
          <cell r="U331" t="str">
            <v>DELIBERAZIONE EGATO 29 19/12/2018</v>
          </cell>
        </row>
        <row r="332">
          <cell r="A332" t="str">
            <v>C042232</v>
          </cell>
          <cell r="B332">
            <v>202601307335960</v>
          </cell>
          <cell r="D332" t="str">
            <v>ATO4</v>
          </cell>
          <cell r="E332" t="str">
            <v>C042232</v>
          </cell>
          <cell r="F332">
            <v>46143</v>
          </cell>
          <cell r="G332">
            <v>46507</v>
          </cell>
          <cell r="H332">
            <v>46179</v>
          </cell>
          <cell r="I332">
            <v>46179</v>
          </cell>
          <cell r="K332" t="str">
            <v>004025</v>
          </cell>
          <cell r="L332">
            <v>-33.130000000000003</v>
          </cell>
          <cell r="M332">
            <v>-33.130000000000003</v>
          </cell>
          <cell r="N332">
            <v>-33.130000000000003</v>
          </cell>
          <cell r="O332" t="str">
            <v>indiretto</v>
          </cell>
          <cell r="P332">
            <v>1</v>
          </cell>
          <cell r="Q332" t="str">
            <v>0.916558</v>
          </cell>
          <cell r="R332" t="str">
            <v>0.642623</v>
          </cell>
          <cell r="S332" t="str">
            <v>0.256196</v>
          </cell>
          <cell r="T332" t="str">
            <v>NO</v>
          </cell>
          <cell r="U332" t="str">
            <v>DELIBERAZIONE EGATO 29 19/12/2018</v>
          </cell>
        </row>
        <row r="333">
          <cell r="A333" t="str">
            <v>C312171</v>
          </cell>
          <cell r="B333">
            <v>202601307337185</v>
          </cell>
          <cell r="D333" t="str">
            <v>ATO4</v>
          </cell>
          <cell r="E333" t="str">
            <v>C312171</v>
          </cell>
          <cell r="F333">
            <v>46143</v>
          </cell>
          <cell r="G333">
            <v>46507</v>
          </cell>
          <cell r="H333">
            <v>46179</v>
          </cell>
          <cell r="I333">
            <v>46179</v>
          </cell>
          <cell r="K333" t="str">
            <v>004078</v>
          </cell>
          <cell r="L333">
            <v>-132.52000000000001</v>
          </cell>
          <cell r="M333">
            <v>-132.52000000000001</v>
          </cell>
          <cell r="N333">
            <v>-132.52000000000001</v>
          </cell>
          <cell r="O333" t="str">
            <v>indiretto</v>
          </cell>
          <cell r="P333">
            <v>4</v>
          </cell>
          <cell r="Q333" t="str">
            <v>0.916558</v>
          </cell>
          <cell r="R333" t="str">
            <v>0.642623</v>
          </cell>
          <cell r="S333" t="str">
            <v>0.256196</v>
          </cell>
          <cell r="T333" t="str">
            <v>NO</v>
          </cell>
          <cell r="U333" t="str">
            <v>DELIBERAZIONE EGATO 29 19/12/2018</v>
          </cell>
        </row>
        <row r="334">
          <cell r="A334" t="str">
            <v>C344140</v>
          </cell>
          <cell r="B334">
            <v>202601307337953</v>
          </cell>
          <cell r="D334" t="str">
            <v>ATO4</v>
          </cell>
          <cell r="E334" t="str">
            <v>C344140</v>
          </cell>
          <cell r="F334">
            <v>46143</v>
          </cell>
          <cell r="G334">
            <v>46507</v>
          </cell>
          <cell r="H334">
            <v>46179</v>
          </cell>
          <cell r="I334">
            <v>46179</v>
          </cell>
          <cell r="K334" t="str">
            <v>004208</v>
          </cell>
          <cell r="L334">
            <v>-245.78</v>
          </cell>
          <cell r="M334">
            <v>-245.78</v>
          </cell>
          <cell r="N334">
            <v>-245.78</v>
          </cell>
          <cell r="O334" t="str">
            <v>indiretto</v>
          </cell>
          <cell r="P334">
            <v>7</v>
          </cell>
          <cell r="Q334">
            <v>1193061</v>
          </cell>
          <cell r="R334" t="str">
            <v>0.545393</v>
          </cell>
          <cell r="S334" t="str">
            <v>0.185433</v>
          </cell>
          <cell r="T334" t="str">
            <v>NO</v>
          </cell>
          <cell r="U334" t="str">
            <v>DELIBERAZIONE EGATO 11 27/03/2019</v>
          </cell>
        </row>
        <row r="335">
          <cell r="A335" t="str">
            <v>C313018</v>
          </cell>
          <cell r="B335">
            <v>202601307342428</v>
          </cell>
          <cell r="D335" t="str">
            <v>ATO4</v>
          </cell>
          <cell r="E335" t="str">
            <v>C313018</v>
          </cell>
          <cell r="F335">
            <v>46143</v>
          </cell>
          <cell r="G335">
            <v>46507</v>
          </cell>
          <cell r="H335">
            <v>46179</v>
          </cell>
          <cell r="I335">
            <v>46179</v>
          </cell>
          <cell r="K335" t="str">
            <v>004078</v>
          </cell>
          <cell r="L335">
            <v>-33.130000000000003</v>
          </cell>
          <cell r="M335">
            <v>-33.130000000000003</v>
          </cell>
          <cell r="N335">
            <v>-33.130000000000003</v>
          </cell>
          <cell r="O335" t="str">
            <v>indiretto</v>
          </cell>
          <cell r="P335">
            <v>1</v>
          </cell>
          <cell r="Q335" t="str">
            <v>0.916558</v>
          </cell>
          <cell r="R335" t="str">
            <v>0.642623</v>
          </cell>
          <cell r="S335" t="str">
            <v>0.256196</v>
          </cell>
          <cell r="T335" t="str">
            <v>NO</v>
          </cell>
          <cell r="U335" t="str">
            <v>DELIBERAZIONE EGATO 29 19/12/2018</v>
          </cell>
        </row>
        <row r="336">
          <cell r="A336" t="str">
            <v>C344205</v>
          </cell>
          <cell r="B336">
            <v>202601307348558</v>
          </cell>
          <cell r="D336" t="str">
            <v>ATO4</v>
          </cell>
          <cell r="E336" t="str">
            <v>C344205</v>
          </cell>
          <cell r="F336">
            <v>46143</v>
          </cell>
          <cell r="G336">
            <v>46507</v>
          </cell>
          <cell r="H336">
            <v>46179</v>
          </cell>
          <cell r="I336">
            <v>46179</v>
          </cell>
          <cell r="K336" t="str">
            <v>004171</v>
          </cell>
          <cell r="L336">
            <v>-18.16</v>
          </cell>
          <cell r="M336">
            <v>-18.16</v>
          </cell>
          <cell r="N336">
            <v>-18.16</v>
          </cell>
          <cell r="O336" t="str">
            <v>indiretto</v>
          </cell>
          <cell r="P336">
            <v>1</v>
          </cell>
          <cell r="Q336" t="str">
            <v>0.483220</v>
          </cell>
          <cell r="R336" t="str">
            <v>0.350215</v>
          </cell>
          <cell r="S336" t="str">
            <v>0.161638</v>
          </cell>
          <cell r="T336" t="str">
            <v>NO</v>
          </cell>
          <cell r="U336" t="str">
            <v>DELIBERAZIONE EGATO 23 16/11/2020</v>
          </cell>
        </row>
        <row r="337">
          <cell r="A337" t="str">
            <v>C344264</v>
          </cell>
          <cell r="B337">
            <v>202601307349757</v>
          </cell>
          <cell r="D337" t="str">
            <v>ATO4</v>
          </cell>
          <cell r="E337" t="str">
            <v>C344264</v>
          </cell>
          <cell r="F337">
            <v>46143</v>
          </cell>
          <cell r="G337">
            <v>46507</v>
          </cell>
          <cell r="H337">
            <v>46179</v>
          </cell>
          <cell r="I337">
            <v>46179</v>
          </cell>
          <cell r="K337" t="str">
            <v>004114</v>
          </cell>
          <cell r="L337">
            <v>-165.65</v>
          </cell>
          <cell r="M337">
            <v>-165.65</v>
          </cell>
          <cell r="N337">
            <v>-165.65</v>
          </cell>
          <cell r="O337" t="str">
            <v>indiretto</v>
          </cell>
          <cell r="P337">
            <v>5</v>
          </cell>
          <cell r="Q337" t="str">
            <v>0.916558</v>
          </cell>
          <cell r="R337" t="str">
            <v>0.642623</v>
          </cell>
          <cell r="S337" t="str">
            <v>0.256196</v>
          </cell>
          <cell r="T337" t="str">
            <v>NO</v>
          </cell>
          <cell r="U337" t="str">
            <v>DELIBERAZIONE EGATO 29 19/12/2018</v>
          </cell>
        </row>
        <row r="338">
          <cell r="A338" t="str">
            <v>C337527</v>
          </cell>
          <cell r="B338">
            <v>202601307351915</v>
          </cell>
          <cell r="D338" t="str">
            <v>ATO4</v>
          </cell>
          <cell r="E338" t="str">
            <v>C337527</v>
          </cell>
          <cell r="F338">
            <v>46143</v>
          </cell>
          <cell r="G338">
            <v>46507</v>
          </cell>
          <cell r="H338">
            <v>46179</v>
          </cell>
          <cell r="I338">
            <v>46179</v>
          </cell>
          <cell r="K338" t="str">
            <v>004192</v>
          </cell>
          <cell r="L338">
            <v>-33.130000000000003</v>
          </cell>
          <cell r="M338">
            <v>-33.130000000000003</v>
          </cell>
          <cell r="N338">
            <v>-33.130000000000003</v>
          </cell>
          <cell r="O338" t="str">
            <v>indiretto</v>
          </cell>
          <cell r="P338">
            <v>1</v>
          </cell>
          <cell r="Q338" t="str">
            <v>0.916558</v>
          </cell>
          <cell r="R338" t="str">
            <v>0.642623</v>
          </cell>
          <cell r="S338" t="str">
            <v>0.256196</v>
          </cell>
          <cell r="T338" t="str">
            <v>NO</v>
          </cell>
          <cell r="U338" t="str">
            <v>DELIBERAZIONE EGATO 29 19/12/2018</v>
          </cell>
        </row>
        <row r="339">
          <cell r="A339" t="str">
            <v>C313730</v>
          </cell>
          <cell r="B339">
            <v>202601307360761</v>
          </cell>
          <cell r="D339" t="str">
            <v>ATO4</v>
          </cell>
          <cell r="E339" t="str">
            <v>C313730</v>
          </cell>
          <cell r="F339">
            <v>46143</v>
          </cell>
          <cell r="G339">
            <v>46507</v>
          </cell>
          <cell r="H339">
            <v>46179</v>
          </cell>
          <cell r="I339">
            <v>46179</v>
          </cell>
          <cell r="K339" t="str">
            <v>004066</v>
          </cell>
          <cell r="L339">
            <v>-132.52000000000001</v>
          </cell>
          <cell r="M339">
            <v>-132.52000000000001</v>
          </cell>
          <cell r="N339">
            <v>-132.52000000000001</v>
          </cell>
          <cell r="O339" t="str">
            <v>indiretto</v>
          </cell>
          <cell r="P339">
            <v>4</v>
          </cell>
          <cell r="Q339" t="str">
            <v>0.916558</v>
          </cell>
          <cell r="R339" t="str">
            <v>0.642623</v>
          </cell>
          <cell r="S339" t="str">
            <v>0.256196</v>
          </cell>
          <cell r="T339" t="str">
            <v>NO</v>
          </cell>
          <cell r="U339" t="str">
            <v>DELIBERAZIONE EGATO 29 19/12/2018</v>
          </cell>
        </row>
        <row r="340">
          <cell r="A340" t="str">
            <v>C320245</v>
          </cell>
          <cell r="B340">
            <v>202601307361115</v>
          </cell>
          <cell r="D340" t="str">
            <v>ATO4</v>
          </cell>
          <cell r="E340" t="str">
            <v>C320245</v>
          </cell>
          <cell r="F340">
            <v>46143</v>
          </cell>
          <cell r="G340">
            <v>46507</v>
          </cell>
          <cell r="H340">
            <v>46179</v>
          </cell>
          <cell r="I340">
            <v>46179</v>
          </cell>
          <cell r="K340" t="str">
            <v>004078</v>
          </cell>
          <cell r="L340">
            <v>-33.130000000000003</v>
          </cell>
          <cell r="M340">
            <v>-33.130000000000003</v>
          </cell>
          <cell r="N340">
            <v>-33.130000000000003</v>
          </cell>
          <cell r="O340" t="str">
            <v>indiretto</v>
          </cell>
          <cell r="P340">
            <v>1</v>
          </cell>
          <cell r="Q340" t="str">
            <v>0.916558</v>
          </cell>
          <cell r="R340" t="str">
            <v>0.642623</v>
          </cell>
          <cell r="S340" t="str">
            <v>0.256196</v>
          </cell>
          <cell r="T340" t="str">
            <v>NO</v>
          </cell>
          <cell r="U340" t="str">
            <v>DELIBERAZIONE EGATO 29 19/12/2018</v>
          </cell>
        </row>
        <row r="341">
          <cell r="A341" t="str">
            <v>C307598</v>
          </cell>
          <cell r="B341">
            <v>202601307365488</v>
          </cell>
          <cell r="D341" t="str">
            <v>ATO4</v>
          </cell>
          <cell r="E341" t="str">
            <v>C307598</v>
          </cell>
          <cell r="F341">
            <v>46143</v>
          </cell>
          <cell r="G341">
            <v>46507</v>
          </cell>
          <cell r="H341">
            <v>46179</v>
          </cell>
          <cell r="I341">
            <v>46179</v>
          </cell>
          <cell r="K341" t="str">
            <v>004040</v>
          </cell>
          <cell r="L341">
            <v>-33.130000000000003</v>
          </cell>
          <cell r="M341">
            <v>-33.130000000000003</v>
          </cell>
          <cell r="N341">
            <v>-33.130000000000003</v>
          </cell>
          <cell r="O341" t="str">
            <v>indiretto</v>
          </cell>
          <cell r="P341">
            <v>1</v>
          </cell>
          <cell r="Q341" t="str">
            <v>0.916558</v>
          </cell>
          <cell r="R341" t="str">
            <v>0.642623</v>
          </cell>
          <cell r="S341" t="str">
            <v>0.256196</v>
          </cell>
          <cell r="T341" t="str">
            <v>NO</v>
          </cell>
          <cell r="U341" t="str">
            <v>DELIBERAZIONE EGATO 29 19/12/2018</v>
          </cell>
        </row>
        <row r="342">
          <cell r="A342" t="str">
            <v>C311884</v>
          </cell>
          <cell r="B342">
            <v>202601307368953</v>
          </cell>
          <cell r="D342" t="str">
            <v>ATO4</v>
          </cell>
          <cell r="E342" t="str">
            <v>C311884</v>
          </cell>
          <cell r="F342">
            <v>46143</v>
          </cell>
          <cell r="G342">
            <v>46507</v>
          </cell>
          <cell r="H342">
            <v>46179</v>
          </cell>
          <cell r="I342">
            <v>46179</v>
          </cell>
          <cell r="K342" t="str">
            <v>004041</v>
          </cell>
          <cell r="L342">
            <v>-132.52000000000001</v>
          </cell>
          <cell r="M342">
            <v>-132.52000000000001</v>
          </cell>
          <cell r="N342">
            <v>-132.52000000000001</v>
          </cell>
          <cell r="O342" t="str">
            <v>indiretto</v>
          </cell>
          <cell r="P342">
            <v>4</v>
          </cell>
          <cell r="Q342" t="str">
            <v>0.916558</v>
          </cell>
          <cell r="R342" t="str">
            <v>0.642623</v>
          </cell>
          <cell r="S342" t="str">
            <v>0.256196</v>
          </cell>
          <cell r="T342" t="str">
            <v>NO</v>
          </cell>
          <cell r="U342" t="str">
            <v>DELIBERAZIONE EGATO 29 19/12/2018</v>
          </cell>
        </row>
        <row r="343">
          <cell r="A343" t="str">
            <v>C321389</v>
          </cell>
          <cell r="B343">
            <v>202601307377699</v>
          </cell>
          <cell r="D343" t="str">
            <v>ATO4</v>
          </cell>
          <cell r="E343" t="str">
            <v>C321389</v>
          </cell>
          <cell r="F343">
            <v>46143</v>
          </cell>
          <cell r="G343">
            <v>46507</v>
          </cell>
          <cell r="H343">
            <v>46179</v>
          </cell>
          <cell r="I343">
            <v>46179</v>
          </cell>
          <cell r="K343" t="str">
            <v>004095</v>
          </cell>
          <cell r="L343">
            <v>-89.45</v>
          </cell>
          <cell r="M343">
            <v>-89.45</v>
          </cell>
          <cell r="N343">
            <v>-89.45</v>
          </cell>
          <cell r="O343" t="str">
            <v>indiretto</v>
          </cell>
          <cell r="P343">
            <v>3</v>
          </cell>
          <cell r="Q343" t="str">
            <v>0.824903</v>
          </cell>
          <cell r="R343" t="str">
            <v>0.578360</v>
          </cell>
          <cell r="S343" t="str">
            <v>0.230576</v>
          </cell>
          <cell r="T343" t="str">
            <v>NO</v>
          </cell>
          <cell r="U343" t="str">
            <v>DELIBERAZIONE EGATO 29 19/12/2018</v>
          </cell>
        </row>
        <row r="344">
          <cell r="A344" t="str">
            <v>C122055</v>
          </cell>
          <cell r="B344">
            <v>202601307380242</v>
          </cell>
          <cell r="D344" t="str">
            <v>ATO4</v>
          </cell>
          <cell r="E344" t="str">
            <v>C122055</v>
          </cell>
          <cell r="F344">
            <v>46143</v>
          </cell>
          <cell r="G344">
            <v>46507</v>
          </cell>
          <cell r="H344">
            <v>46179</v>
          </cell>
          <cell r="I344">
            <v>46179</v>
          </cell>
          <cell r="K344" t="str">
            <v>004085</v>
          </cell>
          <cell r="L344">
            <v>-149.09</v>
          </cell>
          <cell r="M344">
            <v>-149.09</v>
          </cell>
          <cell r="N344">
            <v>-149.09</v>
          </cell>
          <cell r="O344" t="str">
            <v>indiretto</v>
          </cell>
          <cell r="P344">
            <v>5</v>
          </cell>
          <cell r="Q344" t="str">
            <v>0.824903</v>
          </cell>
          <cell r="R344" t="str">
            <v>0.578360</v>
          </cell>
          <cell r="S344" t="str">
            <v>0.230576</v>
          </cell>
          <cell r="T344" t="str">
            <v>NO</v>
          </cell>
          <cell r="U344" t="str">
            <v>DELIBERAZIONE EGATO 29 19/12/2018</v>
          </cell>
        </row>
        <row r="345">
          <cell r="A345" t="str">
            <v>C344160</v>
          </cell>
          <cell r="B345">
            <v>202601307383863</v>
          </cell>
          <cell r="D345" t="str">
            <v>ATO4</v>
          </cell>
          <cell r="E345" t="str">
            <v>C344160</v>
          </cell>
          <cell r="F345">
            <v>46143</v>
          </cell>
          <cell r="G345">
            <v>46507</v>
          </cell>
          <cell r="H345">
            <v>46179</v>
          </cell>
          <cell r="I345">
            <v>46179</v>
          </cell>
          <cell r="K345" t="str">
            <v>004249</v>
          </cell>
          <cell r="L345">
            <v>-13.29</v>
          </cell>
          <cell r="M345">
            <v>-13.29</v>
          </cell>
          <cell r="N345">
            <v>-13.29</v>
          </cell>
          <cell r="O345" t="str">
            <v>indiretto</v>
          </cell>
          <cell r="P345">
            <v>1</v>
          </cell>
          <cell r="Q345" t="str">
            <v>0.222532</v>
          </cell>
          <cell r="R345" t="str">
            <v>0.366671</v>
          </cell>
          <cell r="S345" t="str">
            <v>0.139082</v>
          </cell>
          <cell r="T345" t="str">
            <v>NO</v>
          </cell>
          <cell r="U345" t="str">
            <v>DELIBERAZIONE EGATO 4 23/02/2023</v>
          </cell>
        </row>
        <row r="346">
          <cell r="A346" t="str">
            <v>C314180</v>
          </cell>
          <cell r="B346">
            <v>202601307387255</v>
          </cell>
          <cell r="D346" t="str">
            <v>ATO4</v>
          </cell>
          <cell r="E346" t="str">
            <v>C314180</v>
          </cell>
          <cell r="F346">
            <v>46143</v>
          </cell>
          <cell r="G346">
            <v>46507</v>
          </cell>
          <cell r="H346">
            <v>46179</v>
          </cell>
          <cell r="I346">
            <v>46179</v>
          </cell>
          <cell r="K346" t="str">
            <v>004078</v>
          </cell>
          <cell r="L346">
            <v>-33.130000000000003</v>
          </cell>
          <cell r="M346">
            <v>-33.130000000000003</v>
          </cell>
          <cell r="N346">
            <v>-33.130000000000003</v>
          </cell>
          <cell r="O346" t="str">
            <v>indiretto</v>
          </cell>
          <cell r="P346">
            <v>1</v>
          </cell>
          <cell r="Q346" t="str">
            <v>0.916558</v>
          </cell>
          <cell r="R346" t="str">
            <v>0.642623</v>
          </cell>
          <cell r="S346" t="str">
            <v>0.256196</v>
          </cell>
          <cell r="T346" t="str">
            <v>NO</v>
          </cell>
          <cell r="U346" t="str">
            <v>DELIBERAZIONE EGATO 29 19/12/2018</v>
          </cell>
        </row>
        <row r="347">
          <cell r="A347" t="str">
            <v>C312763</v>
          </cell>
          <cell r="B347">
            <v>202601307389294</v>
          </cell>
          <cell r="D347" t="str">
            <v>ATO4</v>
          </cell>
          <cell r="E347" t="str">
            <v>C312763</v>
          </cell>
          <cell r="F347">
            <v>46143</v>
          </cell>
          <cell r="G347">
            <v>46507</v>
          </cell>
          <cell r="H347">
            <v>46179</v>
          </cell>
          <cell r="I347">
            <v>46179</v>
          </cell>
          <cell r="K347" t="str">
            <v>004009</v>
          </cell>
          <cell r="L347">
            <v>-24.62</v>
          </cell>
          <cell r="M347">
            <v>-24.62</v>
          </cell>
          <cell r="N347">
            <v>-24.62</v>
          </cell>
          <cell r="O347" t="str">
            <v>indiretto</v>
          </cell>
          <cell r="P347">
            <v>1</v>
          </cell>
          <cell r="Q347" t="str">
            <v>0.716943</v>
          </cell>
          <cell r="R347" t="str">
            <v>0.463071</v>
          </cell>
          <cell r="S347" t="str">
            <v>0.169064</v>
          </cell>
          <cell r="T347" t="str">
            <v>NO</v>
          </cell>
          <cell r="U347" t="str">
            <v>DELIBERAZIONE EGATO 2 04/02/2019</v>
          </cell>
        </row>
        <row r="348">
          <cell r="A348" t="str">
            <v>C344161</v>
          </cell>
          <cell r="B348">
            <v>202601307395159</v>
          </cell>
          <cell r="D348" t="str">
            <v>ATO4</v>
          </cell>
          <cell r="E348" t="str">
            <v>C344161</v>
          </cell>
          <cell r="F348">
            <v>46143</v>
          </cell>
          <cell r="G348">
            <v>46507</v>
          </cell>
          <cell r="H348">
            <v>46179</v>
          </cell>
          <cell r="I348">
            <v>46179</v>
          </cell>
          <cell r="K348" t="str">
            <v>004130</v>
          </cell>
          <cell r="L348">
            <v>-131.29</v>
          </cell>
          <cell r="M348">
            <v>-131.29</v>
          </cell>
          <cell r="N348">
            <v>-131.29</v>
          </cell>
          <cell r="O348" t="str">
            <v>indiretto</v>
          </cell>
          <cell r="P348">
            <v>5</v>
          </cell>
          <cell r="Q348" t="str">
            <v>0.545182</v>
          </cell>
          <cell r="R348" t="str">
            <v>0.611443</v>
          </cell>
          <cell r="S348" t="str">
            <v>0.282207</v>
          </cell>
          <cell r="T348" t="str">
            <v>NO</v>
          </cell>
          <cell r="U348" t="str">
            <v>DELIBERA EGATO N.29 DEL 19/12/2018</v>
          </cell>
        </row>
        <row r="349">
          <cell r="A349" t="str">
            <v>C344141</v>
          </cell>
          <cell r="B349">
            <v>202601307396324</v>
          </cell>
          <cell r="D349" t="str">
            <v>ATO4</v>
          </cell>
          <cell r="E349" t="str">
            <v>C344141</v>
          </cell>
          <cell r="F349">
            <v>46143</v>
          </cell>
          <cell r="G349">
            <v>46507</v>
          </cell>
          <cell r="H349">
            <v>46179</v>
          </cell>
          <cell r="I349">
            <v>46179</v>
          </cell>
          <cell r="K349" t="str">
            <v>004130</v>
          </cell>
          <cell r="L349">
            <v>-131.29</v>
          </cell>
          <cell r="M349">
            <v>-131.29</v>
          </cell>
          <cell r="N349">
            <v>-131.29</v>
          </cell>
          <cell r="O349" t="str">
            <v>indiretto</v>
          </cell>
          <cell r="P349">
            <v>5</v>
          </cell>
          <cell r="Q349" t="str">
            <v>0.545182</v>
          </cell>
          <cell r="R349" t="str">
            <v>0.611443</v>
          </cell>
          <cell r="S349" t="str">
            <v>0.282207</v>
          </cell>
          <cell r="T349" t="str">
            <v>NO</v>
          </cell>
          <cell r="U349" t="str">
            <v>DELIBERA EGATO N.29 DEL 19/12/2018</v>
          </cell>
        </row>
        <row r="350">
          <cell r="A350" t="str">
            <v>C344102</v>
          </cell>
          <cell r="B350">
            <v>202601307406328</v>
          </cell>
          <cell r="D350" t="str">
            <v>ATO4</v>
          </cell>
          <cell r="E350" t="str">
            <v>C344102</v>
          </cell>
          <cell r="F350">
            <v>46143</v>
          </cell>
          <cell r="G350">
            <v>46507</v>
          </cell>
          <cell r="H350">
            <v>46179</v>
          </cell>
          <cell r="I350">
            <v>46179</v>
          </cell>
          <cell r="K350" t="str">
            <v>004078</v>
          </cell>
          <cell r="L350">
            <v>-33.130000000000003</v>
          </cell>
          <cell r="M350">
            <v>-33.130000000000003</v>
          </cell>
          <cell r="N350">
            <v>-33.130000000000003</v>
          </cell>
          <cell r="O350" t="str">
            <v>indiretto</v>
          </cell>
          <cell r="P350">
            <v>1</v>
          </cell>
          <cell r="Q350" t="str">
            <v>0.916558</v>
          </cell>
          <cell r="R350" t="str">
            <v>0.642623</v>
          </cell>
          <cell r="S350" t="str">
            <v>0.256196</v>
          </cell>
          <cell r="T350" t="str">
            <v>NO</v>
          </cell>
          <cell r="U350" t="str">
            <v>DELIBERAZIONE EGATO 29 19/12/2018</v>
          </cell>
        </row>
        <row r="351">
          <cell r="A351" t="str">
            <v>C321090</v>
          </cell>
          <cell r="B351">
            <v>202601307416180</v>
          </cell>
          <cell r="D351" t="str">
            <v>ATO4</v>
          </cell>
          <cell r="E351" t="str">
            <v>C321090</v>
          </cell>
          <cell r="F351">
            <v>46143</v>
          </cell>
          <cell r="G351">
            <v>46507</v>
          </cell>
          <cell r="H351">
            <v>46179</v>
          </cell>
          <cell r="I351">
            <v>46179</v>
          </cell>
          <cell r="K351" t="str">
            <v>004043</v>
          </cell>
          <cell r="L351">
            <v>-77.319999999999993</v>
          </cell>
          <cell r="M351">
            <v>-77.319999999999993</v>
          </cell>
          <cell r="N351">
            <v>-77.319999999999993</v>
          </cell>
          <cell r="O351" t="str">
            <v>indiretto</v>
          </cell>
          <cell r="P351">
            <v>2</v>
          </cell>
          <cell r="Q351">
            <v>1091278</v>
          </cell>
          <cell r="R351" t="str">
            <v>0.730790</v>
          </cell>
          <cell r="S351" t="str">
            <v>0.296264</v>
          </cell>
          <cell r="T351" t="str">
            <v>NO</v>
          </cell>
          <cell r="U351" t="str">
            <v>DELIBERAZIONE EGATO 2 04/02/2019</v>
          </cell>
        </row>
        <row r="352">
          <cell r="A352" t="str">
            <v>C344103</v>
          </cell>
          <cell r="B352">
            <v>202601307418961</v>
          </cell>
          <cell r="D352" t="str">
            <v>ATO4</v>
          </cell>
          <cell r="E352" t="str">
            <v>C344103</v>
          </cell>
          <cell r="F352">
            <v>46143</v>
          </cell>
          <cell r="G352">
            <v>46507</v>
          </cell>
          <cell r="H352">
            <v>46179</v>
          </cell>
          <cell r="I352">
            <v>46179</v>
          </cell>
          <cell r="K352" t="str">
            <v>004245</v>
          </cell>
          <cell r="L352">
            <v>-26.26</v>
          </cell>
          <cell r="M352">
            <v>-26.26</v>
          </cell>
          <cell r="N352">
            <v>-26.26</v>
          </cell>
          <cell r="O352" t="str">
            <v>indiretto</v>
          </cell>
          <cell r="P352">
            <v>1</v>
          </cell>
          <cell r="Q352" t="str">
            <v>0.545182</v>
          </cell>
          <cell r="R352" t="str">
            <v>0.611443</v>
          </cell>
          <cell r="S352" t="str">
            <v>0.282207</v>
          </cell>
          <cell r="T352" t="str">
            <v>NO</v>
          </cell>
          <cell r="U352" t="str">
            <v>DELIBERA EGATO N.29 DEL 19/12/2018</v>
          </cell>
        </row>
        <row r="353">
          <cell r="A353" t="str">
            <v>C344233</v>
          </cell>
          <cell r="B353">
            <v>202601307430224</v>
          </cell>
          <cell r="D353" t="str">
            <v>ATO4</v>
          </cell>
          <cell r="E353" t="str">
            <v>C344233</v>
          </cell>
          <cell r="F353">
            <v>46143</v>
          </cell>
          <cell r="G353">
            <v>46507</v>
          </cell>
          <cell r="H353">
            <v>46179</v>
          </cell>
          <cell r="I353">
            <v>46179</v>
          </cell>
          <cell r="K353" t="str">
            <v>004078</v>
          </cell>
          <cell r="L353">
            <v>-66.260000000000005</v>
          </cell>
          <cell r="M353">
            <v>-66.260000000000005</v>
          </cell>
          <cell r="N353">
            <v>-66.260000000000005</v>
          </cell>
          <cell r="O353" t="str">
            <v>indiretto</v>
          </cell>
          <cell r="P353">
            <v>2</v>
          </cell>
          <cell r="Q353" t="str">
            <v>0.916558</v>
          </cell>
          <cell r="R353" t="str">
            <v>0.642623</v>
          </cell>
          <cell r="S353" t="str">
            <v>0.256196</v>
          </cell>
          <cell r="T353" t="str">
            <v>NO</v>
          </cell>
          <cell r="U353" t="str">
            <v>DELIBERAZIONE EGATO 29 19/12/2018</v>
          </cell>
        </row>
        <row r="354">
          <cell r="A354" t="str">
            <v>C121913</v>
          </cell>
          <cell r="B354">
            <v>202601307431118</v>
          </cell>
          <cell r="D354" t="str">
            <v>ATO4</v>
          </cell>
          <cell r="E354" t="str">
            <v>C121913</v>
          </cell>
          <cell r="F354">
            <v>46143</v>
          </cell>
          <cell r="G354">
            <v>46507</v>
          </cell>
          <cell r="H354">
            <v>46179</v>
          </cell>
          <cell r="I354">
            <v>46179</v>
          </cell>
          <cell r="K354" t="str">
            <v>004034</v>
          </cell>
          <cell r="L354">
            <v>-165.65</v>
          </cell>
          <cell r="M354">
            <v>-165.65</v>
          </cell>
          <cell r="N354">
            <v>-165.65</v>
          </cell>
          <cell r="O354" t="str">
            <v>indiretto</v>
          </cell>
          <cell r="P354">
            <v>5</v>
          </cell>
          <cell r="Q354" t="str">
            <v>0.916558</v>
          </cell>
          <cell r="R354" t="str">
            <v>0.642623</v>
          </cell>
          <cell r="S354" t="str">
            <v>0.256196</v>
          </cell>
          <cell r="T354" t="str">
            <v>NO</v>
          </cell>
          <cell r="U354" t="str">
            <v>DELIBERAZIONE EGATO 29 19/12/2018</v>
          </cell>
        </row>
        <row r="355">
          <cell r="A355" t="str">
            <v>C307596</v>
          </cell>
          <cell r="B355">
            <v>202601307437418</v>
          </cell>
          <cell r="D355" t="str">
            <v>ATO4</v>
          </cell>
          <cell r="E355" t="str">
            <v>C307596</v>
          </cell>
          <cell r="F355">
            <v>46143</v>
          </cell>
          <cell r="G355">
            <v>46507</v>
          </cell>
          <cell r="H355">
            <v>46179</v>
          </cell>
          <cell r="I355">
            <v>46179</v>
          </cell>
          <cell r="K355" t="str">
            <v>004022</v>
          </cell>
          <cell r="L355">
            <v>-198.78</v>
          </cell>
          <cell r="M355">
            <v>-198.78</v>
          </cell>
          <cell r="N355">
            <v>-198.78</v>
          </cell>
          <cell r="O355" t="str">
            <v>indiretto</v>
          </cell>
          <cell r="P355">
            <v>6</v>
          </cell>
          <cell r="Q355" t="str">
            <v>0.916558</v>
          </cell>
          <cell r="R355" t="str">
            <v>0.642623</v>
          </cell>
          <cell r="S355" t="str">
            <v>0.256196</v>
          </cell>
          <cell r="T355" t="str">
            <v>NO</v>
          </cell>
          <cell r="U355" t="str">
            <v>DELIBERAZIONE EGATO 29 19/12/2018</v>
          </cell>
        </row>
        <row r="356">
          <cell r="A356" t="str">
            <v>C344276</v>
          </cell>
          <cell r="B356">
            <v>202601307448494</v>
          </cell>
          <cell r="D356" t="str">
            <v>ATO4</v>
          </cell>
          <cell r="E356" t="str">
            <v>C344276</v>
          </cell>
          <cell r="F356">
            <v>46143</v>
          </cell>
          <cell r="G356">
            <v>46507</v>
          </cell>
          <cell r="H356">
            <v>46179</v>
          </cell>
          <cell r="I356">
            <v>46179</v>
          </cell>
          <cell r="K356" t="str">
            <v>004040</v>
          </cell>
          <cell r="L356">
            <v>-132.52000000000001</v>
          </cell>
          <cell r="M356">
            <v>-132.52000000000001</v>
          </cell>
          <cell r="N356">
            <v>-132.52000000000001</v>
          </cell>
          <cell r="O356" t="str">
            <v>indiretto</v>
          </cell>
          <cell r="P356">
            <v>4</v>
          </cell>
          <cell r="Q356" t="str">
            <v>0.916558</v>
          </cell>
          <cell r="R356" t="str">
            <v>0.642623</v>
          </cell>
          <cell r="S356" t="str">
            <v>0.256196</v>
          </cell>
          <cell r="T356" t="str">
            <v>NO</v>
          </cell>
          <cell r="U356" t="str">
            <v>DELIBERAZIONE EGATO 29 19/12/2018</v>
          </cell>
        </row>
        <row r="357">
          <cell r="A357" t="str">
            <v>C344282</v>
          </cell>
          <cell r="B357">
            <v>202601307451288</v>
          </cell>
          <cell r="D357" t="str">
            <v>ATO4</v>
          </cell>
          <cell r="E357" t="str">
            <v>C344282</v>
          </cell>
          <cell r="F357">
            <v>46143</v>
          </cell>
          <cell r="G357">
            <v>46507</v>
          </cell>
          <cell r="H357">
            <v>46179</v>
          </cell>
          <cell r="I357">
            <v>46179</v>
          </cell>
          <cell r="K357" t="str">
            <v>004130</v>
          </cell>
          <cell r="L357">
            <v>-105.03</v>
          </cell>
          <cell r="M357">
            <v>-105.03</v>
          </cell>
          <cell r="N357">
            <v>-105.03</v>
          </cell>
          <cell r="O357" t="str">
            <v>indiretto</v>
          </cell>
          <cell r="P357">
            <v>4</v>
          </cell>
          <cell r="Q357" t="str">
            <v>0.545182</v>
          </cell>
          <cell r="R357" t="str">
            <v>0.611443</v>
          </cell>
          <cell r="S357" t="str">
            <v>0.282207</v>
          </cell>
          <cell r="T357" t="str">
            <v>NO</v>
          </cell>
          <cell r="U357" t="str">
            <v>DELIBERA EGATO N.29 DEL 19/12/2018</v>
          </cell>
        </row>
        <row r="358">
          <cell r="A358" t="str">
            <v>C309918</v>
          </cell>
          <cell r="B358">
            <v>202601307453139</v>
          </cell>
          <cell r="D358" t="str">
            <v>ATO4</v>
          </cell>
          <cell r="E358" t="str">
            <v>C309918</v>
          </cell>
          <cell r="F358">
            <v>46143</v>
          </cell>
          <cell r="G358">
            <v>46507</v>
          </cell>
          <cell r="H358">
            <v>46179</v>
          </cell>
          <cell r="I358">
            <v>46179</v>
          </cell>
          <cell r="K358" t="str">
            <v>004034</v>
          </cell>
          <cell r="L358">
            <v>-33.130000000000003</v>
          </cell>
          <cell r="M358">
            <v>-33.130000000000003</v>
          </cell>
          <cell r="N358">
            <v>-33.130000000000003</v>
          </cell>
          <cell r="O358" t="str">
            <v>indiretto</v>
          </cell>
          <cell r="P358">
            <v>1</v>
          </cell>
          <cell r="Q358" t="str">
            <v>0.916558</v>
          </cell>
          <cell r="R358" t="str">
            <v>0.642623</v>
          </cell>
          <cell r="S358" t="str">
            <v>0.256196</v>
          </cell>
          <cell r="T358" t="str">
            <v>NO</v>
          </cell>
          <cell r="U358" t="str">
            <v>DELIBERAZIONE EGATO 29 19/12/2018</v>
          </cell>
        </row>
        <row r="359">
          <cell r="A359" t="str">
            <v>C344101</v>
          </cell>
          <cell r="B359">
            <v>202601307457233</v>
          </cell>
          <cell r="D359" t="str">
            <v>ATO4</v>
          </cell>
          <cell r="E359" t="str">
            <v>C344101</v>
          </cell>
          <cell r="F359">
            <v>46143</v>
          </cell>
          <cell r="G359">
            <v>46507</v>
          </cell>
          <cell r="H359">
            <v>46179</v>
          </cell>
          <cell r="I359">
            <v>46179</v>
          </cell>
          <cell r="K359" t="str">
            <v>004009</v>
          </cell>
          <cell r="L359">
            <v>-24.62</v>
          </cell>
          <cell r="M359">
            <v>-24.62</v>
          </cell>
          <cell r="N359">
            <v>-24.62</v>
          </cell>
          <cell r="O359" t="str">
            <v>indiretto</v>
          </cell>
          <cell r="P359">
            <v>1</v>
          </cell>
          <cell r="Q359" t="str">
            <v>0.716943</v>
          </cell>
          <cell r="R359" t="str">
            <v>0.463071</v>
          </cell>
          <cell r="S359" t="str">
            <v>0.169064</v>
          </cell>
          <cell r="T359" t="str">
            <v>NO</v>
          </cell>
          <cell r="U359" t="str">
            <v>DELIBERAZIONE EGATO 2 04/02/2019</v>
          </cell>
        </row>
        <row r="360">
          <cell r="A360" t="str">
            <v>C344232</v>
          </cell>
          <cell r="B360">
            <v>202601307458789</v>
          </cell>
          <cell r="D360" t="str">
            <v>ATO4</v>
          </cell>
          <cell r="E360" t="str">
            <v>C344232</v>
          </cell>
          <cell r="F360">
            <v>46143</v>
          </cell>
          <cell r="G360">
            <v>46507</v>
          </cell>
          <cell r="H360">
            <v>46179</v>
          </cell>
          <cell r="I360">
            <v>46179</v>
          </cell>
          <cell r="K360" t="str">
            <v>004078</v>
          </cell>
          <cell r="L360">
            <v>-99.39</v>
          </cell>
          <cell r="M360">
            <v>-99.39</v>
          </cell>
          <cell r="N360">
            <v>-99.39</v>
          </cell>
          <cell r="O360" t="str">
            <v>indiretto</v>
          </cell>
          <cell r="P360">
            <v>3</v>
          </cell>
          <cell r="Q360" t="str">
            <v>0.916558</v>
          </cell>
          <cell r="R360" t="str">
            <v>0.642623</v>
          </cell>
          <cell r="S360" t="str">
            <v>0.256196</v>
          </cell>
          <cell r="T360" t="str">
            <v>NO</v>
          </cell>
          <cell r="U360" t="str">
            <v>DELIBERAZIONE EGATO 29 19/12/2018</v>
          </cell>
        </row>
        <row r="361">
          <cell r="A361" t="str">
            <v>C121009</v>
          </cell>
          <cell r="B361">
            <v>202601307468334</v>
          </cell>
          <cell r="D361" t="str">
            <v>ATO4</v>
          </cell>
          <cell r="E361" t="str">
            <v>C121009</v>
          </cell>
          <cell r="F361">
            <v>46143</v>
          </cell>
          <cell r="G361">
            <v>46507</v>
          </cell>
          <cell r="H361">
            <v>46179</v>
          </cell>
          <cell r="I361">
            <v>46179</v>
          </cell>
          <cell r="K361" t="str">
            <v>004078</v>
          </cell>
          <cell r="L361">
            <v>-33.130000000000003</v>
          </cell>
          <cell r="M361">
            <v>-33.130000000000003</v>
          </cell>
          <cell r="N361">
            <v>-33.130000000000003</v>
          </cell>
          <cell r="O361" t="str">
            <v>indiretto</v>
          </cell>
          <cell r="P361">
            <v>1</v>
          </cell>
          <cell r="Q361" t="str">
            <v>0.916558</v>
          </cell>
          <cell r="R361" t="str">
            <v>0.642623</v>
          </cell>
          <cell r="S361" t="str">
            <v>0.256196</v>
          </cell>
          <cell r="T361" t="str">
            <v>NO</v>
          </cell>
          <cell r="U361" t="str">
            <v>DELIBERAZIONE EGATO 29 19/12/2018</v>
          </cell>
        </row>
        <row r="362">
          <cell r="A362" t="str">
            <v>C313188</v>
          </cell>
          <cell r="B362">
            <v>202601307470906</v>
          </cell>
          <cell r="D362" t="str">
            <v>ATO4</v>
          </cell>
          <cell r="E362" t="str">
            <v>C313188</v>
          </cell>
          <cell r="F362">
            <v>46143</v>
          </cell>
          <cell r="G362">
            <v>46507</v>
          </cell>
          <cell r="H362">
            <v>46179</v>
          </cell>
          <cell r="I362">
            <v>46179</v>
          </cell>
          <cell r="K362" t="str">
            <v>004191</v>
          </cell>
          <cell r="L362">
            <v>-119.27</v>
          </cell>
          <cell r="M362">
            <v>-119.27</v>
          </cell>
          <cell r="N362">
            <v>-119.27</v>
          </cell>
          <cell r="O362" t="str">
            <v>indiretto</v>
          </cell>
          <cell r="P362">
            <v>4</v>
          </cell>
          <cell r="Q362" t="str">
            <v>0.824903</v>
          </cell>
          <cell r="R362" t="str">
            <v>0.578360</v>
          </cell>
          <cell r="S362" t="str">
            <v>0.230576</v>
          </cell>
          <cell r="T362" t="str">
            <v>NO</v>
          </cell>
          <cell r="U362" t="str">
            <v>DELIBERAZIONE EGATO 29 19/12/2018</v>
          </cell>
        </row>
        <row r="363">
          <cell r="A363" t="str">
            <v>C310328</v>
          </cell>
          <cell r="B363">
            <v>202601307473230</v>
          </cell>
          <cell r="D363" t="str">
            <v>ATO4</v>
          </cell>
          <cell r="E363" t="str">
            <v>C310328</v>
          </cell>
          <cell r="F363">
            <v>46143</v>
          </cell>
          <cell r="G363">
            <v>46507</v>
          </cell>
          <cell r="H363">
            <v>46179</v>
          </cell>
          <cell r="I363">
            <v>46179</v>
          </cell>
          <cell r="K363" t="str">
            <v>004121</v>
          </cell>
          <cell r="L363">
            <v>-50.97</v>
          </cell>
          <cell r="M363">
            <v>-50.97</v>
          </cell>
          <cell r="N363">
            <v>-50.97</v>
          </cell>
          <cell r="O363" t="str">
            <v>indiretto</v>
          </cell>
          <cell r="P363">
            <v>4</v>
          </cell>
          <cell r="Q363" t="str">
            <v>0.225322</v>
          </cell>
          <cell r="R363" t="str">
            <v>0.352946</v>
          </cell>
          <cell r="S363" t="str">
            <v>0.120001</v>
          </cell>
          <cell r="T363" t="str">
            <v>NO</v>
          </cell>
          <cell r="U363" t="str">
            <v>DELIBERAZIONE EGATO 2 04/02/2019</v>
          </cell>
        </row>
        <row r="364">
          <cell r="A364" t="str">
            <v>C344275</v>
          </cell>
          <cell r="B364">
            <v>202601307475618</v>
          </cell>
          <cell r="D364" t="str">
            <v>ATO4</v>
          </cell>
          <cell r="E364" t="str">
            <v>C344275</v>
          </cell>
          <cell r="F364">
            <v>46143</v>
          </cell>
          <cell r="G364">
            <v>46507</v>
          </cell>
          <cell r="H364">
            <v>46179</v>
          </cell>
          <cell r="I364">
            <v>46179</v>
          </cell>
          <cell r="K364" t="str">
            <v>004009</v>
          </cell>
          <cell r="L364">
            <v>-24.62</v>
          </cell>
          <cell r="M364">
            <v>-24.62</v>
          </cell>
          <cell r="N364">
            <v>-24.62</v>
          </cell>
          <cell r="O364" t="str">
            <v>indiretto</v>
          </cell>
          <cell r="P364">
            <v>1</v>
          </cell>
          <cell r="Q364" t="str">
            <v>0.716943</v>
          </cell>
          <cell r="R364" t="str">
            <v>0.463071</v>
          </cell>
          <cell r="S364" t="str">
            <v>0.169064</v>
          </cell>
          <cell r="T364" t="str">
            <v>NO</v>
          </cell>
          <cell r="U364" t="str">
            <v>DELIBERAZIONE EGATO 2 04/02/2019</v>
          </cell>
        </row>
        <row r="365">
          <cell r="A365" t="str">
            <v>C317294</v>
          </cell>
          <cell r="B365">
            <v>202601307487600</v>
          </cell>
          <cell r="D365" t="str">
            <v>ATO4</v>
          </cell>
          <cell r="E365" t="str">
            <v>C317294</v>
          </cell>
          <cell r="F365">
            <v>46143</v>
          </cell>
          <cell r="G365">
            <v>46507</v>
          </cell>
          <cell r="H365">
            <v>46179</v>
          </cell>
          <cell r="I365">
            <v>46179</v>
          </cell>
          <cell r="K365" t="str">
            <v>004213</v>
          </cell>
          <cell r="L365">
            <v>-89.8</v>
          </cell>
          <cell r="M365">
            <v>-89.8</v>
          </cell>
          <cell r="N365">
            <v>-89.8</v>
          </cell>
          <cell r="O365" t="str">
            <v>indiretto</v>
          </cell>
          <cell r="P365">
            <v>3</v>
          </cell>
          <cell r="Q365" t="str">
            <v>0.633304</v>
          </cell>
          <cell r="R365" t="str">
            <v>0.746975</v>
          </cell>
          <cell r="S365" t="str">
            <v>0.259818</v>
          </cell>
          <cell r="T365" t="str">
            <v>NO</v>
          </cell>
          <cell r="U365" t="str">
            <v>DELIBERA EGATO 12 22/04/21</v>
          </cell>
        </row>
        <row r="366">
          <cell r="A366" t="str">
            <v>C122498</v>
          </cell>
          <cell r="B366">
            <v>202601307493128</v>
          </cell>
          <cell r="D366" t="str">
            <v>ATO4</v>
          </cell>
          <cell r="E366" t="str">
            <v>C122498</v>
          </cell>
          <cell r="F366">
            <v>46143</v>
          </cell>
          <cell r="G366">
            <v>46507</v>
          </cell>
          <cell r="H366">
            <v>46179</v>
          </cell>
          <cell r="I366">
            <v>46179</v>
          </cell>
          <cell r="K366" t="str">
            <v>004078</v>
          </cell>
          <cell r="L366">
            <v>-132.52000000000001</v>
          </cell>
          <cell r="M366">
            <v>-132.52000000000001</v>
          </cell>
          <cell r="N366">
            <v>-132.52000000000001</v>
          </cell>
          <cell r="O366" t="str">
            <v>indiretto</v>
          </cell>
          <cell r="P366">
            <v>4</v>
          </cell>
          <cell r="Q366" t="str">
            <v>0.916558</v>
          </cell>
          <cell r="R366" t="str">
            <v>0.642623</v>
          </cell>
          <cell r="S366" t="str">
            <v>0.256196</v>
          </cell>
          <cell r="T366" t="str">
            <v>NO</v>
          </cell>
          <cell r="U366" t="str">
            <v>DELIBERAZIONE EGATO 29 19/12/2018</v>
          </cell>
        </row>
        <row r="367">
          <cell r="A367" t="str">
            <v>C313993</v>
          </cell>
          <cell r="B367">
            <v>202601307493684</v>
          </cell>
          <cell r="D367" t="str">
            <v>ATO4</v>
          </cell>
          <cell r="E367" t="str">
            <v>C313993</v>
          </cell>
          <cell r="F367">
            <v>46143</v>
          </cell>
          <cell r="G367">
            <v>46507</v>
          </cell>
          <cell r="H367">
            <v>46179</v>
          </cell>
          <cell r="I367">
            <v>46179</v>
          </cell>
          <cell r="K367" t="str">
            <v>004171</v>
          </cell>
          <cell r="L367">
            <v>-90.8</v>
          </cell>
          <cell r="M367">
            <v>-90.8</v>
          </cell>
          <cell r="N367">
            <v>-90.8</v>
          </cell>
          <cell r="O367" t="str">
            <v>indiretto</v>
          </cell>
          <cell r="P367">
            <v>5</v>
          </cell>
          <cell r="Q367" t="str">
            <v>0.483220</v>
          </cell>
          <cell r="R367" t="str">
            <v>0.350215</v>
          </cell>
          <cell r="S367" t="str">
            <v>0.161638</v>
          </cell>
          <cell r="T367" t="str">
            <v>NO</v>
          </cell>
          <cell r="U367" t="str">
            <v>DELIBERAZIONE EGATO 23 16/11/2020</v>
          </cell>
        </row>
        <row r="368">
          <cell r="A368" t="str">
            <v>C344100</v>
          </cell>
          <cell r="B368">
            <v>202601307495091</v>
          </cell>
          <cell r="D368" t="str">
            <v>ATO4</v>
          </cell>
          <cell r="E368" t="str">
            <v>C344100</v>
          </cell>
          <cell r="F368">
            <v>46143</v>
          </cell>
          <cell r="G368">
            <v>46507</v>
          </cell>
          <cell r="H368">
            <v>46179</v>
          </cell>
          <cell r="I368">
            <v>46179</v>
          </cell>
          <cell r="K368" t="str">
            <v>004130</v>
          </cell>
          <cell r="L368">
            <v>-131.29</v>
          </cell>
          <cell r="M368">
            <v>-131.29</v>
          </cell>
          <cell r="N368">
            <v>-131.29</v>
          </cell>
          <cell r="O368" t="str">
            <v>indiretto</v>
          </cell>
          <cell r="P368">
            <v>5</v>
          </cell>
          <cell r="Q368" t="str">
            <v>0.545182</v>
          </cell>
          <cell r="R368" t="str">
            <v>0.611443</v>
          </cell>
          <cell r="S368" t="str">
            <v>0.282207</v>
          </cell>
          <cell r="T368" t="str">
            <v>NO</v>
          </cell>
          <cell r="U368" t="str">
            <v>DELIBERA EGATO N.29 DEL 19/12/2018</v>
          </cell>
        </row>
        <row r="369">
          <cell r="A369" t="str">
            <v>C344281</v>
          </cell>
          <cell r="B369">
            <v>202601307495592</v>
          </cell>
          <cell r="D369" t="str">
            <v>ATO4</v>
          </cell>
          <cell r="E369" t="str">
            <v>C344281</v>
          </cell>
          <cell r="F369">
            <v>46143</v>
          </cell>
          <cell r="G369">
            <v>46507</v>
          </cell>
          <cell r="H369">
            <v>46179</v>
          </cell>
          <cell r="I369">
            <v>46179</v>
          </cell>
          <cell r="K369" t="str">
            <v>004025</v>
          </cell>
          <cell r="L369">
            <v>-66.260000000000005</v>
          </cell>
          <cell r="M369">
            <v>-66.260000000000005</v>
          </cell>
          <cell r="N369">
            <v>-66.260000000000005</v>
          </cell>
          <cell r="O369" t="str">
            <v>indiretto</v>
          </cell>
          <cell r="P369">
            <v>2</v>
          </cell>
          <cell r="Q369" t="str">
            <v>0.916558</v>
          </cell>
          <cell r="R369" t="str">
            <v>0.642623</v>
          </cell>
          <cell r="S369" t="str">
            <v>0.256196</v>
          </cell>
          <cell r="T369" t="str">
            <v>NO</v>
          </cell>
          <cell r="U369" t="str">
            <v>DELIBERAZIONE EGATO 29 19/12/2018</v>
          </cell>
        </row>
        <row r="370">
          <cell r="A370" t="str">
            <v>C314324</v>
          </cell>
          <cell r="B370">
            <v>202601307495660</v>
          </cell>
          <cell r="D370" t="str">
            <v>ATO4</v>
          </cell>
          <cell r="E370" t="str">
            <v>C314324</v>
          </cell>
          <cell r="F370">
            <v>46143</v>
          </cell>
          <cell r="G370">
            <v>46507</v>
          </cell>
          <cell r="H370">
            <v>46179</v>
          </cell>
          <cell r="I370">
            <v>46179</v>
          </cell>
          <cell r="K370" t="str">
            <v>004034</v>
          </cell>
          <cell r="L370">
            <v>-66.260000000000005</v>
          </cell>
          <cell r="M370">
            <v>-66.260000000000005</v>
          </cell>
          <cell r="N370">
            <v>-66.260000000000005</v>
          </cell>
          <cell r="O370" t="str">
            <v>indiretto</v>
          </cell>
          <cell r="P370">
            <v>2</v>
          </cell>
          <cell r="Q370" t="str">
            <v>0.916558</v>
          </cell>
          <cell r="R370" t="str">
            <v>0.642623</v>
          </cell>
          <cell r="S370" t="str">
            <v>0.256196</v>
          </cell>
          <cell r="T370" t="str">
            <v>NO</v>
          </cell>
          <cell r="U370" t="str">
            <v>DELIBERAZIONE EGATO 29 19/12/2018</v>
          </cell>
        </row>
        <row r="371">
          <cell r="A371" t="str">
            <v>C056092</v>
          </cell>
          <cell r="B371">
            <v>202601307497139</v>
          </cell>
          <cell r="D371" t="str">
            <v>ATO4</v>
          </cell>
          <cell r="E371" t="str">
            <v>C056092</v>
          </cell>
          <cell r="F371">
            <v>46143</v>
          </cell>
          <cell r="G371">
            <v>46507</v>
          </cell>
          <cell r="H371">
            <v>46179</v>
          </cell>
          <cell r="I371">
            <v>46179</v>
          </cell>
          <cell r="K371" t="str">
            <v>004192</v>
          </cell>
          <cell r="L371">
            <v>-33.130000000000003</v>
          </cell>
          <cell r="M371">
            <v>-33.130000000000003</v>
          </cell>
          <cell r="N371">
            <v>-33.130000000000003</v>
          </cell>
          <cell r="O371" t="str">
            <v>indiretto</v>
          </cell>
          <cell r="P371">
            <v>1</v>
          </cell>
          <cell r="Q371" t="str">
            <v>0.916558</v>
          </cell>
          <cell r="R371" t="str">
            <v>0.642623</v>
          </cell>
          <cell r="S371" t="str">
            <v>0.256196</v>
          </cell>
          <cell r="T371" t="str">
            <v>NO</v>
          </cell>
          <cell r="U371" t="str">
            <v>DELIBERAZIONE EGATO 29 19/12/2018</v>
          </cell>
        </row>
        <row r="372">
          <cell r="A372" t="str">
            <v>C344223</v>
          </cell>
          <cell r="B372">
            <v>202601307500461</v>
          </cell>
          <cell r="D372" t="str">
            <v>ATO4</v>
          </cell>
          <cell r="E372" t="str">
            <v>C344223</v>
          </cell>
          <cell r="F372">
            <v>46143</v>
          </cell>
          <cell r="G372">
            <v>46507</v>
          </cell>
          <cell r="H372">
            <v>46179</v>
          </cell>
          <cell r="I372">
            <v>46179</v>
          </cell>
          <cell r="K372" t="str">
            <v>004078</v>
          </cell>
          <cell r="L372">
            <v>-66.260000000000005</v>
          </cell>
          <cell r="M372">
            <v>-66.260000000000005</v>
          </cell>
          <cell r="N372">
            <v>-66.260000000000005</v>
          </cell>
          <cell r="O372" t="str">
            <v>indiretto</v>
          </cell>
          <cell r="P372">
            <v>2</v>
          </cell>
          <cell r="Q372" t="str">
            <v>0.916558</v>
          </cell>
          <cell r="R372" t="str">
            <v>0.642623</v>
          </cell>
          <cell r="S372" t="str">
            <v>0.256196</v>
          </cell>
          <cell r="T372" t="str">
            <v>NO</v>
          </cell>
          <cell r="U372" t="str">
            <v>DELIBERAZIONE EGATO 29 19/12/2018</v>
          </cell>
        </row>
        <row r="373">
          <cell r="A373" t="str">
            <v>C337711</v>
          </cell>
          <cell r="B373">
            <v>202601307507291</v>
          </cell>
          <cell r="D373" t="str">
            <v>ATO4</v>
          </cell>
          <cell r="E373" t="str">
            <v>C337711</v>
          </cell>
          <cell r="F373">
            <v>46143</v>
          </cell>
          <cell r="G373">
            <v>46507</v>
          </cell>
          <cell r="H373">
            <v>46179</v>
          </cell>
          <cell r="I373">
            <v>46179</v>
          </cell>
          <cell r="K373" t="str">
            <v>004078</v>
          </cell>
          <cell r="L373">
            <v>-99.39</v>
          </cell>
          <cell r="M373">
            <v>-99.39</v>
          </cell>
          <cell r="N373">
            <v>-99.39</v>
          </cell>
          <cell r="O373" t="str">
            <v>indiretto</v>
          </cell>
          <cell r="P373">
            <v>3</v>
          </cell>
          <cell r="Q373" t="str">
            <v>0.916558</v>
          </cell>
          <cell r="R373" t="str">
            <v>0.642623</v>
          </cell>
          <cell r="S373" t="str">
            <v>0.256196</v>
          </cell>
          <cell r="T373" t="str">
            <v>NO</v>
          </cell>
          <cell r="U373" t="str">
            <v>DELIBERAZIONE EGATO 29 19/12/2018</v>
          </cell>
        </row>
        <row r="374">
          <cell r="A374" t="str">
            <v>C344273</v>
          </cell>
          <cell r="B374">
            <v>202601307507479</v>
          </cell>
          <cell r="D374" t="str">
            <v>ATO4</v>
          </cell>
          <cell r="E374" t="str">
            <v>C344273</v>
          </cell>
          <cell r="F374">
            <v>46143</v>
          </cell>
          <cell r="G374">
            <v>46507</v>
          </cell>
          <cell r="H374">
            <v>46179</v>
          </cell>
          <cell r="I374">
            <v>46179</v>
          </cell>
          <cell r="K374" t="str">
            <v>004130</v>
          </cell>
          <cell r="L374">
            <v>-52.52</v>
          </cell>
          <cell r="M374">
            <v>-52.52</v>
          </cell>
          <cell r="N374">
            <v>-52.52</v>
          </cell>
          <cell r="O374" t="str">
            <v>indiretto</v>
          </cell>
          <cell r="P374">
            <v>2</v>
          </cell>
          <cell r="Q374" t="str">
            <v>0.545182</v>
          </cell>
          <cell r="R374" t="str">
            <v>0.611443</v>
          </cell>
          <cell r="S374" t="str">
            <v>0.282207</v>
          </cell>
          <cell r="T374" t="str">
            <v>NO</v>
          </cell>
          <cell r="U374" t="str">
            <v>DELIBERA EGATO N.29 DEL 19/12/2018</v>
          </cell>
        </row>
        <row r="375">
          <cell r="A375" t="str">
            <v>C310034</v>
          </cell>
          <cell r="B375">
            <v>202601307507763</v>
          </cell>
          <cell r="D375" t="str">
            <v>ATO4</v>
          </cell>
          <cell r="E375" t="str">
            <v>C310034</v>
          </cell>
          <cell r="F375">
            <v>46143</v>
          </cell>
          <cell r="G375">
            <v>46507</v>
          </cell>
          <cell r="H375">
            <v>46179</v>
          </cell>
          <cell r="I375">
            <v>46179</v>
          </cell>
          <cell r="K375" t="str">
            <v>004234</v>
          </cell>
          <cell r="L375">
            <v>-85.46</v>
          </cell>
          <cell r="M375">
            <v>-85.46</v>
          </cell>
          <cell r="N375">
            <v>-85.46</v>
          </cell>
          <cell r="O375" t="str">
            <v>indiretto</v>
          </cell>
          <cell r="P375">
            <v>4</v>
          </cell>
          <cell r="Q375" t="str">
            <v>0.509947</v>
          </cell>
          <cell r="R375" t="str">
            <v>0.493155</v>
          </cell>
          <cell r="S375" t="str">
            <v>0.167631</v>
          </cell>
          <cell r="T375" t="str">
            <v>NO</v>
          </cell>
          <cell r="U375" t="str">
            <v>DELIBERAZIONE EGATO 2 04/02/2019</v>
          </cell>
        </row>
        <row r="376">
          <cell r="A376" t="str">
            <v>C117852</v>
          </cell>
          <cell r="B376">
            <v>202601307515168</v>
          </cell>
          <cell r="D376" t="str">
            <v>ATO4</v>
          </cell>
          <cell r="E376" t="str">
            <v>C117852</v>
          </cell>
          <cell r="F376">
            <v>46143</v>
          </cell>
          <cell r="G376">
            <v>46507</v>
          </cell>
          <cell r="H376">
            <v>46179</v>
          </cell>
          <cell r="I376">
            <v>46179</v>
          </cell>
          <cell r="K376" t="str">
            <v>004078</v>
          </cell>
          <cell r="L376">
            <v>-165.65</v>
          </cell>
          <cell r="M376">
            <v>-165.65</v>
          </cell>
          <cell r="N376">
            <v>-165.65</v>
          </cell>
          <cell r="O376" t="str">
            <v>indiretto</v>
          </cell>
          <cell r="P376">
            <v>5</v>
          </cell>
          <cell r="Q376" t="str">
            <v>0.916558</v>
          </cell>
          <cell r="R376" t="str">
            <v>0.642623</v>
          </cell>
          <cell r="S376" t="str">
            <v>0.256196</v>
          </cell>
          <cell r="T376" t="str">
            <v>NO</v>
          </cell>
          <cell r="U376" t="str">
            <v>DELIBERAZIONE EGATO 29 19/12/2018</v>
          </cell>
        </row>
        <row r="377">
          <cell r="A377" t="str">
            <v>C307354</v>
          </cell>
          <cell r="B377">
            <v>202601307515447</v>
          </cell>
          <cell r="D377" t="str">
            <v>ATO4</v>
          </cell>
          <cell r="E377" t="str">
            <v>C307354</v>
          </cell>
          <cell r="F377">
            <v>46143</v>
          </cell>
          <cell r="G377">
            <v>46507</v>
          </cell>
          <cell r="H377">
            <v>46179</v>
          </cell>
          <cell r="I377">
            <v>46179</v>
          </cell>
          <cell r="K377" t="str">
            <v>004179</v>
          </cell>
          <cell r="L377">
            <v>-115.1</v>
          </cell>
          <cell r="M377">
            <v>-115.1</v>
          </cell>
          <cell r="N377">
            <v>-115.1</v>
          </cell>
          <cell r="O377" t="str">
            <v>indiretto</v>
          </cell>
          <cell r="P377">
            <v>4</v>
          </cell>
          <cell r="Q377" t="str">
            <v>0.802937</v>
          </cell>
          <cell r="R377" t="str">
            <v>0.568257</v>
          </cell>
          <cell r="S377" t="str">
            <v>0.205575</v>
          </cell>
          <cell r="T377" t="str">
            <v>NO</v>
          </cell>
          <cell r="U377" t="str">
            <v>DELIBERAZIONE EGATO 11 27/03/2019</v>
          </cell>
        </row>
        <row r="378">
          <cell r="A378" t="str">
            <v>C310541</v>
          </cell>
          <cell r="B378">
            <v>202601307516867</v>
          </cell>
          <cell r="D378" t="str">
            <v>ATO4</v>
          </cell>
          <cell r="E378" t="str">
            <v>C310541</v>
          </cell>
          <cell r="F378">
            <v>46143</v>
          </cell>
          <cell r="G378">
            <v>46507</v>
          </cell>
          <cell r="H378">
            <v>46179</v>
          </cell>
          <cell r="I378">
            <v>46179</v>
          </cell>
          <cell r="K378" t="str">
            <v>004179</v>
          </cell>
          <cell r="L378">
            <v>-86.33</v>
          </cell>
          <cell r="M378">
            <v>-86.33</v>
          </cell>
          <cell r="N378">
            <v>-86.33</v>
          </cell>
          <cell r="O378" t="str">
            <v>indiretto</v>
          </cell>
          <cell r="P378">
            <v>3</v>
          </cell>
          <cell r="Q378" t="str">
            <v>0.802937</v>
          </cell>
          <cell r="R378" t="str">
            <v>0.568257</v>
          </cell>
          <cell r="S378" t="str">
            <v>0.205575</v>
          </cell>
          <cell r="T378" t="str">
            <v>NO</v>
          </cell>
          <cell r="U378" t="str">
            <v>DELIBERAZIONE EGATO 11 27/03/2019</v>
          </cell>
        </row>
        <row r="379">
          <cell r="A379" t="str">
            <v>C016875</v>
          </cell>
          <cell r="B379">
            <v>202601307521087</v>
          </cell>
          <cell r="D379" t="str">
            <v>ATO4</v>
          </cell>
          <cell r="E379" t="str">
            <v>C016875</v>
          </cell>
          <cell r="F379">
            <v>46143</v>
          </cell>
          <cell r="G379">
            <v>46507</v>
          </cell>
          <cell r="H379">
            <v>46179</v>
          </cell>
          <cell r="I379">
            <v>46179</v>
          </cell>
          <cell r="K379" t="str">
            <v>004082</v>
          </cell>
          <cell r="L379">
            <v>-132.52000000000001</v>
          </cell>
          <cell r="M379">
            <v>-132.52000000000001</v>
          </cell>
          <cell r="N379">
            <v>-132.52000000000001</v>
          </cell>
          <cell r="O379" t="str">
            <v>indiretto</v>
          </cell>
          <cell r="P379">
            <v>4</v>
          </cell>
          <cell r="Q379" t="str">
            <v>0.916558</v>
          </cell>
          <cell r="R379" t="str">
            <v>0.642623</v>
          </cell>
          <cell r="S379" t="str">
            <v>0.256196</v>
          </cell>
          <cell r="T379" t="str">
            <v>NO</v>
          </cell>
          <cell r="U379" t="str">
            <v>DELIBERAZIONE EGATO 29 19/12/2018</v>
          </cell>
        </row>
        <row r="380">
          <cell r="A380" t="str">
            <v>C344176</v>
          </cell>
          <cell r="B380">
            <v>202601307523628</v>
          </cell>
          <cell r="D380" t="str">
            <v>ATO4</v>
          </cell>
          <cell r="E380" t="str">
            <v>C344176</v>
          </cell>
          <cell r="F380">
            <v>46143</v>
          </cell>
          <cell r="G380">
            <v>46507</v>
          </cell>
          <cell r="H380">
            <v>46179</v>
          </cell>
          <cell r="I380">
            <v>46179</v>
          </cell>
          <cell r="K380" t="str">
            <v>004078</v>
          </cell>
          <cell r="L380">
            <v>-99.39</v>
          </cell>
          <cell r="M380">
            <v>-99.39</v>
          </cell>
          <cell r="N380">
            <v>-99.39</v>
          </cell>
          <cell r="O380" t="str">
            <v>indiretto</v>
          </cell>
          <cell r="P380">
            <v>3</v>
          </cell>
          <cell r="Q380" t="str">
            <v>0.916558</v>
          </cell>
          <cell r="R380" t="str">
            <v>0.642623</v>
          </cell>
          <cell r="S380" t="str">
            <v>0.256196</v>
          </cell>
          <cell r="T380" t="str">
            <v>NO</v>
          </cell>
          <cell r="U380" t="str">
            <v>DELIBERAZIONE EGATO 29 19/12/2018</v>
          </cell>
        </row>
        <row r="381">
          <cell r="A381" t="str">
            <v>C314986</v>
          </cell>
          <cell r="B381">
            <v>202601307530325</v>
          </cell>
          <cell r="D381" t="str">
            <v>ATO4</v>
          </cell>
          <cell r="E381" t="str">
            <v>C314986</v>
          </cell>
          <cell r="F381">
            <v>46143</v>
          </cell>
          <cell r="G381">
            <v>46507</v>
          </cell>
          <cell r="H381">
            <v>46179</v>
          </cell>
          <cell r="I381">
            <v>46179</v>
          </cell>
          <cell r="K381" t="str">
            <v>004012</v>
          </cell>
          <cell r="L381">
            <v>-98.48</v>
          </cell>
          <cell r="M381">
            <v>-98.48</v>
          </cell>
          <cell r="N381">
            <v>-98.48</v>
          </cell>
          <cell r="O381" t="str">
            <v>indiretto</v>
          </cell>
          <cell r="P381">
            <v>4</v>
          </cell>
          <cell r="Q381" t="str">
            <v>0.716943</v>
          </cell>
          <cell r="R381" t="str">
            <v>0.463071</v>
          </cell>
          <cell r="S381" t="str">
            <v>0.169064</v>
          </cell>
          <cell r="T381" t="str">
            <v>NO</v>
          </cell>
          <cell r="U381" t="str">
            <v>DELIBERAZIONE EGATO 2 04/02/2019</v>
          </cell>
        </row>
        <row r="382">
          <cell r="A382" t="str">
            <v>C344152</v>
          </cell>
          <cell r="B382">
            <v>202601307535694</v>
          </cell>
          <cell r="D382" t="str">
            <v>ATO4</v>
          </cell>
          <cell r="E382" t="str">
            <v>C344152</v>
          </cell>
          <cell r="F382">
            <v>46143</v>
          </cell>
          <cell r="G382">
            <v>46507</v>
          </cell>
          <cell r="H382">
            <v>46179</v>
          </cell>
          <cell r="I382">
            <v>46179</v>
          </cell>
          <cell r="K382" t="str">
            <v>004066</v>
          </cell>
          <cell r="L382">
            <v>-198.78</v>
          </cell>
          <cell r="M382">
            <v>-198.78</v>
          </cell>
          <cell r="N382">
            <v>-198.78</v>
          </cell>
          <cell r="O382" t="str">
            <v>indiretto</v>
          </cell>
          <cell r="P382">
            <v>6</v>
          </cell>
          <cell r="Q382" t="str">
            <v>0.916558</v>
          </cell>
          <cell r="R382" t="str">
            <v>0.642623</v>
          </cell>
          <cell r="S382" t="str">
            <v>0.256196</v>
          </cell>
          <cell r="T382" t="str">
            <v>NO</v>
          </cell>
          <cell r="U382" t="str">
            <v>DELIBERAZIONE EGATO 29 19/12/2018</v>
          </cell>
        </row>
        <row r="383">
          <cell r="A383" t="str">
            <v>C344274</v>
          </cell>
          <cell r="B383">
            <v>202601307536350</v>
          </cell>
          <cell r="D383" t="str">
            <v>ATO4</v>
          </cell>
          <cell r="E383" t="str">
            <v>C344274</v>
          </cell>
          <cell r="F383">
            <v>46143</v>
          </cell>
          <cell r="G383">
            <v>46507</v>
          </cell>
          <cell r="H383">
            <v>46179</v>
          </cell>
          <cell r="I383">
            <v>46179</v>
          </cell>
          <cell r="K383" t="str">
            <v>004190</v>
          </cell>
          <cell r="L383">
            <v>-26.26</v>
          </cell>
          <cell r="M383">
            <v>-26.26</v>
          </cell>
          <cell r="N383">
            <v>-26.26</v>
          </cell>
          <cell r="O383" t="str">
            <v>indiretto</v>
          </cell>
          <cell r="P383">
            <v>1</v>
          </cell>
          <cell r="Q383" t="str">
            <v>0.545182</v>
          </cell>
          <cell r="R383" t="str">
            <v>0.611443</v>
          </cell>
          <cell r="S383" t="str">
            <v>0.282207</v>
          </cell>
          <cell r="T383" t="str">
            <v>NO</v>
          </cell>
          <cell r="U383" t="str">
            <v>DELIBERA EGATO N.29 DEL 19/12/2018</v>
          </cell>
        </row>
        <row r="384">
          <cell r="A384" t="str">
            <v>C310575</v>
          </cell>
          <cell r="B384">
            <v>202601307540341</v>
          </cell>
          <cell r="D384" t="str">
            <v>ATO4</v>
          </cell>
          <cell r="E384" t="str">
            <v>C310575</v>
          </cell>
          <cell r="F384">
            <v>46143</v>
          </cell>
          <cell r="G384">
            <v>46507</v>
          </cell>
          <cell r="H384">
            <v>46179</v>
          </cell>
          <cell r="I384">
            <v>46179</v>
          </cell>
          <cell r="K384" t="str">
            <v>004016</v>
          </cell>
          <cell r="L384">
            <v>-165.65</v>
          </cell>
          <cell r="M384">
            <v>-165.65</v>
          </cell>
          <cell r="N384">
            <v>-165.65</v>
          </cell>
          <cell r="O384" t="str">
            <v>indiretto</v>
          </cell>
          <cell r="P384">
            <v>5</v>
          </cell>
          <cell r="Q384" t="str">
            <v>0.916558</v>
          </cell>
          <cell r="R384" t="str">
            <v>0.642623</v>
          </cell>
          <cell r="S384" t="str">
            <v>0.256196</v>
          </cell>
          <cell r="T384" t="str">
            <v>NO</v>
          </cell>
          <cell r="U384" t="str">
            <v>DELIBERAZIONE EGATO 29 19/12/2018</v>
          </cell>
        </row>
        <row r="385">
          <cell r="A385" t="str">
            <v>C314967</v>
          </cell>
          <cell r="B385">
            <v>202601307544414</v>
          </cell>
          <cell r="D385" t="str">
            <v>ATO4</v>
          </cell>
          <cell r="E385" t="str">
            <v>C314967</v>
          </cell>
          <cell r="F385">
            <v>46143</v>
          </cell>
          <cell r="G385">
            <v>46507</v>
          </cell>
          <cell r="H385">
            <v>46179</v>
          </cell>
          <cell r="I385">
            <v>46179</v>
          </cell>
          <cell r="K385" t="str">
            <v>004040</v>
          </cell>
          <cell r="L385">
            <v>-99.39</v>
          </cell>
          <cell r="M385">
            <v>-99.39</v>
          </cell>
          <cell r="N385">
            <v>-99.39</v>
          </cell>
          <cell r="O385" t="str">
            <v>indiretto</v>
          </cell>
          <cell r="P385">
            <v>3</v>
          </cell>
          <cell r="Q385" t="str">
            <v>0.916558</v>
          </cell>
          <cell r="R385" t="str">
            <v>0.642623</v>
          </cell>
          <cell r="S385" t="str">
            <v>0.256196</v>
          </cell>
          <cell r="T385" t="str">
            <v>NO</v>
          </cell>
          <cell r="U385" t="str">
            <v>DELIBERAZIONE EGATO 29 19/12/2018</v>
          </cell>
        </row>
        <row r="386">
          <cell r="A386" t="str">
            <v>C344143</v>
          </cell>
          <cell r="B386">
            <v>202601307545588</v>
          </cell>
          <cell r="D386" t="str">
            <v>ATO4</v>
          </cell>
          <cell r="E386" t="str">
            <v>C344143</v>
          </cell>
          <cell r="F386">
            <v>46143</v>
          </cell>
          <cell r="G386">
            <v>46507</v>
          </cell>
          <cell r="H386">
            <v>46179</v>
          </cell>
          <cell r="I386">
            <v>46179</v>
          </cell>
          <cell r="K386" t="str">
            <v>004180</v>
          </cell>
          <cell r="L386">
            <v>-23.97</v>
          </cell>
          <cell r="M386">
            <v>-23.97</v>
          </cell>
          <cell r="N386">
            <v>-23.97</v>
          </cell>
          <cell r="O386" t="str">
            <v>indiretto</v>
          </cell>
          <cell r="P386">
            <v>1</v>
          </cell>
          <cell r="Q386" t="str">
            <v>0.721337</v>
          </cell>
          <cell r="R386" t="str">
            <v>0.441600</v>
          </cell>
          <cell r="S386" t="str">
            <v>0.150394</v>
          </cell>
          <cell r="T386" t="str">
            <v>NO</v>
          </cell>
          <cell r="U386" t="str">
            <v>DELIBERAZIONE EGATO 2 04/02/2019</v>
          </cell>
        </row>
        <row r="387">
          <cell r="A387" t="str">
            <v>C344177</v>
          </cell>
          <cell r="B387">
            <v>202601307554883</v>
          </cell>
          <cell r="D387" t="str">
            <v>ATO4</v>
          </cell>
          <cell r="E387" t="str">
            <v>C344177</v>
          </cell>
          <cell r="F387">
            <v>46143</v>
          </cell>
          <cell r="G387">
            <v>46507</v>
          </cell>
          <cell r="H387">
            <v>46179</v>
          </cell>
          <cell r="I387">
            <v>46179</v>
          </cell>
          <cell r="K387" t="str">
            <v>004034</v>
          </cell>
          <cell r="L387">
            <v>-33.130000000000003</v>
          </cell>
          <cell r="M387">
            <v>-33.130000000000003</v>
          </cell>
          <cell r="N387">
            <v>-33.130000000000003</v>
          </cell>
          <cell r="O387" t="str">
            <v>indiretto</v>
          </cell>
          <cell r="P387">
            <v>1</v>
          </cell>
          <cell r="Q387" t="str">
            <v>0.916558</v>
          </cell>
          <cell r="R387" t="str">
            <v>0.642623</v>
          </cell>
          <cell r="S387" t="str">
            <v>0.256196</v>
          </cell>
          <cell r="T387" t="str">
            <v>NO</v>
          </cell>
          <cell r="U387" t="str">
            <v>DELIBERAZIONE EGATO 29 19/12/2018</v>
          </cell>
        </row>
        <row r="388">
          <cell r="A388" t="str">
            <v>C307304</v>
          </cell>
          <cell r="B388">
            <v>202601307555038</v>
          </cell>
          <cell r="D388" t="str">
            <v>ATO4</v>
          </cell>
          <cell r="E388" t="str">
            <v>C307304</v>
          </cell>
          <cell r="F388">
            <v>46143</v>
          </cell>
          <cell r="G388">
            <v>46507</v>
          </cell>
          <cell r="H388">
            <v>46179</v>
          </cell>
          <cell r="I388">
            <v>46179</v>
          </cell>
          <cell r="K388" t="str">
            <v>004009</v>
          </cell>
          <cell r="L388">
            <v>-49.24</v>
          </cell>
          <cell r="M388">
            <v>-49.24</v>
          </cell>
          <cell r="N388">
            <v>-49.24</v>
          </cell>
          <cell r="O388" t="str">
            <v>indiretto</v>
          </cell>
          <cell r="P388">
            <v>2</v>
          </cell>
          <cell r="Q388" t="str">
            <v>0.716943</v>
          </cell>
          <cell r="R388" t="str">
            <v>0.463071</v>
          </cell>
          <cell r="S388" t="str">
            <v>0.169064</v>
          </cell>
          <cell r="T388" t="str">
            <v>NO</v>
          </cell>
          <cell r="U388" t="str">
            <v>DELIBERAZIONE EGATO 2 04/02/2019</v>
          </cell>
        </row>
        <row r="389">
          <cell r="A389" t="str">
            <v>C337624</v>
          </cell>
          <cell r="B389">
            <v>202601307555238</v>
          </cell>
          <cell r="D389" t="str">
            <v>ATO4</v>
          </cell>
          <cell r="E389" t="str">
            <v>C337624</v>
          </cell>
          <cell r="F389">
            <v>46143</v>
          </cell>
          <cell r="G389">
            <v>46507</v>
          </cell>
          <cell r="H389">
            <v>46179</v>
          </cell>
          <cell r="I389">
            <v>46179</v>
          </cell>
          <cell r="K389" t="str">
            <v>004034</v>
          </cell>
          <cell r="L389">
            <v>-231.91</v>
          </cell>
          <cell r="M389">
            <v>-231.91</v>
          </cell>
          <cell r="N389">
            <v>-231.91</v>
          </cell>
          <cell r="O389" t="str">
            <v>indiretto</v>
          </cell>
          <cell r="P389">
            <v>7</v>
          </cell>
          <cell r="Q389" t="str">
            <v>0.916558</v>
          </cell>
          <cell r="R389" t="str">
            <v>0.642623</v>
          </cell>
          <cell r="S389" t="str">
            <v>0.256196</v>
          </cell>
          <cell r="T389" t="str">
            <v>NO</v>
          </cell>
          <cell r="U389" t="str">
            <v>DELIBERAZIONE EGATO 29 19/12/2018</v>
          </cell>
        </row>
        <row r="390">
          <cell r="A390" t="str">
            <v>C344150</v>
          </cell>
          <cell r="B390">
            <v>202601307564959</v>
          </cell>
          <cell r="D390" t="str">
            <v>ATO4</v>
          </cell>
          <cell r="E390" t="str">
            <v>C344150</v>
          </cell>
          <cell r="F390">
            <v>46143</v>
          </cell>
          <cell r="G390">
            <v>46507</v>
          </cell>
          <cell r="H390">
            <v>46179</v>
          </cell>
          <cell r="I390">
            <v>46179</v>
          </cell>
          <cell r="K390" t="str">
            <v>004008</v>
          </cell>
          <cell r="L390">
            <v>-99.39</v>
          </cell>
          <cell r="M390">
            <v>-99.39</v>
          </cell>
          <cell r="N390">
            <v>-99.39</v>
          </cell>
          <cell r="O390" t="str">
            <v>indiretto</v>
          </cell>
          <cell r="P390">
            <v>3</v>
          </cell>
          <cell r="Q390" t="str">
            <v>0.916558</v>
          </cell>
          <cell r="R390" t="str">
            <v>0.642623</v>
          </cell>
          <cell r="S390" t="str">
            <v>0.256196</v>
          </cell>
          <cell r="T390" t="str">
            <v>NO</v>
          </cell>
          <cell r="U390" t="str">
            <v>DELIBERAZIONE EGATO 29 19/12/2018</v>
          </cell>
        </row>
        <row r="391">
          <cell r="A391" t="str">
            <v>C344175</v>
          </cell>
          <cell r="B391">
            <v>202601307569658</v>
          </cell>
          <cell r="D391" t="str">
            <v>ATO4</v>
          </cell>
          <cell r="E391" t="str">
            <v>C344175</v>
          </cell>
          <cell r="F391">
            <v>46143</v>
          </cell>
          <cell r="G391">
            <v>46507</v>
          </cell>
          <cell r="H391">
            <v>46179</v>
          </cell>
          <cell r="I391">
            <v>46179</v>
          </cell>
          <cell r="K391" t="str">
            <v>004078</v>
          </cell>
          <cell r="L391">
            <v>-33.130000000000003</v>
          </cell>
          <cell r="M391">
            <v>-33.130000000000003</v>
          </cell>
          <cell r="N391">
            <v>-33.130000000000003</v>
          </cell>
          <cell r="O391" t="str">
            <v>indiretto</v>
          </cell>
          <cell r="P391">
            <v>1</v>
          </cell>
          <cell r="Q391" t="str">
            <v>0.916558</v>
          </cell>
          <cell r="R391" t="str">
            <v>0.642623</v>
          </cell>
          <cell r="S391" t="str">
            <v>0.256196</v>
          </cell>
          <cell r="T391" t="str">
            <v>NO</v>
          </cell>
          <cell r="U391" t="str">
            <v>DELIBERAZIONE EGATO 29 19/12/2018</v>
          </cell>
        </row>
        <row r="392">
          <cell r="A392" t="str">
            <v>C344231</v>
          </cell>
          <cell r="B392">
            <v>202601307572378</v>
          </cell>
          <cell r="D392" t="str">
            <v>ATO4</v>
          </cell>
          <cell r="E392" t="str">
            <v>C344231</v>
          </cell>
          <cell r="F392">
            <v>46143</v>
          </cell>
          <cell r="G392">
            <v>46507</v>
          </cell>
          <cell r="H392">
            <v>46179</v>
          </cell>
          <cell r="I392">
            <v>46179</v>
          </cell>
          <cell r="K392" t="str">
            <v>004130</v>
          </cell>
          <cell r="L392">
            <v>-131.29</v>
          </cell>
          <cell r="M392">
            <v>-131.29</v>
          </cell>
          <cell r="N392">
            <v>-131.29</v>
          </cell>
          <cell r="O392" t="str">
            <v>indiretto</v>
          </cell>
          <cell r="P392">
            <v>5</v>
          </cell>
          <cell r="Q392" t="str">
            <v>0.545182</v>
          </cell>
          <cell r="R392" t="str">
            <v>0.611443</v>
          </cell>
          <cell r="S392" t="str">
            <v>0.282207</v>
          </cell>
          <cell r="T392" t="str">
            <v>NO</v>
          </cell>
          <cell r="U392" t="str">
            <v>DELIBERA EGATO N.29 DEL 19/12/2018</v>
          </cell>
        </row>
        <row r="393">
          <cell r="A393" t="str">
            <v>C344142</v>
          </cell>
          <cell r="B393">
            <v>202601307576806</v>
          </cell>
          <cell r="D393" t="str">
            <v>ATO4</v>
          </cell>
          <cell r="E393" t="str">
            <v>C344142</v>
          </cell>
          <cell r="F393">
            <v>46143</v>
          </cell>
          <cell r="G393">
            <v>46507</v>
          </cell>
          <cell r="H393">
            <v>46179</v>
          </cell>
          <cell r="I393">
            <v>46179</v>
          </cell>
          <cell r="K393" t="str">
            <v>004130</v>
          </cell>
          <cell r="L393">
            <v>-131.29</v>
          </cell>
          <cell r="M393">
            <v>-131.29</v>
          </cell>
          <cell r="N393">
            <v>-131.29</v>
          </cell>
          <cell r="O393" t="str">
            <v>indiretto</v>
          </cell>
          <cell r="P393">
            <v>5</v>
          </cell>
          <cell r="Q393" t="str">
            <v>0.545182</v>
          </cell>
          <cell r="R393" t="str">
            <v>0.611443</v>
          </cell>
          <cell r="S393" t="str">
            <v>0.282207</v>
          </cell>
          <cell r="T393" t="str">
            <v>NO</v>
          </cell>
          <cell r="U393" t="str">
            <v>DELIBERA EGATO N.29 DEL 19/12/2018</v>
          </cell>
        </row>
        <row r="394">
          <cell r="A394" t="str">
            <v>C344151</v>
          </cell>
          <cell r="B394">
            <v>202601307577785</v>
          </cell>
          <cell r="D394" t="str">
            <v>ATO4</v>
          </cell>
          <cell r="E394" t="str">
            <v>C344151</v>
          </cell>
          <cell r="F394">
            <v>46143</v>
          </cell>
          <cell r="G394">
            <v>46507</v>
          </cell>
          <cell r="H394">
            <v>46179</v>
          </cell>
          <cell r="I394">
            <v>46179</v>
          </cell>
          <cell r="K394" t="str">
            <v>004082</v>
          </cell>
          <cell r="L394">
            <v>-165.65</v>
          </cell>
          <cell r="M394">
            <v>-165.65</v>
          </cell>
          <cell r="N394">
            <v>-165.65</v>
          </cell>
          <cell r="O394" t="str">
            <v>indiretto</v>
          </cell>
          <cell r="P394">
            <v>5</v>
          </cell>
          <cell r="Q394" t="str">
            <v>0.916558</v>
          </cell>
          <cell r="R394" t="str">
            <v>0.642623</v>
          </cell>
          <cell r="S394" t="str">
            <v>0.256196</v>
          </cell>
          <cell r="T394" t="str">
            <v>NO</v>
          </cell>
          <cell r="U394" t="str">
            <v>DELIBERAZIONE EGATO 29 19/12/2018</v>
          </cell>
        </row>
        <row r="395">
          <cell r="A395" t="str">
            <v>C309824</v>
          </cell>
          <cell r="B395">
            <v>202601307577944</v>
          </cell>
          <cell r="D395" t="str">
            <v>ATO4</v>
          </cell>
          <cell r="E395" t="str">
            <v>C309824</v>
          </cell>
          <cell r="F395">
            <v>46143</v>
          </cell>
          <cell r="G395">
            <v>46507</v>
          </cell>
          <cell r="H395">
            <v>46179</v>
          </cell>
          <cell r="I395">
            <v>46179</v>
          </cell>
          <cell r="K395" t="str">
            <v>004078</v>
          </cell>
          <cell r="L395">
            <v>-198.78</v>
          </cell>
          <cell r="M395">
            <v>-198.78</v>
          </cell>
          <cell r="N395">
            <v>-198.78</v>
          </cell>
          <cell r="O395" t="str">
            <v>indiretto</v>
          </cell>
          <cell r="P395">
            <v>6</v>
          </cell>
          <cell r="Q395" t="str">
            <v>0.916558</v>
          </cell>
          <cell r="R395" t="str">
            <v>0.642623</v>
          </cell>
          <cell r="S395" t="str">
            <v>0.256196</v>
          </cell>
          <cell r="T395" t="str">
            <v>NO</v>
          </cell>
          <cell r="U395" t="str">
            <v>DELIBERAZIONE EGATO 29 19/12/2018</v>
          </cell>
        </row>
        <row r="396">
          <cell r="A396" t="str">
            <v>C118868</v>
          </cell>
          <cell r="B396">
            <v>202601307579469</v>
          </cell>
          <cell r="D396" t="str">
            <v>ATO4</v>
          </cell>
          <cell r="E396" t="str">
            <v>C118868</v>
          </cell>
          <cell r="F396">
            <v>46143</v>
          </cell>
          <cell r="G396">
            <v>46507</v>
          </cell>
          <cell r="H396">
            <v>46179</v>
          </cell>
          <cell r="I396">
            <v>46179</v>
          </cell>
          <cell r="K396" t="str">
            <v>004078</v>
          </cell>
          <cell r="L396">
            <v>-33.130000000000003</v>
          </cell>
          <cell r="M396">
            <v>-33.130000000000003</v>
          </cell>
          <cell r="N396">
            <v>-33.130000000000003</v>
          </cell>
          <cell r="O396" t="str">
            <v>indiretto</v>
          </cell>
          <cell r="P396">
            <v>1</v>
          </cell>
          <cell r="Q396" t="str">
            <v>0.916558</v>
          </cell>
          <cell r="R396" t="str">
            <v>0.642623</v>
          </cell>
          <cell r="S396" t="str">
            <v>0.256196</v>
          </cell>
          <cell r="T396" t="str">
            <v>NO</v>
          </cell>
          <cell r="U396" t="str">
            <v>DELIBERAZIONE EGATO 29 19/12/2018</v>
          </cell>
        </row>
        <row r="397">
          <cell r="A397" t="str">
            <v>C344296</v>
          </cell>
          <cell r="B397">
            <v>202601307580928</v>
          </cell>
          <cell r="D397" t="str">
            <v>ATO4</v>
          </cell>
          <cell r="E397" t="str">
            <v>C344296</v>
          </cell>
          <cell r="F397">
            <v>46143</v>
          </cell>
          <cell r="G397">
            <v>46507</v>
          </cell>
          <cell r="H397">
            <v>46179</v>
          </cell>
          <cell r="I397">
            <v>46179</v>
          </cell>
          <cell r="K397" t="str">
            <v>004130</v>
          </cell>
          <cell r="L397">
            <v>-78.78</v>
          </cell>
          <cell r="M397">
            <v>-78.78</v>
          </cell>
          <cell r="N397">
            <v>-78.78</v>
          </cell>
          <cell r="O397" t="str">
            <v>indiretto</v>
          </cell>
          <cell r="P397">
            <v>3</v>
          </cell>
          <cell r="Q397" t="str">
            <v>0.545182</v>
          </cell>
          <cell r="R397" t="str">
            <v>0.611443</v>
          </cell>
          <cell r="S397" t="str">
            <v>0.282207</v>
          </cell>
          <cell r="T397" t="str">
            <v>NO</v>
          </cell>
          <cell r="U397" t="str">
            <v>DELIBERA EGATO N.29 DEL 19/12/2018</v>
          </cell>
        </row>
        <row r="398">
          <cell r="A398" t="str">
            <v>C118493</v>
          </cell>
          <cell r="B398">
            <v>202601307583899</v>
          </cell>
          <cell r="D398" t="str">
            <v>ATO4</v>
          </cell>
          <cell r="E398" t="str">
            <v>C118493</v>
          </cell>
          <cell r="F398">
            <v>46143</v>
          </cell>
          <cell r="G398">
            <v>46507</v>
          </cell>
          <cell r="H398">
            <v>46179</v>
          </cell>
          <cell r="I398">
            <v>46179</v>
          </cell>
          <cell r="K398" t="str">
            <v>004068</v>
          </cell>
          <cell r="L398">
            <v>-99.39</v>
          </cell>
          <cell r="M398">
            <v>-99.39</v>
          </cell>
          <cell r="N398">
            <v>-99.39</v>
          </cell>
          <cell r="O398" t="str">
            <v>indiretto</v>
          </cell>
          <cell r="P398">
            <v>3</v>
          </cell>
          <cell r="Q398" t="str">
            <v>0.916558</v>
          </cell>
          <cell r="R398" t="str">
            <v>0.642623</v>
          </cell>
          <cell r="S398" t="str">
            <v>0.256196</v>
          </cell>
          <cell r="T398" t="str">
            <v>NO</v>
          </cell>
          <cell r="U398" t="str">
            <v>DELIBERAZIONE EGATO 29 19/12/2018</v>
          </cell>
        </row>
        <row r="399">
          <cell r="A399" t="str">
            <v>C344166</v>
          </cell>
          <cell r="B399">
            <v>202601307594997</v>
          </cell>
          <cell r="D399" t="str">
            <v>ATO4</v>
          </cell>
          <cell r="E399" t="str">
            <v>C344166</v>
          </cell>
          <cell r="F399">
            <v>46143</v>
          </cell>
          <cell r="G399">
            <v>46507</v>
          </cell>
          <cell r="H399">
            <v>46179</v>
          </cell>
          <cell r="I399">
            <v>46179</v>
          </cell>
          <cell r="K399" t="str">
            <v>004091</v>
          </cell>
          <cell r="L399">
            <v>-29.82</v>
          </cell>
          <cell r="M399">
            <v>-29.82</v>
          </cell>
          <cell r="N399">
            <v>-29.82</v>
          </cell>
          <cell r="O399" t="str">
            <v>indiretto</v>
          </cell>
          <cell r="P399">
            <v>1</v>
          </cell>
          <cell r="Q399" t="str">
            <v>0.824903</v>
          </cell>
          <cell r="R399" t="str">
            <v>0.578360</v>
          </cell>
          <cell r="S399" t="str">
            <v>0.230576</v>
          </cell>
          <cell r="T399" t="str">
            <v>NO</v>
          </cell>
          <cell r="U399" t="str">
            <v>DELIBERAZIONE EGATO 29 19/12/2018</v>
          </cell>
        </row>
        <row r="400">
          <cell r="A400" t="str">
            <v>C308308</v>
          </cell>
          <cell r="B400">
            <v>202601307609621</v>
          </cell>
          <cell r="D400" t="str">
            <v>ATO4</v>
          </cell>
          <cell r="E400" t="str">
            <v>C308308</v>
          </cell>
          <cell r="F400">
            <v>46143</v>
          </cell>
          <cell r="G400">
            <v>46507</v>
          </cell>
          <cell r="H400">
            <v>46179</v>
          </cell>
          <cell r="I400">
            <v>46179</v>
          </cell>
          <cell r="K400" t="str">
            <v>004078</v>
          </cell>
          <cell r="L400">
            <v>-99.39</v>
          </cell>
          <cell r="M400">
            <v>-99.39</v>
          </cell>
          <cell r="N400">
            <v>-99.39</v>
          </cell>
          <cell r="O400" t="str">
            <v>indiretto</v>
          </cell>
          <cell r="P400">
            <v>3</v>
          </cell>
          <cell r="Q400" t="str">
            <v>0.916558</v>
          </cell>
          <cell r="R400" t="str">
            <v>0.642623</v>
          </cell>
          <cell r="S400" t="str">
            <v>0.256196</v>
          </cell>
          <cell r="T400" t="str">
            <v>NO</v>
          </cell>
          <cell r="U400" t="str">
            <v>DELIBERAZIONE EGATO 29 19/12/2018</v>
          </cell>
        </row>
        <row r="401">
          <cell r="A401" t="str">
            <v>C344112</v>
          </cell>
          <cell r="B401">
            <v>202601307610535</v>
          </cell>
          <cell r="D401" t="str">
            <v>ATO4</v>
          </cell>
          <cell r="E401" t="str">
            <v>C344112</v>
          </cell>
          <cell r="F401">
            <v>46143</v>
          </cell>
          <cell r="G401">
            <v>46507</v>
          </cell>
          <cell r="H401">
            <v>46179</v>
          </cell>
          <cell r="I401">
            <v>46179</v>
          </cell>
          <cell r="K401" t="str">
            <v>004078</v>
          </cell>
          <cell r="L401">
            <v>-99.39</v>
          </cell>
          <cell r="M401">
            <v>-99.39</v>
          </cell>
          <cell r="N401">
            <v>-99.39</v>
          </cell>
          <cell r="O401" t="str">
            <v>indiretto</v>
          </cell>
          <cell r="P401">
            <v>3</v>
          </cell>
          <cell r="Q401" t="str">
            <v>0.916558</v>
          </cell>
          <cell r="R401" t="str">
            <v>0.642623</v>
          </cell>
          <cell r="S401" t="str">
            <v>0.256196</v>
          </cell>
          <cell r="T401" t="str">
            <v>NO</v>
          </cell>
          <cell r="U401" t="str">
            <v>DELIBERAZIONE EGATO 29 19/12/2018</v>
          </cell>
        </row>
        <row r="402">
          <cell r="A402" t="str">
            <v>C344300</v>
          </cell>
          <cell r="B402">
            <v>202601307614662</v>
          </cell>
          <cell r="D402" t="str">
            <v>ATO4</v>
          </cell>
          <cell r="E402" t="str">
            <v>C344300</v>
          </cell>
          <cell r="F402">
            <v>46143</v>
          </cell>
          <cell r="G402">
            <v>46507</v>
          </cell>
          <cell r="H402">
            <v>46179</v>
          </cell>
          <cell r="I402">
            <v>46179</v>
          </cell>
          <cell r="K402" t="str">
            <v>004245</v>
          </cell>
          <cell r="L402">
            <v>-105.03</v>
          </cell>
          <cell r="M402">
            <v>-105.03</v>
          </cell>
          <cell r="N402">
            <v>-105.03</v>
          </cell>
          <cell r="O402" t="str">
            <v>indiretto</v>
          </cell>
          <cell r="P402">
            <v>4</v>
          </cell>
          <cell r="Q402" t="str">
            <v>0.545182</v>
          </cell>
          <cell r="R402" t="str">
            <v>0.611443</v>
          </cell>
          <cell r="S402" t="str">
            <v>0.282207</v>
          </cell>
          <cell r="T402" t="str">
            <v>NO</v>
          </cell>
          <cell r="U402" t="str">
            <v>DELIBERA EGATO N.29 DEL 19/12/2018</v>
          </cell>
        </row>
        <row r="403">
          <cell r="A403" t="str">
            <v>C344238</v>
          </cell>
          <cell r="B403">
            <v>202601307616709</v>
          </cell>
          <cell r="D403" t="str">
            <v>ATO4</v>
          </cell>
          <cell r="E403" t="str">
            <v>C344238</v>
          </cell>
          <cell r="F403">
            <v>46143</v>
          </cell>
          <cell r="G403">
            <v>46507</v>
          </cell>
          <cell r="H403">
            <v>46179</v>
          </cell>
          <cell r="I403">
            <v>46179</v>
          </cell>
          <cell r="K403" t="str">
            <v>004034</v>
          </cell>
          <cell r="L403">
            <v>-33.130000000000003</v>
          </cell>
          <cell r="M403">
            <v>-33.130000000000003</v>
          </cell>
          <cell r="N403">
            <v>-33.130000000000003</v>
          </cell>
          <cell r="O403" t="str">
            <v>indiretto</v>
          </cell>
          <cell r="P403">
            <v>1</v>
          </cell>
          <cell r="Q403" t="str">
            <v>0.916558</v>
          </cell>
          <cell r="R403" t="str">
            <v>0.642623</v>
          </cell>
          <cell r="S403" t="str">
            <v>0.256196</v>
          </cell>
          <cell r="T403" t="str">
            <v>NO</v>
          </cell>
          <cell r="U403" t="str">
            <v>DELIBERAZIONE EGATO 29 19/12/2018</v>
          </cell>
        </row>
        <row r="404">
          <cell r="A404" t="str">
            <v>C310979</v>
          </cell>
          <cell r="B404">
            <v>202601307621961</v>
          </cell>
          <cell r="D404" t="str">
            <v>ATO4</v>
          </cell>
          <cell r="E404" t="str">
            <v>C310979</v>
          </cell>
          <cell r="F404">
            <v>46143</v>
          </cell>
          <cell r="G404">
            <v>46507</v>
          </cell>
          <cell r="H404">
            <v>46179</v>
          </cell>
          <cell r="I404">
            <v>46179</v>
          </cell>
          <cell r="K404" t="str">
            <v>004025</v>
          </cell>
          <cell r="L404">
            <v>-66.260000000000005</v>
          </cell>
          <cell r="M404">
            <v>-66.260000000000005</v>
          </cell>
          <cell r="N404">
            <v>-66.260000000000005</v>
          </cell>
          <cell r="O404" t="str">
            <v>indiretto</v>
          </cell>
          <cell r="P404">
            <v>2</v>
          </cell>
          <cell r="Q404" t="str">
            <v>0.916558</v>
          </cell>
          <cell r="R404" t="str">
            <v>0.642623</v>
          </cell>
          <cell r="S404" t="str">
            <v>0.256196</v>
          </cell>
          <cell r="T404" t="str">
            <v>NO</v>
          </cell>
          <cell r="U404" t="str">
            <v>DELIBERAZIONE EGATO 29 19/12/2018</v>
          </cell>
        </row>
        <row r="405">
          <cell r="A405" t="str">
            <v>C309924</v>
          </cell>
          <cell r="B405">
            <v>202601307628317</v>
          </cell>
          <cell r="D405" t="str">
            <v>ATO4</v>
          </cell>
          <cell r="E405" t="str">
            <v>C309924</v>
          </cell>
          <cell r="F405">
            <v>46143</v>
          </cell>
          <cell r="G405">
            <v>46507</v>
          </cell>
          <cell r="H405">
            <v>46179</v>
          </cell>
          <cell r="I405">
            <v>46179</v>
          </cell>
          <cell r="K405" t="str">
            <v>004078</v>
          </cell>
          <cell r="L405">
            <v>-132.52000000000001</v>
          </cell>
          <cell r="M405">
            <v>-132.52000000000001</v>
          </cell>
          <cell r="N405">
            <v>-132.52000000000001</v>
          </cell>
          <cell r="O405" t="str">
            <v>indiretto</v>
          </cell>
          <cell r="P405">
            <v>4</v>
          </cell>
          <cell r="Q405" t="str">
            <v>0.916558</v>
          </cell>
          <cell r="R405" t="str">
            <v>0.642623</v>
          </cell>
          <cell r="S405" t="str">
            <v>0.256196</v>
          </cell>
          <cell r="T405" t="str">
            <v>NO</v>
          </cell>
          <cell r="U405" t="str">
            <v>DELIBERAZIONE EGATO 29 19/12/2018</v>
          </cell>
        </row>
        <row r="406">
          <cell r="A406" t="str">
            <v>C344155</v>
          </cell>
          <cell r="B406">
            <v>202601307632175</v>
          </cell>
          <cell r="D406" t="str">
            <v>ATO4</v>
          </cell>
          <cell r="E406" t="str">
            <v>C344155</v>
          </cell>
          <cell r="F406">
            <v>46143</v>
          </cell>
          <cell r="G406">
            <v>46507</v>
          </cell>
          <cell r="H406">
            <v>46179</v>
          </cell>
          <cell r="I406">
            <v>46179</v>
          </cell>
          <cell r="K406" t="str">
            <v>004034</v>
          </cell>
          <cell r="L406">
            <v>-99.39</v>
          </cell>
          <cell r="M406">
            <v>-99.39</v>
          </cell>
          <cell r="N406">
            <v>-99.39</v>
          </cell>
          <cell r="O406" t="str">
            <v>indiretto</v>
          </cell>
          <cell r="P406">
            <v>3</v>
          </cell>
          <cell r="Q406" t="str">
            <v>0.916558</v>
          </cell>
          <cell r="R406" t="str">
            <v>0.642623</v>
          </cell>
          <cell r="S406" t="str">
            <v>0.256196</v>
          </cell>
          <cell r="T406" t="str">
            <v>NO</v>
          </cell>
          <cell r="U406" t="str">
            <v>DELIBERAZIONE EGATO 29 19/12/2018</v>
          </cell>
        </row>
        <row r="407">
          <cell r="A407" t="str">
            <v>C307507</v>
          </cell>
          <cell r="B407">
            <v>202601307632784</v>
          </cell>
          <cell r="D407" t="str">
            <v>ATO4</v>
          </cell>
          <cell r="E407" t="str">
            <v>C307507</v>
          </cell>
          <cell r="F407">
            <v>46143</v>
          </cell>
          <cell r="G407">
            <v>46507</v>
          </cell>
          <cell r="H407">
            <v>46179</v>
          </cell>
          <cell r="I407">
            <v>46179</v>
          </cell>
          <cell r="K407" t="str">
            <v>004040</v>
          </cell>
          <cell r="L407">
            <v>-33.130000000000003</v>
          </cell>
          <cell r="M407">
            <v>-33.130000000000003</v>
          </cell>
          <cell r="N407">
            <v>-33.130000000000003</v>
          </cell>
          <cell r="O407" t="str">
            <v>indiretto</v>
          </cell>
          <cell r="P407">
            <v>1</v>
          </cell>
          <cell r="Q407" t="str">
            <v>0.916558</v>
          </cell>
          <cell r="R407" t="str">
            <v>0.642623</v>
          </cell>
          <cell r="S407" t="str">
            <v>0.256196</v>
          </cell>
          <cell r="T407" t="str">
            <v>NO</v>
          </cell>
          <cell r="U407" t="str">
            <v>DELIBERAZIONE EGATO 29 19/12/2018</v>
          </cell>
        </row>
        <row r="408">
          <cell r="A408" t="str">
            <v>C344165</v>
          </cell>
          <cell r="B408">
            <v>202601307633577</v>
          </cell>
          <cell r="D408" t="str">
            <v>ATO4</v>
          </cell>
          <cell r="E408" t="str">
            <v>C344165</v>
          </cell>
          <cell r="F408">
            <v>46143</v>
          </cell>
          <cell r="G408">
            <v>46507</v>
          </cell>
          <cell r="H408">
            <v>46179</v>
          </cell>
          <cell r="I408">
            <v>46179</v>
          </cell>
          <cell r="K408" t="str">
            <v>004028</v>
          </cell>
          <cell r="L408">
            <v>-231.91</v>
          </cell>
          <cell r="M408">
            <v>-231.91</v>
          </cell>
          <cell r="N408">
            <v>-231.91</v>
          </cell>
          <cell r="O408" t="str">
            <v>indiretto</v>
          </cell>
          <cell r="P408">
            <v>7</v>
          </cell>
          <cell r="Q408" t="str">
            <v>0.916558</v>
          </cell>
          <cell r="R408" t="str">
            <v>0.642623</v>
          </cell>
          <cell r="S408" t="str">
            <v>0.256196</v>
          </cell>
          <cell r="T408" t="str">
            <v>NO</v>
          </cell>
          <cell r="U408" t="str">
            <v>DELIBERAZIONE EGATO 29 19/12/2018</v>
          </cell>
        </row>
        <row r="409">
          <cell r="A409" t="str">
            <v>C312120</v>
          </cell>
          <cell r="B409">
            <v>202601307637337</v>
          </cell>
          <cell r="D409" t="str">
            <v>ATO4</v>
          </cell>
          <cell r="E409" t="str">
            <v>C312120</v>
          </cell>
          <cell r="F409">
            <v>46143</v>
          </cell>
          <cell r="G409">
            <v>46507</v>
          </cell>
          <cell r="H409">
            <v>46179</v>
          </cell>
          <cell r="I409">
            <v>46179</v>
          </cell>
          <cell r="K409" t="str">
            <v>004130</v>
          </cell>
          <cell r="L409">
            <v>-131.29</v>
          </cell>
          <cell r="M409">
            <v>-131.29</v>
          </cell>
          <cell r="N409">
            <v>-131.29</v>
          </cell>
          <cell r="O409" t="str">
            <v>indiretto</v>
          </cell>
          <cell r="P409">
            <v>5</v>
          </cell>
          <cell r="Q409" t="str">
            <v>0.545182</v>
          </cell>
          <cell r="R409" t="str">
            <v>0.611443</v>
          </cell>
          <cell r="S409" t="str">
            <v>0.282207</v>
          </cell>
          <cell r="T409" t="str">
            <v>NO</v>
          </cell>
          <cell r="U409" t="str">
            <v>DELIBERA EGATO N.29 DEL 19/12/2018</v>
          </cell>
        </row>
        <row r="410">
          <cell r="A410" t="str">
            <v>C344294</v>
          </cell>
          <cell r="B410">
            <v>202601307639155</v>
          </cell>
          <cell r="D410" t="str">
            <v>ATO4</v>
          </cell>
          <cell r="E410" t="str">
            <v>C344294</v>
          </cell>
          <cell r="F410">
            <v>46143</v>
          </cell>
          <cell r="G410">
            <v>46507</v>
          </cell>
          <cell r="H410">
            <v>46179</v>
          </cell>
          <cell r="I410">
            <v>46179</v>
          </cell>
          <cell r="K410" t="str">
            <v>004078</v>
          </cell>
          <cell r="L410">
            <v>-132.52000000000001</v>
          </cell>
          <cell r="M410">
            <v>-132.52000000000001</v>
          </cell>
          <cell r="N410">
            <v>-132.52000000000001</v>
          </cell>
          <cell r="O410" t="str">
            <v>indiretto</v>
          </cell>
          <cell r="P410">
            <v>4</v>
          </cell>
          <cell r="Q410" t="str">
            <v>0.916558</v>
          </cell>
          <cell r="R410" t="str">
            <v>0.642623</v>
          </cell>
          <cell r="S410" t="str">
            <v>0.256196</v>
          </cell>
          <cell r="T410" t="str">
            <v>NO</v>
          </cell>
          <cell r="U410" t="str">
            <v>DELIBERAZIONE EGATO 29 19/12/2018</v>
          </cell>
        </row>
        <row r="411">
          <cell r="A411" t="str">
            <v>C344293</v>
          </cell>
          <cell r="B411">
            <v>202601307668322</v>
          </cell>
          <cell r="D411" t="str">
            <v>ATO4</v>
          </cell>
          <cell r="E411" t="str">
            <v>C344293</v>
          </cell>
          <cell r="F411">
            <v>46143</v>
          </cell>
          <cell r="G411">
            <v>46507</v>
          </cell>
          <cell r="H411">
            <v>46179</v>
          </cell>
          <cell r="I411">
            <v>46179</v>
          </cell>
          <cell r="K411" t="str">
            <v>004078</v>
          </cell>
          <cell r="L411">
            <v>-33.130000000000003</v>
          </cell>
          <cell r="M411">
            <v>-33.130000000000003</v>
          </cell>
          <cell r="N411">
            <v>-33.130000000000003</v>
          </cell>
          <cell r="O411" t="str">
            <v>indiretto</v>
          </cell>
          <cell r="P411">
            <v>1</v>
          </cell>
          <cell r="Q411" t="str">
            <v>0.916558</v>
          </cell>
          <cell r="R411" t="str">
            <v>0.642623</v>
          </cell>
          <cell r="S411" t="str">
            <v>0.256196</v>
          </cell>
          <cell r="T411" t="str">
            <v>NO</v>
          </cell>
          <cell r="U411" t="str">
            <v>DELIBERAZIONE EGATO 29 19/12/2018</v>
          </cell>
        </row>
        <row r="412">
          <cell r="A412" t="str">
            <v>C344292</v>
          </cell>
          <cell r="B412">
            <v>202601307669581</v>
          </cell>
          <cell r="D412" t="str">
            <v>ATO4</v>
          </cell>
          <cell r="E412" t="str">
            <v>C344292</v>
          </cell>
          <cell r="F412">
            <v>46143</v>
          </cell>
          <cell r="G412">
            <v>46507</v>
          </cell>
          <cell r="H412">
            <v>46179</v>
          </cell>
          <cell r="I412">
            <v>46179</v>
          </cell>
          <cell r="K412" t="str">
            <v>004118</v>
          </cell>
          <cell r="L412">
            <v>-165.65</v>
          </cell>
          <cell r="M412">
            <v>-165.65</v>
          </cell>
          <cell r="N412">
            <v>-165.65</v>
          </cell>
          <cell r="O412" t="str">
            <v>indiretto</v>
          </cell>
          <cell r="P412">
            <v>5</v>
          </cell>
          <cell r="Q412" t="str">
            <v>0.916558</v>
          </cell>
          <cell r="R412" t="str">
            <v>0.642623</v>
          </cell>
          <cell r="S412" t="str">
            <v>0.256196</v>
          </cell>
          <cell r="T412" t="str">
            <v>NO</v>
          </cell>
          <cell r="U412" t="str">
            <v>DELIBERAZIONE EGATO 29 19/12/2018</v>
          </cell>
        </row>
        <row r="413">
          <cell r="A413" t="str">
            <v>C311501</v>
          </cell>
          <cell r="B413">
            <v>202601307669721</v>
          </cell>
          <cell r="D413" t="str">
            <v>ATO4</v>
          </cell>
          <cell r="E413" t="str">
            <v>C311501</v>
          </cell>
          <cell r="F413">
            <v>46143</v>
          </cell>
          <cell r="G413">
            <v>46507</v>
          </cell>
          <cell r="H413">
            <v>46179</v>
          </cell>
          <cell r="I413">
            <v>46179</v>
          </cell>
          <cell r="K413" t="str">
            <v>004022</v>
          </cell>
          <cell r="L413">
            <v>-33.130000000000003</v>
          </cell>
          <cell r="M413">
            <v>-33.130000000000003</v>
          </cell>
          <cell r="N413">
            <v>-33.130000000000003</v>
          </cell>
          <cell r="O413" t="str">
            <v>indiretto</v>
          </cell>
          <cell r="P413">
            <v>1</v>
          </cell>
          <cell r="Q413" t="str">
            <v>0.916558</v>
          </cell>
          <cell r="R413" t="str">
            <v>0.642623</v>
          </cell>
          <cell r="S413" t="str">
            <v>0.256196</v>
          </cell>
          <cell r="T413" t="str">
            <v>NO</v>
          </cell>
          <cell r="U413" t="str">
            <v>DELIBERAZIONE EGATO 29 19/12/2018</v>
          </cell>
        </row>
        <row r="414">
          <cell r="A414" t="str">
            <v>C344163</v>
          </cell>
          <cell r="B414">
            <v>202601307681851</v>
          </cell>
          <cell r="D414" t="str">
            <v>ATO4</v>
          </cell>
          <cell r="E414" t="str">
            <v>C344163</v>
          </cell>
          <cell r="F414">
            <v>46143</v>
          </cell>
          <cell r="G414">
            <v>46507</v>
          </cell>
          <cell r="H414">
            <v>46179</v>
          </cell>
          <cell r="I414">
            <v>46179</v>
          </cell>
          <cell r="K414" t="str">
            <v>004104</v>
          </cell>
          <cell r="L414">
            <v>-71.900000000000006</v>
          </cell>
          <cell r="M414">
            <v>-71.900000000000006</v>
          </cell>
          <cell r="N414">
            <v>-71.900000000000006</v>
          </cell>
          <cell r="O414" t="str">
            <v>indiretto</v>
          </cell>
          <cell r="P414">
            <v>3</v>
          </cell>
          <cell r="Q414" t="str">
            <v>0.721337</v>
          </cell>
          <cell r="R414" t="str">
            <v>0.441600</v>
          </cell>
          <cell r="S414" t="str">
            <v>0.150394</v>
          </cell>
          <cell r="T414" t="str">
            <v>NO</v>
          </cell>
          <cell r="U414" t="str">
            <v>DELIBERAZIONE EGATO 2 04/02/2019</v>
          </cell>
        </row>
        <row r="415">
          <cell r="A415" t="str">
            <v>C344105</v>
          </cell>
          <cell r="B415">
            <v>202601307684204</v>
          </cell>
          <cell r="D415" t="str">
            <v>ATO4</v>
          </cell>
          <cell r="E415" t="str">
            <v>C344105</v>
          </cell>
          <cell r="F415">
            <v>46143</v>
          </cell>
          <cell r="G415">
            <v>46507</v>
          </cell>
          <cell r="H415">
            <v>46179</v>
          </cell>
          <cell r="I415">
            <v>46179</v>
          </cell>
          <cell r="K415" t="str">
            <v>004078</v>
          </cell>
          <cell r="L415">
            <v>-132.52000000000001</v>
          </cell>
          <cell r="M415">
            <v>-132.52000000000001</v>
          </cell>
          <cell r="N415">
            <v>-132.52000000000001</v>
          </cell>
          <cell r="O415" t="str">
            <v>indiretto</v>
          </cell>
          <cell r="P415">
            <v>4</v>
          </cell>
          <cell r="Q415" t="str">
            <v>0.916558</v>
          </cell>
          <cell r="R415" t="str">
            <v>0.642623</v>
          </cell>
          <cell r="S415" t="str">
            <v>0.256196</v>
          </cell>
          <cell r="T415" t="str">
            <v>NO</v>
          </cell>
          <cell r="U415" t="str">
            <v>DELIBERAZIONE EGATO 29 19/12/2018</v>
          </cell>
        </row>
        <row r="416">
          <cell r="A416" t="str">
            <v>C320188</v>
          </cell>
          <cell r="B416">
            <v>202601307692815</v>
          </cell>
          <cell r="D416" t="str">
            <v>ATO4</v>
          </cell>
          <cell r="E416" t="str">
            <v>C320188</v>
          </cell>
          <cell r="F416">
            <v>46143</v>
          </cell>
          <cell r="G416">
            <v>46507</v>
          </cell>
          <cell r="H416">
            <v>46179</v>
          </cell>
          <cell r="I416">
            <v>46179</v>
          </cell>
          <cell r="K416" t="str">
            <v>004078</v>
          </cell>
          <cell r="L416">
            <v>-132.52000000000001</v>
          </cell>
          <cell r="M416">
            <v>-132.52000000000001</v>
          </cell>
          <cell r="N416">
            <v>-132.52000000000001</v>
          </cell>
          <cell r="O416" t="str">
            <v>indiretto</v>
          </cell>
          <cell r="P416">
            <v>4</v>
          </cell>
          <cell r="Q416" t="str">
            <v>0.916558</v>
          </cell>
          <cell r="R416" t="str">
            <v>0.642623</v>
          </cell>
          <cell r="S416" t="str">
            <v>0.256196</v>
          </cell>
          <cell r="T416" t="str">
            <v>NO</v>
          </cell>
          <cell r="U416" t="str">
            <v>DELIBERAZIONE EGATO 29 19/12/2018</v>
          </cell>
        </row>
        <row r="417">
          <cell r="A417" t="str">
            <v>C309096</v>
          </cell>
          <cell r="B417">
            <v>202601307695316</v>
          </cell>
          <cell r="D417" t="str">
            <v>ATO4</v>
          </cell>
          <cell r="E417" t="str">
            <v>C309096</v>
          </cell>
          <cell r="F417">
            <v>46143</v>
          </cell>
          <cell r="G417">
            <v>46507</v>
          </cell>
          <cell r="H417">
            <v>46179</v>
          </cell>
          <cell r="I417">
            <v>46179</v>
          </cell>
          <cell r="K417" t="str">
            <v>004151</v>
          </cell>
          <cell r="L417">
            <v>-193.3</v>
          </cell>
          <cell r="M417">
            <v>-193.3</v>
          </cell>
          <cell r="N417">
            <v>-193.3</v>
          </cell>
          <cell r="O417" t="str">
            <v>indiretto</v>
          </cell>
          <cell r="P417">
            <v>5</v>
          </cell>
          <cell r="Q417">
            <v>1091278</v>
          </cell>
          <cell r="R417" t="str">
            <v>0.730790</v>
          </cell>
          <cell r="S417" t="str">
            <v>0.296264</v>
          </cell>
          <cell r="T417" t="str">
            <v>NO</v>
          </cell>
          <cell r="U417" t="str">
            <v>DELIBERAZIONE EGATO 2 04/02/2019</v>
          </cell>
        </row>
        <row r="418">
          <cell r="A418" t="str">
            <v>C308170</v>
          </cell>
          <cell r="B418">
            <v>202601307720121</v>
          </cell>
          <cell r="D418" t="str">
            <v>ATO4</v>
          </cell>
          <cell r="E418" t="str">
            <v>C308170</v>
          </cell>
          <cell r="F418">
            <v>46143</v>
          </cell>
          <cell r="G418">
            <v>46507</v>
          </cell>
          <cell r="H418">
            <v>46179</v>
          </cell>
          <cell r="I418">
            <v>46179</v>
          </cell>
          <cell r="K418" t="str">
            <v>004179</v>
          </cell>
          <cell r="L418">
            <v>-28.78</v>
          </cell>
          <cell r="M418">
            <v>-28.78</v>
          </cell>
          <cell r="N418">
            <v>-28.78</v>
          </cell>
          <cell r="O418" t="str">
            <v>indiretto</v>
          </cell>
          <cell r="P418">
            <v>1</v>
          </cell>
          <cell r="Q418" t="str">
            <v>0.802937</v>
          </cell>
          <cell r="R418" t="str">
            <v>0.568257</v>
          </cell>
          <cell r="S418" t="str">
            <v>0.205575</v>
          </cell>
          <cell r="T418" t="str">
            <v>NO</v>
          </cell>
          <cell r="U418" t="str">
            <v>DELIBERAZIONE EGATO 11 27/03/2019</v>
          </cell>
        </row>
        <row r="419">
          <cell r="A419" t="str">
            <v>C311704</v>
          </cell>
          <cell r="B419">
            <v>202601307727826</v>
          </cell>
          <cell r="D419" t="str">
            <v>ATO4</v>
          </cell>
          <cell r="E419" t="str">
            <v>C311704</v>
          </cell>
          <cell r="F419">
            <v>46143</v>
          </cell>
          <cell r="G419">
            <v>46507</v>
          </cell>
          <cell r="H419">
            <v>46179</v>
          </cell>
          <cell r="I419">
            <v>46179</v>
          </cell>
          <cell r="K419" t="str">
            <v>004078</v>
          </cell>
          <cell r="L419">
            <v>-132.52000000000001</v>
          </cell>
          <cell r="M419">
            <v>-132.52000000000001</v>
          </cell>
          <cell r="N419">
            <v>-132.52000000000001</v>
          </cell>
          <cell r="O419" t="str">
            <v>indiretto</v>
          </cell>
          <cell r="P419">
            <v>4</v>
          </cell>
          <cell r="Q419" t="str">
            <v>0.916558</v>
          </cell>
          <cell r="R419" t="str">
            <v>0.642623</v>
          </cell>
          <cell r="S419" t="str">
            <v>0.256196</v>
          </cell>
          <cell r="T419" t="str">
            <v>NO</v>
          </cell>
          <cell r="U419" t="str">
            <v>DELIBERAZIONE EGATO 29 19/12/2018</v>
          </cell>
        </row>
        <row r="420">
          <cell r="A420" t="str">
            <v>C307643</v>
          </cell>
          <cell r="B420">
            <v>202601307730544</v>
          </cell>
          <cell r="D420" t="str">
            <v>ATO4</v>
          </cell>
          <cell r="E420" t="str">
            <v>C307643</v>
          </cell>
          <cell r="F420">
            <v>46143</v>
          </cell>
          <cell r="G420">
            <v>46507</v>
          </cell>
          <cell r="H420">
            <v>46179</v>
          </cell>
          <cell r="I420">
            <v>46179</v>
          </cell>
          <cell r="K420" t="str">
            <v>004009</v>
          </cell>
          <cell r="L420">
            <v>-49.24</v>
          </cell>
          <cell r="M420">
            <v>-49.24</v>
          </cell>
          <cell r="N420">
            <v>-49.24</v>
          </cell>
          <cell r="O420" t="str">
            <v>indiretto</v>
          </cell>
          <cell r="P420">
            <v>2</v>
          </cell>
          <cell r="Q420" t="str">
            <v>0.716943</v>
          </cell>
          <cell r="R420" t="str">
            <v>0.463071</v>
          </cell>
          <cell r="S420" t="str">
            <v>0.169064</v>
          </cell>
          <cell r="T420" t="str">
            <v>NO</v>
          </cell>
          <cell r="U420" t="str">
            <v>DELIBERAZIONE EGATO 2 04/02/2019</v>
          </cell>
        </row>
        <row r="421">
          <cell r="A421" t="str">
            <v>C344246</v>
          </cell>
          <cell r="B421">
            <v>202601307738594</v>
          </cell>
          <cell r="D421" t="str">
            <v>ATO4</v>
          </cell>
          <cell r="E421" t="str">
            <v>C344246</v>
          </cell>
          <cell r="F421">
            <v>46143</v>
          </cell>
          <cell r="G421">
            <v>46507</v>
          </cell>
          <cell r="H421">
            <v>46179</v>
          </cell>
          <cell r="I421">
            <v>46179</v>
          </cell>
          <cell r="K421" t="str">
            <v>004082</v>
          </cell>
          <cell r="L421">
            <v>-33.130000000000003</v>
          </cell>
          <cell r="M421">
            <v>-33.130000000000003</v>
          </cell>
          <cell r="N421">
            <v>-33.130000000000003</v>
          </cell>
          <cell r="O421" t="str">
            <v>indiretto</v>
          </cell>
          <cell r="P421">
            <v>1</v>
          </cell>
          <cell r="Q421" t="str">
            <v>0.916558</v>
          </cell>
          <cell r="R421" t="str">
            <v>0.642623</v>
          </cell>
          <cell r="S421" t="str">
            <v>0.256196</v>
          </cell>
          <cell r="T421" t="str">
            <v>NO</v>
          </cell>
          <cell r="U421" t="str">
            <v>DELIBERAZIONE EGATO 29 19/12/2018</v>
          </cell>
        </row>
        <row r="422">
          <cell r="A422" t="str">
            <v>C118160</v>
          </cell>
          <cell r="B422">
            <v>202601307748494</v>
          </cell>
          <cell r="D422" t="str">
            <v>ATO4</v>
          </cell>
          <cell r="E422" t="str">
            <v>C118160</v>
          </cell>
          <cell r="F422">
            <v>46143</v>
          </cell>
          <cell r="G422">
            <v>46507</v>
          </cell>
          <cell r="H422">
            <v>46179</v>
          </cell>
          <cell r="I422">
            <v>46179</v>
          </cell>
          <cell r="K422" t="str">
            <v>004209</v>
          </cell>
          <cell r="L422">
            <v>-89.45</v>
          </cell>
          <cell r="M422">
            <v>-89.45</v>
          </cell>
          <cell r="N422">
            <v>-89.45</v>
          </cell>
          <cell r="O422" t="str">
            <v>indiretto</v>
          </cell>
          <cell r="P422">
            <v>3</v>
          </cell>
          <cell r="Q422" t="str">
            <v>0.824903</v>
          </cell>
          <cell r="R422" t="str">
            <v>0.578360</v>
          </cell>
          <cell r="S422" t="str">
            <v>0.230576</v>
          </cell>
          <cell r="T422" t="str">
            <v>NO</v>
          </cell>
          <cell r="U422" t="str">
            <v>DELIBERAZIONE EGATO 29 19/12/2018</v>
          </cell>
        </row>
        <row r="423">
          <cell r="A423" t="str">
            <v>C320530</v>
          </cell>
          <cell r="B423">
            <v>202601307750014</v>
          </cell>
          <cell r="D423" t="str">
            <v>ATO4</v>
          </cell>
          <cell r="E423" t="str">
            <v>C320530</v>
          </cell>
          <cell r="F423">
            <v>46143</v>
          </cell>
          <cell r="G423">
            <v>46507</v>
          </cell>
          <cell r="H423">
            <v>46179</v>
          </cell>
          <cell r="I423">
            <v>46179</v>
          </cell>
          <cell r="K423" t="str">
            <v>004225</v>
          </cell>
          <cell r="L423">
            <v>-132.52000000000001</v>
          </cell>
          <cell r="M423">
            <v>-132.52000000000001</v>
          </cell>
          <cell r="N423">
            <v>-132.52000000000001</v>
          </cell>
          <cell r="O423" t="str">
            <v>indiretto</v>
          </cell>
          <cell r="P423">
            <v>4</v>
          </cell>
          <cell r="Q423" t="str">
            <v>0.916558</v>
          </cell>
          <cell r="R423" t="str">
            <v>0.642623</v>
          </cell>
          <cell r="S423" t="str">
            <v>0.256196</v>
          </cell>
          <cell r="T423" t="str">
            <v>NO</v>
          </cell>
          <cell r="U423" t="str">
            <v>DELIBERAZIONE EGATO 29 19/12/2018</v>
          </cell>
        </row>
        <row r="424">
          <cell r="A424" t="str">
            <v>C314438</v>
          </cell>
          <cell r="B424">
            <v>202601307759208</v>
          </cell>
          <cell r="D424" t="str">
            <v>ATO4</v>
          </cell>
          <cell r="E424" t="str">
            <v>C314438</v>
          </cell>
          <cell r="F424">
            <v>46143</v>
          </cell>
          <cell r="G424">
            <v>46507</v>
          </cell>
          <cell r="H424">
            <v>46179</v>
          </cell>
          <cell r="I424">
            <v>46179</v>
          </cell>
          <cell r="K424" t="str">
            <v>004078</v>
          </cell>
          <cell r="L424">
            <v>-132.52000000000001</v>
          </cell>
          <cell r="M424">
            <v>-132.52000000000001</v>
          </cell>
          <cell r="N424">
            <v>-132.52000000000001</v>
          </cell>
          <cell r="O424" t="str">
            <v>indiretto</v>
          </cell>
          <cell r="P424">
            <v>4</v>
          </cell>
          <cell r="Q424" t="str">
            <v>0.916558</v>
          </cell>
          <cell r="R424" t="str">
            <v>0.642623</v>
          </cell>
          <cell r="S424" t="str">
            <v>0.256196</v>
          </cell>
          <cell r="T424" t="str">
            <v>NO</v>
          </cell>
          <cell r="U424" t="str">
            <v>DELIBERAZIONE EGATO 29 19/12/2018</v>
          </cell>
        </row>
        <row r="425">
          <cell r="A425" t="str">
            <v>C308772</v>
          </cell>
          <cell r="B425">
            <v>202601307768064</v>
          </cell>
          <cell r="D425" t="str">
            <v>ATO4</v>
          </cell>
          <cell r="E425" t="str">
            <v>C308772</v>
          </cell>
          <cell r="F425">
            <v>46143</v>
          </cell>
          <cell r="G425">
            <v>46507</v>
          </cell>
          <cell r="H425">
            <v>46179</v>
          </cell>
          <cell r="I425">
            <v>46179</v>
          </cell>
          <cell r="K425" t="str">
            <v>004034</v>
          </cell>
          <cell r="L425">
            <v>-132.52000000000001</v>
          </cell>
          <cell r="M425">
            <v>-132.52000000000001</v>
          </cell>
          <cell r="N425">
            <v>-132.52000000000001</v>
          </cell>
          <cell r="O425" t="str">
            <v>indiretto</v>
          </cell>
          <cell r="P425">
            <v>4</v>
          </cell>
          <cell r="Q425" t="str">
            <v>0.916558</v>
          </cell>
          <cell r="R425" t="str">
            <v>0.642623</v>
          </cell>
          <cell r="S425" t="str">
            <v>0.256196</v>
          </cell>
          <cell r="T425" t="str">
            <v>NO</v>
          </cell>
          <cell r="U425" t="str">
            <v>DELIBERAZIONE EGATO 29 19/12/2018</v>
          </cell>
        </row>
        <row r="426">
          <cell r="A426" t="str">
            <v>C314494</v>
          </cell>
          <cell r="B426">
            <v>202601307770568</v>
          </cell>
          <cell r="D426" t="str">
            <v>ATO4</v>
          </cell>
          <cell r="E426" t="str">
            <v>C314494</v>
          </cell>
          <cell r="F426">
            <v>46143</v>
          </cell>
          <cell r="G426">
            <v>46507</v>
          </cell>
          <cell r="H426">
            <v>46179</v>
          </cell>
          <cell r="I426">
            <v>46179</v>
          </cell>
          <cell r="K426" t="str">
            <v>004163</v>
          </cell>
          <cell r="L426">
            <v>-165.65</v>
          </cell>
          <cell r="M426">
            <v>-165.65</v>
          </cell>
          <cell r="N426">
            <v>-165.65</v>
          </cell>
          <cell r="O426" t="str">
            <v>indiretto</v>
          </cell>
          <cell r="P426">
            <v>5</v>
          </cell>
          <cell r="Q426" t="str">
            <v>0.916558</v>
          </cell>
          <cell r="R426" t="str">
            <v>0.642623</v>
          </cell>
          <cell r="S426" t="str">
            <v>0.256196</v>
          </cell>
          <cell r="T426" t="str">
            <v>NO</v>
          </cell>
          <cell r="U426" t="str">
            <v>DELIBERAZIONE EGATO 29 19/12/2018</v>
          </cell>
        </row>
        <row r="427">
          <cell r="A427" t="str">
            <v>C322508</v>
          </cell>
          <cell r="B427">
            <v>202601307774132</v>
          </cell>
          <cell r="D427" t="str">
            <v>ATO4</v>
          </cell>
          <cell r="E427" t="str">
            <v>C322508</v>
          </cell>
          <cell r="F427">
            <v>46143</v>
          </cell>
          <cell r="G427">
            <v>46507</v>
          </cell>
          <cell r="H427">
            <v>46179</v>
          </cell>
          <cell r="I427">
            <v>46179</v>
          </cell>
          <cell r="K427" t="str">
            <v>004078</v>
          </cell>
          <cell r="L427">
            <v>-66.260000000000005</v>
          </cell>
          <cell r="M427">
            <v>-66.260000000000005</v>
          </cell>
          <cell r="N427">
            <v>-66.260000000000005</v>
          </cell>
          <cell r="O427" t="str">
            <v>indiretto</v>
          </cell>
          <cell r="P427">
            <v>2</v>
          </cell>
          <cell r="Q427" t="str">
            <v>0.916558</v>
          </cell>
          <cell r="R427" t="str">
            <v>0.642623</v>
          </cell>
          <cell r="S427" t="str">
            <v>0.256196</v>
          </cell>
          <cell r="T427" t="str">
            <v>NO</v>
          </cell>
          <cell r="U427" t="str">
            <v>DELIBERAZIONE EGATO 29 19/12/2018</v>
          </cell>
        </row>
        <row r="428">
          <cell r="A428" t="str">
            <v>C311450</v>
          </cell>
          <cell r="B428">
            <v>202601307780619</v>
          </cell>
          <cell r="D428" t="str">
            <v>ATO4</v>
          </cell>
          <cell r="E428" t="str">
            <v>C311450</v>
          </cell>
          <cell r="F428">
            <v>46143</v>
          </cell>
          <cell r="G428">
            <v>46507</v>
          </cell>
          <cell r="H428">
            <v>46179</v>
          </cell>
          <cell r="I428">
            <v>46179</v>
          </cell>
          <cell r="K428" t="str">
            <v>004179</v>
          </cell>
          <cell r="L428">
            <v>-143.88</v>
          </cell>
          <cell r="M428">
            <v>-143.88</v>
          </cell>
          <cell r="N428">
            <v>-143.88</v>
          </cell>
          <cell r="O428" t="str">
            <v>indiretto</v>
          </cell>
          <cell r="P428">
            <v>5</v>
          </cell>
          <cell r="Q428" t="str">
            <v>0.802937</v>
          </cell>
          <cell r="R428" t="str">
            <v>0.568257</v>
          </cell>
          <cell r="S428" t="str">
            <v>0.205575</v>
          </cell>
          <cell r="T428" t="str">
            <v>NO</v>
          </cell>
          <cell r="U428" t="str">
            <v>DELIBERAZIONE EGATO 11 27/03/2019</v>
          </cell>
        </row>
        <row r="429">
          <cell r="A429" t="str">
            <v>C344299</v>
          </cell>
          <cell r="B429">
            <v>202601307785037</v>
          </cell>
          <cell r="D429" t="str">
            <v>ATO4</v>
          </cell>
          <cell r="E429" t="str">
            <v>C344299</v>
          </cell>
          <cell r="F429">
            <v>46143</v>
          </cell>
          <cell r="G429">
            <v>46507</v>
          </cell>
          <cell r="H429">
            <v>46179</v>
          </cell>
          <cell r="I429">
            <v>46179</v>
          </cell>
          <cell r="K429" t="str">
            <v>004025</v>
          </cell>
          <cell r="L429">
            <v>-66.260000000000005</v>
          </cell>
          <cell r="M429">
            <v>-66.260000000000005</v>
          </cell>
          <cell r="N429">
            <v>-66.260000000000005</v>
          </cell>
          <cell r="O429" t="str">
            <v>indiretto</v>
          </cell>
          <cell r="P429">
            <v>2</v>
          </cell>
          <cell r="Q429" t="str">
            <v>0.916558</v>
          </cell>
          <cell r="R429" t="str">
            <v>0.642623</v>
          </cell>
          <cell r="S429" t="str">
            <v>0.256196</v>
          </cell>
          <cell r="T429" t="str">
            <v>NO</v>
          </cell>
          <cell r="U429" t="str">
            <v>DELIBERAZIONE EGATO 29 19/12/2018</v>
          </cell>
        </row>
        <row r="430">
          <cell r="A430" t="str">
            <v>C344154</v>
          </cell>
          <cell r="B430">
            <v>202601307793187</v>
          </cell>
          <cell r="D430" t="str">
            <v>ATO4</v>
          </cell>
          <cell r="E430" t="str">
            <v>C344154</v>
          </cell>
          <cell r="F430">
            <v>46143</v>
          </cell>
          <cell r="G430">
            <v>46507</v>
          </cell>
          <cell r="H430">
            <v>46179</v>
          </cell>
          <cell r="I430">
            <v>46179</v>
          </cell>
          <cell r="K430" t="str">
            <v>004078</v>
          </cell>
          <cell r="L430">
            <v>-33.130000000000003</v>
          </cell>
          <cell r="M430">
            <v>-33.130000000000003</v>
          </cell>
          <cell r="N430">
            <v>-33.130000000000003</v>
          </cell>
          <cell r="O430" t="str">
            <v>indiretto</v>
          </cell>
          <cell r="P430">
            <v>1</v>
          </cell>
          <cell r="Q430" t="str">
            <v>0.916558</v>
          </cell>
          <cell r="R430" t="str">
            <v>0.642623</v>
          </cell>
          <cell r="S430" t="str">
            <v>0.256196</v>
          </cell>
          <cell r="T430" t="str">
            <v>NO</v>
          </cell>
          <cell r="U430" t="str">
            <v>DELIBERAZIONE EGATO 29 19/12/2018</v>
          </cell>
        </row>
        <row r="431">
          <cell r="A431" t="str">
            <v>C002792</v>
          </cell>
          <cell r="B431">
            <v>202601307796150</v>
          </cell>
          <cell r="D431" t="str">
            <v>ATO4</v>
          </cell>
          <cell r="E431" t="str">
            <v>C002792</v>
          </cell>
          <cell r="F431">
            <v>46143</v>
          </cell>
          <cell r="G431">
            <v>46507</v>
          </cell>
          <cell r="H431">
            <v>46179</v>
          </cell>
          <cell r="I431">
            <v>46179</v>
          </cell>
          <cell r="K431" t="str">
            <v>004165</v>
          </cell>
          <cell r="L431">
            <v>-165.65</v>
          </cell>
          <cell r="M431">
            <v>-165.65</v>
          </cell>
          <cell r="N431">
            <v>-165.65</v>
          </cell>
          <cell r="O431" t="str">
            <v>indiretto</v>
          </cell>
          <cell r="P431">
            <v>5</v>
          </cell>
          <cell r="Q431" t="str">
            <v>0.916558</v>
          </cell>
          <cell r="R431" t="str">
            <v>0.642623</v>
          </cell>
          <cell r="S431" t="str">
            <v>0.256196</v>
          </cell>
          <cell r="T431" t="str">
            <v>NO</v>
          </cell>
          <cell r="U431" t="str">
            <v>DELIBERAZIONE EGATO 29 19/12/2018</v>
          </cell>
        </row>
        <row r="432">
          <cell r="A432" t="str">
            <v>C310564</v>
          </cell>
          <cell r="B432">
            <v>202601307797038</v>
          </cell>
          <cell r="D432" t="str">
            <v>ATO4</v>
          </cell>
          <cell r="E432" t="str">
            <v>C310564</v>
          </cell>
          <cell r="F432">
            <v>46143</v>
          </cell>
          <cell r="G432">
            <v>46507</v>
          </cell>
          <cell r="H432">
            <v>46179</v>
          </cell>
          <cell r="I432">
            <v>46179</v>
          </cell>
          <cell r="K432" t="str">
            <v>004157</v>
          </cell>
          <cell r="L432">
            <v>-66.260000000000005</v>
          </cell>
          <cell r="M432">
            <v>-66.260000000000005</v>
          </cell>
          <cell r="N432">
            <v>-66.260000000000005</v>
          </cell>
          <cell r="O432" t="str">
            <v>indiretto</v>
          </cell>
          <cell r="P432">
            <v>2</v>
          </cell>
          <cell r="Q432" t="str">
            <v>0.916558</v>
          </cell>
          <cell r="R432" t="str">
            <v>0.642623</v>
          </cell>
          <cell r="S432" t="str">
            <v>0.256196</v>
          </cell>
          <cell r="T432" t="str">
            <v>NO</v>
          </cell>
          <cell r="U432" t="str">
            <v>DELIBERAZIONE EGATO 29 19/12/2018</v>
          </cell>
        </row>
        <row r="433">
          <cell r="A433" t="str">
            <v>C344111</v>
          </cell>
          <cell r="B433">
            <v>202601307802089</v>
          </cell>
          <cell r="D433" t="str">
            <v>ATO4</v>
          </cell>
          <cell r="E433" t="str">
            <v>C344111</v>
          </cell>
          <cell r="F433">
            <v>46143</v>
          </cell>
          <cell r="G433">
            <v>46507</v>
          </cell>
          <cell r="H433">
            <v>46179</v>
          </cell>
          <cell r="I433">
            <v>46179</v>
          </cell>
          <cell r="K433" t="str">
            <v>004078</v>
          </cell>
          <cell r="L433">
            <v>-66.260000000000005</v>
          </cell>
          <cell r="M433">
            <v>-66.260000000000005</v>
          </cell>
          <cell r="N433">
            <v>-66.260000000000005</v>
          </cell>
          <cell r="O433" t="str">
            <v>indiretto</v>
          </cell>
          <cell r="P433">
            <v>2</v>
          </cell>
          <cell r="Q433" t="str">
            <v>0.916558</v>
          </cell>
          <cell r="R433" t="str">
            <v>0.642623</v>
          </cell>
          <cell r="S433" t="str">
            <v>0.256196</v>
          </cell>
          <cell r="T433" t="str">
            <v>NO</v>
          </cell>
          <cell r="U433" t="str">
            <v>DELIBERAZIONE EGATO 29 19/12/2018</v>
          </cell>
        </row>
        <row r="434">
          <cell r="A434" t="str">
            <v>C314690</v>
          </cell>
          <cell r="B434">
            <v>202601307803786</v>
          </cell>
          <cell r="D434" t="str">
            <v>ATO4</v>
          </cell>
          <cell r="E434" t="str">
            <v>C314690</v>
          </cell>
          <cell r="F434">
            <v>46143</v>
          </cell>
          <cell r="G434">
            <v>46507</v>
          </cell>
          <cell r="H434">
            <v>46179</v>
          </cell>
          <cell r="I434">
            <v>46179</v>
          </cell>
          <cell r="K434" t="str">
            <v>004034</v>
          </cell>
          <cell r="L434">
            <v>-33.130000000000003</v>
          </cell>
          <cell r="M434">
            <v>-33.130000000000003</v>
          </cell>
          <cell r="N434">
            <v>-33.130000000000003</v>
          </cell>
          <cell r="O434" t="str">
            <v>indiretto</v>
          </cell>
          <cell r="P434">
            <v>1</v>
          </cell>
          <cell r="Q434" t="str">
            <v>0.916558</v>
          </cell>
          <cell r="R434" t="str">
            <v>0.642623</v>
          </cell>
          <cell r="S434" t="str">
            <v>0.256196</v>
          </cell>
          <cell r="T434" t="str">
            <v>NO</v>
          </cell>
          <cell r="U434" t="str">
            <v>DELIBERAZIONE EGATO 29 19/12/2018</v>
          </cell>
        </row>
        <row r="435">
          <cell r="A435" t="str">
            <v>C337552</v>
          </cell>
          <cell r="B435">
            <v>202601307809314</v>
          </cell>
          <cell r="D435" t="str">
            <v>ATO4</v>
          </cell>
          <cell r="E435" t="str">
            <v>C337552</v>
          </cell>
          <cell r="F435">
            <v>46143</v>
          </cell>
          <cell r="G435">
            <v>46507</v>
          </cell>
          <cell r="H435">
            <v>46179</v>
          </cell>
          <cell r="I435">
            <v>46179</v>
          </cell>
          <cell r="K435" t="str">
            <v>004068</v>
          </cell>
          <cell r="L435">
            <v>-99.39</v>
          </cell>
          <cell r="M435">
            <v>-99.39</v>
          </cell>
          <cell r="N435">
            <v>-99.39</v>
          </cell>
          <cell r="O435" t="str">
            <v>indiretto</v>
          </cell>
          <cell r="P435">
            <v>3</v>
          </cell>
          <cell r="Q435" t="str">
            <v>0.916558</v>
          </cell>
          <cell r="R435" t="str">
            <v>0.642623</v>
          </cell>
          <cell r="S435" t="str">
            <v>0.256196</v>
          </cell>
          <cell r="T435" t="str">
            <v>NO</v>
          </cell>
          <cell r="U435" t="str">
            <v>DELIBERAZIONE EGATO 29 19/12/2018</v>
          </cell>
        </row>
        <row r="436">
          <cell r="A436" t="str">
            <v>C320318</v>
          </cell>
          <cell r="B436">
            <v>202601307812705</v>
          </cell>
          <cell r="D436" t="str">
            <v>ATO4</v>
          </cell>
          <cell r="E436" t="str">
            <v>C320318</v>
          </cell>
          <cell r="F436">
            <v>46143</v>
          </cell>
          <cell r="G436">
            <v>46507</v>
          </cell>
          <cell r="H436">
            <v>46179</v>
          </cell>
          <cell r="I436">
            <v>46179</v>
          </cell>
          <cell r="K436" t="str">
            <v>004110</v>
          </cell>
          <cell r="L436">
            <v>-33.130000000000003</v>
          </cell>
          <cell r="M436">
            <v>-33.130000000000003</v>
          </cell>
          <cell r="N436">
            <v>-33.130000000000003</v>
          </cell>
          <cell r="O436" t="str">
            <v>indiretto</v>
          </cell>
          <cell r="P436">
            <v>1</v>
          </cell>
          <cell r="Q436" t="str">
            <v>0.916558</v>
          </cell>
          <cell r="R436" t="str">
            <v>0.642623</v>
          </cell>
          <cell r="S436" t="str">
            <v>0.256196</v>
          </cell>
          <cell r="T436" t="str">
            <v>NO</v>
          </cell>
          <cell r="U436" t="str">
            <v>DELIBERAZIONE EGATO 29 19/12/2018</v>
          </cell>
        </row>
        <row r="437">
          <cell r="A437" t="str">
            <v>C307921</v>
          </cell>
          <cell r="B437">
            <v>202601307812912</v>
          </cell>
          <cell r="D437" t="str">
            <v>ATO4</v>
          </cell>
          <cell r="E437" t="str">
            <v>C307921</v>
          </cell>
          <cell r="F437">
            <v>46143</v>
          </cell>
          <cell r="G437">
            <v>46507</v>
          </cell>
          <cell r="H437">
            <v>46179</v>
          </cell>
          <cell r="I437">
            <v>46179</v>
          </cell>
          <cell r="K437" t="str">
            <v>004028</v>
          </cell>
          <cell r="L437">
            <v>-132.52000000000001</v>
          </cell>
          <cell r="M437">
            <v>-132.52000000000001</v>
          </cell>
          <cell r="N437">
            <v>-132.52000000000001</v>
          </cell>
          <cell r="O437" t="str">
            <v>indiretto</v>
          </cell>
          <cell r="P437">
            <v>4</v>
          </cell>
          <cell r="Q437" t="str">
            <v>0.916558</v>
          </cell>
          <cell r="R437" t="str">
            <v>0.642623</v>
          </cell>
          <cell r="S437" t="str">
            <v>0.256196</v>
          </cell>
          <cell r="T437" t="str">
            <v>NO</v>
          </cell>
          <cell r="U437" t="str">
            <v>DELIBERAZIONE EGATO 29 19/12/2018</v>
          </cell>
        </row>
        <row r="438">
          <cell r="A438" t="str">
            <v>C344187</v>
          </cell>
          <cell r="B438">
            <v>202601307817002</v>
          </cell>
          <cell r="D438" t="str">
            <v>ATO4</v>
          </cell>
          <cell r="E438" t="str">
            <v>C344187</v>
          </cell>
          <cell r="F438">
            <v>46143</v>
          </cell>
          <cell r="G438">
            <v>46507</v>
          </cell>
          <cell r="H438">
            <v>46179</v>
          </cell>
          <cell r="I438">
            <v>46179</v>
          </cell>
          <cell r="K438" t="str">
            <v>004078</v>
          </cell>
          <cell r="L438">
            <v>-66.260000000000005</v>
          </cell>
          <cell r="M438">
            <v>-66.260000000000005</v>
          </cell>
          <cell r="N438">
            <v>-66.260000000000005</v>
          </cell>
          <cell r="O438" t="str">
            <v>indiretto</v>
          </cell>
          <cell r="P438">
            <v>2</v>
          </cell>
          <cell r="Q438" t="str">
            <v>0.916558</v>
          </cell>
          <cell r="R438" t="str">
            <v>0.642623</v>
          </cell>
          <cell r="S438" t="str">
            <v>0.256196</v>
          </cell>
          <cell r="T438" t="str">
            <v>NO</v>
          </cell>
          <cell r="U438" t="str">
            <v>DELIBERAZIONE EGATO 29 19/12/2018</v>
          </cell>
        </row>
        <row r="439">
          <cell r="A439" t="str">
            <v>C344186</v>
          </cell>
          <cell r="B439">
            <v>202601307822953</v>
          </cell>
          <cell r="D439" t="str">
            <v>ATO4</v>
          </cell>
          <cell r="E439" t="str">
            <v>C344186</v>
          </cell>
          <cell r="F439">
            <v>46143</v>
          </cell>
          <cell r="G439">
            <v>46507</v>
          </cell>
          <cell r="H439">
            <v>46179</v>
          </cell>
          <cell r="I439">
            <v>46179</v>
          </cell>
          <cell r="K439" t="str">
            <v>004130</v>
          </cell>
          <cell r="L439">
            <v>-26.26</v>
          </cell>
          <cell r="M439">
            <v>-26.26</v>
          </cell>
          <cell r="N439">
            <v>-26.26</v>
          </cell>
          <cell r="O439" t="str">
            <v>indiretto</v>
          </cell>
          <cell r="P439">
            <v>1</v>
          </cell>
          <cell r="Q439" t="str">
            <v>0.545182</v>
          </cell>
          <cell r="R439" t="str">
            <v>0.611443</v>
          </cell>
          <cell r="S439" t="str">
            <v>0.282207</v>
          </cell>
          <cell r="T439" t="str">
            <v>NO</v>
          </cell>
          <cell r="U439" t="str">
            <v>DELIBERA EGATO N.29 DEL 19/12/2018</v>
          </cell>
        </row>
        <row r="440">
          <cell r="A440" t="str">
            <v>C312441</v>
          </cell>
          <cell r="B440">
            <v>202601307823185</v>
          </cell>
          <cell r="D440" t="str">
            <v>ATO4</v>
          </cell>
          <cell r="E440" t="str">
            <v>C312441</v>
          </cell>
          <cell r="F440">
            <v>46143</v>
          </cell>
          <cell r="G440">
            <v>46507</v>
          </cell>
          <cell r="H440">
            <v>46179</v>
          </cell>
          <cell r="I440">
            <v>46179</v>
          </cell>
          <cell r="K440" t="str">
            <v>004091</v>
          </cell>
          <cell r="L440">
            <v>-29.82</v>
          </cell>
          <cell r="M440">
            <v>-29.82</v>
          </cell>
          <cell r="N440">
            <v>-29.82</v>
          </cell>
          <cell r="O440" t="str">
            <v>indiretto</v>
          </cell>
          <cell r="P440">
            <v>1</v>
          </cell>
          <cell r="Q440" t="str">
            <v>0.824903</v>
          </cell>
          <cell r="R440" t="str">
            <v>0.578360</v>
          </cell>
          <cell r="S440" t="str">
            <v>0.230576</v>
          </cell>
          <cell r="T440" t="str">
            <v>NO</v>
          </cell>
          <cell r="U440" t="str">
            <v>DELIBERAZIONE EGATO 29 19/12/2018</v>
          </cell>
        </row>
        <row r="441">
          <cell r="A441" t="str">
            <v>C315027</v>
          </cell>
          <cell r="B441">
            <v>202601307825703</v>
          </cell>
          <cell r="D441" t="str">
            <v>ATO4</v>
          </cell>
          <cell r="E441" t="str">
            <v>C315027</v>
          </cell>
          <cell r="F441">
            <v>46143</v>
          </cell>
          <cell r="G441">
            <v>46507</v>
          </cell>
          <cell r="H441">
            <v>46179</v>
          </cell>
          <cell r="I441">
            <v>46179</v>
          </cell>
          <cell r="K441" t="str">
            <v>004028</v>
          </cell>
          <cell r="L441">
            <v>-33.130000000000003</v>
          </cell>
          <cell r="M441">
            <v>-33.130000000000003</v>
          </cell>
          <cell r="N441">
            <v>-33.130000000000003</v>
          </cell>
          <cell r="O441" t="str">
            <v>indiretto</v>
          </cell>
          <cell r="P441">
            <v>1</v>
          </cell>
          <cell r="Q441" t="str">
            <v>0.916558</v>
          </cell>
          <cell r="R441" t="str">
            <v>0.642623</v>
          </cell>
          <cell r="S441" t="str">
            <v>0.256196</v>
          </cell>
          <cell r="T441" t="str">
            <v>NO</v>
          </cell>
          <cell r="U441" t="str">
            <v>DELIBERAZIONE EGATO 29 19/12/2018</v>
          </cell>
        </row>
        <row r="442">
          <cell r="A442" t="str">
            <v>C344185</v>
          </cell>
          <cell r="B442">
            <v>202601307832578</v>
          </cell>
          <cell r="D442" t="str">
            <v>ATO4</v>
          </cell>
          <cell r="E442" t="str">
            <v>C344185</v>
          </cell>
          <cell r="F442">
            <v>46143</v>
          </cell>
          <cell r="G442">
            <v>46507</v>
          </cell>
          <cell r="H442">
            <v>46179</v>
          </cell>
          <cell r="I442">
            <v>46179</v>
          </cell>
          <cell r="K442" t="str">
            <v>004130</v>
          </cell>
          <cell r="L442">
            <v>-26.26</v>
          </cell>
          <cell r="M442">
            <v>-26.26</v>
          </cell>
          <cell r="N442">
            <v>-26.26</v>
          </cell>
          <cell r="O442" t="str">
            <v>indiretto</v>
          </cell>
          <cell r="P442">
            <v>1</v>
          </cell>
          <cell r="Q442" t="str">
            <v>0.545182</v>
          </cell>
          <cell r="R442" t="str">
            <v>0.611443</v>
          </cell>
          <cell r="S442" t="str">
            <v>0.282207</v>
          </cell>
          <cell r="T442" t="str">
            <v>NO</v>
          </cell>
          <cell r="U442" t="str">
            <v>DELIBERA EGATO N.29 DEL 19/12/2018</v>
          </cell>
        </row>
        <row r="443">
          <cell r="A443" t="str">
            <v>C316522</v>
          </cell>
          <cell r="B443">
            <v>202601307840877</v>
          </cell>
          <cell r="D443" t="str">
            <v>ATO4</v>
          </cell>
          <cell r="E443" t="str">
            <v>C316522</v>
          </cell>
          <cell r="F443">
            <v>46143</v>
          </cell>
          <cell r="G443">
            <v>46507</v>
          </cell>
          <cell r="H443">
            <v>46179</v>
          </cell>
          <cell r="I443">
            <v>46179</v>
          </cell>
          <cell r="K443" t="str">
            <v>004189</v>
          </cell>
          <cell r="L443">
            <v>-66.260000000000005</v>
          </cell>
          <cell r="M443">
            <v>-66.260000000000005</v>
          </cell>
          <cell r="N443">
            <v>-66.260000000000005</v>
          </cell>
          <cell r="O443" t="str">
            <v>indiretto</v>
          </cell>
          <cell r="P443">
            <v>2</v>
          </cell>
          <cell r="Q443" t="str">
            <v>0.916558</v>
          </cell>
          <cell r="R443" t="str">
            <v>0.642623</v>
          </cell>
          <cell r="S443" t="str">
            <v>0.256196</v>
          </cell>
          <cell r="T443" t="str">
            <v>NO</v>
          </cell>
          <cell r="U443" t="str">
            <v>DELIBERAZIONE EGATO 29 19/12/2018</v>
          </cell>
        </row>
        <row r="444">
          <cell r="A444" t="str">
            <v>C314978</v>
          </cell>
          <cell r="B444">
            <v>202601307847853</v>
          </cell>
          <cell r="D444" t="str">
            <v>ATO4</v>
          </cell>
          <cell r="E444" t="str">
            <v>C314978</v>
          </cell>
          <cell r="F444">
            <v>46143</v>
          </cell>
          <cell r="G444">
            <v>46507</v>
          </cell>
          <cell r="H444">
            <v>46179</v>
          </cell>
          <cell r="I444">
            <v>46179</v>
          </cell>
          <cell r="K444" t="str">
            <v>004012</v>
          </cell>
          <cell r="L444">
            <v>-98.48</v>
          </cell>
          <cell r="M444">
            <v>-98.48</v>
          </cell>
          <cell r="N444">
            <v>-98.48</v>
          </cell>
          <cell r="O444" t="str">
            <v>indiretto</v>
          </cell>
          <cell r="P444">
            <v>4</v>
          </cell>
          <cell r="Q444" t="str">
            <v>0.716943</v>
          </cell>
          <cell r="R444" t="str">
            <v>0.463071</v>
          </cell>
          <cell r="S444" t="str">
            <v>0.169064</v>
          </cell>
          <cell r="T444" t="str">
            <v>NO</v>
          </cell>
          <cell r="U444" t="str">
            <v>DELIBERAZIONE EGATO 2 04/02/2019</v>
          </cell>
        </row>
        <row r="445">
          <cell r="A445" t="str">
            <v>C123185</v>
          </cell>
          <cell r="B445">
            <v>202601307852880</v>
          </cell>
          <cell r="D445" t="str">
            <v>ATO4</v>
          </cell>
          <cell r="E445" t="str">
            <v>C123185</v>
          </cell>
          <cell r="F445">
            <v>46143</v>
          </cell>
          <cell r="G445">
            <v>46507</v>
          </cell>
          <cell r="H445">
            <v>46179</v>
          </cell>
          <cell r="I445">
            <v>46179</v>
          </cell>
          <cell r="K445" t="str">
            <v>004078</v>
          </cell>
          <cell r="L445">
            <v>-66.260000000000005</v>
          </cell>
          <cell r="M445">
            <v>-66.260000000000005</v>
          </cell>
          <cell r="N445">
            <v>-66.260000000000005</v>
          </cell>
          <cell r="O445" t="str">
            <v>indiretto</v>
          </cell>
          <cell r="P445">
            <v>2</v>
          </cell>
          <cell r="Q445" t="str">
            <v>0.916558</v>
          </cell>
          <cell r="R445" t="str">
            <v>0.642623</v>
          </cell>
          <cell r="S445" t="str">
            <v>0.256196</v>
          </cell>
          <cell r="T445" t="str">
            <v>NO</v>
          </cell>
          <cell r="U445" t="str">
            <v>DELIBERAZIONE EGATO 29 19/12/2018</v>
          </cell>
        </row>
        <row r="446">
          <cell r="A446" t="str">
            <v>IN18932</v>
          </cell>
          <cell r="B446">
            <v>202601307858658</v>
          </cell>
          <cell r="D446" t="str">
            <v>ATO4</v>
          </cell>
          <cell r="E446" t="str">
            <v>IN18932</v>
          </cell>
          <cell r="F446">
            <v>46143</v>
          </cell>
          <cell r="G446">
            <v>46507</v>
          </cell>
          <cell r="H446">
            <v>46179</v>
          </cell>
          <cell r="I446">
            <v>46179</v>
          </cell>
          <cell r="K446" t="str">
            <v>004012</v>
          </cell>
          <cell r="L446">
            <v>-24.62</v>
          </cell>
          <cell r="M446">
            <v>-24.62</v>
          </cell>
          <cell r="N446">
            <v>-24.62</v>
          </cell>
          <cell r="O446" t="str">
            <v>indiretto</v>
          </cell>
          <cell r="P446">
            <v>1</v>
          </cell>
          <cell r="Q446" t="str">
            <v>0.716943</v>
          </cell>
          <cell r="R446" t="str">
            <v>0.463071</v>
          </cell>
          <cell r="S446" t="str">
            <v>0.169064</v>
          </cell>
          <cell r="T446" t="str">
            <v>NO</v>
          </cell>
          <cell r="U446" t="str">
            <v>DELIBERAZIONE EGATO 2 04/02/2019</v>
          </cell>
        </row>
        <row r="447">
          <cell r="A447" t="str">
            <v>C344297</v>
          </cell>
          <cell r="B447">
            <v>202601307860580</v>
          </cell>
          <cell r="D447" t="str">
            <v>ATO4</v>
          </cell>
          <cell r="E447" t="str">
            <v>C344297</v>
          </cell>
          <cell r="F447">
            <v>46143</v>
          </cell>
          <cell r="G447">
            <v>46507</v>
          </cell>
          <cell r="H447">
            <v>46179</v>
          </cell>
          <cell r="I447">
            <v>46179</v>
          </cell>
          <cell r="K447" t="str">
            <v>004078</v>
          </cell>
          <cell r="L447">
            <v>-33.130000000000003</v>
          </cell>
          <cell r="M447">
            <v>-33.130000000000003</v>
          </cell>
          <cell r="N447">
            <v>-33.130000000000003</v>
          </cell>
          <cell r="O447" t="str">
            <v>indiretto</v>
          </cell>
          <cell r="P447">
            <v>1</v>
          </cell>
          <cell r="Q447" t="str">
            <v>0.916558</v>
          </cell>
          <cell r="R447" t="str">
            <v>0.642623</v>
          </cell>
          <cell r="S447" t="str">
            <v>0.256196</v>
          </cell>
          <cell r="T447" t="str">
            <v>NO</v>
          </cell>
          <cell r="U447" t="str">
            <v>DELIBERAZIONE EGATO 29 19/12/2018</v>
          </cell>
        </row>
        <row r="448">
          <cell r="A448" t="str">
            <v>C313890</v>
          </cell>
          <cell r="B448">
            <v>202601307862724</v>
          </cell>
          <cell r="D448" t="str">
            <v>ATO4</v>
          </cell>
          <cell r="E448" t="str">
            <v>C313890</v>
          </cell>
          <cell r="F448">
            <v>46143</v>
          </cell>
          <cell r="G448">
            <v>46507</v>
          </cell>
          <cell r="H448">
            <v>46179</v>
          </cell>
          <cell r="I448">
            <v>46179</v>
          </cell>
          <cell r="K448" t="str">
            <v>004166</v>
          </cell>
          <cell r="L448">
            <v>-47.94</v>
          </cell>
          <cell r="M448">
            <v>-47.94</v>
          </cell>
          <cell r="N448">
            <v>-47.94</v>
          </cell>
          <cell r="O448" t="str">
            <v>indiretto</v>
          </cell>
          <cell r="P448">
            <v>2</v>
          </cell>
          <cell r="Q448" t="str">
            <v>0.721337</v>
          </cell>
          <cell r="R448" t="str">
            <v>0.441600</v>
          </cell>
          <cell r="S448" t="str">
            <v>0.150394</v>
          </cell>
          <cell r="T448" t="str">
            <v>NO</v>
          </cell>
          <cell r="U448" t="str">
            <v>DELIBERAZIONE EGATO 2 04/02/2019</v>
          </cell>
        </row>
        <row r="449">
          <cell r="A449" t="str">
            <v>C344164</v>
          </cell>
          <cell r="B449">
            <v>202601307868166</v>
          </cell>
          <cell r="D449" t="str">
            <v>ATO4</v>
          </cell>
          <cell r="E449" t="str">
            <v>C344164</v>
          </cell>
          <cell r="F449">
            <v>46143</v>
          </cell>
          <cell r="G449">
            <v>46507</v>
          </cell>
          <cell r="H449">
            <v>46179</v>
          </cell>
          <cell r="I449">
            <v>46179</v>
          </cell>
          <cell r="K449" t="str">
            <v>004208</v>
          </cell>
          <cell r="L449">
            <v>-70.22</v>
          </cell>
          <cell r="M449">
            <v>-70.22</v>
          </cell>
          <cell r="N449">
            <v>-70.22</v>
          </cell>
          <cell r="O449" t="str">
            <v>indiretto</v>
          </cell>
          <cell r="P449">
            <v>2</v>
          </cell>
          <cell r="Q449">
            <v>1193061</v>
          </cell>
          <cell r="R449" t="str">
            <v>0.545393</v>
          </cell>
          <cell r="S449" t="str">
            <v>0.185433</v>
          </cell>
          <cell r="T449" t="str">
            <v>NO</v>
          </cell>
          <cell r="U449" t="str">
            <v>DELIBERAZIONE EGATO 11 27/03/2019</v>
          </cell>
        </row>
        <row r="450">
          <cell r="A450" t="str">
            <v>C309998</v>
          </cell>
          <cell r="B450">
            <v>202601307868990</v>
          </cell>
          <cell r="D450" t="str">
            <v>ATO4</v>
          </cell>
          <cell r="E450" t="str">
            <v>C309998</v>
          </cell>
          <cell r="F450">
            <v>46143</v>
          </cell>
          <cell r="G450">
            <v>46507</v>
          </cell>
          <cell r="H450">
            <v>46179</v>
          </cell>
          <cell r="I450">
            <v>46179</v>
          </cell>
          <cell r="K450" t="str">
            <v>004087</v>
          </cell>
          <cell r="L450">
            <v>-18.16</v>
          </cell>
          <cell r="M450">
            <v>-18.16</v>
          </cell>
          <cell r="N450">
            <v>-18.16</v>
          </cell>
          <cell r="O450" t="str">
            <v>indiretto</v>
          </cell>
          <cell r="P450">
            <v>1</v>
          </cell>
          <cell r="Q450" t="str">
            <v>0.483220</v>
          </cell>
          <cell r="R450" t="str">
            <v>0.350215</v>
          </cell>
          <cell r="S450" t="str">
            <v>0.161638</v>
          </cell>
          <cell r="T450" t="str">
            <v>NO</v>
          </cell>
          <cell r="U450" t="str">
            <v>DELIBERAZIONE EGATO 23 16/11/2020</v>
          </cell>
        </row>
        <row r="451">
          <cell r="A451" t="str">
            <v>C344295</v>
          </cell>
          <cell r="B451">
            <v>202601307871245</v>
          </cell>
          <cell r="D451" t="str">
            <v>ATO4</v>
          </cell>
          <cell r="E451" t="str">
            <v>C344295</v>
          </cell>
          <cell r="F451">
            <v>46143</v>
          </cell>
          <cell r="G451">
            <v>46507</v>
          </cell>
          <cell r="H451">
            <v>46179</v>
          </cell>
          <cell r="I451">
            <v>46179</v>
          </cell>
          <cell r="K451" t="str">
            <v>004130</v>
          </cell>
          <cell r="L451">
            <v>-131.29</v>
          </cell>
          <cell r="M451">
            <v>-131.29</v>
          </cell>
          <cell r="N451">
            <v>-131.29</v>
          </cell>
          <cell r="O451" t="str">
            <v>indiretto</v>
          </cell>
          <cell r="P451">
            <v>5</v>
          </cell>
          <cell r="Q451" t="str">
            <v>0.545182</v>
          </cell>
          <cell r="R451" t="str">
            <v>0.611443</v>
          </cell>
          <cell r="S451" t="str">
            <v>0.282207</v>
          </cell>
          <cell r="T451" t="str">
            <v>NO</v>
          </cell>
          <cell r="U451" t="str">
            <v>DELIBERA EGATO N.29 DEL 19/12/2018</v>
          </cell>
        </row>
        <row r="452">
          <cell r="A452" t="str">
            <v>C315074</v>
          </cell>
          <cell r="B452">
            <v>202601307874504</v>
          </cell>
          <cell r="D452" t="str">
            <v>ATO4</v>
          </cell>
          <cell r="E452" t="str">
            <v>C315074</v>
          </cell>
          <cell r="F452">
            <v>46143</v>
          </cell>
          <cell r="G452">
            <v>46507</v>
          </cell>
          <cell r="H452">
            <v>46179</v>
          </cell>
          <cell r="I452">
            <v>46179</v>
          </cell>
          <cell r="K452" t="str">
            <v>004078</v>
          </cell>
          <cell r="L452">
            <v>-99.39</v>
          </cell>
          <cell r="M452">
            <v>-99.39</v>
          </cell>
          <cell r="N452">
            <v>-99.39</v>
          </cell>
          <cell r="O452" t="str">
            <v>indiretto</v>
          </cell>
          <cell r="P452">
            <v>3</v>
          </cell>
          <cell r="Q452" t="str">
            <v>0.916558</v>
          </cell>
          <cell r="R452" t="str">
            <v>0.642623</v>
          </cell>
          <cell r="S452" t="str">
            <v>0.256196</v>
          </cell>
          <cell r="T452" t="str">
            <v>NO</v>
          </cell>
          <cell r="U452" t="str">
            <v>DELIBERAZIONE EGATO 29 19/12/2018</v>
          </cell>
        </row>
        <row r="453">
          <cell r="A453" t="str">
            <v>C313631</v>
          </cell>
          <cell r="B453">
            <v>202601307876782</v>
          </cell>
          <cell r="D453" t="str">
            <v>ATO4</v>
          </cell>
          <cell r="E453" t="str">
            <v>C313631</v>
          </cell>
          <cell r="F453">
            <v>46143</v>
          </cell>
          <cell r="G453">
            <v>46507</v>
          </cell>
          <cell r="H453">
            <v>46179</v>
          </cell>
          <cell r="I453">
            <v>46179</v>
          </cell>
          <cell r="K453" t="str">
            <v>004012</v>
          </cell>
          <cell r="L453">
            <v>-123.1</v>
          </cell>
          <cell r="M453">
            <v>-123.1</v>
          </cell>
          <cell r="N453">
            <v>-123.1</v>
          </cell>
          <cell r="O453" t="str">
            <v>indiretto</v>
          </cell>
          <cell r="P453">
            <v>5</v>
          </cell>
          <cell r="Q453" t="str">
            <v>0.716943</v>
          </cell>
          <cell r="R453" t="str">
            <v>0.463071</v>
          </cell>
          <cell r="S453" t="str">
            <v>0.169064</v>
          </cell>
          <cell r="T453" t="str">
            <v>NO</v>
          </cell>
          <cell r="U453" t="str">
            <v>DELIBERAZIONE EGATO 2 04/02/2019</v>
          </cell>
        </row>
        <row r="454">
          <cell r="A454" t="str">
            <v>C314344</v>
          </cell>
          <cell r="B454">
            <v>202601307878808</v>
          </cell>
          <cell r="D454" t="str">
            <v>ATO4</v>
          </cell>
          <cell r="E454" t="str">
            <v>C314344</v>
          </cell>
          <cell r="F454">
            <v>46143</v>
          </cell>
          <cell r="G454">
            <v>46507</v>
          </cell>
          <cell r="H454">
            <v>46179</v>
          </cell>
          <cell r="I454">
            <v>46179</v>
          </cell>
          <cell r="K454" t="str">
            <v>004078</v>
          </cell>
          <cell r="L454">
            <v>-66.260000000000005</v>
          </cell>
          <cell r="M454">
            <v>-66.260000000000005</v>
          </cell>
          <cell r="N454">
            <v>-66.260000000000005</v>
          </cell>
          <cell r="O454" t="str">
            <v>indiretto</v>
          </cell>
          <cell r="P454">
            <v>2</v>
          </cell>
          <cell r="Q454" t="str">
            <v>0.916558</v>
          </cell>
          <cell r="R454" t="str">
            <v>0.642623</v>
          </cell>
          <cell r="S454" t="str">
            <v>0.256196</v>
          </cell>
          <cell r="T454" t="str">
            <v>NO</v>
          </cell>
          <cell r="U454" t="str">
            <v>DELIBERAZIONE EGATO 29 19/12/2018</v>
          </cell>
        </row>
        <row r="455">
          <cell r="A455" t="str">
            <v>C117764</v>
          </cell>
          <cell r="B455">
            <v>202601307883576</v>
          </cell>
          <cell r="D455" t="str">
            <v>ATO4</v>
          </cell>
          <cell r="E455" t="str">
            <v>C117764</v>
          </cell>
          <cell r="F455">
            <v>46143</v>
          </cell>
          <cell r="G455">
            <v>46507</v>
          </cell>
          <cell r="H455">
            <v>46179</v>
          </cell>
          <cell r="I455">
            <v>46179</v>
          </cell>
          <cell r="K455" t="str">
            <v>004041</v>
          </cell>
          <cell r="L455">
            <v>-99.39</v>
          </cell>
          <cell r="M455">
            <v>-99.39</v>
          </cell>
          <cell r="N455">
            <v>-99.39</v>
          </cell>
          <cell r="O455" t="str">
            <v>indiretto</v>
          </cell>
          <cell r="P455">
            <v>3</v>
          </cell>
          <cell r="Q455" t="str">
            <v>0.916558</v>
          </cell>
          <cell r="R455" t="str">
            <v>0.642623</v>
          </cell>
          <cell r="S455" t="str">
            <v>0.256196</v>
          </cell>
          <cell r="T455" t="str">
            <v>NO</v>
          </cell>
          <cell r="U455" t="str">
            <v>DELIBERAZIONE EGATO 29 19/12/2018</v>
          </cell>
        </row>
        <row r="456">
          <cell r="A456" t="str">
            <v>C344298</v>
          </cell>
          <cell r="B456">
            <v>202601307889401</v>
          </cell>
          <cell r="D456" t="str">
            <v>ATO4</v>
          </cell>
          <cell r="E456" t="str">
            <v>C344298</v>
          </cell>
          <cell r="F456">
            <v>46143</v>
          </cell>
          <cell r="G456">
            <v>46507</v>
          </cell>
          <cell r="H456">
            <v>46179</v>
          </cell>
          <cell r="I456">
            <v>46179</v>
          </cell>
          <cell r="K456" t="str">
            <v>004078</v>
          </cell>
          <cell r="L456">
            <v>-99.39</v>
          </cell>
          <cell r="M456">
            <v>-99.39</v>
          </cell>
          <cell r="N456">
            <v>-99.39</v>
          </cell>
          <cell r="O456" t="str">
            <v>indiretto</v>
          </cell>
          <cell r="P456">
            <v>3</v>
          </cell>
          <cell r="Q456" t="str">
            <v>0.916558</v>
          </cell>
          <cell r="R456" t="str">
            <v>0.642623</v>
          </cell>
          <cell r="S456" t="str">
            <v>0.256196</v>
          </cell>
          <cell r="T456" t="str">
            <v>NO</v>
          </cell>
          <cell r="U456" t="str">
            <v>DELIBERAZIONE EGATO 29 19/12/2018</v>
          </cell>
        </row>
        <row r="457">
          <cell r="A457" t="str">
            <v>C344153</v>
          </cell>
          <cell r="B457">
            <v>202601307891135</v>
          </cell>
          <cell r="D457" t="str">
            <v>ATO4</v>
          </cell>
          <cell r="E457" t="str">
            <v>C344153</v>
          </cell>
          <cell r="F457">
            <v>46143</v>
          </cell>
          <cell r="G457">
            <v>46507</v>
          </cell>
          <cell r="H457">
            <v>46179</v>
          </cell>
          <cell r="I457">
            <v>46179</v>
          </cell>
          <cell r="K457" t="str">
            <v>004078</v>
          </cell>
          <cell r="L457">
            <v>-33.130000000000003</v>
          </cell>
          <cell r="M457">
            <v>-33.130000000000003</v>
          </cell>
          <cell r="N457">
            <v>-33.130000000000003</v>
          </cell>
          <cell r="O457" t="str">
            <v>indiretto</v>
          </cell>
          <cell r="P457">
            <v>1</v>
          </cell>
          <cell r="Q457" t="str">
            <v>0.916558</v>
          </cell>
          <cell r="R457" t="str">
            <v>0.642623</v>
          </cell>
          <cell r="S457" t="str">
            <v>0.256196</v>
          </cell>
          <cell r="T457" t="str">
            <v>NO</v>
          </cell>
          <cell r="U457" t="str">
            <v>DELIBERAZIONE EGATO 29 19/12/2018</v>
          </cell>
        </row>
        <row r="458">
          <cell r="A458" t="str">
            <v>C316391</v>
          </cell>
          <cell r="B458">
            <v>202601307897778</v>
          </cell>
          <cell r="D458" t="str">
            <v>ATO4</v>
          </cell>
          <cell r="E458" t="str">
            <v>C316391</v>
          </cell>
          <cell r="F458">
            <v>46143</v>
          </cell>
          <cell r="G458">
            <v>46507</v>
          </cell>
          <cell r="H458">
            <v>46179</v>
          </cell>
          <cell r="I458">
            <v>46179</v>
          </cell>
          <cell r="K458" t="str">
            <v>004064</v>
          </cell>
          <cell r="L458">
            <v>-165.65</v>
          </cell>
          <cell r="M458">
            <v>-165.65</v>
          </cell>
          <cell r="N458">
            <v>-165.65</v>
          </cell>
          <cell r="O458" t="str">
            <v>indiretto</v>
          </cell>
          <cell r="P458">
            <v>5</v>
          </cell>
          <cell r="Q458" t="str">
            <v>0.916558</v>
          </cell>
          <cell r="R458" t="str">
            <v>0.642623</v>
          </cell>
          <cell r="S458" t="str">
            <v>0.256196</v>
          </cell>
          <cell r="T458" t="str">
            <v>NO</v>
          </cell>
          <cell r="U458" t="str">
            <v>DELIBERAZIONE EGATO 29 19/12/2018</v>
          </cell>
        </row>
        <row r="459">
          <cell r="A459" t="str">
            <v>C344193</v>
          </cell>
          <cell r="B459">
            <v>202601307904352</v>
          </cell>
          <cell r="D459" t="str">
            <v>ATO4</v>
          </cell>
          <cell r="E459" t="str">
            <v>C344193</v>
          </cell>
          <cell r="F459">
            <v>46143</v>
          </cell>
          <cell r="G459">
            <v>46507</v>
          </cell>
          <cell r="H459">
            <v>46179</v>
          </cell>
          <cell r="I459">
            <v>46179</v>
          </cell>
          <cell r="K459" t="str">
            <v>004130</v>
          </cell>
          <cell r="L459">
            <v>-26.26</v>
          </cell>
          <cell r="M459">
            <v>-26.26</v>
          </cell>
          <cell r="N459">
            <v>-26.26</v>
          </cell>
          <cell r="O459" t="str">
            <v>indiretto</v>
          </cell>
          <cell r="P459">
            <v>1</v>
          </cell>
          <cell r="Q459" t="str">
            <v>0.545182</v>
          </cell>
          <cell r="R459" t="str">
            <v>0.611443</v>
          </cell>
          <cell r="S459" t="str">
            <v>0.282207</v>
          </cell>
          <cell r="T459" t="str">
            <v>NO</v>
          </cell>
          <cell r="U459" t="str">
            <v>DELIBERA EGATO N.29 DEL 19/12/2018</v>
          </cell>
        </row>
        <row r="460">
          <cell r="A460" t="str">
            <v>C120965</v>
          </cell>
          <cell r="B460">
            <v>202601307906906</v>
          </cell>
          <cell r="D460" t="str">
            <v>ATO4</v>
          </cell>
          <cell r="E460" t="str">
            <v>C120965</v>
          </cell>
          <cell r="F460">
            <v>46143</v>
          </cell>
          <cell r="G460">
            <v>46507</v>
          </cell>
          <cell r="H460">
            <v>46179</v>
          </cell>
          <cell r="I460">
            <v>46179</v>
          </cell>
          <cell r="K460" t="str">
            <v>004078</v>
          </cell>
          <cell r="L460">
            <v>-132.52000000000001</v>
          </cell>
          <cell r="M460">
            <v>-132.52000000000001</v>
          </cell>
          <cell r="N460">
            <v>-132.52000000000001</v>
          </cell>
          <cell r="O460" t="str">
            <v>indiretto</v>
          </cell>
          <cell r="P460">
            <v>4</v>
          </cell>
          <cell r="Q460" t="str">
            <v>0.916558</v>
          </cell>
          <cell r="R460" t="str">
            <v>0.642623</v>
          </cell>
          <cell r="S460" t="str">
            <v>0.256196</v>
          </cell>
          <cell r="T460" t="str">
            <v>NO</v>
          </cell>
          <cell r="U460" t="str">
            <v>DELIBERAZIONE EGATO 29 19/12/2018</v>
          </cell>
        </row>
        <row r="461">
          <cell r="A461" t="str">
            <v>C314970</v>
          </cell>
          <cell r="B461">
            <v>202601307914889</v>
          </cell>
          <cell r="D461" t="str">
            <v>ATO4</v>
          </cell>
          <cell r="E461" t="str">
            <v>C314970</v>
          </cell>
          <cell r="F461">
            <v>46143</v>
          </cell>
          <cell r="G461">
            <v>46507</v>
          </cell>
          <cell r="H461">
            <v>46179</v>
          </cell>
          <cell r="I461">
            <v>46179</v>
          </cell>
          <cell r="K461" t="str">
            <v>004009</v>
          </cell>
          <cell r="L461">
            <v>-147.72</v>
          </cell>
          <cell r="M461">
            <v>-147.72</v>
          </cell>
          <cell r="N461">
            <v>-147.72</v>
          </cell>
          <cell r="O461" t="str">
            <v>indiretto</v>
          </cell>
          <cell r="P461">
            <v>6</v>
          </cell>
          <cell r="Q461" t="str">
            <v>0.716943</v>
          </cell>
          <cell r="R461" t="str">
            <v>0.463071</v>
          </cell>
          <cell r="S461" t="str">
            <v>0.169064</v>
          </cell>
          <cell r="T461" t="str">
            <v>NO</v>
          </cell>
          <cell r="U461" t="str">
            <v>DELIBERAZIONE EGATO 2 04/02/2019</v>
          </cell>
        </row>
        <row r="462">
          <cell r="A462" t="str">
            <v>C320016</v>
          </cell>
          <cell r="B462">
            <v>202601307915434</v>
          </cell>
          <cell r="D462" t="str">
            <v>ATO4</v>
          </cell>
          <cell r="E462" t="str">
            <v>C320016</v>
          </cell>
          <cell r="F462">
            <v>46143</v>
          </cell>
          <cell r="G462">
            <v>46507</v>
          </cell>
          <cell r="H462">
            <v>46179</v>
          </cell>
          <cell r="I462">
            <v>46179</v>
          </cell>
          <cell r="K462" t="str">
            <v>004078</v>
          </cell>
          <cell r="L462">
            <v>-99.39</v>
          </cell>
          <cell r="M462">
            <v>-99.39</v>
          </cell>
          <cell r="N462">
            <v>-99.39</v>
          </cell>
          <cell r="O462" t="str">
            <v>indiretto</v>
          </cell>
          <cell r="P462">
            <v>3</v>
          </cell>
          <cell r="Q462" t="str">
            <v>0.916558</v>
          </cell>
          <cell r="R462" t="str">
            <v>0.642623</v>
          </cell>
          <cell r="S462" t="str">
            <v>0.256196</v>
          </cell>
          <cell r="T462" t="str">
            <v>NO</v>
          </cell>
          <cell r="U462" t="str">
            <v>DELIBERAZIONE EGATO 29 19/12/2018</v>
          </cell>
        </row>
        <row r="463">
          <cell r="A463" t="str">
            <v>C344244</v>
          </cell>
          <cell r="B463">
            <v>202601307921801</v>
          </cell>
          <cell r="D463" t="str">
            <v>ATO4</v>
          </cell>
          <cell r="E463" t="str">
            <v>C344244</v>
          </cell>
          <cell r="F463">
            <v>46143</v>
          </cell>
          <cell r="G463">
            <v>46507</v>
          </cell>
          <cell r="H463">
            <v>46179</v>
          </cell>
          <cell r="I463">
            <v>46179</v>
          </cell>
          <cell r="K463" t="str">
            <v>004028</v>
          </cell>
          <cell r="L463">
            <v>-99.39</v>
          </cell>
          <cell r="M463">
            <v>-99.39</v>
          </cell>
          <cell r="N463">
            <v>-99.39</v>
          </cell>
          <cell r="O463" t="str">
            <v>indiretto</v>
          </cell>
          <cell r="P463">
            <v>3</v>
          </cell>
          <cell r="Q463" t="str">
            <v>0.916558</v>
          </cell>
          <cell r="R463" t="str">
            <v>0.642623</v>
          </cell>
          <cell r="S463" t="str">
            <v>0.256196</v>
          </cell>
          <cell r="T463" t="str">
            <v>NO</v>
          </cell>
          <cell r="U463" t="str">
            <v>DELIBERAZIONE EGATO 29 19/12/2018</v>
          </cell>
        </row>
        <row r="464">
          <cell r="A464" t="str">
            <v>C307060</v>
          </cell>
          <cell r="B464">
            <v>202601307924683</v>
          </cell>
          <cell r="D464" t="str">
            <v>ATO4</v>
          </cell>
          <cell r="E464" t="str">
            <v>C307060</v>
          </cell>
          <cell r="F464">
            <v>46143</v>
          </cell>
          <cell r="G464">
            <v>46507</v>
          </cell>
          <cell r="H464">
            <v>46179</v>
          </cell>
          <cell r="I464">
            <v>46179</v>
          </cell>
          <cell r="K464" t="str">
            <v>004009</v>
          </cell>
          <cell r="L464">
            <v>-24.62</v>
          </cell>
          <cell r="M464">
            <v>-24.62</v>
          </cell>
          <cell r="N464">
            <v>-24.62</v>
          </cell>
          <cell r="O464" t="str">
            <v>indiretto</v>
          </cell>
          <cell r="P464">
            <v>1</v>
          </cell>
          <cell r="Q464" t="str">
            <v>0.716943</v>
          </cell>
          <cell r="R464" t="str">
            <v>0.463071</v>
          </cell>
          <cell r="S464" t="str">
            <v>0.169064</v>
          </cell>
          <cell r="T464" t="str">
            <v>NO</v>
          </cell>
          <cell r="U464" t="str">
            <v>DELIBERAZIONE EGATO 2 04/02/2019</v>
          </cell>
        </row>
        <row r="465">
          <cell r="A465" t="str">
            <v>C344194</v>
          </cell>
          <cell r="B465">
            <v>202601307928160</v>
          </cell>
          <cell r="D465" t="str">
            <v>ATO4</v>
          </cell>
          <cell r="E465" t="str">
            <v>C344194</v>
          </cell>
          <cell r="F465">
            <v>46143</v>
          </cell>
          <cell r="G465">
            <v>46507</v>
          </cell>
          <cell r="H465">
            <v>46179</v>
          </cell>
          <cell r="I465">
            <v>46179</v>
          </cell>
          <cell r="K465" t="str">
            <v>004157</v>
          </cell>
          <cell r="L465">
            <v>-33.130000000000003</v>
          </cell>
          <cell r="M465">
            <v>-33.130000000000003</v>
          </cell>
          <cell r="N465">
            <v>-33.130000000000003</v>
          </cell>
          <cell r="O465" t="str">
            <v>indiretto</v>
          </cell>
          <cell r="P465">
            <v>1</v>
          </cell>
          <cell r="Q465" t="str">
            <v>0.916558</v>
          </cell>
          <cell r="R465" t="str">
            <v>0.642623</v>
          </cell>
          <cell r="S465" t="str">
            <v>0.256196</v>
          </cell>
          <cell r="T465" t="str">
            <v>NO</v>
          </cell>
          <cell r="U465" t="str">
            <v>DELIBERAZIONE EGATO 29 19/12/2018</v>
          </cell>
        </row>
        <row r="466">
          <cell r="A466" t="str">
            <v>C337645</v>
          </cell>
          <cell r="B466">
            <v>202601307931961</v>
          </cell>
          <cell r="D466" t="str">
            <v>ATO4</v>
          </cell>
          <cell r="E466" t="str">
            <v>C337645</v>
          </cell>
          <cell r="F466">
            <v>46143</v>
          </cell>
          <cell r="G466">
            <v>46507</v>
          </cell>
          <cell r="H466">
            <v>46179</v>
          </cell>
          <cell r="I466">
            <v>46179</v>
          </cell>
          <cell r="K466" t="str">
            <v>004134</v>
          </cell>
          <cell r="L466">
            <v>-53.01</v>
          </cell>
          <cell r="M466">
            <v>-53.01</v>
          </cell>
          <cell r="N466">
            <v>-53.01</v>
          </cell>
          <cell r="O466" t="str">
            <v>indiretto</v>
          </cell>
          <cell r="P466">
            <v>2</v>
          </cell>
          <cell r="Q466" t="str">
            <v>0.733246</v>
          </cell>
          <cell r="R466" t="str">
            <v>0.514098</v>
          </cell>
          <cell r="S466" t="str">
            <v>0.204957</v>
          </cell>
          <cell r="T466" t="str">
            <v>NO</v>
          </cell>
          <cell r="U466" t="str">
            <v>DELIBERAZIONE EGATO 2 04/02/2019</v>
          </cell>
        </row>
        <row r="467">
          <cell r="A467" t="str">
            <v>C321164</v>
          </cell>
          <cell r="B467">
            <v>202601307937354</v>
          </cell>
          <cell r="D467" t="str">
            <v>ATO4</v>
          </cell>
          <cell r="E467" t="str">
            <v>C321164</v>
          </cell>
          <cell r="F467">
            <v>46143</v>
          </cell>
          <cell r="G467">
            <v>46507</v>
          </cell>
          <cell r="H467">
            <v>46179</v>
          </cell>
          <cell r="I467">
            <v>46179</v>
          </cell>
          <cell r="K467" t="str">
            <v>004068</v>
          </cell>
          <cell r="L467">
            <v>-33.130000000000003</v>
          </cell>
          <cell r="M467">
            <v>-33.130000000000003</v>
          </cell>
          <cell r="N467">
            <v>-33.130000000000003</v>
          </cell>
          <cell r="O467" t="str">
            <v>indiretto</v>
          </cell>
          <cell r="P467">
            <v>1</v>
          </cell>
          <cell r="Q467" t="str">
            <v>0.916558</v>
          </cell>
          <cell r="R467" t="str">
            <v>0.642623</v>
          </cell>
          <cell r="S467" t="str">
            <v>0.256196</v>
          </cell>
          <cell r="T467" t="str">
            <v>NO</v>
          </cell>
          <cell r="U467" t="str">
            <v>DELIBERAZIONE EGATO 29 19/12/2018</v>
          </cell>
        </row>
        <row r="468">
          <cell r="A468" t="str">
            <v>C129666</v>
          </cell>
          <cell r="B468">
            <v>202601307945501</v>
          </cell>
          <cell r="D468" t="str">
            <v>ATO4</v>
          </cell>
          <cell r="E468" t="str">
            <v>C129666</v>
          </cell>
          <cell r="F468">
            <v>46143</v>
          </cell>
          <cell r="G468">
            <v>46507</v>
          </cell>
          <cell r="H468">
            <v>46179</v>
          </cell>
          <cell r="I468">
            <v>46179</v>
          </cell>
          <cell r="K468" t="str">
            <v>004040</v>
          </cell>
          <cell r="L468">
            <v>-99.39</v>
          </cell>
          <cell r="M468">
            <v>-99.39</v>
          </cell>
          <cell r="N468">
            <v>-99.39</v>
          </cell>
          <cell r="O468" t="str">
            <v>indiretto</v>
          </cell>
          <cell r="P468">
            <v>3</v>
          </cell>
          <cell r="Q468" t="str">
            <v>0.916558</v>
          </cell>
          <cell r="R468" t="str">
            <v>0.642623</v>
          </cell>
          <cell r="S468" t="str">
            <v>0.256196</v>
          </cell>
          <cell r="T468" t="str">
            <v>NO</v>
          </cell>
          <cell r="U468" t="str">
            <v>DELIBERAZIONE EGATO 29 19/12/2018</v>
          </cell>
        </row>
        <row r="469">
          <cell r="A469" t="str">
            <v>C336881</v>
          </cell>
          <cell r="B469">
            <v>202601307946431</v>
          </cell>
          <cell r="D469" t="str">
            <v>ATO4</v>
          </cell>
          <cell r="E469" t="str">
            <v>C336881</v>
          </cell>
          <cell r="F469">
            <v>46143</v>
          </cell>
          <cell r="G469">
            <v>46507</v>
          </cell>
          <cell r="H469">
            <v>46179</v>
          </cell>
          <cell r="I469">
            <v>46179</v>
          </cell>
          <cell r="K469" t="str">
            <v>004237</v>
          </cell>
          <cell r="L469">
            <v>-71.900000000000006</v>
          </cell>
          <cell r="M469">
            <v>-71.900000000000006</v>
          </cell>
          <cell r="N469">
            <v>-71.900000000000006</v>
          </cell>
          <cell r="O469" t="str">
            <v>indiretto</v>
          </cell>
          <cell r="P469">
            <v>3</v>
          </cell>
          <cell r="Q469" t="str">
            <v>0.721337</v>
          </cell>
          <cell r="R469" t="str">
            <v>0.441600</v>
          </cell>
          <cell r="S469" t="str">
            <v>0.150394</v>
          </cell>
          <cell r="T469" t="str">
            <v>NO</v>
          </cell>
          <cell r="U469" t="str">
            <v>DELIBERAZIONE EGATO 2 04/02/2019</v>
          </cell>
        </row>
        <row r="470">
          <cell r="A470" t="str">
            <v>C337646</v>
          </cell>
          <cell r="B470">
            <v>202601307947350</v>
          </cell>
          <cell r="D470" t="str">
            <v>ATO4</v>
          </cell>
          <cell r="E470" t="str">
            <v>C337646</v>
          </cell>
          <cell r="F470">
            <v>46143</v>
          </cell>
          <cell r="G470">
            <v>46507</v>
          </cell>
          <cell r="H470">
            <v>46179</v>
          </cell>
          <cell r="I470">
            <v>46179</v>
          </cell>
          <cell r="K470" t="str">
            <v>004225</v>
          </cell>
          <cell r="L470">
            <v>-165.65</v>
          </cell>
          <cell r="M470">
            <v>-165.65</v>
          </cell>
          <cell r="N470">
            <v>-165.65</v>
          </cell>
          <cell r="O470" t="str">
            <v>indiretto</v>
          </cell>
          <cell r="P470">
            <v>5</v>
          </cell>
          <cell r="Q470" t="str">
            <v>0.916558</v>
          </cell>
          <cell r="R470" t="str">
            <v>0.642623</v>
          </cell>
          <cell r="S470" t="str">
            <v>0.256196</v>
          </cell>
          <cell r="T470" t="str">
            <v>NO</v>
          </cell>
          <cell r="U470" t="str">
            <v>DELIBERAZIONE EGATO 29 19/12/2018</v>
          </cell>
        </row>
        <row r="471">
          <cell r="A471" t="str">
            <v>C344301</v>
          </cell>
          <cell r="B471">
            <v>202601307952009</v>
          </cell>
          <cell r="D471" t="str">
            <v>ATO4</v>
          </cell>
          <cell r="E471" t="str">
            <v>C344301</v>
          </cell>
          <cell r="F471">
            <v>46143</v>
          </cell>
          <cell r="G471">
            <v>46507</v>
          </cell>
          <cell r="H471">
            <v>46179</v>
          </cell>
          <cell r="I471">
            <v>46179</v>
          </cell>
          <cell r="K471" t="str">
            <v>004016</v>
          </cell>
          <cell r="L471">
            <v>-66.260000000000005</v>
          </cell>
          <cell r="M471">
            <v>-66.260000000000005</v>
          </cell>
          <cell r="N471">
            <v>-66.260000000000005</v>
          </cell>
          <cell r="O471" t="str">
            <v>indiretto</v>
          </cell>
          <cell r="P471">
            <v>2</v>
          </cell>
          <cell r="Q471" t="str">
            <v>0.916558</v>
          </cell>
          <cell r="R471" t="str">
            <v>0.642623</v>
          </cell>
          <cell r="S471" t="str">
            <v>0.256196</v>
          </cell>
          <cell r="T471" t="str">
            <v>NO</v>
          </cell>
          <cell r="U471" t="str">
            <v>DELIBERAZIONE EGATO 29 19/12/2018</v>
          </cell>
        </row>
        <row r="472">
          <cell r="A472" t="str">
            <v>C344243</v>
          </cell>
          <cell r="B472">
            <v>202601307960193</v>
          </cell>
          <cell r="D472" t="str">
            <v>ATO4</v>
          </cell>
          <cell r="E472" t="str">
            <v>C344243</v>
          </cell>
          <cell r="F472">
            <v>46143</v>
          </cell>
          <cell r="G472">
            <v>46507</v>
          </cell>
          <cell r="H472">
            <v>46179</v>
          </cell>
          <cell r="I472">
            <v>46179</v>
          </cell>
          <cell r="K472" t="str">
            <v>004245</v>
          </cell>
          <cell r="L472">
            <v>-52.52</v>
          </cell>
          <cell r="M472">
            <v>-52.52</v>
          </cell>
          <cell r="N472">
            <v>-52.52</v>
          </cell>
          <cell r="O472" t="str">
            <v>indiretto</v>
          </cell>
          <cell r="P472">
            <v>2</v>
          </cell>
          <cell r="Q472" t="str">
            <v>0.545182</v>
          </cell>
          <cell r="R472" t="str">
            <v>0.611443</v>
          </cell>
          <cell r="S472" t="str">
            <v>0.282207</v>
          </cell>
          <cell r="T472" t="str">
            <v>NO</v>
          </cell>
          <cell r="U472" t="str">
            <v>DELIBERA EGATO N.29 DEL 19/12/2018</v>
          </cell>
        </row>
        <row r="473">
          <cell r="A473" t="str">
            <v>C344213</v>
          </cell>
          <cell r="B473">
            <v>202601307965218</v>
          </cell>
          <cell r="D473" t="str">
            <v>ATO4</v>
          </cell>
          <cell r="E473" t="str">
            <v>C344213</v>
          </cell>
          <cell r="F473">
            <v>46143</v>
          </cell>
          <cell r="G473">
            <v>46507</v>
          </cell>
          <cell r="H473">
            <v>46179</v>
          </cell>
          <cell r="I473">
            <v>46179</v>
          </cell>
          <cell r="K473" t="str">
            <v>004078</v>
          </cell>
          <cell r="L473">
            <v>-33.130000000000003</v>
          </cell>
          <cell r="M473">
            <v>-33.130000000000003</v>
          </cell>
          <cell r="N473">
            <v>-33.130000000000003</v>
          </cell>
          <cell r="O473" t="str">
            <v>indiretto</v>
          </cell>
          <cell r="P473">
            <v>1</v>
          </cell>
          <cell r="Q473" t="str">
            <v>0.916558</v>
          </cell>
          <cell r="R473" t="str">
            <v>0.642623</v>
          </cell>
          <cell r="S473" t="str">
            <v>0.256196</v>
          </cell>
          <cell r="T473" t="str">
            <v>NO</v>
          </cell>
          <cell r="U473" t="str">
            <v>DELIBERAZIONE EGATO 29 19/12/2018</v>
          </cell>
        </row>
        <row r="474">
          <cell r="A474" t="str">
            <v>C344212</v>
          </cell>
          <cell r="B474">
            <v>202601307966315</v>
          </cell>
          <cell r="D474" t="str">
            <v>ATO4</v>
          </cell>
          <cell r="E474" t="str">
            <v>C344212</v>
          </cell>
          <cell r="F474">
            <v>46143</v>
          </cell>
          <cell r="G474">
            <v>46507</v>
          </cell>
          <cell r="H474">
            <v>46179</v>
          </cell>
          <cell r="I474">
            <v>46179</v>
          </cell>
          <cell r="K474" t="str">
            <v>004242</v>
          </cell>
          <cell r="L474">
            <v>-78.78</v>
          </cell>
          <cell r="M474">
            <v>-78.78</v>
          </cell>
          <cell r="N474">
            <v>-78.78</v>
          </cell>
          <cell r="O474" t="str">
            <v>indiretto</v>
          </cell>
          <cell r="P474">
            <v>3</v>
          </cell>
          <cell r="Q474" t="str">
            <v>0.545182</v>
          </cell>
          <cell r="R474" t="str">
            <v>0.611443</v>
          </cell>
          <cell r="S474" t="str">
            <v>0.282207</v>
          </cell>
          <cell r="T474" t="str">
            <v>NO</v>
          </cell>
          <cell r="U474" t="str">
            <v>DELIBERA EGATO N.29 DEL 19/12/2018</v>
          </cell>
        </row>
        <row r="475">
          <cell r="A475" t="str">
            <v>C344291</v>
          </cell>
          <cell r="B475">
            <v>202601307969749</v>
          </cell>
          <cell r="D475" t="str">
            <v>ATO4</v>
          </cell>
          <cell r="E475" t="str">
            <v>C344291</v>
          </cell>
          <cell r="F475">
            <v>46143</v>
          </cell>
          <cell r="G475">
            <v>46507</v>
          </cell>
          <cell r="H475">
            <v>46179</v>
          </cell>
          <cell r="I475">
            <v>46179</v>
          </cell>
          <cell r="K475" t="str">
            <v>004078</v>
          </cell>
          <cell r="L475">
            <v>-198.78</v>
          </cell>
          <cell r="M475">
            <v>-198.78</v>
          </cell>
          <cell r="N475">
            <v>-198.78</v>
          </cell>
          <cell r="O475" t="str">
            <v>indiretto</v>
          </cell>
          <cell r="P475">
            <v>6</v>
          </cell>
          <cell r="Q475" t="str">
            <v>0.916558</v>
          </cell>
          <cell r="R475" t="str">
            <v>0.642623</v>
          </cell>
          <cell r="S475" t="str">
            <v>0.256196</v>
          </cell>
          <cell r="T475" t="str">
            <v>NO</v>
          </cell>
          <cell r="U475" t="str">
            <v>DELIBERAZIONE EGATO 29 19/12/2018</v>
          </cell>
        </row>
        <row r="476">
          <cell r="A476" t="str">
            <v>C313430</v>
          </cell>
          <cell r="B476">
            <v>202601307976646</v>
          </cell>
          <cell r="D476" t="str">
            <v>ATO4</v>
          </cell>
          <cell r="E476" t="str">
            <v>C313430</v>
          </cell>
          <cell r="F476">
            <v>46143</v>
          </cell>
          <cell r="G476">
            <v>46507</v>
          </cell>
          <cell r="H476">
            <v>46179</v>
          </cell>
          <cell r="I476">
            <v>46179</v>
          </cell>
          <cell r="K476" t="str">
            <v>004197</v>
          </cell>
          <cell r="L476">
            <v>-23.97</v>
          </cell>
          <cell r="M476">
            <v>-23.97</v>
          </cell>
          <cell r="N476">
            <v>-23.97</v>
          </cell>
          <cell r="O476" t="str">
            <v>indiretto</v>
          </cell>
          <cell r="P476">
            <v>1</v>
          </cell>
          <cell r="Q476" t="str">
            <v>0.721337</v>
          </cell>
          <cell r="R476" t="str">
            <v>0.441600</v>
          </cell>
          <cell r="S476" t="str">
            <v>0.150394</v>
          </cell>
          <cell r="T476" t="str">
            <v>NO</v>
          </cell>
          <cell r="U476" t="str">
            <v>DELIBERAZIONE EGATO 2 04/02/2019</v>
          </cell>
        </row>
        <row r="477">
          <cell r="A477" t="str">
            <v>C308916</v>
          </cell>
          <cell r="B477">
            <v>202601307984690</v>
          </cell>
          <cell r="D477" t="str">
            <v>ATO4</v>
          </cell>
          <cell r="E477" t="str">
            <v>C308916</v>
          </cell>
          <cell r="F477">
            <v>46143</v>
          </cell>
          <cell r="G477">
            <v>46507</v>
          </cell>
          <cell r="H477">
            <v>46179</v>
          </cell>
          <cell r="I477">
            <v>46179</v>
          </cell>
          <cell r="K477" t="str">
            <v>004078</v>
          </cell>
          <cell r="L477">
            <v>-33.130000000000003</v>
          </cell>
          <cell r="M477">
            <v>-33.130000000000003</v>
          </cell>
          <cell r="N477">
            <v>-33.130000000000003</v>
          </cell>
          <cell r="O477" t="str">
            <v>indiretto</v>
          </cell>
          <cell r="P477">
            <v>1</v>
          </cell>
          <cell r="Q477" t="str">
            <v>0.916558</v>
          </cell>
          <cell r="R477" t="str">
            <v>0.642623</v>
          </cell>
          <cell r="S477" t="str">
            <v>0.256196</v>
          </cell>
          <cell r="T477" t="str">
            <v>NO</v>
          </cell>
          <cell r="U477" t="str">
            <v>DELIBERAZIONE EGATO 29 19/12/2018</v>
          </cell>
        </row>
        <row r="478">
          <cell r="A478" t="str">
            <v>C314934</v>
          </cell>
          <cell r="B478">
            <v>202601307991233</v>
          </cell>
          <cell r="D478" t="str">
            <v>ATO4</v>
          </cell>
          <cell r="E478" t="str">
            <v>C314934</v>
          </cell>
          <cell r="F478">
            <v>46143</v>
          </cell>
          <cell r="G478">
            <v>46507</v>
          </cell>
          <cell r="H478">
            <v>46179</v>
          </cell>
          <cell r="I478">
            <v>46179</v>
          </cell>
          <cell r="K478" t="str">
            <v>004014</v>
          </cell>
          <cell r="L478">
            <v>-77.319999999999993</v>
          </cell>
          <cell r="M478">
            <v>-77.319999999999993</v>
          </cell>
          <cell r="N478">
            <v>-77.319999999999993</v>
          </cell>
          <cell r="O478" t="str">
            <v>indiretto</v>
          </cell>
          <cell r="P478">
            <v>2</v>
          </cell>
          <cell r="Q478">
            <v>1091278</v>
          </cell>
          <cell r="R478" t="str">
            <v>0.730790</v>
          </cell>
          <cell r="S478" t="str">
            <v>0.296264</v>
          </cell>
          <cell r="T478" t="str">
            <v>NO</v>
          </cell>
          <cell r="U478" t="str">
            <v>DELIBERAZIONE EGATO 2 04/02/2019</v>
          </cell>
        </row>
        <row r="479">
          <cell r="A479" t="str">
            <v>C344183</v>
          </cell>
          <cell r="B479">
            <v>202601307997489</v>
          </cell>
          <cell r="D479" t="str">
            <v>ATO4</v>
          </cell>
          <cell r="E479" t="str">
            <v>C344183</v>
          </cell>
          <cell r="F479">
            <v>46143</v>
          </cell>
          <cell r="G479">
            <v>46507</v>
          </cell>
          <cell r="H479">
            <v>46179</v>
          </cell>
          <cell r="I479">
            <v>46179</v>
          </cell>
          <cell r="K479" t="str">
            <v>004179</v>
          </cell>
          <cell r="L479">
            <v>-86.33</v>
          </cell>
          <cell r="M479">
            <v>-86.33</v>
          </cell>
          <cell r="N479">
            <v>-86.33</v>
          </cell>
          <cell r="O479" t="str">
            <v>indiretto</v>
          </cell>
          <cell r="P479">
            <v>3</v>
          </cell>
          <cell r="Q479" t="str">
            <v>0.802937</v>
          </cell>
          <cell r="R479" t="str">
            <v>0.568257</v>
          </cell>
          <cell r="S479" t="str">
            <v>0.205575</v>
          </cell>
          <cell r="T479" t="str">
            <v>NO</v>
          </cell>
          <cell r="U479" t="str">
            <v>DELIBERAZIONE EGATO 11 27/03/2019</v>
          </cell>
        </row>
        <row r="480">
          <cell r="A480" t="str">
            <v>C344284</v>
          </cell>
          <cell r="B480">
            <v>202601308005352</v>
          </cell>
          <cell r="D480" t="str">
            <v>ATO4</v>
          </cell>
          <cell r="E480" t="str">
            <v>C344284</v>
          </cell>
          <cell r="F480">
            <v>46143</v>
          </cell>
          <cell r="G480">
            <v>46507</v>
          </cell>
          <cell r="H480">
            <v>46179</v>
          </cell>
          <cell r="I480">
            <v>46179</v>
          </cell>
          <cell r="K480" t="str">
            <v>004190</v>
          </cell>
          <cell r="L480">
            <v>-78.78</v>
          </cell>
          <cell r="M480">
            <v>-78.78</v>
          </cell>
          <cell r="N480">
            <v>-78.78</v>
          </cell>
          <cell r="O480" t="str">
            <v>indiretto</v>
          </cell>
          <cell r="P480">
            <v>3</v>
          </cell>
          <cell r="Q480" t="str">
            <v>0.545182</v>
          </cell>
          <cell r="R480" t="str">
            <v>0.611443</v>
          </cell>
          <cell r="S480" t="str">
            <v>0.282207</v>
          </cell>
          <cell r="T480" t="str">
            <v>NO</v>
          </cell>
          <cell r="U480" t="str">
            <v>DELIBERA EGATO N.29 DEL 19/12/2018</v>
          </cell>
        </row>
        <row r="481">
          <cell r="A481" t="str">
            <v>C317119</v>
          </cell>
          <cell r="B481">
            <v>202601308006460</v>
          </cell>
          <cell r="D481" t="str">
            <v>ATO4</v>
          </cell>
          <cell r="E481" t="str">
            <v>C317119</v>
          </cell>
          <cell r="F481">
            <v>46143</v>
          </cell>
          <cell r="G481">
            <v>46507</v>
          </cell>
          <cell r="H481">
            <v>46179</v>
          </cell>
          <cell r="I481">
            <v>46179</v>
          </cell>
          <cell r="K481" t="str">
            <v>004179</v>
          </cell>
          <cell r="L481">
            <v>-86.33</v>
          </cell>
          <cell r="M481">
            <v>-86.33</v>
          </cell>
          <cell r="N481">
            <v>-86.33</v>
          </cell>
          <cell r="O481" t="str">
            <v>indiretto</v>
          </cell>
          <cell r="P481">
            <v>3</v>
          </cell>
          <cell r="Q481" t="str">
            <v>0.802937</v>
          </cell>
          <cell r="R481" t="str">
            <v>0.568257</v>
          </cell>
          <cell r="S481" t="str">
            <v>0.205575</v>
          </cell>
          <cell r="T481" t="str">
            <v>NO</v>
          </cell>
          <cell r="U481" t="str">
            <v>DELIBERAZIONE EGATO 11 27/03/2019</v>
          </cell>
        </row>
        <row r="482">
          <cell r="A482" t="str">
            <v>C344285</v>
          </cell>
          <cell r="B482">
            <v>202601308007051</v>
          </cell>
          <cell r="D482" t="str">
            <v>ATO4</v>
          </cell>
          <cell r="E482" t="str">
            <v>C344285</v>
          </cell>
          <cell r="F482">
            <v>46143</v>
          </cell>
          <cell r="G482">
            <v>46507</v>
          </cell>
          <cell r="H482">
            <v>46179</v>
          </cell>
          <cell r="I482">
            <v>46179</v>
          </cell>
          <cell r="K482" t="str">
            <v>004012</v>
          </cell>
          <cell r="L482">
            <v>-73.86</v>
          </cell>
          <cell r="M482">
            <v>-73.86</v>
          </cell>
          <cell r="N482">
            <v>-73.86</v>
          </cell>
          <cell r="O482" t="str">
            <v>indiretto</v>
          </cell>
          <cell r="P482">
            <v>3</v>
          </cell>
          <cell r="Q482" t="str">
            <v>0.716943</v>
          </cell>
          <cell r="R482" t="str">
            <v>0.463071</v>
          </cell>
          <cell r="S482" t="str">
            <v>0.169064</v>
          </cell>
          <cell r="T482" t="str">
            <v>NO</v>
          </cell>
          <cell r="U482" t="str">
            <v>DELIBERAZIONE EGATO 2 04/02/2019</v>
          </cell>
        </row>
        <row r="483">
          <cell r="A483" t="str">
            <v>C344145</v>
          </cell>
          <cell r="B483">
            <v>202601308007943</v>
          </cell>
          <cell r="D483" t="str">
            <v>ATO4</v>
          </cell>
          <cell r="E483" t="str">
            <v>C344145</v>
          </cell>
          <cell r="F483">
            <v>46143</v>
          </cell>
          <cell r="G483">
            <v>46507</v>
          </cell>
          <cell r="H483">
            <v>46179</v>
          </cell>
          <cell r="I483">
            <v>46179</v>
          </cell>
          <cell r="K483" t="str">
            <v>004028</v>
          </cell>
          <cell r="L483">
            <v>-132.52000000000001</v>
          </cell>
          <cell r="M483">
            <v>-132.52000000000001</v>
          </cell>
          <cell r="N483">
            <v>-132.52000000000001</v>
          </cell>
          <cell r="O483" t="str">
            <v>indiretto</v>
          </cell>
          <cell r="P483">
            <v>4</v>
          </cell>
          <cell r="Q483" t="str">
            <v>0.916558</v>
          </cell>
          <cell r="R483" t="str">
            <v>0.642623</v>
          </cell>
          <cell r="S483" t="str">
            <v>0.256196</v>
          </cell>
          <cell r="T483" t="str">
            <v>NO</v>
          </cell>
          <cell r="U483" t="str">
            <v>DELIBERAZIONE EGATO 29 19/12/2018</v>
          </cell>
        </row>
        <row r="484">
          <cell r="A484" t="str">
            <v>C311826</v>
          </cell>
          <cell r="B484">
            <v>202601308008238</v>
          </cell>
          <cell r="D484" t="str">
            <v>ATO4</v>
          </cell>
          <cell r="E484" t="str">
            <v>C311826</v>
          </cell>
          <cell r="F484">
            <v>46143</v>
          </cell>
          <cell r="G484">
            <v>46507</v>
          </cell>
          <cell r="H484">
            <v>46179</v>
          </cell>
          <cell r="I484">
            <v>46179</v>
          </cell>
          <cell r="K484" t="str">
            <v>004095</v>
          </cell>
          <cell r="L484">
            <v>-149.09</v>
          </cell>
          <cell r="M484">
            <v>-149.09</v>
          </cell>
          <cell r="N484">
            <v>-149.09</v>
          </cell>
          <cell r="O484" t="str">
            <v>indiretto</v>
          </cell>
          <cell r="P484">
            <v>5</v>
          </cell>
          <cell r="Q484" t="str">
            <v>0.824903</v>
          </cell>
          <cell r="R484" t="str">
            <v>0.578360</v>
          </cell>
          <cell r="S484" t="str">
            <v>0.230576</v>
          </cell>
          <cell r="T484" t="str">
            <v>NO</v>
          </cell>
          <cell r="U484" t="str">
            <v>DELIBERAZIONE EGATO 29 19/12/2018</v>
          </cell>
        </row>
        <row r="485">
          <cell r="A485" t="str">
            <v>C344184</v>
          </cell>
          <cell r="B485">
            <v>202601308012909</v>
          </cell>
          <cell r="D485" t="str">
            <v>ATO4</v>
          </cell>
          <cell r="E485" t="str">
            <v>C344184</v>
          </cell>
          <cell r="F485">
            <v>46143</v>
          </cell>
          <cell r="G485">
            <v>46507</v>
          </cell>
          <cell r="H485">
            <v>46179</v>
          </cell>
          <cell r="I485">
            <v>46179</v>
          </cell>
          <cell r="K485" t="str">
            <v>004061</v>
          </cell>
          <cell r="L485">
            <v>-99.39</v>
          </cell>
          <cell r="M485">
            <v>-99.39</v>
          </cell>
          <cell r="N485">
            <v>-99.39</v>
          </cell>
          <cell r="O485" t="str">
            <v>indiretto</v>
          </cell>
          <cell r="P485">
            <v>3</v>
          </cell>
          <cell r="Q485" t="str">
            <v>0.916558</v>
          </cell>
          <cell r="R485" t="str">
            <v>0.642623</v>
          </cell>
          <cell r="S485" t="str">
            <v>0.256196</v>
          </cell>
          <cell r="T485" t="str">
            <v>NO</v>
          </cell>
          <cell r="U485" t="str">
            <v>DELIBERAZIONE EGATO 29 19/12/2018</v>
          </cell>
        </row>
        <row r="486">
          <cell r="A486" t="str">
            <v>C320295</v>
          </cell>
          <cell r="B486">
            <v>202601308015954</v>
          </cell>
          <cell r="D486" t="str">
            <v>ATO4</v>
          </cell>
          <cell r="E486" t="str">
            <v>C320295</v>
          </cell>
          <cell r="F486">
            <v>46143</v>
          </cell>
          <cell r="G486">
            <v>46507</v>
          </cell>
          <cell r="H486">
            <v>46179</v>
          </cell>
          <cell r="I486">
            <v>46179</v>
          </cell>
          <cell r="K486" t="str">
            <v>004116</v>
          </cell>
          <cell r="L486">
            <v>-71.900000000000006</v>
          </cell>
          <cell r="M486">
            <v>-71.900000000000006</v>
          </cell>
          <cell r="N486">
            <v>-71.900000000000006</v>
          </cell>
          <cell r="O486" t="str">
            <v>indiretto</v>
          </cell>
          <cell r="P486">
            <v>3</v>
          </cell>
          <cell r="Q486" t="str">
            <v>0.721337</v>
          </cell>
          <cell r="R486" t="str">
            <v>0.441600</v>
          </cell>
          <cell r="S486" t="str">
            <v>0.150394</v>
          </cell>
          <cell r="T486" t="str">
            <v>NO</v>
          </cell>
          <cell r="U486" t="str">
            <v>DELIBERAZIONE EGATO 2 04/02/2019</v>
          </cell>
        </row>
        <row r="487">
          <cell r="A487" t="str">
            <v>C344286</v>
          </cell>
          <cell r="B487">
            <v>202601308018337</v>
          </cell>
          <cell r="D487" t="str">
            <v>ATO4</v>
          </cell>
          <cell r="E487" t="str">
            <v>C344286</v>
          </cell>
          <cell r="F487">
            <v>46143</v>
          </cell>
          <cell r="G487">
            <v>46507</v>
          </cell>
          <cell r="H487">
            <v>46179</v>
          </cell>
          <cell r="I487">
            <v>46179</v>
          </cell>
          <cell r="K487" t="str">
            <v>004078</v>
          </cell>
          <cell r="L487">
            <v>-33.130000000000003</v>
          </cell>
          <cell r="M487">
            <v>-33.130000000000003</v>
          </cell>
          <cell r="N487">
            <v>-33.130000000000003</v>
          </cell>
          <cell r="O487" t="str">
            <v>indiretto</v>
          </cell>
          <cell r="P487">
            <v>1</v>
          </cell>
          <cell r="Q487" t="str">
            <v>0.916558</v>
          </cell>
          <cell r="R487" t="str">
            <v>0.642623</v>
          </cell>
          <cell r="S487" t="str">
            <v>0.256196</v>
          </cell>
          <cell r="T487" t="str">
            <v>NO</v>
          </cell>
          <cell r="U487" t="str">
            <v>DELIBERAZIONE EGATO 29 19/12/2018</v>
          </cell>
        </row>
        <row r="488">
          <cell r="A488" t="str">
            <v>C310214</v>
          </cell>
          <cell r="B488">
            <v>202601308018868</v>
          </cell>
          <cell r="D488" t="str">
            <v>ATO4</v>
          </cell>
          <cell r="E488" t="str">
            <v>C310214</v>
          </cell>
          <cell r="F488">
            <v>46143</v>
          </cell>
          <cell r="G488">
            <v>46507</v>
          </cell>
          <cell r="H488">
            <v>46179</v>
          </cell>
          <cell r="I488">
            <v>46179</v>
          </cell>
          <cell r="K488" t="str">
            <v>004078</v>
          </cell>
          <cell r="L488">
            <v>-165.65</v>
          </cell>
          <cell r="M488">
            <v>-165.65</v>
          </cell>
          <cell r="N488">
            <v>-165.65</v>
          </cell>
          <cell r="O488" t="str">
            <v>indiretto</v>
          </cell>
          <cell r="P488">
            <v>5</v>
          </cell>
          <cell r="Q488" t="str">
            <v>0.916558</v>
          </cell>
          <cell r="R488" t="str">
            <v>0.642623</v>
          </cell>
          <cell r="S488" t="str">
            <v>0.256196</v>
          </cell>
          <cell r="T488" t="str">
            <v>NO</v>
          </cell>
          <cell r="U488" t="str">
            <v>DELIBERAZIONE EGATO 29 19/12/2018</v>
          </cell>
        </row>
        <row r="489">
          <cell r="A489" t="str">
            <v>C344191</v>
          </cell>
          <cell r="B489">
            <v>202601308029548</v>
          </cell>
          <cell r="D489" t="str">
            <v>ATO4</v>
          </cell>
          <cell r="E489" t="str">
            <v>C344191</v>
          </cell>
          <cell r="F489">
            <v>46143</v>
          </cell>
          <cell r="G489">
            <v>46507</v>
          </cell>
          <cell r="H489">
            <v>46179</v>
          </cell>
          <cell r="I489">
            <v>46179</v>
          </cell>
          <cell r="K489" t="str">
            <v>004034</v>
          </cell>
          <cell r="L489">
            <v>-99.39</v>
          </cell>
          <cell r="M489">
            <v>-99.39</v>
          </cell>
          <cell r="N489">
            <v>-99.39</v>
          </cell>
          <cell r="O489" t="str">
            <v>indiretto</v>
          </cell>
          <cell r="P489">
            <v>3</v>
          </cell>
          <cell r="Q489" t="str">
            <v>0.916558</v>
          </cell>
          <cell r="R489" t="str">
            <v>0.642623</v>
          </cell>
          <cell r="S489" t="str">
            <v>0.256196</v>
          </cell>
          <cell r="T489" t="str">
            <v>NO</v>
          </cell>
          <cell r="U489" t="str">
            <v>DELIBERAZIONE EGATO 29 19/12/2018</v>
          </cell>
        </row>
        <row r="490">
          <cell r="A490" t="str">
            <v>S003009</v>
          </cell>
          <cell r="B490">
            <v>202601308030761</v>
          </cell>
          <cell r="D490" t="str">
            <v>ATO4</v>
          </cell>
          <cell r="E490" t="str">
            <v>S003009</v>
          </cell>
          <cell r="F490">
            <v>46143</v>
          </cell>
          <cell r="G490">
            <v>46507</v>
          </cell>
          <cell r="H490">
            <v>46179</v>
          </cell>
          <cell r="I490">
            <v>46179</v>
          </cell>
          <cell r="K490" t="str">
            <v>004020</v>
          </cell>
          <cell r="L490">
            <v>-59.86</v>
          </cell>
          <cell r="M490">
            <v>-59.86</v>
          </cell>
          <cell r="N490">
            <v>-59.86</v>
          </cell>
          <cell r="O490" t="str">
            <v>indiretto</v>
          </cell>
          <cell r="P490">
            <v>2</v>
          </cell>
          <cell r="Q490" t="str">
            <v>0.633304</v>
          </cell>
          <cell r="R490" t="str">
            <v>0.746975</v>
          </cell>
          <cell r="S490" t="str">
            <v>0.259818</v>
          </cell>
          <cell r="T490" t="str">
            <v>NO</v>
          </cell>
          <cell r="U490" t="str">
            <v>DELIBERA EGATO 12 22/04/21</v>
          </cell>
        </row>
        <row r="491">
          <cell r="A491" t="str">
            <v>C344227</v>
          </cell>
          <cell r="B491">
            <v>202601308033813</v>
          </cell>
          <cell r="D491" t="str">
            <v>ATO4</v>
          </cell>
          <cell r="E491" t="str">
            <v>C344227</v>
          </cell>
          <cell r="F491">
            <v>46143</v>
          </cell>
          <cell r="G491">
            <v>46507</v>
          </cell>
          <cell r="H491">
            <v>46179</v>
          </cell>
          <cell r="I491">
            <v>46179</v>
          </cell>
          <cell r="K491" t="str">
            <v>004130</v>
          </cell>
          <cell r="L491">
            <v>-52.52</v>
          </cell>
          <cell r="M491">
            <v>-52.52</v>
          </cell>
          <cell r="N491">
            <v>-52.52</v>
          </cell>
          <cell r="O491" t="str">
            <v>indiretto</v>
          </cell>
          <cell r="P491">
            <v>2</v>
          </cell>
          <cell r="Q491" t="str">
            <v>0.545182</v>
          </cell>
          <cell r="R491" t="str">
            <v>0.611443</v>
          </cell>
          <cell r="S491" t="str">
            <v>0.282207</v>
          </cell>
          <cell r="T491" t="str">
            <v>NO</v>
          </cell>
          <cell r="U491" t="str">
            <v>DELIBERA EGATO N.29 DEL 19/12/2018</v>
          </cell>
        </row>
        <row r="492">
          <cell r="A492" t="str">
            <v>C344190</v>
          </cell>
          <cell r="B492">
            <v>202601308036463</v>
          </cell>
          <cell r="D492" t="str">
            <v>ATO4</v>
          </cell>
          <cell r="E492" t="str">
            <v>C344190</v>
          </cell>
          <cell r="F492">
            <v>46143</v>
          </cell>
          <cell r="G492">
            <v>46507</v>
          </cell>
          <cell r="H492">
            <v>46179</v>
          </cell>
          <cell r="I492">
            <v>46179</v>
          </cell>
          <cell r="K492" t="str">
            <v>004130</v>
          </cell>
          <cell r="L492">
            <v>-26.26</v>
          </cell>
          <cell r="M492">
            <v>-26.26</v>
          </cell>
          <cell r="N492">
            <v>-26.26</v>
          </cell>
          <cell r="O492" t="str">
            <v>indiretto</v>
          </cell>
          <cell r="P492">
            <v>1</v>
          </cell>
          <cell r="Q492" t="str">
            <v>0.545182</v>
          </cell>
          <cell r="R492" t="str">
            <v>0.611443</v>
          </cell>
          <cell r="S492" t="str">
            <v>0.282207</v>
          </cell>
          <cell r="T492" t="str">
            <v>NO</v>
          </cell>
          <cell r="U492" t="str">
            <v>DELIBERA EGATO N.29 DEL 19/12/2018</v>
          </cell>
        </row>
        <row r="493">
          <cell r="A493" t="str">
            <v>C126789</v>
          </cell>
          <cell r="B493">
            <v>202601308037393</v>
          </cell>
          <cell r="D493" t="str">
            <v>ATO4</v>
          </cell>
          <cell r="E493" t="str">
            <v>C126789</v>
          </cell>
          <cell r="F493">
            <v>46143</v>
          </cell>
          <cell r="G493">
            <v>46507</v>
          </cell>
          <cell r="H493">
            <v>46179</v>
          </cell>
          <cell r="I493">
            <v>46179</v>
          </cell>
          <cell r="K493" t="str">
            <v>004078</v>
          </cell>
          <cell r="L493">
            <v>-99.39</v>
          </cell>
          <cell r="M493">
            <v>-99.39</v>
          </cell>
          <cell r="N493">
            <v>-99.39</v>
          </cell>
          <cell r="O493" t="str">
            <v>indiretto</v>
          </cell>
          <cell r="P493">
            <v>3</v>
          </cell>
          <cell r="Q493" t="str">
            <v>0.916558</v>
          </cell>
          <cell r="R493" t="str">
            <v>0.642623</v>
          </cell>
          <cell r="S493" t="str">
            <v>0.256196</v>
          </cell>
          <cell r="T493" t="str">
            <v>NO</v>
          </cell>
          <cell r="U493" t="str">
            <v>DELIBERAZIONE EGATO 29 19/12/2018</v>
          </cell>
        </row>
        <row r="494">
          <cell r="A494" t="str">
            <v>C091384</v>
          </cell>
          <cell r="B494">
            <v>202601308042346</v>
          </cell>
          <cell r="D494" t="str">
            <v>ATO4</v>
          </cell>
          <cell r="E494" t="str">
            <v>C091384</v>
          </cell>
          <cell r="F494">
            <v>46143</v>
          </cell>
          <cell r="G494">
            <v>46507</v>
          </cell>
          <cell r="H494">
            <v>46179</v>
          </cell>
          <cell r="I494">
            <v>46179</v>
          </cell>
          <cell r="K494" t="str">
            <v>004064</v>
          </cell>
          <cell r="L494">
            <v>-132.52000000000001</v>
          </cell>
          <cell r="M494">
            <v>-132.52000000000001</v>
          </cell>
          <cell r="N494">
            <v>-132.52000000000001</v>
          </cell>
          <cell r="O494" t="str">
            <v>indiretto</v>
          </cell>
          <cell r="P494">
            <v>4</v>
          </cell>
          <cell r="Q494" t="str">
            <v>0.916558</v>
          </cell>
          <cell r="R494" t="str">
            <v>0.642623</v>
          </cell>
          <cell r="S494" t="str">
            <v>0.256196</v>
          </cell>
          <cell r="T494" t="str">
            <v>NO</v>
          </cell>
          <cell r="U494" t="str">
            <v>DELIBERAZIONE EGATO 29 19/12/2018</v>
          </cell>
        </row>
        <row r="495">
          <cell r="A495" t="str">
            <v>C344146</v>
          </cell>
          <cell r="B495">
            <v>202601308046202</v>
          </cell>
          <cell r="D495" t="str">
            <v>ATO4</v>
          </cell>
          <cell r="E495" t="str">
            <v>C344146</v>
          </cell>
          <cell r="F495">
            <v>46143</v>
          </cell>
          <cell r="G495">
            <v>46507</v>
          </cell>
          <cell r="H495">
            <v>46179</v>
          </cell>
          <cell r="I495">
            <v>46179</v>
          </cell>
          <cell r="K495" t="str">
            <v>004078</v>
          </cell>
          <cell r="L495">
            <v>-132.52000000000001</v>
          </cell>
          <cell r="M495">
            <v>-132.52000000000001</v>
          </cell>
          <cell r="N495">
            <v>-132.52000000000001</v>
          </cell>
          <cell r="O495" t="str">
            <v>indiretto</v>
          </cell>
          <cell r="P495">
            <v>4</v>
          </cell>
          <cell r="Q495" t="str">
            <v>0.916558</v>
          </cell>
          <cell r="R495" t="str">
            <v>0.642623</v>
          </cell>
          <cell r="S495" t="str">
            <v>0.256196</v>
          </cell>
          <cell r="T495" t="str">
            <v>NO</v>
          </cell>
          <cell r="U495" t="str">
            <v>DELIBERAZIONE EGATO 29 19/12/2018</v>
          </cell>
        </row>
        <row r="496">
          <cell r="A496" t="str">
            <v>C308519</v>
          </cell>
          <cell r="B496">
            <v>202601308061841</v>
          </cell>
          <cell r="D496" t="str">
            <v>ATO4</v>
          </cell>
          <cell r="E496" t="str">
            <v>C308519</v>
          </cell>
          <cell r="F496">
            <v>46143</v>
          </cell>
          <cell r="G496">
            <v>46507</v>
          </cell>
          <cell r="H496">
            <v>46179</v>
          </cell>
          <cell r="I496">
            <v>46179</v>
          </cell>
          <cell r="K496" t="str">
            <v>004180</v>
          </cell>
          <cell r="L496">
            <v>-47.94</v>
          </cell>
          <cell r="M496">
            <v>-47.94</v>
          </cell>
          <cell r="N496">
            <v>-47.94</v>
          </cell>
          <cell r="O496" t="str">
            <v>indiretto</v>
          </cell>
          <cell r="P496">
            <v>2</v>
          </cell>
          <cell r="Q496" t="str">
            <v>0.721337</v>
          </cell>
          <cell r="R496" t="str">
            <v>0.441600</v>
          </cell>
          <cell r="S496" t="str">
            <v>0.150394</v>
          </cell>
          <cell r="T496" t="str">
            <v>NO</v>
          </cell>
          <cell r="U496" t="str">
            <v>DELIBERAZIONE EGATO 2 04/02/2019</v>
          </cell>
        </row>
        <row r="497">
          <cell r="A497" t="str">
            <v>C337615</v>
          </cell>
          <cell r="B497">
            <v>202601308062669</v>
          </cell>
          <cell r="D497" t="str">
            <v>ATO4</v>
          </cell>
          <cell r="E497" t="str">
            <v>C337615</v>
          </cell>
          <cell r="F497">
            <v>46143</v>
          </cell>
          <cell r="G497">
            <v>46507</v>
          </cell>
          <cell r="H497">
            <v>46179</v>
          </cell>
          <cell r="I497">
            <v>46179</v>
          </cell>
          <cell r="K497" t="str">
            <v>004179</v>
          </cell>
          <cell r="L497">
            <v>-86.33</v>
          </cell>
          <cell r="M497">
            <v>-86.33</v>
          </cell>
          <cell r="N497">
            <v>-86.33</v>
          </cell>
          <cell r="O497" t="str">
            <v>indiretto</v>
          </cell>
          <cell r="P497">
            <v>3</v>
          </cell>
          <cell r="Q497" t="str">
            <v>0.802937</v>
          </cell>
          <cell r="R497" t="str">
            <v>0.568257</v>
          </cell>
          <cell r="S497" t="str">
            <v>0.205575</v>
          </cell>
          <cell r="T497" t="str">
            <v>NO</v>
          </cell>
          <cell r="U497" t="str">
            <v>DELIBERAZIONE EGATO 11 27/03/2019</v>
          </cell>
        </row>
        <row r="498">
          <cell r="A498" t="str">
            <v>C322844</v>
          </cell>
          <cell r="B498">
            <v>202601308072760</v>
          </cell>
          <cell r="D498" t="str">
            <v>ATO4</v>
          </cell>
          <cell r="E498" t="str">
            <v>C322844</v>
          </cell>
          <cell r="F498">
            <v>46143</v>
          </cell>
          <cell r="G498">
            <v>46507</v>
          </cell>
          <cell r="H498">
            <v>46179</v>
          </cell>
          <cell r="I498">
            <v>46179</v>
          </cell>
          <cell r="K498" t="str">
            <v>004078</v>
          </cell>
          <cell r="L498">
            <v>-33.130000000000003</v>
          </cell>
          <cell r="M498">
            <v>-33.130000000000003</v>
          </cell>
          <cell r="N498">
            <v>-33.130000000000003</v>
          </cell>
          <cell r="O498" t="str">
            <v>indiretto</v>
          </cell>
          <cell r="P498">
            <v>1</v>
          </cell>
          <cell r="Q498" t="str">
            <v>0.916558</v>
          </cell>
          <cell r="R498" t="str">
            <v>0.642623</v>
          </cell>
          <cell r="S498" t="str">
            <v>0.256196</v>
          </cell>
          <cell r="T498" t="str">
            <v>NO</v>
          </cell>
          <cell r="U498" t="str">
            <v>DELIBERAZIONE EGATO 29 19/12/2018</v>
          </cell>
        </row>
        <row r="499">
          <cell r="A499" t="str">
            <v>C344147</v>
          </cell>
          <cell r="B499">
            <v>202601308094547</v>
          </cell>
          <cell r="D499" t="str">
            <v>ATO4</v>
          </cell>
          <cell r="E499" t="str">
            <v>C344147</v>
          </cell>
          <cell r="F499">
            <v>46143</v>
          </cell>
          <cell r="G499">
            <v>46507</v>
          </cell>
          <cell r="H499">
            <v>46179</v>
          </cell>
          <cell r="I499">
            <v>46179</v>
          </cell>
          <cell r="K499" t="str">
            <v>004130</v>
          </cell>
          <cell r="L499">
            <v>-26.26</v>
          </cell>
          <cell r="M499">
            <v>-26.26</v>
          </cell>
          <cell r="N499">
            <v>-26.26</v>
          </cell>
          <cell r="O499" t="str">
            <v>indiretto</v>
          </cell>
          <cell r="P499">
            <v>1</v>
          </cell>
          <cell r="Q499" t="str">
            <v>0.545182</v>
          </cell>
          <cell r="R499" t="str">
            <v>0.611443</v>
          </cell>
          <cell r="S499" t="str">
            <v>0.282207</v>
          </cell>
          <cell r="T499" t="str">
            <v>NO</v>
          </cell>
          <cell r="U499" t="str">
            <v>DELIBERA EGATO N.29 DEL 19/12/2018</v>
          </cell>
        </row>
        <row r="500">
          <cell r="A500" t="str">
            <v>C314392</v>
          </cell>
          <cell r="B500">
            <v>202601308103176</v>
          </cell>
          <cell r="D500" t="str">
            <v>ATO4</v>
          </cell>
          <cell r="E500" t="str">
            <v>C314392</v>
          </cell>
          <cell r="F500">
            <v>46143</v>
          </cell>
          <cell r="G500">
            <v>46507</v>
          </cell>
          <cell r="H500">
            <v>46179</v>
          </cell>
          <cell r="I500">
            <v>46179</v>
          </cell>
          <cell r="K500" t="str">
            <v>004078</v>
          </cell>
          <cell r="L500">
            <v>-132.52000000000001</v>
          </cell>
          <cell r="M500">
            <v>-132.52000000000001</v>
          </cell>
          <cell r="N500">
            <v>-132.52000000000001</v>
          </cell>
          <cell r="O500" t="str">
            <v>indiretto</v>
          </cell>
          <cell r="P500">
            <v>4</v>
          </cell>
          <cell r="Q500" t="str">
            <v>0.916558</v>
          </cell>
          <cell r="R500" t="str">
            <v>0.642623</v>
          </cell>
          <cell r="S500" t="str">
            <v>0.256196</v>
          </cell>
          <cell r="T500" t="str">
            <v>NO</v>
          </cell>
          <cell r="U500" t="str">
            <v>DELIBERAZIONE EGATO 29 19/12/2018</v>
          </cell>
        </row>
        <row r="501">
          <cell r="A501" t="str">
            <v>C307070</v>
          </cell>
          <cell r="B501">
            <v>202601308108280</v>
          </cell>
          <cell r="D501" t="str">
            <v>ATO4</v>
          </cell>
          <cell r="E501" t="str">
            <v>C307070</v>
          </cell>
          <cell r="F501">
            <v>46143</v>
          </cell>
          <cell r="G501">
            <v>46507</v>
          </cell>
          <cell r="H501">
            <v>46179</v>
          </cell>
          <cell r="I501">
            <v>46179</v>
          </cell>
          <cell r="K501" t="str">
            <v>004064</v>
          </cell>
          <cell r="L501">
            <v>-99.39</v>
          </cell>
          <cell r="M501">
            <v>-99.39</v>
          </cell>
          <cell r="N501">
            <v>-99.39</v>
          </cell>
          <cell r="O501" t="str">
            <v>indiretto</v>
          </cell>
          <cell r="P501">
            <v>3</v>
          </cell>
          <cell r="Q501" t="str">
            <v>0.916558</v>
          </cell>
          <cell r="R501" t="str">
            <v>0.642623</v>
          </cell>
          <cell r="S501" t="str">
            <v>0.256196</v>
          </cell>
          <cell r="T501" t="str">
            <v>NO</v>
          </cell>
          <cell r="U501" t="str">
            <v>DELIBERAZIONE EGATO 29 19/12/2018</v>
          </cell>
        </row>
        <row r="502">
          <cell r="A502" t="str">
            <v>C316033</v>
          </cell>
          <cell r="B502">
            <v>202601308110803</v>
          </cell>
          <cell r="D502" t="str">
            <v>ATO4</v>
          </cell>
          <cell r="E502" t="str">
            <v>C316033</v>
          </cell>
          <cell r="F502">
            <v>46143</v>
          </cell>
          <cell r="G502">
            <v>46507</v>
          </cell>
          <cell r="H502">
            <v>46179</v>
          </cell>
          <cell r="I502">
            <v>46179</v>
          </cell>
          <cell r="K502" t="str">
            <v>004078</v>
          </cell>
          <cell r="L502">
            <v>-33.130000000000003</v>
          </cell>
          <cell r="M502">
            <v>-33.130000000000003</v>
          </cell>
          <cell r="N502">
            <v>-33.130000000000003</v>
          </cell>
          <cell r="O502" t="str">
            <v>indiretto</v>
          </cell>
          <cell r="P502">
            <v>1</v>
          </cell>
          <cell r="Q502" t="str">
            <v>0.916558</v>
          </cell>
          <cell r="R502" t="str">
            <v>0.642623</v>
          </cell>
          <cell r="S502" t="str">
            <v>0.256196</v>
          </cell>
          <cell r="T502" t="str">
            <v>NO</v>
          </cell>
          <cell r="U502" t="str">
            <v>DELIBERAZIONE EGATO 29 19/12/2018</v>
          </cell>
        </row>
        <row r="503">
          <cell r="A503" t="str">
            <v>C310161</v>
          </cell>
          <cell r="B503">
            <v>202601308110985</v>
          </cell>
          <cell r="D503" t="str">
            <v>ATO4</v>
          </cell>
          <cell r="E503" t="str">
            <v>C310161</v>
          </cell>
          <cell r="F503">
            <v>46143</v>
          </cell>
          <cell r="G503">
            <v>46507</v>
          </cell>
          <cell r="H503">
            <v>46179</v>
          </cell>
          <cell r="I503">
            <v>46179</v>
          </cell>
          <cell r="K503" t="str">
            <v>004078</v>
          </cell>
          <cell r="L503">
            <v>-66.260000000000005</v>
          </cell>
          <cell r="M503">
            <v>-66.260000000000005</v>
          </cell>
          <cell r="N503">
            <v>-66.260000000000005</v>
          </cell>
          <cell r="O503" t="str">
            <v>indiretto</v>
          </cell>
          <cell r="P503">
            <v>2</v>
          </cell>
          <cell r="Q503" t="str">
            <v>0.916558</v>
          </cell>
          <cell r="R503" t="str">
            <v>0.642623</v>
          </cell>
          <cell r="S503" t="str">
            <v>0.256196</v>
          </cell>
          <cell r="T503" t="str">
            <v>NO</v>
          </cell>
          <cell r="U503" t="str">
            <v>DELIBERAZIONE EGATO 29 19/12/2018</v>
          </cell>
        </row>
        <row r="504">
          <cell r="A504" t="str">
            <v>C320314</v>
          </cell>
          <cell r="B504">
            <v>202601308112816</v>
          </cell>
          <cell r="D504" t="str">
            <v>ATO4</v>
          </cell>
          <cell r="E504" t="str">
            <v>C320314</v>
          </cell>
          <cell r="F504">
            <v>46143</v>
          </cell>
          <cell r="G504">
            <v>46507</v>
          </cell>
          <cell r="H504">
            <v>46179</v>
          </cell>
          <cell r="I504">
            <v>46179</v>
          </cell>
          <cell r="K504" t="str">
            <v>004165</v>
          </cell>
          <cell r="L504">
            <v>-99.39</v>
          </cell>
          <cell r="M504">
            <v>-99.39</v>
          </cell>
          <cell r="N504">
            <v>-99.39</v>
          </cell>
          <cell r="O504" t="str">
            <v>indiretto</v>
          </cell>
          <cell r="P504">
            <v>3</v>
          </cell>
          <cell r="Q504" t="str">
            <v>0.916558</v>
          </cell>
          <cell r="R504" t="str">
            <v>0.642623</v>
          </cell>
          <cell r="S504" t="str">
            <v>0.256196</v>
          </cell>
          <cell r="T504" t="str">
            <v>NO</v>
          </cell>
          <cell r="U504" t="str">
            <v>DELIBERAZIONE EGATO 29 19/12/2018</v>
          </cell>
        </row>
        <row r="505">
          <cell r="A505" t="str">
            <v>C314230</v>
          </cell>
          <cell r="B505">
            <v>202601308113700</v>
          </cell>
          <cell r="D505" t="str">
            <v>ATO4</v>
          </cell>
          <cell r="E505" t="str">
            <v>C314230</v>
          </cell>
          <cell r="F505">
            <v>46143</v>
          </cell>
          <cell r="G505">
            <v>46507</v>
          </cell>
          <cell r="H505">
            <v>46179</v>
          </cell>
          <cell r="I505">
            <v>46179</v>
          </cell>
          <cell r="K505" t="str">
            <v>004025</v>
          </cell>
          <cell r="L505">
            <v>-33.130000000000003</v>
          </cell>
          <cell r="M505">
            <v>-33.130000000000003</v>
          </cell>
          <cell r="N505">
            <v>-33.130000000000003</v>
          </cell>
          <cell r="O505" t="str">
            <v>indiretto</v>
          </cell>
          <cell r="P505">
            <v>1</v>
          </cell>
          <cell r="Q505" t="str">
            <v>0.916558</v>
          </cell>
          <cell r="R505" t="str">
            <v>0.642623</v>
          </cell>
          <cell r="S505" t="str">
            <v>0.256196</v>
          </cell>
          <cell r="T505" t="str">
            <v>NO</v>
          </cell>
          <cell r="U505" t="str">
            <v>DELIBERAZIONE EGATO 29 19/12/2018</v>
          </cell>
        </row>
        <row r="506">
          <cell r="A506" t="str">
            <v>C337672</v>
          </cell>
          <cell r="B506">
            <v>202601308120198</v>
          </cell>
          <cell r="D506" t="str">
            <v>ATO4</v>
          </cell>
          <cell r="E506" t="str">
            <v>C337672</v>
          </cell>
          <cell r="F506">
            <v>46143</v>
          </cell>
          <cell r="G506">
            <v>46507</v>
          </cell>
          <cell r="H506">
            <v>46179</v>
          </cell>
          <cell r="I506">
            <v>46179</v>
          </cell>
          <cell r="K506" t="str">
            <v>004197</v>
          </cell>
          <cell r="L506">
            <v>-95.87</v>
          </cell>
          <cell r="M506">
            <v>-95.87</v>
          </cell>
          <cell r="N506">
            <v>-95.87</v>
          </cell>
          <cell r="O506" t="str">
            <v>indiretto</v>
          </cell>
          <cell r="P506">
            <v>4</v>
          </cell>
          <cell r="Q506" t="str">
            <v>0.721337</v>
          </cell>
          <cell r="R506" t="str">
            <v>0.441600</v>
          </cell>
          <cell r="S506" t="str">
            <v>0.150394</v>
          </cell>
          <cell r="T506" t="str">
            <v>NO</v>
          </cell>
          <cell r="U506" t="str">
            <v>DELIBERAZIONE EGATO 2 04/02/2019</v>
          </cell>
        </row>
        <row r="507">
          <cell r="A507" t="str">
            <v>C337562</v>
          </cell>
          <cell r="B507">
            <v>202601308122285</v>
          </cell>
          <cell r="D507" t="str">
            <v>ATO4</v>
          </cell>
          <cell r="E507" t="str">
            <v>C337562</v>
          </cell>
          <cell r="F507">
            <v>46143</v>
          </cell>
          <cell r="G507">
            <v>46507</v>
          </cell>
          <cell r="H507">
            <v>46179</v>
          </cell>
          <cell r="I507">
            <v>46179</v>
          </cell>
          <cell r="K507" t="str">
            <v>004028</v>
          </cell>
          <cell r="L507">
            <v>-99.39</v>
          </cell>
          <cell r="M507">
            <v>-99.39</v>
          </cell>
          <cell r="N507">
            <v>-99.39</v>
          </cell>
          <cell r="O507" t="str">
            <v>indiretto</v>
          </cell>
          <cell r="P507">
            <v>3</v>
          </cell>
          <cell r="Q507" t="str">
            <v>0.916558</v>
          </cell>
          <cell r="R507" t="str">
            <v>0.642623</v>
          </cell>
          <cell r="S507" t="str">
            <v>0.256196</v>
          </cell>
          <cell r="T507" t="str">
            <v>NO</v>
          </cell>
          <cell r="U507" t="str">
            <v>DELIBERAZIONE EGATO 29 19/12/2018</v>
          </cell>
        </row>
        <row r="508">
          <cell r="A508" t="str">
            <v>C344126</v>
          </cell>
          <cell r="B508">
            <v>202601308123811</v>
          </cell>
          <cell r="D508" t="str">
            <v>ATO4</v>
          </cell>
          <cell r="E508" t="str">
            <v>C344126</v>
          </cell>
          <cell r="F508">
            <v>46143</v>
          </cell>
          <cell r="G508">
            <v>46507</v>
          </cell>
          <cell r="H508">
            <v>46179</v>
          </cell>
          <cell r="I508">
            <v>46179</v>
          </cell>
          <cell r="K508" t="str">
            <v>004061</v>
          </cell>
          <cell r="L508">
            <v>-99.39</v>
          </cell>
          <cell r="M508">
            <v>-99.39</v>
          </cell>
          <cell r="N508">
            <v>-99.39</v>
          </cell>
          <cell r="O508" t="str">
            <v>indiretto</v>
          </cell>
          <cell r="P508">
            <v>3</v>
          </cell>
          <cell r="Q508" t="str">
            <v>0.916558</v>
          </cell>
          <cell r="R508" t="str">
            <v>0.642623</v>
          </cell>
          <cell r="S508" t="str">
            <v>0.256196</v>
          </cell>
          <cell r="T508" t="str">
            <v>NO</v>
          </cell>
          <cell r="U508" t="str">
            <v>DELIBERAZIONE EGATO 29 19/12/2018</v>
          </cell>
        </row>
        <row r="509">
          <cell r="A509" t="str">
            <v>C302881</v>
          </cell>
          <cell r="B509">
            <v>202601308127399</v>
          </cell>
          <cell r="D509" t="str">
            <v>ATO4</v>
          </cell>
          <cell r="E509" t="str">
            <v>C302881</v>
          </cell>
          <cell r="F509">
            <v>46143</v>
          </cell>
          <cell r="G509">
            <v>46507</v>
          </cell>
          <cell r="H509">
            <v>46179</v>
          </cell>
          <cell r="I509">
            <v>46179</v>
          </cell>
          <cell r="K509" t="str">
            <v>004104</v>
          </cell>
          <cell r="L509">
            <v>-143.81</v>
          </cell>
          <cell r="M509">
            <v>-143.81</v>
          </cell>
          <cell r="N509">
            <v>-143.81</v>
          </cell>
          <cell r="O509" t="str">
            <v>indiretto</v>
          </cell>
          <cell r="P509">
            <v>6</v>
          </cell>
          <cell r="Q509" t="str">
            <v>0.721337</v>
          </cell>
          <cell r="R509" t="str">
            <v>0.441600</v>
          </cell>
          <cell r="S509" t="str">
            <v>0.150394</v>
          </cell>
          <cell r="T509" t="str">
            <v>NO</v>
          </cell>
          <cell r="U509" t="str">
            <v>DELIBERAZIONE EGATO 2 04/02/2019</v>
          </cell>
        </row>
        <row r="510">
          <cell r="A510" t="str">
            <v>C337569</v>
          </cell>
          <cell r="B510">
            <v>202601308134353</v>
          </cell>
          <cell r="D510" t="str">
            <v>ATO4</v>
          </cell>
          <cell r="E510" t="str">
            <v>C337569</v>
          </cell>
          <cell r="F510">
            <v>46143</v>
          </cell>
          <cell r="G510">
            <v>46507</v>
          </cell>
          <cell r="H510">
            <v>46179</v>
          </cell>
          <cell r="I510">
            <v>46179</v>
          </cell>
          <cell r="K510" t="str">
            <v>004078</v>
          </cell>
          <cell r="L510">
            <v>-33.130000000000003</v>
          </cell>
          <cell r="M510">
            <v>-33.130000000000003</v>
          </cell>
          <cell r="N510">
            <v>-33.130000000000003</v>
          </cell>
          <cell r="O510" t="str">
            <v>indiretto</v>
          </cell>
          <cell r="P510">
            <v>1</v>
          </cell>
          <cell r="Q510" t="str">
            <v>0.916558</v>
          </cell>
          <cell r="R510" t="str">
            <v>0.642623</v>
          </cell>
          <cell r="S510" t="str">
            <v>0.256196</v>
          </cell>
          <cell r="T510" t="str">
            <v>NO</v>
          </cell>
          <cell r="U510" t="str">
            <v>DELIBERAZIONE EGATO 29 19/12/2018</v>
          </cell>
        </row>
        <row r="511">
          <cell r="A511" t="str">
            <v>C130350</v>
          </cell>
          <cell r="B511">
            <v>202601308135192</v>
          </cell>
          <cell r="D511" t="str">
            <v>ATO4</v>
          </cell>
          <cell r="E511" t="str">
            <v>C130350</v>
          </cell>
          <cell r="F511">
            <v>46143</v>
          </cell>
          <cell r="G511">
            <v>46507</v>
          </cell>
          <cell r="H511">
            <v>46179</v>
          </cell>
          <cell r="I511">
            <v>46179</v>
          </cell>
          <cell r="K511" t="str">
            <v>004040</v>
          </cell>
          <cell r="L511">
            <v>-165.65</v>
          </cell>
          <cell r="M511">
            <v>-165.65</v>
          </cell>
          <cell r="N511">
            <v>-165.65</v>
          </cell>
          <cell r="O511" t="str">
            <v>indiretto</v>
          </cell>
          <cell r="P511">
            <v>5</v>
          </cell>
          <cell r="Q511" t="str">
            <v>0.916558</v>
          </cell>
          <cell r="R511" t="str">
            <v>0.642623</v>
          </cell>
          <cell r="S511" t="str">
            <v>0.256196</v>
          </cell>
          <cell r="T511" t="str">
            <v>NO</v>
          </cell>
          <cell r="U511" t="str">
            <v>DELIBERAZIONE EGATO 29 19/12/2018</v>
          </cell>
        </row>
        <row r="512">
          <cell r="A512" t="str">
            <v>C315944</v>
          </cell>
          <cell r="B512">
            <v>202601308139385</v>
          </cell>
          <cell r="D512" t="str">
            <v>ATO4</v>
          </cell>
          <cell r="E512" t="str">
            <v>C315944</v>
          </cell>
          <cell r="F512">
            <v>46143</v>
          </cell>
          <cell r="G512">
            <v>46507</v>
          </cell>
          <cell r="H512">
            <v>46179</v>
          </cell>
          <cell r="I512">
            <v>46179</v>
          </cell>
          <cell r="K512" t="str">
            <v>004192</v>
          </cell>
          <cell r="L512">
            <v>-33.130000000000003</v>
          </cell>
          <cell r="M512">
            <v>-33.130000000000003</v>
          </cell>
          <cell r="N512">
            <v>-33.130000000000003</v>
          </cell>
          <cell r="O512" t="str">
            <v>indiretto</v>
          </cell>
          <cell r="P512">
            <v>1</v>
          </cell>
          <cell r="Q512" t="str">
            <v>0.916558</v>
          </cell>
          <cell r="R512" t="str">
            <v>0.642623</v>
          </cell>
          <cell r="S512" t="str">
            <v>0.256196</v>
          </cell>
          <cell r="T512" t="str">
            <v>NO</v>
          </cell>
          <cell r="U512" t="str">
            <v>DELIBERAZIONE EGATO 29 19/12/2018</v>
          </cell>
        </row>
        <row r="513">
          <cell r="A513" t="str">
            <v>C312145</v>
          </cell>
          <cell r="B513">
            <v>202601308139386</v>
          </cell>
          <cell r="D513" t="str">
            <v>ATO4</v>
          </cell>
          <cell r="E513" t="str">
            <v>C312145</v>
          </cell>
          <cell r="F513">
            <v>46143</v>
          </cell>
          <cell r="G513">
            <v>46507</v>
          </cell>
          <cell r="H513">
            <v>46179</v>
          </cell>
          <cell r="I513">
            <v>46179</v>
          </cell>
          <cell r="K513" t="str">
            <v>004082</v>
          </cell>
          <cell r="L513">
            <v>-132.52000000000001</v>
          </cell>
          <cell r="M513">
            <v>-132.52000000000001</v>
          </cell>
          <cell r="N513">
            <v>-132.52000000000001</v>
          </cell>
          <cell r="O513" t="str">
            <v>indiretto</v>
          </cell>
          <cell r="P513">
            <v>4</v>
          </cell>
          <cell r="Q513" t="str">
            <v>0.916558</v>
          </cell>
          <cell r="R513" t="str">
            <v>0.642623</v>
          </cell>
          <cell r="S513" t="str">
            <v>0.256196</v>
          </cell>
          <cell r="T513" t="str">
            <v>NO</v>
          </cell>
          <cell r="U513" t="str">
            <v>DELIBERAZIONE EGATO 29 19/12/2018</v>
          </cell>
        </row>
        <row r="514">
          <cell r="A514" t="str">
            <v>C310252</v>
          </cell>
          <cell r="B514">
            <v>202601308140250</v>
          </cell>
          <cell r="D514" t="str">
            <v>ATO4</v>
          </cell>
          <cell r="E514" t="str">
            <v>C310252</v>
          </cell>
          <cell r="F514">
            <v>46143</v>
          </cell>
          <cell r="G514">
            <v>46507</v>
          </cell>
          <cell r="H514">
            <v>46179</v>
          </cell>
          <cell r="I514">
            <v>46179</v>
          </cell>
          <cell r="K514" t="str">
            <v>004078</v>
          </cell>
          <cell r="L514">
            <v>-66.260000000000005</v>
          </cell>
          <cell r="M514">
            <v>-66.260000000000005</v>
          </cell>
          <cell r="N514">
            <v>-66.260000000000005</v>
          </cell>
          <cell r="O514" t="str">
            <v>indiretto</v>
          </cell>
          <cell r="P514">
            <v>2</v>
          </cell>
          <cell r="Q514" t="str">
            <v>0.916558</v>
          </cell>
          <cell r="R514" t="str">
            <v>0.642623</v>
          </cell>
          <cell r="S514" t="str">
            <v>0.256196</v>
          </cell>
          <cell r="T514" t="str">
            <v>NO</v>
          </cell>
          <cell r="U514" t="str">
            <v>DELIBERAZIONE EGATO 29 19/12/2018</v>
          </cell>
        </row>
        <row r="515">
          <cell r="A515" t="str">
            <v>C322009</v>
          </cell>
          <cell r="B515">
            <v>202601308142061</v>
          </cell>
          <cell r="D515" t="str">
            <v>ATO4</v>
          </cell>
          <cell r="E515" t="str">
            <v>C322009</v>
          </cell>
          <cell r="F515">
            <v>46143</v>
          </cell>
          <cell r="G515">
            <v>46507</v>
          </cell>
          <cell r="H515">
            <v>46179</v>
          </cell>
          <cell r="I515">
            <v>46179</v>
          </cell>
          <cell r="K515" t="str">
            <v>004028</v>
          </cell>
          <cell r="L515">
            <v>-99.39</v>
          </cell>
          <cell r="M515">
            <v>-99.39</v>
          </cell>
          <cell r="N515">
            <v>-99.39</v>
          </cell>
          <cell r="O515" t="str">
            <v>indiretto</v>
          </cell>
          <cell r="P515">
            <v>3</v>
          </cell>
          <cell r="Q515" t="str">
            <v>0.916558</v>
          </cell>
          <cell r="R515" t="str">
            <v>0.642623</v>
          </cell>
          <cell r="S515" t="str">
            <v>0.256196</v>
          </cell>
          <cell r="T515" t="str">
            <v>NO</v>
          </cell>
          <cell r="U515" t="str">
            <v>DELIBERAZIONE EGATO 29 19/12/2018</v>
          </cell>
        </row>
        <row r="516">
          <cell r="A516" t="str">
            <v>C308425</v>
          </cell>
          <cell r="B516">
            <v>202601308149155</v>
          </cell>
          <cell r="D516" t="str">
            <v>ATO4</v>
          </cell>
          <cell r="E516" t="str">
            <v>C308425</v>
          </cell>
          <cell r="F516">
            <v>46143</v>
          </cell>
          <cell r="G516">
            <v>46507</v>
          </cell>
          <cell r="H516">
            <v>46179</v>
          </cell>
          <cell r="I516">
            <v>46179</v>
          </cell>
          <cell r="K516" t="str">
            <v>004028</v>
          </cell>
          <cell r="L516">
            <v>-66.260000000000005</v>
          </cell>
          <cell r="M516">
            <v>-66.260000000000005</v>
          </cell>
          <cell r="N516">
            <v>-66.260000000000005</v>
          </cell>
          <cell r="O516" t="str">
            <v>indiretto</v>
          </cell>
          <cell r="P516">
            <v>2</v>
          </cell>
          <cell r="Q516" t="str">
            <v>0.916558</v>
          </cell>
          <cell r="R516" t="str">
            <v>0.642623</v>
          </cell>
          <cell r="S516" t="str">
            <v>0.256196</v>
          </cell>
          <cell r="T516" t="str">
            <v>NO</v>
          </cell>
          <cell r="U516" t="str">
            <v>DELIBERAZIONE EGATO 29 19/12/2018</v>
          </cell>
        </row>
        <row r="517">
          <cell r="A517" t="str">
            <v>C120109</v>
          </cell>
          <cell r="B517">
            <v>202601308157222</v>
          </cell>
          <cell r="D517" t="str">
            <v>ATO4</v>
          </cell>
          <cell r="E517" t="str">
            <v>C120109</v>
          </cell>
          <cell r="F517">
            <v>46143</v>
          </cell>
          <cell r="G517">
            <v>46507</v>
          </cell>
          <cell r="H517">
            <v>46179</v>
          </cell>
          <cell r="I517">
            <v>46179</v>
          </cell>
          <cell r="K517" t="str">
            <v>004078</v>
          </cell>
          <cell r="L517">
            <v>-198.78</v>
          </cell>
          <cell r="M517">
            <v>-198.78</v>
          </cell>
          <cell r="N517">
            <v>-198.78</v>
          </cell>
          <cell r="O517" t="str">
            <v>indiretto</v>
          </cell>
          <cell r="P517">
            <v>6</v>
          </cell>
          <cell r="Q517" t="str">
            <v>0.916558</v>
          </cell>
          <cell r="R517" t="str">
            <v>0.642623</v>
          </cell>
          <cell r="S517" t="str">
            <v>0.256196</v>
          </cell>
          <cell r="T517" t="str">
            <v>NO</v>
          </cell>
          <cell r="U517" t="str">
            <v>DELIBERAZIONE EGATO 29 19/12/2018</v>
          </cell>
        </row>
        <row r="518">
          <cell r="A518" t="str">
            <v>C344127</v>
          </cell>
          <cell r="B518">
            <v>202601308163479</v>
          </cell>
          <cell r="D518" t="str">
            <v>ATO4</v>
          </cell>
          <cell r="E518" t="str">
            <v>C344127</v>
          </cell>
          <cell r="F518">
            <v>46143</v>
          </cell>
          <cell r="G518">
            <v>46507</v>
          </cell>
          <cell r="H518">
            <v>46179</v>
          </cell>
          <cell r="I518">
            <v>46179</v>
          </cell>
          <cell r="K518" t="str">
            <v>004025</v>
          </cell>
          <cell r="L518">
            <v>-132.52000000000001</v>
          </cell>
          <cell r="M518">
            <v>-132.52000000000001</v>
          </cell>
          <cell r="N518">
            <v>-132.52000000000001</v>
          </cell>
          <cell r="O518" t="str">
            <v>indiretto</v>
          </cell>
          <cell r="P518">
            <v>4</v>
          </cell>
          <cell r="Q518" t="str">
            <v>0.916558</v>
          </cell>
          <cell r="R518" t="str">
            <v>0.642623</v>
          </cell>
          <cell r="S518" t="str">
            <v>0.256196</v>
          </cell>
          <cell r="T518" t="str">
            <v>NO</v>
          </cell>
          <cell r="U518" t="str">
            <v>DELIBERAZIONE EGATO 29 19/12/2018</v>
          </cell>
        </row>
        <row r="519">
          <cell r="A519" t="str">
            <v>C314270</v>
          </cell>
          <cell r="B519">
            <v>202601308170934</v>
          </cell>
          <cell r="D519" t="str">
            <v>ATO4</v>
          </cell>
          <cell r="E519" t="str">
            <v>C314270</v>
          </cell>
          <cell r="F519">
            <v>46143</v>
          </cell>
          <cell r="G519">
            <v>46507</v>
          </cell>
          <cell r="H519">
            <v>46179</v>
          </cell>
          <cell r="I519">
            <v>46179</v>
          </cell>
          <cell r="K519" t="str">
            <v>004078</v>
          </cell>
          <cell r="L519">
            <v>-99.39</v>
          </cell>
          <cell r="M519">
            <v>-99.39</v>
          </cell>
          <cell r="N519">
            <v>-99.39</v>
          </cell>
          <cell r="O519" t="str">
            <v>indiretto</v>
          </cell>
          <cell r="P519">
            <v>3</v>
          </cell>
          <cell r="Q519" t="str">
            <v>0.916558</v>
          </cell>
          <cell r="R519" t="str">
            <v>0.642623</v>
          </cell>
          <cell r="S519" t="str">
            <v>0.256196</v>
          </cell>
          <cell r="T519" t="str">
            <v>NO</v>
          </cell>
          <cell r="U519" t="str">
            <v>DELIBERAZIONE EGATO 29 19/12/2018</v>
          </cell>
        </row>
        <row r="520">
          <cell r="A520" t="str">
            <v>C313310</v>
          </cell>
          <cell r="B520">
            <v>202601308179079</v>
          </cell>
          <cell r="D520" t="str">
            <v>ATO4</v>
          </cell>
          <cell r="E520" t="str">
            <v>C313310</v>
          </cell>
          <cell r="F520">
            <v>46143</v>
          </cell>
          <cell r="G520">
            <v>46507</v>
          </cell>
          <cell r="H520">
            <v>46179</v>
          </cell>
          <cell r="I520">
            <v>46179</v>
          </cell>
          <cell r="K520" t="str">
            <v>004078</v>
          </cell>
          <cell r="L520">
            <v>-99.39</v>
          </cell>
          <cell r="M520">
            <v>-99.39</v>
          </cell>
          <cell r="N520">
            <v>-99.39</v>
          </cell>
          <cell r="O520" t="str">
            <v>indiretto</v>
          </cell>
          <cell r="P520">
            <v>3</v>
          </cell>
          <cell r="Q520" t="str">
            <v>0.916558</v>
          </cell>
          <cell r="R520" t="str">
            <v>0.642623</v>
          </cell>
          <cell r="S520" t="str">
            <v>0.256196</v>
          </cell>
          <cell r="T520" t="str">
            <v>NO</v>
          </cell>
          <cell r="U520" t="str">
            <v>DELIBERAZIONE EGATO 29 19/12/2018</v>
          </cell>
        </row>
        <row r="521">
          <cell r="A521" t="str">
            <v>C320297</v>
          </cell>
          <cell r="B521">
            <v>202601308180438</v>
          </cell>
          <cell r="D521" t="str">
            <v>ATO4</v>
          </cell>
          <cell r="E521" t="str">
            <v>C320297</v>
          </cell>
          <cell r="F521">
            <v>46143</v>
          </cell>
          <cell r="G521">
            <v>46507</v>
          </cell>
          <cell r="H521">
            <v>46179</v>
          </cell>
          <cell r="I521">
            <v>46179</v>
          </cell>
          <cell r="K521" t="str">
            <v>004078</v>
          </cell>
          <cell r="L521">
            <v>-99.39</v>
          </cell>
          <cell r="M521">
            <v>-99.39</v>
          </cell>
          <cell r="N521">
            <v>-99.39</v>
          </cell>
          <cell r="O521" t="str">
            <v>indiretto</v>
          </cell>
          <cell r="P521">
            <v>3</v>
          </cell>
          <cell r="Q521" t="str">
            <v>0.916558</v>
          </cell>
          <cell r="R521" t="str">
            <v>0.642623</v>
          </cell>
          <cell r="S521" t="str">
            <v>0.256196</v>
          </cell>
          <cell r="T521" t="str">
            <v>NO</v>
          </cell>
          <cell r="U521" t="str">
            <v>DELIBERAZIONE EGATO 29 19/12/2018</v>
          </cell>
        </row>
        <row r="522">
          <cell r="A522" t="str">
            <v>C344113</v>
          </cell>
          <cell r="B522">
            <v>202601308186155</v>
          </cell>
          <cell r="D522" t="str">
            <v>ATO4</v>
          </cell>
          <cell r="E522" t="str">
            <v>C344113</v>
          </cell>
          <cell r="F522">
            <v>46143</v>
          </cell>
          <cell r="G522">
            <v>46507</v>
          </cell>
          <cell r="H522">
            <v>46179</v>
          </cell>
          <cell r="I522">
            <v>46179</v>
          </cell>
          <cell r="K522" t="str">
            <v>004095</v>
          </cell>
          <cell r="L522">
            <v>-178.91</v>
          </cell>
          <cell r="M522">
            <v>-178.91</v>
          </cell>
          <cell r="N522">
            <v>-178.91</v>
          </cell>
          <cell r="O522" t="str">
            <v>indiretto</v>
          </cell>
          <cell r="P522">
            <v>6</v>
          </cell>
          <cell r="Q522" t="str">
            <v>0.824903</v>
          </cell>
          <cell r="R522" t="str">
            <v>0.578360</v>
          </cell>
          <cell r="S522" t="str">
            <v>0.230576</v>
          </cell>
          <cell r="T522" t="str">
            <v>NO</v>
          </cell>
          <cell r="U522" t="str">
            <v>DELIBERAZIONE EGATO 29 19/12/2018</v>
          </cell>
        </row>
        <row r="523">
          <cell r="A523" t="str">
            <v>C320545</v>
          </cell>
          <cell r="B523">
            <v>202601308186189</v>
          </cell>
          <cell r="D523" t="str">
            <v>ATO4</v>
          </cell>
          <cell r="E523" t="str">
            <v>C320545</v>
          </cell>
          <cell r="F523">
            <v>46143</v>
          </cell>
          <cell r="G523">
            <v>46507</v>
          </cell>
          <cell r="H523">
            <v>46179</v>
          </cell>
          <cell r="I523">
            <v>46179</v>
          </cell>
          <cell r="K523" t="str">
            <v>004078</v>
          </cell>
          <cell r="L523">
            <v>-99.39</v>
          </cell>
          <cell r="M523">
            <v>-99.39</v>
          </cell>
          <cell r="N523">
            <v>-99.39</v>
          </cell>
          <cell r="O523" t="str">
            <v>indiretto</v>
          </cell>
          <cell r="P523">
            <v>3</v>
          </cell>
          <cell r="Q523" t="str">
            <v>0.916558</v>
          </cell>
          <cell r="R523" t="str">
            <v>0.642623</v>
          </cell>
          <cell r="S523" t="str">
            <v>0.256196</v>
          </cell>
          <cell r="T523" t="str">
            <v>NO</v>
          </cell>
          <cell r="U523" t="str">
            <v>DELIBERAZIONE EGATO 29 19/12/2018</v>
          </cell>
        </row>
        <row r="524">
          <cell r="A524" t="str">
            <v>C337679</v>
          </cell>
          <cell r="B524">
            <v>202601308186627</v>
          </cell>
          <cell r="D524" t="str">
            <v>ATO4</v>
          </cell>
          <cell r="E524" t="str">
            <v>C337679</v>
          </cell>
          <cell r="F524">
            <v>46143</v>
          </cell>
          <cell r="G524">
            <v>46507</v>
          </cell>
          <cell r="H524">
            <v>46179</v>
          </cell>
          <cell r="I524">
            <v>46179</v>
          </cell>
          <cell r="K524" t="str">
            <v>004192</v>
          </cell>
          <cell r="L524">
            <v>-132.52000000000001</v>
          </cell>
          <cell r="M524">
            <v>-132.52000000000001</v>
          </cell>
          <cell r="N524">
            <v>-132.52000000000001</v>
          </cell>
          <cell r="O524" t="str">
            <v>indiretto</v>
          </cell>
          <cell r="P524">
            <v>4</v>
          </cell>
          <cell r="Q524" t="str">
            <v>0.916558</v>
          </cell>
          <cell r="R524" t="str">
            <v>0.642623</v>
          </cell>
          <cell r="S524" t="str">
            <v>0.256196</v>
          </cell>
          <cell r="T524" t="str">
            <v>NO</v>
          </cell>
          <cell r="U524" t="str">
            <v>DELIBERAZIONE EGATO 29 19/12/2018</v>
          </cell>
        </row>
        <row r="525">
          <cell r="A525" t="str">
            <v>C344134</v>
          </cell>
          <cell r="B525">
            <v>202601308187894</v>
          </cell>
          <cell r="D525" t="str">
            <v>ATO4</v>
          </cell>
          <cell r="E525" t="str">
            <v>C344134</v>
          </cell>
          <cell r="F525">
            <v>46143</v>
          </cell>
          <cell r="G525">
            <v>46507</v>
          </cell>
          <cell r="H525">
            <v>46179</v>
          </cell>
          <cell r="I525">
            <v>46179</v>
          </cell>
          <cell r="K525" t="str">
            <v>004066</v>
          </cell>
          <cell r="L525">
            <v>-66.260000000000005</v>
          </cell>
          <cell r="M525">
            <v>-66.260000000000005</v>
          </cell>
          <cell r="N525">
            <v>-66.260000000000005</v>
          </cell>
          <cell r="O525" t="str">
            <v>indiretto</v>
          </cell>
          <cell r="P525">
            <v>2</v>
          </cell>
          <cell r="Q525" t="str">
            <v>0.916558</v>
          </cell>
          <cell r="R525" t="str">
            <v>0.642623</v>
          </cell>
          <cell r="S525" t="str">
            <v>0.256196</v>
          </cell>
          <cell r="T525" t="str">
            <v>NO</v>
          </cell>
          <cell r="U525" t="str">
            <v>DELIBERAZIONE EGATO 29 19/12/2018</v>
          </cell>
        </row>
        <row r="526">
          <cell r="A526" t="str">
            <v>C344114</v>
          </cell>
          <cell r="B526">
            <v>202601308187898</v>
          </cell>
          <cell r="D526" t="str">
            <v>ATO4</v>
          </cell>
          <cell r="E526" t="str">
            <v>C344114</v>
          </cell>
          <cell r="F526">
            <v>46143</v>
          </cell>
          <cell r="G526">
            <v>46507</v>
          </cell>
          <cell r="H526">
            <v>46179</v>
          </cell>
          <cell r="I526">
            <v>46179</v>
          </cell>
          <cell r="K526" t="str">
            <v>004078</v>
          </cell>
          <cell r="L526">
            <v>-66.260000000000005</v>
          </cell>
          <cell r="M526">
            <v>-66.260000000000005</v>
          </cell>
          <cell r="N526">
            <v>-66.260000000000005</v>
          </cell>
          <cell r="O526" t="str">
            <v>indiretto</v>
          </cell>
          <cell r="P526">
            <v>2</v>
          </cell>
          <cell r="Q526" t="str">
            <v>0.916558</v>
          </cell>
          <cell r="R526" t="str">
            <v>0.642623</v>
          </cell>
          <cell r="S526" t="str">
            <v>0.256196</v>
          </cell>
          <cell r="T526" t="str">
            <v>NO</v>
          </cell>
          <cell r="U526" t="str">
            <v>DELIBERAZIONE EGATO 29 19/12/2018</v>
          </cell>
        </row>
        <row r="527">
          <cell r="A527" t="str">
            <v>C309287</v>
          </cell>
          <cell r="B527">
            <v>202601308190525</v>
          </cell>
          <cell r="D527" t="str">
            <v>ATO4</v>
          </cell>
          <cell r="E527" t="str">
            <v>C309287</v>
          </cell>
          <cell r="F527">
            <v>46143</v>
          </cell>
          <cell r="G527">
            <v>46507</v>
          </cell>
          <cell r="H527">
            <v>46179</v>
          </cell>
          <cell r="I527">
            <v>46179</v>
          </cell>
          <cell r="K527" t="str">
            <v>004078</v>
          </cell>
          <cell r="L527">
            <v>-165.65</v>
          </cell>
          <cell r="M527">
            <v>-165.65</v>
          </cell>
          <cell r="N527">
            <v>-165.65</v>
          </cell>
          <cell r="O527" t="str">
            <v>indiretto</v>
          </cell>
          <cell r="P527">
            <v>5</v>
          </cell>
          <cell r="Q527" t="str">
            <v>0.916558</v>
          </cell>
          <cell r="R527" t="str">
            <v>0.642623</v>
          </cell>
          <cell r="S527" t="str">
            <v>0.256196</v>
          </cell>
          <cell r="T527" t="str">
            <v>NO</v>
          </cell>
          <cell r="U527" t="str">
            <v>DELIBERAZIONE EGATO 29 19/12/2018</v>
          </cell>
        </row>
        <row r="528">
          <cell r="A528" t="str">
            <v>C342348</v>
          </cell>
          <cell r="B528">
            <v>202601308191166</v>
          </cell>
          <cell r="D528" t="str">
            <v>ATO4</v>
          </cell>
          <cell r="E528" t="str">
            <v>C342348</v>
          </cell>
          <cell r="F528">
            <v>46143</v>
          </cell>
          <cell r="G528">
            <v>46507</v>
          </cell>
          <cell r="H528">
            <v>46179</v>
          </cell>
          <cell r="I528">
            <v>46179</v>
          </cell>
          <cell r="K528" t="str">
            <v>004179</v>
          </cell>
          <cell r="L528">
            <v>-28.78</v>
          </cell>
          <cell r="M528">
            <v>-28.78</v>
          </cell>
          <cell r="N528">
            <v>-28.78</v>
          </cell>
          <cell r="O528" t="str">
            <v>indiretto</v>
          </cell>
          <cell r="P528">
            <v>1</v>
          </cell>
          <cell r="Q528" t="str">
            <v>0.802937</v>
          </cell>
          <cell r="R528" t="str">
            <v>0.568257</v>
          </cell>
          <cell r="S528" t="str">
            <v>0.205575</v>
          </cell>
          <cell r="T528" t="str">
            <v>NO</v>
          </cell>
          <cell r="U528" t="str">
            <v>DELIBERAZIONE EGATO 11 27/03/2019</v>
          </cell>
        </row>
        <row r="529">
          <cell r="A529" t="str">
            <v>C344135</v>
          </cell>
          <cell r="B529">
            <v>202601308206408</v>
          </cell>
          <cell r="D529" t="str">
            <v>ATO4</v>
          </cell>
          <cell r="E529" t="str">
            <v>C344135</v>
          </cell>
          <cell r="F529">
            <v>46143</v>
          </cell>
          <cell r="G529">
            <v>46507</v>
          </cell>
          <cell r="H529">
            <v>46179</v>
          </cell>
          <cell r="I529">
            <v>46179</v>
          </cell>
          <cell r="K529" t="str">
            <v>004078</v>
          </cell>
          <cell r="L529">
            <v>-66.260000000000005</v>
          </cell>
          <cell r="M529">
            <v>-66.260000000000005</v>
          </cell>
          <cell r="N529">
            <v>-66.260000000000005</v>
          </cell>
          <cell r="O529" t="str">
            <v>indiretto</v>
          </cell>
          <cell r="P529">
            <v>2</v>
          </cell>
          <cell r="Q529" t="str">
            <v>0.916558</v>
          </cell>
          <cell r="R529" t="str">
            <v>0.642623</v>
          </cell>
          <cell r="S529" t="str">
            <v>0.256196</v>
          </cell>
          <cell r="T529" t="str">
            <v>NO</v>
          </cell>
          <cell r="U529" t="str">
            <v>DELIBERAZIONE EGATO 29 19/12/2018</v>
          </cell>
        </row>
        <row r="530">
          <cell r="A530" t="str">
            <v>C312940</v>
          </cell>
          <cell r="B530">
            <v>202601308211327</v>
          </cell>
          <cell r="D530" t="str">
            <v>ATO4</v>
          </cell>
          <cell r="E530" t="str">
            <v>C312940</v>
          </cell>
          <cell r="F530">
            <v>46143</v>
          </cell>
          <cell r="G530">
            <v>46507</v>
          </cell>
          <cell r="H530">
            <v>46179</v>
          </cell>
          <cell r="I530">
            <v>46179</v>
          </cell>
          <cell r="K530" t="str">
            <v>004040</v>
          </cell>
          <cell r="L530">
            <v>-132.52000000000001</v>
          </cell>
          <cell r="M530">
            <v>-132.52000000000001</v>
          </cell>
          <cell r="N530">
            <v>-132.52000000000001</v>
          </cell>
          <cell r="O530" t="str">
            <v>indiretto</v>
          </cell>
          <cell r="P530">
            <v>4</v>
          </cell>
          <cell r="Q530" t="str">
            <v>0.916558</v>
          </cell>
          <cell r="R530" t="str">
            <v>0.642623</v>
          </cell>
          <cell r="S530" t="str">
            <v>0.256196</v>
          </cell>
          <cell r="T530" t="str">
            <v>NO</v>
          </cell>
          <cell r="U530" t="str">
            <v>DELIBERAZIONE EGATO 29 19/12/2018</v>
          </cell>
        </row>
        <row r="531">
          <cell r="A531" t="str">
            <v>C309615</v>
          </cell>
          <cell r="B531">
            <v>202601308223030</v>
          </cell>
          <cell r="D531" t="str">
            <v>ATO4</v>
          </cell>
          <cell r="E531" t="str">
            <v>C309615</v>
          </cell>
          <cell r="F531">
            <v>46143</v>
          </cell>
          <cell r="G531">
            <v>46507</v>
          </cell>
          <cell r="H531">
            <v>46179</v>
          </cell>
          <cell r="I531">
            <v>46179</v>
          </cell>
          <cell r="K531" t="str">
            <v>004157</v>
          </cell>
          <cell r="L531">
            <v>-33.130000000000003</v>
          </cell>
          <cell r="M531">
            <v>-33.130000000000003</v>
          </cell>
          <cell r="N531">
            <v>-33.130000000000003</v>
          </cell>
          <cell r="O531" t="str">
            <v>indiretto</v>
          </cell>
          <cell r="P531">
            <v>1</v>
          </cell>
          <cell r="Q531" t="str">
            <v>0.916558</v>
          </cell>
          <cell r="R531" t="str">
            <v>0.642623</v>
          </cell>
          <cell r="S531" t="str">
            <v>0.256196</v>
          </cell>
          <cell r="T531" t="str">
            <v>NO</v>
          </cell>
          <cell r="U531" t="str">
            <v>DELIBERAZIONE EGATO 29 19/12/2018</v>
          </cell>
        </row>
        <row r="532">
          <cell r="A532" t="str">
            <v>C312891</v>
          </cell>
          <cell r="B532">
            <v>202601308224653</v>
          </cell>
          <cell r="D532" t="str">
            <v>ATO4</v>
          </cell>
          <cell r="E532" t="str">
            <v>C312891</v>
          </cell>
          <cell r="F532">
            <v>46143</v>
          </cell>
          <cell r="G532">
            <v>46507</v>
          </cell>
          <cell r="H532">
            <v>46179</v>
          </cell>
          <cell r="I532">
            <v>46179</v>
          </cell>
          <cell r="K532" t="str">
            <v>004086</v>
          </cell>
          <cell r="L532">
            <v>-77.319999999999993</v>
          </cell>
          <cell r="M532">
            <v>-77.319999999999993</v>
          </cell>
          <cell r="N532">
            <v>-77.319999999999993</v>
          </cell>
          <cell r="O532" t="str">
            <v>indiretto</v>
          </cell>
          <cell r="P532">
            <v>2</v>
          </cell>
          <cell r="Q532">
            <v>1091278</v>
          </cell>
          <cell r="R532" t="str">
            <v>0.730790</v>
          </cell>
          <cell r="S532" t="str">
            <v>0.296264</v>
          </cell>
          <cell r="T532" t="str">
            <v>NO</v>
          </cell>
          <cell r="U532" t="str">
            <v>DELIBERAZIONE EGATO 2 04/02/2019</v>
          </cell>
        </row>
        <row r="533">
          <cell r="A533" t="str">
            <v>C344269</v>
          </cell>
          <cell r="B533">
            <v>202601308226719</v>
          </cell>
          <cell r="D533" t="str">
            <v>ATO4</v>
          </cell>
          <cell r="E533" t="str">
            <v>C344269</v>
          </cell>
          <cell r="F533">
            <v>46143</v>
          </cell>
          <cell r="G533">
            <v>46507</v>
          </cell>
          <cell r="H533">
            <v>46179</v>
          </cell>
          <cell r="I533">
            <v>46179</v>
          </cell>
          <cell r="K533" t="str">
            <v>004130</v>
          </cell>
          <cell r="L533">
            <v>-52.52</v>
          </cell>
          <cell r="M533">
            <v>-52.52</v>
          </cell>
          <cell r="N533">
            <v>-52.52</v>
          </cell>
          <cell r="O533" t="str">
            <v>indiretto</v>
          </cell>
          <cell r="P533">
            <v>2</v>
          </cell>
          <cell r="Q533" t="str">
            <v>0.545182</v>
          </cell>
          <cell r="R533" t="str">
            <v>0.611443</v>
          </cell>
          <cell r="S533" t="str">
            <v>0.282207</v>
          </cell>
          <cell r="T533" t="str">
            <v>NO</v>
          </cell>
          <cell r="U533" t="str">
            <v>DELIBERA EGATO N.29 DEL 19/12/2018</v>
          </cell>
        </row>
        <row r="534">
          <cell r="A534" t="str">
            <v>C314424</v>
          </cell>
          <cell r="B534">
            <v>202601308236301</v>
          </cell>
          <cell r="D534" t="str">
            <v>ATO4</v>
          </cell>
          <cell r="E534" t="str">
            <v>C314424</v>
          </cell>
          <cell r="F534">
            <v>46143</v>
          </cell>
          <cell r="G534">
            <v>46507</v>
          </cell>
          <cell r="H534">
            <v>46179</v>
          </cell>
          <cell r="I534">
            <v>46179</v>
          </cell>
          <cell r="K534" t="str">
            <v>004012</v>
          </cell>
          <cell r="L534">
            <v>-24.62</v>
          </cell>
          <cell r="M534">
            <v>-24.62</v>
          </cell>
          <cell r="N534">
            <v>-24.62</v>
          </cell>
          <cell r="O534" t="str">
            <v>indiretto</v>
          </cell>
          <cell r="P534">
            <v>1</v>
          </cell>
          <cell r="Q534" t="str">
            <v>0.716943</v>
          </cell>
          <cell r="R534" t="str">
            <v>0.463071</v>
          </cell>
          <cell r="S534" t="str">
            <v>0.169064</v>
          </cell>
          <cell r="T534" t="str">
            <v>NO</v>
          </cell>
          <cell r="U534" t="str">
            <v>DELIBERAZIONE EGATO 2 04/02/2019</v>
          </cell>
        </row>
        <row r="535">
          <cell r="A535" t="str">
            <v>C118840</v>
          </cell>
          <cell r="B535">
            <v>202601308239087</v>
          </cell>
          <cell r="D535" t="str">
            <v>ATO4</v>
          </cell>
          <cell r="E535" t="str">
            <v>C118840</v>
          </cell>
          <cell r="F535">
            <v>46143</v>
          </cell>
          <cell r="G535">
            <v>46507</v>
          </cell>
          <cell r="H535">
            <v>46179</v>
          </cell>
          <cell r="I535">
            <v>46179</v>
          </cell>
          <cell r="K535" t="str">
            <v>004034</v>
          </cell>
          <cell r="L535">
            <v>-33.130000000000003</v>
          </cell>
          <cell r="M535">
            <v>-33.130000000000003</v>
          </cell>
          <cell r="N535">
            <v>-33.130000000000003</v>
          </cell>
          <cell r="O535" t="str">
            <v>indiretto</v>
          </cell>
          <cell r="P535">
            <v>1</v>
          </cell>
          <cell r="Q535" t="str">
            <v>0.916558</v>
          </cell>
          <cell r="R535" t="str">
            <v>0.642623</v>
          </cell>
          <cell r="S535" t="str">
            <v>0.256196</v>
          </cell>
          <cell r="T535" t="str">
            <v>NO</v>
          </cell>
          <cell r="U535" t="str">
            <v>DELIBERAZIONE EGATO 29 19/12/2018</v>
          </cell>
        </row>
        <row r="536">
          <cell r="A536" t="str">
            <v>C319984</v>
          </cell>
          <cell r="B536">
            <v>202601308239344</v>
          </cell>
          <cell r="D536" t="str">
            <v>ATO4</v>
          </cell>
          <cell r="E536" t="str">
            <v>C319984</v>
          </cell>
          <cell r="F536">
            <v>46143</v>
          </cell>
          <cell r="G536">
            <v>46507</v>
          </cell>
          <cell r="H536">
            <v>46179</v>
          </cell>
          <cell r="I536">
            <v>46179</v>
          </cell>
          <cell r="K536" t="str">
            <v>004028</v>
          </cell>
          <cell r="L536">
            <v>-132.52000000000001</v>
          </cell>
          <cell r="M536">
            <v>-132.52000000000001</v>
          </cell>
          <cell r="N536">
            <v>-132.52000000000001</v>
          </cell>
          <cell r="O536" t="str">
            <v>indiretto</v>
          </cell>
          <cell r="P536">
            <v>4</v>
          </cell>
          <cell r="Q536" t="str">
            <v>0.916558</v>
          </cell>
          <cell r="R536" t="str">
            <v>0.642623</v>
          </cell>
          <cell r="S536" t="str">
            <v>0.256196</v>
          </cell>
          <cell r="T536" t="str">
            <v>NO</v>
          </cell>
          <cell r="U536" t="str">
            <v>DELIBERAZIONE EGATO 29 19/12/2018</v>
          </cell>
        </row>
        <row r="537">
          <cell r="A537" t="str">
            <v>C344268</v>
          </cell>
          <cell r="B537">
            <v>202601308244806</v>
          </cell>
          <cell r="D537" t="str">
            <v>ATO4</v>
          </cell>
          <cell r="E537" t="str">
            <v>C344268</v>
          </cell>
          <cell r="F537">
            <v>46143</v>
          </cell>
          <cell r="G537">
            <v>46507</v>
          </cell>
          <cell r="H537">
            <v>46179</v>
          </cell>
          <cell r="I537">
            <v>46179</v>
          </cell>
          <cell r="K537" t="str">
            <v>004130</v>
          </cell>
          <cell r="L537">
            <v>-52.52</v>
          </cell>
          <cell r="M537">
            <v>-52.52</v>
          </cell>
          <cell r="N537">
            <v>-52.52</v>
          </cell>
          <cell r="O537" t="str">
            <v>indiretto</v>
          </cell>
          <cell r="P537">
            <v>2</v>
          </cell>
          <cell r="Q537" t="str">
            <v>0.545182</v>
          </cell>
          <cell r="R537" t="str">
            <v>0.611443</v>
          </cell>
          <cell r="S537" t="str">
            <v>0.282207</v>
          </cell>
          <cell r="T537" t="str">
            <v>NO</v>
          </cell>
          <cell r="U537" t="str">
            <v>DELIBERA EGATO N.29 DEL 19/12/2018</v>
          </cell>
        </row>
        <row r="538">
          <cell r="A538" t="str">
            <v>C344210</v>
          </cell>
          <cell r="B538">
            <v>202601308252755</v>
          </cell>
          <cell r="D538" t="str">
            <v>ATO4</v>
          </cell>
          <cell r="E538" t="str">
            <v>C344210</v>
          </cell>
          <cell r="F538">
            <v>46143</v>
          </cell>
          <cell r="G538">
            <v>46507</v>
          </cell>
          <cell r="H538">
            <v>46179</v>
          </cell>
          <cell r="I538">
            <v>46179</v>
          </cell>
          <cell r="K538" t="str">
            <v>004130</v>
          </cell>
          <cell r="L538">
            <v>-52.52</v>
          </cell>
          <cell r="M538">
            <v>-52.52</v>
          </cell>
          <cell r="N538">
            <v>-52.52</v>
          </cell>
          <cell r="O538" t="str">
            <v>indiretto</v>
          </cell>
          <cell r="P538">
            <v>2</v>
          </cell>
          <cell r="Q538" t="str">
            <v>0.545182</v>
          </cell>
          <cell r="R538" t="str">
            <v>0.611443</v>
          </cell>
          <cell r="S538" t="str">
            <v>0.282207</v>
          </cell>
          <cell r="T538" t="str">
            <v>NO</v>
          </cell>
          <cell r="U538" t="str">
            <v>DELIBERA EGATO N.29 DEL 19/12/2018</v>
          </cell>
        </row>
        <row r="539">
          <cell r="A539" t="str">
            <v>C344211</v>
          </cell>
          <cell r="B539">
            <v>202601308253080</v>
          </cell>
          <cell r="D539" t="str">
            <v>ATO4</v>
          </cell>
          <cell r="E539" t="str">
            <v>C344211</v>
          </cell>
          <cell r="F539">
            <v>46143</v>
          </cell>
          <cell r="G539">
            <v>46507</v>
          </cell>
          <cell r="H539">
            <v>46179</v>
          </cell>
          <cell r="I539">
            <v>46179</v>
          </cell>
          <cell r="K539" t="str">
            <v>004066</v>
          </cell>
          <cell r="L539">
            <v>-132.52000000000001</v>
          </cell>
          <cell r="M539">
            <v>-132.52000000000001</v>
          </cell>
          <cell r="N539">
            <v>-132.52000000000001</v>
          </cell>
          <cell r="O539" t="str">
            <v>indiretto</v>
          </cell>
          <cell r="P539">
            <v>4</v>
          </cell>
          <cell r="Q539" t="str">
            <v>0.916558</v>
          </cell>
          <cell r="R539" t="str">
            <v>0.642623</v>
          </cell>
          <cell r="S539" t="str">
            <v>0.256196</v>
          </cell>
          <cell r="T539" t="str">
            <v>NO</v>
          </cell>
          <cell r="U539" t="str">
            <v>DELIBERAZIONE EGATO 29 19/12/2018</v>
          </cell>
        </row>
        <row r="540">
          <cell r="A540" t="str">
            <v>C344236</v>
          </cell>
          <cell r="B540">
            <v>202601308257520</v>
          </cell>
          <cell r="D540" t="str">
            <v>ATO4</v>
          </cell>
          <cell r="E540" t="str">
            <v>C344236</v>
          </cell>
          <cell r="F540">
            <v>46143</v>
          </cell>
          <cell r="G540">
            <v>46507</v>
          </cell>
          <cell r="H540">
            <v>46179</v>
          </cell>
          <cell r="I540">
            <v>46179</v>
          </cell>
          <cell r="K540" t="str">
            <v>004130</v>
          </cell>
          <cell r="L540">
            <v>-78.78</v>
          </cell>
          <cell r="M540">
            <v>-78.78</v>
          </cell>
          <cell r="N540">
            <v>-78.78</v>
          </cell>
          <cell r="O540" t="str">
            <v>indiretto</v>
          </cell>
          <cell r="P540">
            <v>3</v>
          </cell>
          <cell r="Q540" t="str">
            <v>0.545182</v>
          </cell>
          <cell r="R540" t="str">
            <v>0.611443</v>
          </cell>
          <cell r="S540" t="str">
            <v>0.282207</v>
          </cell>
          <cell r="T540" t="str">
            <v>NO</v>
          </cell>
          <cell r="U540" t="str">
            <v>DELIBERA EGATO N.29 DEL 19/12/2018</v>
          </cell>
        </row>
        <row r="541">
          <cell r="A541" t="str">
            <v>C089469</v>
          </cell>
          <cell r="B541">
            <v>202601308258938</v>
          </cell>
          <cell r="D541" t="str">
            <v>ATO4</v>
          </cell>
          <cell r="E541" t="str">
            <v>C089469</v>
          </cell>
          <cell r="F541">
            <v>46143</v>
          </cell>
          <cell r="G541">
            <v>46507</v>
          </cell>
          <cell r="H541">
            <v>46179</v>
          </cell>
          <cell r="I541">
            <v>46179</v>
          </cell>
          <cell r="K541" t="str">
            <v>004078</v>
          </cell>
          <cell r="L541">
            <v>-198.78</v>
          </cell>
          <cell r="M541">
            <v>-198.78</v>
          </cell>
          <cell r="N541">
            <v>-198.78</v>
          </cell>
          <cell r="O541" t="str">
            <v>indiretto</v>
          </cell>
          <cell r="P541">
            <v>6</v>
          </cell>
          <cell r="Q541" t="str">
            <v>0.916558</v>
          </cell>
          <cell r="R541" t="str">
            <v>0.642623</v>
          </cell>
          <cell r="S541" t="str">
            <v>0.256196</v>
          </cell>
          <cell r="T541" t="str">
            <v>NO</v>
          </cell>
          <cell r="U541" t="str">
            <v>DELIBERAZIONE EGATO 29 19/12/2018</v>
          </cell>
        </row>
        <row r="542">
          <cell r="A542" t="str">
            <v>C344182</v>
          </cell>
          <cell r="B542">
            <v>202601308261933</v>
          </cell>
          <cell r="D542" t="str">
            <v>ATO4</v>
          </cell>
          <cell r="E542" t="str">
            <v>C344182</v>
          </cell>
          <cell r="F542">
            <v>46143</v>
          </cell>
          <cell r="G542">
            <v>46507</v>
          </cell>
          <cell r="H542">
            <v>46179</v>
          </cell>
          <cell r="I542">
            <v>46179</v>
          </cell>
          <cell r="K542" t="str">
            <v>004078</v>
          </cell>
          <cell r="L542">
            <v>-66.260000000000005</v>
          </cell>
          <cell r="M542">
            <v>-66.260000000000005</v>
          </cell>
          <cell r="N542">
            <v>-66.260000000000005</v>
          </cell>
          <cell r="O542" t="str">
            <v>indiretto</v>
          </cell>
          <cell r="P542">
            <v>2</v>
          </cell>
          <cell r="Q542" t="str">
            <v>0.916558</v>
          </cell>
          <cell r="R542" t="str">
            <v>0.642623</v>
          </cell>
          <cell r="S542" t="str">
            <v>0.256196</v>
          </cell>
          <cell r="T542" t="str">
            <v>NO</v>
          </cell>
          <cell r="U542" t="str">
            <v>DELIBERAZIONE EGATO 29 19/12/2018</v>
          </cell>
        </row>
        <row r="543">
          <cell r="A543" t="str">
            <v>C344200</v>
          </cell>
          <cell r="B543">
            <v>202601308266259</v>
          </cell>
          <cell r="D543" t="str">
            <v>ATO4</v>
          </cell>
          <cell r="E543" t="str">
            <v>C344200</v>
          </cell>
          <cell r="F543">
            <v>46143</v>
          </cell>
          <cell r="G543">
            <v>46507</v>
          </cell>
          <cell r="H543">
            <v>46179</v>
          </cell>
          <cell r="I543">
            <v>46179</v>
          </cell>
          <cell r="K543" t="str">
            <v>004034</v>
          </cell>
          <cell r="L543">
            <v>-165.65</v>
          </cell>
          <cell r="M543">
            <v>-165.65</v>
          </cell>
          <cell r="N543">
            <v>-165.65</v>
          </cell>
          <cell r="O543" t="str">
            <v>indiretto</v>
          </cell>
          <cell r="P543">
            <v>5</v>
          </cell>
          <cell r="Q543" t="str">
            <v>0.916558</v>
          </cell>
          <cell r="R543" t="str">
            <v>0.642623</v>
          </cell>
          <cell r="S543" t="str">
            <v>0.256196</v>
          </cell>
          <cell r="T543" t="str">
            <v>NO</v>
          </cell>
          <cell r="U543" t="str">
            <v>DELIBERAZIONE EGATO 29 19/12/2018</v>
          </cell>
        </row>
        <row r="544">
          <cell r="A544" t="str">
            <v>C337683</v>
          </cell>
          <cell r="B544">
            <v>202601308285380</v>
          </cell>
          <cell r="D544" t="str">
            <v>ATO4</v>
          </cell>
          <cell r="E544" t="str">
            <v>C337683</v>
          </cell>
          <cell r="F544">
            <v>46143</v>
          </cell>
          <cell r="G544">
            <v>46507</v>
          </cell>
          <cell r="H544">
            <v>46179</v>
          </cell>
          <cell r="I544">
            <v>46179</v>
          </cell>
          <cell r="K544" t="str">
            <v>004016</v>
          </cell>
          <cell r="L544">
            <v>-33.130000000000003</v>
          </cell>
          <cell r="M544">
            <v>-33.130000000000003</v>
          </cell>
          <cell r="N544">
            <v>-33.130000000000003</v>
          </cell>
          <cell r="O544" t="str">
            <v>indiretto</v>
          </cell>
          <cell r="P544">
            <v>1</v>
          </cell>
          <cell r="Q544" t="str">
            <v>0.916558</v>
          </cell>
          <cell r="R544" t="str">
            <v>0.642623</v>
          </cell>
          <cell r="S544" t="str">
            <v>0.256196</v>
          </cell>
          <cell r="T544" t="str">
            <v>NO</v>
          </cell>
          <cell r="U544" t="str">
            <v>DELIBERAZIONE EGATO 29 19/12/2018</v>
          </cell>
        </row>
        <row r="545">
          <cell r="A545" t="str">
            <v>C309003</v>
          </cell>
          <cell r="B545">
            <v>202601308290668</v>
          </cell>
          <cell r="D545" t="str">
            <v>ATO4</v>
          </cell>
          <cell r="E545" t="str">
            <v>C309003</v>
          </cell>
          <cell r="F545">
            <v>46143</v>
          </cell>
          <cell r="G545">
            <v>46507</v>
          </cell>
          <cell r="H545">
            <v>46179</v>
          </cell>
          <cell r="I545">
            <v>46179</v>
          </cell>
          <cell r="K545" t="str">
            <v>004009</v>
          </cell>
          <cell r="L545">
            <v>-73.86</v>
          </cell>
          <cell r="M545">
            <v>-73.86</v>
          </cell>
          <cell r="N545">
            <v>-73.86</v>
          </cell>
          <cell r="O545" t="str">
            <v>indiretto</v>
          </cell>
          <cell r="P545">
            <v>3</v>
          </cell>
          <cell r="Q545" t="str">
            <v>0.716943</v>
          </cell>
          <cell r="R545" t="str">
            <v>0.463071</v>
          </cell>
          <cell r="S545" t="str">
            <v>0.169064</v>
          </cell>
          <cell r="T545" t="str">
            <v>NO</v>
          </cell>
          <cell r="U545" t="str">
            <v>DELIBERAZIONE EGATO 2 04/02/2019</v>
          </cell>
        </row>
        <row r="546">
          <cell r="A546" t="str">
            <v>C344125</v>
          </cell>
          <cell r="B546">
            <v>202601308293455</v>
          </cell>
          <cell r="D546" t="str">
            <v>ATO4</v>
          </cell>
          <cell r="E546" t="str">
            <v>C344125</v>
          </cell>
          <cell r="F546">
            <v>46143</v>
          </cell>
          <cell r="G546">
            <v>46507</v>
          </cell>
          <cell r="H546">
            <v>46179</v>
          </cell>
          <cell r="I546">
            <v>46179</v>
          </cell>
          <cell r="K546" t="str">
            <v>004179</v>
          </cell>
          <cell r="L546">
            <v>-28.78</v>
          </cell>
          <cell r="M546">
            <v>-28.78</v>
          </cell>
          <cell r="N546">
            <v>-28.78</v>
          </cell>
          <cell r="O546" t="str">
            <v>indiretto</v>
          </cell>
          <cell r="P546">
            <v>1</v>
          </cell>
          <cell r="Q546" t="str">
            <v>0.802937</v>
          </cell>
          <cell r="R546" t="str">
            <v>0.568257</v>
          </cell>
          <cell r="S546" t="str">
            <v>0.205575</v>
          </cell>
          <cell r="T546" t="str">
            <v>NO</v>
          </cell>
          <cell r="U546" t="str">
            <v>DELIBERAZIONE EGATO 11 27/03/2019</v>
          </cell>
        </row>
        <row r="547">
          <cell r="A547" t="str">
            <v>C344109</v>
          </cell>
          <cell r="B547">
            <v>202601308295197</v>
          </cell>
          <cell r="D547" t="str">
            <v>ATO4</v>
          </cell>
          <cell r="E547" t="str">
            <v>C344109</v>
          </cell>
          <cell r="F547">
            <v>46143</v>
          </cell>
          <cell r="G547">
            <v>46507</v>
          </cell>
          <cell r="H547">
            <v>46179</v>
          </cell>
          <cell r="I547">
            <v>46179</v>
          </cell>
          <cell r="K547" t="str">
            <v>004130</v>
          </cell>
          <cell r="L547">
            <v>-105.03</v>
          </cell>
          <cell r="M547">
            <v>-105.03</v>
          </cell>
          <cell r="N547">
            <v>-105.03</v>
          </cell>
          <cell r="O547" t="str">
            <v>indiretto</v>
          </cell>
          <cell r="P547">
            <v>4</v>
          </cell>
          <cell r="Q547" t="str">
            <v>0.545182</v>
          </cell>
          <cell r="R547" t="str">
            <v>0.611443</v>
          </cell>
          <cell r="S547" t="str">
            <v>0.282207</v>
          </cell>
          <cell r="T547" t="str">
            <v>NO</v>
          </cell>
          <cell r="U547" t="str">
            <v>DELIBERA EGATO N.29 DEL 19/12/2018</v>
          </cell>
        </row>
        <row r="548">
          <cell r="A548" t="str">
            <v>C344188</v>
          </cell>
          <cell r="B548">
            <v>202601308297781</v>
          </cell>
          <cell r="D548" t="str">
            <v>ATO4</v>
          </cell>
          <cell r="E548" t="str">
            <v>C344188</v>
          </cell>
          <cell r="F548">
            <v>46143</v>
          </cell>
          <cell r="G548">
            <v>46507</v>
          </cell>
          <cell r="H548">
            <v>46179</v>
          </cell>
          <cell r="I548">
            <v>46179</v>
          </cell>
          <cell r="K548" t="str">
            <v>004130</v>
          </cell>
          <cell r="L548">
            <v>-78.78</v>
          </cell>
          <cell r="M548">
            <v>-78.78</v>
          </cell>
          <cell r="N548">
            <v>-78.78</v>
          </cell>
          <cell r="O548" t="str">
            <v>indiretto</v>
          </cell>
          <cell r="P548">
            <v>3</v>
          </cell>
          <cell r="Q548" t="str">
            <v>0.545182</v>
          </cell>
          <cell r="R548" t="str">
            <v>0.611443</v>
          </cell>
          <cell r="S548" t="str">
            <v>0.282207</v>
          </cell>
          <cell r="T548" t="str">
            <v>NO</v>
          </cell>
          <cell r="U548" t="str">
            <v>DELIBERA EGATO N.29 DEL 19/12/2018</v>
          </cell>
        </row>
        <row r="549">
          <cell r="A549" t="str">
            <v>C307400</v>
          </cell>
          <cell r="B549">
            <v>202601308298240</v>
          </cell>
          <cell r="D549" t="str">
            <v>ATO4</v>
          </cell>
          <cell r="E549" t="str">
            <v>C307400</v>
          </cell>
          <cell r="F549">
            <v>46143</v>
          </cell>
          <cell r="G549">
            <v>46507</v>
          </cell>
          <cell r="H549">
            <v>46179</v>
          </cell>
          <cell r="I549">
            <v>46179</v>
          </cell>
          <cell r="K549" t="str">
            <v>004078</v>
          </cell>
          <cell r="L549">
            <v>-99.39</v>
          </cell>
          <cell r="M549">
            <v>-99.39</v>
          </cell>
          <cell r="N549">
            <v>-99.39</v>
          </cell>
          <cell r="O549" t="str">
            <v>indiretto</v>
          </cell>
          <cell r="P549">
            <v>3</v>
          </cell>
          <cell r="Q549" t="str">
            <v>0.916558</v>
          </cell>
          <cell r="R549" t="str">
            <v>0.642623</v>
          </cell>
          <cell r="S549" t="str">
            <v>0.256196</v>
          </cell>
          <cell r="T549" t="str">
            <v>NO</v>
          </cell>
          <cell r="U549" t="str">
            <v>DELIBERAZIONE EGATO 29 19/12/2018</v>
          </cell>
        </row>
        <row r="550">
          <cell r="A550" t="str">
            <v>C344136</v>
          </cell>
          <cell r="B550">
            <v>202601308301607</v>
          </cell>
          <cell r="D550" t="str">
            <v>ATO4</v>
          </cell>
          <cell r="E550" t="str">
            <v>C344136</v>
          </cell>
          <cell r="F550">
            <v>46143</v>
          </cell>
          <cell r="G550">
            <v>46507</v>
          </cell>
          <cell r="H550">
            <v>46179</v>
          </cell>
          <cell r="I550">
            <v>46179</v>
          </cell>
          <cell r="K550" t="str">
            <v>004078</v>
          </cell>
          <cell r="L550">
            <v>-99.39</v>
          </cell>
          <cell r="M550">
            <v>-99.39</v>
          </cell>
          <cell r="N550">
            <v>-99.39</v>
          </cell>
          <cell r="O550" t="str">
            <v>indiretto</v>
          </cell>
          <cell r="P550">
            <v>3</v>
          </cell>
          <cell r="Q550" t="str">
            <v>0.916558</v>
          </cell>
          <cell r="R550" t="str">
            <v>0.642623</v>
          </cell>
          <cell r="S550" t="str">
            <v>0.256196</v>
          </cell>
          <cell r="T550" t="str">
            <v>NO</v>
          </cell>
          <cell r="U550" t="str">
            <v>DELIBERAZIONE EGATO 29 19/12/2018</v>
          </cell>
        </row>
        <row r="551">
          <cell r="A551" t="str">
            <v>C119738</v>
          </cell>
          <cell r="B551">
            <v>202601308304569</v>
          </cell>
          <cell r="D551" t="str">
            <v>ATO4</v>
          </cell>
          <cell r="E551" t="str">
            <v>C119738</v>
          </cell>
          <cell r="F551">
            <v>46143</v>
          </cell>
          <cell r="G551">
            <v>46507</v>
          </cell>
          <cell r="H551">
            <v>46179</v>
          </cell>
          <cell r="I551">
            <v>46179</v>
          </cell>
          <cell r="K551" t="str">
            <v>004116</v>
          </cell>
          <cell r="L551">
            <v>-47.94</v>
          </cell>
          <cell r="M551">
            <v>-47.94</v>
          </cell>
          <cell r="N551">
            <v>-47.94</v>
          </cell>
          <cell r="O551" t="str">
            <v>indiretto</v>
          </cell>
          <cell r="P551">
            <v>2</v>
          </cell>
          <cell r="Q551" t="str">
            <v>0.721337</v>
          </cell>
          <cell r="R551" t="str">
            <v>0.441600</v>
          </cell>
          <cell r="S551" t="str">
            <v>0.150394</v>
          </cell>
          <cell r="T551" t="str">
            <v>NO</v>
          </cell>
          <cell r="U551" t="str">
            <v>DELIBERAZIONE EGATO 2 04/02/2019</v>
          </cell>
        </row>
        <row r="552">
          <cell r="A552" t="str">
            <v>C308806</v>
          </cell>
          <cell r="B552">
            <v>202601308314091</v>
          </cell>
          <cell r="D552" t="str">
            <v>ATO4</v>
          </cell>
          <cell r="E552" t="str">
            <v>C308806</v>
          </cell>
          <cell r="F552">
            <v>46143</v>
          </cell>
          <cell r="G552">
            <v>46507</v>
          </cell>
          <cell r="H552">
            <v>46179</v>
          </cell>
          <cell r="I552">
            <v>46179</v>
          </cell>
          <cell r="K552" t="str">
            <v>004040</v>
          </cell>
          <cell r="L552">
            <v>-33.130000000000003</v>
          </cell>
          <cell r="M552">
            <v>-33.130000000000003</v>
          </cell>
          <cell r="N552">
            <v>-33.130000000000003</v>
          </cell>
          <cell r="O552" t="str">
            <v>indiretto</v>
          </cell>
          <cell r="P552">
            <v>1</v>
          </cell>
          <cell r="Q552" t="str">
            <v>0.916558</v>
          </cell>
          <cell r="R552" t="str">
            <v>0.642623</v>
          </cell>
          <cell r="S552" t="str">
            <v>0.256196</v>
          </cell>
          <cell r="T552" t="str">
            <v>NO</v>
          </cell>
          <cell r="U552" t="str">
            <v>DELIBERAZIONE EGATO 29 19/12/2018</v>
          </cell>
        </row>
        <row r="553">
          <cell r="A553" t="str">
            <v>C312601</v>
          </cell>
          <cell r="B553">
            <v>202601308316627</v>
          </cell>
          <cell r="D553" t="str">
            <v>ATO4</v>
          </cell>
          <cell r="E553" t="str">
            <v>C312601</v>
          </cell>
          <cell r="F553">
            <v>46143</v>
          </cell>
          <cell r="G553">
            <v>46507</v>
          </cell>
          <cell r="H553">
            <v>46179</v>
          </cell>
          <cell r="I553">
            <v>46179</v>
          </cell>
          <cell r="K553" t="str">
            <v>004025</v>
          </cell>
          <cell r="L553">
            <v>-33.130000000000003</v>
          </cell>
          <cell r="M553">
            <v>-33.130000000000003</v>
          </cell>
          <cell r="N553">
            <v>-33.130000000000003</v>
          </cell>
          <cell r="O553" t="str">
            <v>indiretto</v>
          </cell>
          <cell r="P553">
            <v>1</v>
          </cell>
          <cell r="Q553" t="str">
            <v>0.916558</v>
          </cell>
          <cell r="R553" t="str">
            <v>0.642623</v>
          </cell>
          <cell r="S553" t="str">
            <v>0.256196</v>
          </cell>
          <cell r="T553" t="str">
            <v>NO</v>
          </cell>
          <cell r="U553" t="str">
            <v>DELIBERAZIONE EGATO 29 19/12/2018</v>
          </cell>
        </row>
        <row r="554">
          <cell r="A554" t="str">
            <v>CL15925</v>
          </cell>
          <cell r="B554">
            <v>202601308317649</v>
          </cell>
          <cell r="D554" t="str">
            <v>ATO4</v>
          </cell>
          <cell r="E554" t="str">
            <v>CL15925</v>
          </cell>
          <cell r="F554">
            <v>46143</v>
          </cell>
          <cell r="G554">
            <v>46507</v>
          </cell>
          <cell r="H554">
            <v>46179</v>
          </cell>
          <cell r="I554">
            <v>46179</v>
          </cell>
          <cell r="K554" t="str">
            <v>004081</v>
          </cell>
          <cell r="L554">
            <v>-75.900000000000006</v>
          </cell>
          <cell r="M554">
            <v>-75.900000000000006</v>
          </cell>
          <cell r="N554">
            <v>-75.900000000000006</v>
          </cell>
          <cell r="O554" t="str">
            <v>indiretto</v>
          </cell>
          <cell r="P554">
            <v>2</v>
          </cell>
          <cell r="Q554">
            <v>1091278</v>
          </cell>
          <cell r="R554" t="str">
            <v>0.691798</v>
          </cell>
          <cell r="S554" t="str">
            <v>0.296264</v>
          </cell>
          <cell r="T554" t="str">
            <v>NO</v>
          </cell>
          <cell r="U554" t="str">
            <v>DELIBERAZIONE EGATO 2 04/02/2019</v>
          </cell>
        </row>
        <row r="555">
          <cell r="A555" t="str">
            <v>C344108</v>
          </cell>
          <cell r="B555">
            <v>202601308318501</v>
          </cell>
          <cell r="D555" t="str">
            <v>ATO4</v>
          </cell>
          <cell r="E555" t="str">
            <v>C344108</v>
          </cell>
          <cell r="F555">
            <v>46143</v>
          </cell>
          <cell r="G555">
            <v>46507</v>
          </cell>
          <cell r="H555">
            <v>46179</v>
          </cell>
          <cell r="I555">
            <v>46179</v>
          </cell>
          <cell r="K555" t="str">
            <v>004019</v>
          </cell>
          <cell r="L555">
            <v>-78.78</v>
          </cell>
          <cell r="M555">
            <v>-78.78</v>
          </cell>
          <cell r="N555">
            <v>-78.78</v>
          </cell>
          <cell r="O555" t="str">
            <v>indiretto</v>
          </cell>
          <cell r="P555">
            <v>3</v>
          </cell>
          <cell r="Q555" t="str">
            <v>0.545182</v>
          </cell>
          <cell r="R555" t="str">
            <v>0.611443</v>
          </cell>
          <cell r="S555" t="str">
            <v>0.282207</v>
          </cell>
          <cell r="T555" t="str">
            <v>NO</v>
          </cell>
          <cell r="U555" t="str">
            <v>DELIBERA EGATO N.29 DEL 19/12/2018</v>
          </cell>
        </row>
        <row r="556">
          <cell r="A556" t="str">
            <v>C116921</v>
          </cell>
          <cell r="B556">
            <v>202601308322705</v>
          </cell>
          <cell r="D556" t="str">
            <v>ATO4</v>
          </cell>
          <cell r="E556" t="str">
            <v>C116921</v>
          </cell>
          <cell r="F556">
            <v>46143</v>
          </cell>
          <cell r="G556">
            <v>46507</v>
          </cell>
          <cell r="H556">
            <v>46179</v>
          </cell>
          <cell r="I556">
            <v>46179</v>
          </cell>
          <cell r="K556" t="str">
            <v>004082</v>
          </cell>
          <cell r="L556">
            <v>-66.260000000000005</v>
          </cell>
          <cell r="M556">
            <v>-66.260000000000005</v>
          </cell>
          <cell r="N556">
            <v>-66.260000000000005</v>
          </cell>
          <cell r="O556" t="str">
            <v>indiretto</v>
          </cell>
          <cell r="P556">
            <v>2</v>
          </cell>
          <cell r="Q556" t="str">
            <v>0.916558</v>
          </cell>
          <cell r="R556" t="str">
            <v>0.642623</v>
          </cell>
          <cell r="S556" t="str">
            <v>0.256196</v>
          </cell>
          <cell r="T556" t="str">
            <v>NO</v>
          </cell>
          <cell r="U556" t="str">
            <v>DELIBERAZIONE EGATO 29 19/12/2018</v>
          </cell>
        </row>
        <row r="557">
          <cell r="A557" t="str">
            <v>C307016</v>
          </cell>
          <cell r="B557">
            <v>202601308326398</v>
          </cell>
          <cell r="D557" t="str">
            <v>ATO4</v>
          </cell>
          <cell r="E557" t="str">
            <v>C307016</v>
          </cell>
          <cell r="F557">
            <v>46143</v>
          </cell>
          <cell r="G557">
            <v>46507</v>
          </cell>
          <cell r="H557">
            <v>46179</v>
          </cell>
          <cell r="I557">
            <v>46179</v>
          </cell>
          <cell r="K557" t="str">
            <v>004071</v>
          </cell>
          <cell r="L557">
            <v>-154.63999999999999</v>
          </cell>
          <cell r="M557">
            <v>-154.63999999999999</v>
          </cell>
          <cell r="N557">
            <v>-154.63999999999999</v>
          </cell>
          <cell r="O557" t="str">
            <v>indiretto</v>
          </cell>
          <cell r="P557">
            <v>4</v>
          </cell>
          <cell r="Q557">
            <v>1091278</v>
          </cell>
          <cell r="R557" t="str">
            <v>0.730790</v>
          </cell>
          <cell r="S557" t="str">
            <v>0.296264</v>
          </cell>
          <cell r="T557" t="str">
            <v>NO</v>
          </cell>
          <cell r="U557" t="str">
            <v>DELIBERAZIONE EGATO 2 04/02/2019</v>
          </cell>
        </row>
        <row r="558">
          <cell r="A558" t="str">
            <v>C344189</v>
          </cell>
          <cell r="B558">
            <v>202601308327471</v>
          </cell>
          <cell r="D558" t="str">
            <v>ATO4</v>
          </cell>
          <cell r="E558" t="str">
            <v>C344189</v>
          </cell>
          <cell r="F558">
            <v>46143</v>
          </cell>
          <cell r="G558">
            <v>46507</v>
          </cell>
          <cell r="H558">
            <v>46179</v>
          </cell>
          <cell r="I558">
            <v>46179</v>
          </cell>
          <cell r="K558" t="str">
            <v>004081</v>
          </cell>
          <cell r="L558">
            <v>-151.79</v>
          </cell>
          <cell r="M558">
            <v>-151.79</v>
          </cell>
          <cell r="N558">
            <v>-151.79</v>
          </cell>
          <cell r="O558" t="str">
            <v>indiretto</v>
          </cell>
          <cell r="P558">
            <v>4</v>
          </cell>
          <cell r="Q558">
            <v>1091278</v>
          </cell>
          <cell r="R558" t="str">
            <v>0.691798</v>
          </cell>
          <cell r="S558" t="str">
            <v>0.296264</v>
          </cell>
          <cell r="T558" t="str">
            <v>NO</v>
          </cell>
          <cell r="U558" t="str">
            <v>DELIBERAZIONE EGATO 2 04/02/2019</v>
          </cell>
        </row>
        <row r="559">
          <cell r="A559" t="str">
            <v>C311783</v>
          </cell>
          <cell r="B559">
            <v>202601308328424</v>
          </cell>
          <cell r="D559" t="str">
            <v>ATO4</v>
          </cell>
          <cell r="E559" t="str">
            <v>C311783</v>
          </cell>
          <cell r="F559">
            <v>46143</v>
          </cell>
          <cell r="G559">
            <v>46507</v>
          </cell>
          <cell r="H559">
            <v>46179</v>
          </cell>
          <cell r="I559">
            <v>46179</v>
          </cell>
          <cell r="K559" t="str">
            <v>004109</v>
          </cell>
          <cell r="L559">
            <v>-114.94</v>
          </cell>
          <cell r="M559">
            <v>-114.94</v>
          </cell>
          <cell r="N559">
            <v>-114.94</v>
          </cell>
          <cell r="O559" t="str">
            <v>indiretto</v>
          </cell>
          <cell r="P559">
            <v>6</v>
          </cell>
          <cell r="Q559" t="str">
            <v>0.551679</v>
          </cell>
          <cell r="R559" t="str">
            <v>0.334574</v>
          </cell>
          <cell r="S559" t="str">
            <v>0.163417</v>
          </cell>
          <cell r="T559" t="str">
            <v>NO</v>
          </cell>
          <cell r="U559" t="str">
            <v>DELIBERA EGATO N. 38 12/12/22</v>
          </cell>
        </row>
        <row r="560">
          <cell r="A560" t="str">
            <v>C344110</v>
          </cell>
          <cell r="B560">
            <v>202601308330518</v>
          </cell>
          <cell r="D560" t="str">
            <v>ATO4</v>
          </cell>
          <cell r="E560" t="str">
            <v>C344110</v>
          </cell>
          <cell r="F560">
            <v>46143</v>
          </cell>
          <cell r="G560">
            <v>46507</v>
          </cell>
          <cell r="H560">
            <v>46179</v>
          </cell>
          <cell r="I560">
            <v>46179</v>
          </cell>
          <cell r="K560" t="str">
            <v>004095</v>
          </cell>
          <cell r="L560">
            <v>-89.45</v>
          </cell>
          <cell r="M560">
            <v>-89.45</v>
          </cell>
          <cell r="N560">
            <v>-89.45</v>
          </cell>
          <cell r="O560" t="str">
            <v>indiretto</v>
          </cell>
          <cell r="P560">
            <v>3</v>
          </cell>
          <cell r="Q560" t="str">
            <v>0.824903</v>
          </cell>
          <cell r="R560" t="str">
            <v>0.578360</v>
          </cell>
          <cell r="S560" t="str">
            <v>0.230576</v>
          </cell>
          <cell r="T560" t="str">
            <v>NO</v>
          </cell>
          <cell r="U560" t="str">
            <v>DELIBERAZIONE EGATO 29 19/12/2018</v>
          </cell>
        </row>
        <row r="561">
          <cell r="A561" t="str">
            <v>C312264</v>
          </cell>
          <cell r="B561">
            <v>202601308343984</v>
          </cell>
          <cell r="D561" t="str">
            <v>ATO4</v>
          </cell>
          <cell r="E561" t="str">
            <v>C312264</v>
          </cell>
          <cell r="F561">
            <v>46143</v>
          </cell>
          <cell r="G561">
            <v>46507</v>
          </cell>
          <cell r="H561">
            <v>46179</v>
          </cell>
          <cell r="I561">
            <v>46179</v>
          </cell>
          <cell r="K561" t="str">
            <v>004208</v>
          </cell>
          <cell r="L561">
            <v>-105.33</v>
          </cell>
          <cell r="M561">
            <v>-105.33</v>
          </cell>
          <cell r="N561">
            <v>-105.33</v>
          </cell>
          <cell r="O561" t="str">
            <v>indiretto</v>
          </cell>
          <cell r="P561">
            <v>3</v>
          </cell>
          <cell r="Q561">
            <v>1193061</v>
          </cell>
          <cell r="R561" t="str">
            <v>0.545393</v>
          </cell>
          <cell r="S561" t="str">
            <v>0.185433</v>
          </cell>
          <cell r="T561" t="str">
            <v>NO</v>
          </cell>
          <cell r="U561" t="str">
            <v>DELIBERAZIONE EGATO 11 27/03/2019</v>
          </cell>
        </row>
        <row r="562">
          <cell r="A562" t="str">
            <v>C313479</v>
          </cell>
          <cell r="B562">
            <v>202601308357195</v>
          </cell>
          <cell r="D562" t="str">
            <v>ATO4</v>
          </cell>
          <cell r="E562" t="str">
            <v>C313479</v>
          </cell>
          <cell r="F562">
            <v>46143</v>
          </cell>
          <cell r="G562">
            <v>46507</v>
          </cell>
          <cell r="H562">
            <v>46179</v>
          </cell>
          <cell r="I562">
            <v>46179</v>
          </cell>
          <cell r="K562" t="str">
            <v>004078</v>
          </cell>
          <cell r="L562">
            <v>-99.39</v>
          </cell>
          <cell r="M562">
            <v>-99.39</v>
          </cell>
          <cell r="N562">
            <v>-99.39</v>
          </cell>
          <cell r="O562" t="str">
            <v>indiretto</v>
          </cell>
          <cell r="P562">
            <v>3</v>
          </cell>
          <cell r="Q562" t="str">
            <v>0.916558</v>
          </cell>
          <cell r="R562" t="str">
            <v>0.642623</v>
          </cell>
          <cell r="S562" t="str">
            <v>0.256196</v>
          </cell>
          <cell r="T562" t="str">
            <v>NO</v>
          </cell>
          <cell r="U562" t="str">
            <v>DELIBERAZIONE EGATO 29 19/12/2018</v>
          </cell>
        </row>
        <row r="563">
          <cell r="A563" t="str">
            <v>C307224</v>
          </cell>
          <cell r="B563">
            <v>202601308365787</v>
          </cell>
          <cell r="D563" t="str">
            <v>ATO4</v>
          </cell>
          <cell r="E563" t="str">
            <v>C307224</v>
          </cell>
          <cell r="F563">
            <v>46143</v>
          </cell>
          <cell r="G563">
            <v>46507</v>
          </cell>
          <cell r="H563">
            <v>46179</v>
          </cell>
          <cell r="I563">
            <v>46179</v>
          </cell>
          <cell r="K563" t="str">
            <v>004078</v>
          </cell>
          <cell r="L563">
            <v>-99.39</v>
          </cell>
          <cell r="M563">
            <v>-99.39</v>
          </cell>
          <cell r="N563">
            <v>-99.39</v>
          </cell>
          <cell r="O563" t="str">
            <v>indiretto</v>
          </cell>
          <cell r="P563">
            <v>3</v>
          </cell>
          <cell r="Q563" t="str">
            <v>0.916558</v>
          </cell>
          <cell r="R563" t="str">
            <v>0.642623</v>
          </cell>
          <cell r="S563" t="str">
            <v>0.256196</v>
          </cell>
          <cell r="T563" t="str">
            <v>NO</v>
          </cell>
          <cell r="U563" t="str">
            <v>DELIBERAZIONE EGATO 29 19/12/2018</v>
          </cell>
        </row>
        <row r="564">
          <cell r="A564" t="str">
            <v>C310147</v>
          </cell>
          <cell r="B564">
            <v>202601308366517</v>
          </cell>
          <cell r="D564" t="str">
            <v>ATO4</v>
          </cell>
          <cell r="E564" t="str">
            <v>C310147</v>
          </cell>
          <cell r="F564">
            <v>46143</v>
          </cell>
          <cell r="G564">
            <v>46507</v>
          </cell>
          <cell r="H564">
            <v>46179</v>
          </cell>
          <cell r="I564">
            <v>46179</v>
          </cell>
          <cell r="K564" t="str">
            <v>004078</v>
          </cell>
          <cell r="L564">
            <v>-132.52000000000001</v>
          </cell>
          <cell r="M564">
            <v>-132.52000000000001</v>
          </cell>
          <cell r="N564">
            <v>-132.52000000000001</v>
          </cell>
          <cell r="O564" t="str">
            <v>indiretto</v>
          </cell>
          <cell r="P564">
            <v>4</v>
          </cell>
          <cell r="Q564" t="str">
            <v>0.916558</v>
          </cell>
          <cell r="R564" t="str">
            <v>0.642623</v>
          </cell>
          <cell r="S564" t="str">
            <v>0.256196</v>
          </cell>
          <cell r="T564" t="str">
            <v>NO</v>
          </cell>
          <cell r="U564" t="str">
            <v>DELIBERAZIONE EGATO 29 19/12/2018</v>
          </cell>
        </row>
        <row r="565">
          <cell r="A565" t="str">
            <v>C344115</v>
          </cell>
          <cell r="B565">
            <v>202601308367694</v>
          </cell>
          <cell r="D565" t="str">
            <v>ATO4</v>
          </cell>
          <cell r="E565" t="str">
            <v>C344115</v>
          </cell>
          <cell r="F565">
            <v>46143</v>
          </cell>
          <cell r="G565">
            <v>46507</v>
          </cell>
          <cell r="H565">
            <v>46179</v>
          </cell>
          <cell r="I565">
            <v>46179</v>
          </cell>
          <cell r="K565" t="str">
            <v>004191</v>
          </cell>
          <cell r="L565">
            <v>-29.82</v>
          </cell>
          <cell r="M565">
            <v>-29.82</v>
          </cell>
          <cell r="N565">
            <v>-29.82</v>
          </cell>
          <cell r="O565" t="str">
            <v>indiretto</v>
          </cell>
          <cell r="P565">
            <v>1</v>
          </cell>
          <cell r="Q565" t="str">
            <v>0.824903</v>
          </cell>
          <cell r="R565" t="str">
            <v>0.578360</v>
          </cell>
          <cell r="S565" t="str">
            <v>0.230576</v>
          </cell>
          <cell r="T565" t="str">
            <v>NO</v>
          </cell>
          <cell r="U565" t="str">
            <v>DELIBERAZIONE EGATO 29 19/12/2018</v>
          </cell>
        </row>
        <row r="566">
          <cell r="A566" t="str">
            <v>C092019</v>
          </cell>
          <cell r="B566">
            <v>202601308371779</v>
          </cell>
          <cell r="D566" t="str">
            <v>ATO4</v>
          </cell>
          <cell r="E566" t="str">
            <v>C092019</v>
          </cell>
          <cell r="F566">
            <v>46143</v>
          </cell>
          <cell r="G566">
            <v>46507</v>
          </cell>
          <cell r="H566">
            <v>46179</v>
          </cell>
          <cell r="I566">
            <v>46179</v>
          </cell>
          <cell r="K566" t="str">
            <v>004033</v>
          </cell>
          <cell r="L566">
            <v>-23.97</v>
          </cell>
          <cell r="M566">
            <v>-23.97</v>
          </cell>
          <cell r="N566">
            <v>-23.97</v>
          </cell>
          <cell r="O566" t="str">
            <v>indiretto</v>
          </cell>
          <cell r="P566">
            <v>1</v>
          </cell>
          <cell r="Q566" t="str">
            <v>0.721337</v>
          </cell>
          <cell r="R566" t="str">
            <v>0.441600</v>
          </cell>
          <cell r="S566" t="str">
            <v>0.150394</v>
          </cell>
          <cell r="T566" t="str">
            <v>NO</v>
          </cell>
          <cell r="U566" t="str">
            <v>DELIBERAZIONE EGATO 2 04/02/2019</v>
          </cell>
        </row>
        <row r="567">
          <cell r="A567" t="str">
            <v>C119039</v>
          </cell>
          <cell r="B567">
            <v>202601308373615</v>
          </cell>
          <cell r="D567" t="str">
            <v>ATO4</v>
          </cell>
          <cell r="E567" t="str">
            <v>C119039</v>
          </cell>
          <cell r="F567">
            <v>46143</v>
          </cell>
          <cell r="G567">
            <v>46507</v>
          </cell>
          <cell r="H567">
            <v>46179</v>
          </cell>
          <cell r="I567">
            <v>46179</v>
          </cell>
          <cell r="K567" t="str">
            <v>004025</v>
          </cell>
          <cell r="L567">
            <v>-66.260000000000005</v>
          </cell>
          <cell r="M567">
            <v>-66.260000000000005</v>
          </cell>
          <cell r="N567">
            <v>-66.260000000000005</v>
          </cell>
          <cell r="O567" t="str">
            <v>indiretto</v>
          </cell>
          <cell r="P567">
            <v>2</v>
          </cell>
          <cell r="Q567" t="str">
            <v>0.916558</v>
          </cell>
          <cell r="R567" t="str">
            <v>0.642623</v>
          </cell>
          <cell r="S567" t="str">
            <v>0.256196</v>
          </cell>
          <cell r="T567" t="str">
            <v>NO</v>
          </cell>
          <cell r="U567" t="str">
            <v>DELIBERAZIONE EGATO 29 19/12/2018</v>
          </cell>
        </row>
        <row r="568">
          <cell r="A568" t="str">
            <v>C344237</v>
          </cell>
          <cell r="B568">
            <v>202601308376935</v>
          </cell>
          <cell r="D568" t="str">
            <v>ATO4</v>
          </cell>
          <cell r="E568" t="str">
            <v>C344237</v>
          </cell>
          <cell r="F568">
            <v>46143</v>
          </cell>
          <cell r="G568">
            <v>46507</v>
          </cell>
          <cell r="H568">
            <v>46179</v>
          </cell>
          <cell r="I568">
            <v>46179</v>
          </cell>
          <cell r="K568" t="str">
            <v>004245</v>
          </cell>
          <cell r="L568">
            <v>-105.03</v>
          </cell>
          <cell r="M568">
            <v>-105.03</v>
          </cell>
          <cell r="N568">
            <v>-105.03</v>
          </cell>
          <cell r="O568" t="str">
            <v>indiretto</v>
          </cell>
          <cell r="P568">
            <v>4</v>
          </cell>
          <cell r="Q568" t="str">
            <v>0.545182</v>
          </cell>
          <cell r="R568" t="str">
            <v>0.611443</v>
          </cell>
          <cell r="S568" t="str">
            <v>0.282207</v>
          </cell>
          <cell r="T568" t="str">
            <v>NO</v>
          </cell>
          <cell r="U568" t="str">
            <v>DELIBERA EGATO N.29 DEL 19/12/2018</v>
          </cell>
        </row>
        <row r="569">
          <cell r="A569" t="str">
            <v>C316434</v>
          </cell>
          <cell r="B569">
            <v>202601308378750</v>
          </cell>
          <cell r="D569" t="str">
            <v>ATO4</v>
          </cell>
          <cell r="E569" t="str">
            <v>C316434</v>
          </cell>
          <cell r="F569">
            <v>46143</v>
          </cell>
          <cell r="G569">
            <v>46507</v>
          </cell>
          <cell r="H569">
            <v>46179</v>
          </cell>
          <cell r="I569">
            <v>46179</v>
          </cell>
          <cell r="K569" t="str">
            <v>004189</v>
          </cell>
          <cell r="L569">
            <v>-33.130000000000003</v>
          </cell>
          <cell r="M569">
            <v>-33.130000000000003</v>
          </cell>
          <cell r="N569">
            <v>-33.130000000000003</v>
          </cell>
          <cell r="O569" t="str">
            <v>indiretto</v>
          </cell>
          <cell r="P569">
            <v>1</v>
          </cell>
          <cell r="Q569" t="str">
            <v>0.916558</v>
          </cell>
          <cell r="R569" t="str">
            <v>0.642623</v>
          </cell>
          <cell r="S569" t="str">
            <v>0.256196</v>
          </cell>
          <cell r="T569" t="str">
            <v>NO</v>
          </cell>
          <cell r="U569" t="str">
            <v>DELIBERAZIONE EGATO 29 19/12/2018</v>
          </cell>
        </row>
        <row r="570">
          <cell r="A570" t="str">
            <v>C334553</v>
          </cell>
          <cell r="B570">
            <v>202601308382404</v>
          </cell>
          <cell r="D570" t="str">
            <v>ATO4</v>
          </cell>
          <cell r="E570" t="str">
            <v>C334553</v>
          </cell>
          <cell r="F570">
            <v>46143</v>
          </cell>
          <cell r="G570">
            <v>46507</v>
          </cell>
          <cell r="H570">
            <v>46179</v>
          </cell>
          <cell r="I570">
            <v>46179</v>
          </cell>
          <cell r="K570" t="str">
            <v>004130</v>
          </cell>
          <cell r="L570">
            <v>-157.55000000000001</v>
          </cell>
          <cell r="M570">
            <v>-157.55000000000001</v>
          </cell>
          <cell r="N570">
            <v>-157.55000000000001</v>
          </cell>
          <cell r="O570" t="str">
            <v>indiretto</v>
          </cell>
          <cell r="P570">
            <v>6</v>
          </cell>
          <cell r="Q570" t="str">
            <v>0.545182</v>
          </cell>
          <cell r="R570" t="str">
            <v>0.611443</v>
          </cell>
          <cell r="S570" t="str">
            <v>0.282207</v>
          </cell>
          <cell r="T570" t="str">
            <v>NO</v>
          </cell>
          <cell r="U570" t="str">
            <v>DELIBERA EGATO N.29 DEL 19/12/2018</v>
          </cell>
        </row>
        <row r="571">
          <cell r="A571" t="str">
            <v>C110877</v>
          </cell>
          <cell r="B571">
            <v>202601308383226</v>
          </cell>
          <cell r="D571" t="str">
            <v>ATO4</v>
          </cell>
          <cell r="E571" t="str">
            <v>C110877</v>
          </cell>
          <cell r="F571">
            <v>46143</v>
          </cell>
          <cell r="G571">
            <v>46507</v>
          </cell>
          <cell r="H571">
            <v>46179</v>
          </cell>
          <cell r="I571">
            <v>46179</v>
          </cell>
          <cell r="K571" t="str">
            <v>004068</v>
          </cell>
          <cell r="L571">
            <v>-99.39</v>
          </cell>
          <cell r="M571">
            <v>-99.39</v>
          </cell>
          <cell r="N571">
            <v>-99.39</v>
          </cell>
          <cell r="O571" t="str">
            <v>indiretto</v>
          </cell>
          <cell r="P571">
            <v>3</v>
          </cell>
          <cell r="Q571" t="str">
            <v>0.916558</v>
          </cell>
          <cell r="R571" t="str">
            <v>0.642623</v>
          </cell>
          <cell r="S571" t="str">
            <v>0.256196</v>
          </cell>
          <cell r="T571" t="str">
            <v>NO</v>
          </cell>
          <cell r="U571" t="str">
            <v>DELIBERAZIONE EGATO 29 19/12/2018</v>
          </cell>
        </row>
        <row r="572">
          <cell r="A572" t="str">
            <v>C344181</v>
          </cell>
          <cell r="B572">
            <v>202601308385604</v>
          </cell>
          <cell r="D572" t="str">
            <v>ATO4</v>
          </cell>
          <cell r="E572" t="str">
            <v>C344181</v>
          </cell>
          <cell r="F572">
            <v>46143</v>
          </cell>
          <cell r="G572">
            <v>46507</v>
          </cell>
          <cell r="H572">
            <v>46179</v>
          </cell>
          <cell r="I572">
            <v>46179</v>
          </cell>
          <cell r="K572" t="str">
            <v>004130</v>
          </cell>
          <cell r="L572">
            <v>-26.26</v>
          </cell>
          <cell r="M572">
            <v>-26.26</v>
          </cell>
          <cell r="N572">
            <v>-26.26</v>
          </cell>
          <cell r="O572" t="str">
            <v>indiretto</v>
          </cell>
          <cell r="P572">
            <v>1</v>
          </cell>
          <cell r="Q572" t="str">
            <v>0.545182</v>
          </cell>
          <cell r="R572" t="str">
            <v>0.611443</v>
          </cell>
          <cell r="S572" t="str">
            <v>0.282207</v>
          </cell>
          <cell r="T572" t="str">
            <v>NO</v>
          </cell>
          <cell r="U572" t="str">
            <v>DELIBERA EGATO N.29 DEL 19/12/2018</v>
          </cell>
        </row>
        <row r="573">
          <cell r="A573" t="str">
            <v>C117683</v>
          </cell>
          <cell r="B573">
            <v>202601308387877</v>
          </cell>
          <cell r="D573" t="str">
            <v>ATO4</v>
          </cell>
          <cell r="E573" t="str">
            <v>C117683</v>
          </cell>
          <cell r="F573">
            <v>46143</v>
          </cell>
          <cell r="G573">
            <v>46507</v>
          </cell>
          <cell r="H573">
            <v>46179</v>
          </cell>
          <cell r="I573">
            <v>46179</v>
          </cell>
          <cell r="K573" t="str">
            <v>004078</v>
          </cell>
          <cell r="L573">
            <v>-198.78</v>
          </cell>
          <cell r="M573">
            <v>-198.78</v>
          </cell>
          <cell r="N573">
            <v>-198.78</v>
          </cell>
          <cell r="O573" t="str">
            <v>indiretto</v>
          </cell>
          <cell r="P573">
            <v>6</v>
          </cell>
          <cell r="Q573" t="str">
            <v>0.916558</v>
          </cell>
          <cell r="R573" t="str">
            <v>0.642623</v>
          </cell>
          <cell r="S573" t="str">
            <v>0.256196</v>
          </cell>
          <cell r="T573" t="str">
            <v>NO</v>
          </cell>
          <cell r="U573" t="str">
            <v>DELIBERAZIONE EGATO 29 19/12/2018</v>
          </cell>
        </row>
        <row r="574">
          <cell r="A574" t="str">
            <v>C344225</v>
          </cell>
          <cell r="B574">
            <v>202601308388959</v>
          </cell>
          <cell r="D574" t="str">
            <v>ATO4</v>
          </cell>
          <cell r="E574" t="str">
            <v>C344225</v>
          </cell>
          <cell r="F574">
            <v>46143</v>
          </cell>
          <cell r="G574">
            <v>46507</v>
          </cell>
          <cell r="H574">
            <v>46179</v>
          </cell>
          <cell r="I574">
            <v>46179</v>
          </cell>
          <cell r="K574" t="str">
            <v>004022</v>
          </cell>
          <cell r="L574">
            <v>-231.91</v>
          </cell>
          <cell r="M574">
            <v>-231.91</v>
          </cell>
          <cell r="N574">
            <v>-231.91</v>
          </cell>
          <cell r="O574" t="str">
            <v>indiretto</v>
          </cell>
          <cell r="P574">
            <v>7</v>
          </cell>
          <cell r="Q574" t="str">
            <v>0.916558</v>
          </cell>
          <cell r="R574" t="str">
            <v>0.642623</v>
          </cell>
          <cell r="S574" t="str">
            <v>0.256196</v>
          </cell>
          <cell r="T574" t="str">
            <v>NO</v>
          </cell>
          <cell r="U574" t="str">
            <v>DELIBERAZIONE EGATO 29 19/12/2018</v>
          </cell>
        </row>
        <row r="575">
          <cell r="A575" t="str">
            <v>C344226</v>
          </cell>
          <cell r="B575">
            <v>202601308398843</v>
          </cell>
          <cell r="D575" t="str">
            <v>ATO4</v>
          </cell>
          <cell r="E575" t="str">
            <v>C344226</v>
          </cell>
          <cell r="F575">
            <v>46143</v>
          </cell>
          <cell r="G575">
            <v>46507</v>
          </cell>
          <cell r="H575">
            <v>46179</v>
          </cell>
          <cell r="I575">
            <v>46179</v>
          </cell>
          <cell r="K575" t="str">
            <v>004009</v>
          </cell>
          <cell r="L575">
            <v>-24.62</v>
          </cell>
          <cell r="M575">
            <v>-24.62</v>
          </cell>
          <cell r="N575">
            <v>-24.62</v>
          </cell>
          <cell r="O575" t="str">
            <v>indiretto</v>
          </cell>
          <cell r="P575">
            <v>1</v>
          </cell>
          <cell r="Q575" t="str">
            <v>0.716943</v>
          </cell>
          <cell r="R575" t="str">
            <v>0.463071</v>
          </cell>
          <cell r="S575" t="str">
            <v>0.169064</v>
          </cell>
          <cell r="T575" t="str">
            <v>NO</v>
          </cell>
          <cell r="U575" t="str">
            <v>DELIBERAZIONE EGATO 2 04/02/2019</v>
          </cell>
        </row>
        <row r="576">
          <cell r="A576" t="str">
            <v>C344270</v>
          </cell>
          <cell r="B576">
            <v>202601308400646</v>
          </cell>
          <cell r="D576" t="str">
            <v>ATO4</v>
          </cell>
          <cell r="E576" t="str">
            <v>C344270</v>
          </cell>
          <cell r="F576">
            <v>46143</v>
          </cell>
          <cell r="G576">
            <v>46507</v>
          </cell>
          <cell r="H576">
            <v>46179</v>
          </cell>
          <cell r="I576">
            <v>46179</v>
          </cell>
          <cell r="K576" t="str">
            <v>004185</v>
          </cell>
          <cell r="L576">
            <v>-33.130000000000003</v>
          </cell>
          <cell r="M576">
            <v>-33.130000000000003</v>
          </cell>
          <cell r="N576">
            <v>-33.130000000000003</v>
          </cell>
          <cell r="O576" t="str">
            <v>indiretto</v>
          </cell>
          <cell r="P576">
            <v>1</v>
          </cell>
          <cell r="Q576" t="str">
            <v>0.916558</v>
          </cell>
          <cell r="R576" t="str">
            <v>0.642623</v>
          </cell>
          <cell r="S576" t="str">
            <v>0.256196</v>
          </cell>
          <cell r="T576" t="str">
            <v>NO</v>
          </cell>
          <cell r="U576" t="str">
            <v>DELIBERAZIONE EGATO 29 19/12/2018</v>
          </cell>
        </row>
        <row r="577">
          <cell r="A577" t="str">
            <v>C310627</v>
          </cell>
          <cell r="B577">
            <v>202601308401281</v>
          </cell>
          <cell r="D577" t="str">
            <v>ATO4</v>
          </cell>
          <cell r="E577" t="str">
            <v>C310627</v>
          </cell>
          <cell r="F577">
            <v>46143</v>
          </cell>
          <cell r="G577">
            <v>46507</v>
          </cell>
          <cell r="H577">
            <v>46179</v>
          </cell>
          <cell r="I577">
            <v>46179</v>
          </cell>
          <cell r="K577" t="str">
            <v>004012</v>
          </cell>
          <cell r="L577">
            <v>-123.1</v>
          </cell>
          <cell r="M577">
            <v>-123.1</v>
          </cell>
          <cell r="N577">
            <v>-123.1</v>
          </cell>
          <cell r="O577" t="str">
            <v>indiretto</v>
          </cell>
          <cell r="P577">
            <v>5</v>
          </cell>
          <cell r="Q577" t="str">
            <v>0.716943</v>
          </cell>
          <cell r="R577" t="str">
            <v>0.463071</v>
          </cell>
          <cell r="S577" t="str">
            <v>0.169064</v>
          </cell>
          <cell r="T577" t="str">
            <v>NO</v>
          </cell>
          <cell r="U577" t="str">
            <v>DELIBERAZIONE EGATO 2 04/02/2019</v>
          </cell>
        </row>
        <row r="578">
          <cell r="A578" t="str">
            <v>C337647</v>
          </cell>
          <cell r="B578">
            <v>202601308401463</v>
          </cell>
          <cell r="D578" t="str">
            <v>ATO4</v>
          </cell>
          <cell r="E578" t="str">
            <v>C337647</v>
          </cell>
          <cell r="F578">
            <v>46143</v>
          </cell>
          <cell r="G578">
            <v>46507</v>
          </cell>
          <cell r="H578">
            <v>46179</v>
          </cell>
          <cell r="I578">
            <v>46179</v>
          </cell>
          <cell r="K578" t="str">
            <v>004144</v>
          </cell>
          <cell r="L578">
            <v>-66.260000000000005</v>
          </cell>
          <cell r="M578">
            <v>-66.260000000000005</v>
          </cell>
          <cell r="N578">
            <v>-66.260000000000005</v>
          </cell>
          <cell r="O578" t="str">
            <v>indiretto</v>
          </cell>
          <cell r="P578">
            <v>2</v>
          </cell>
          <cell r="Q578" t="str">
            <v>0.916558</v>
          </cell>
          <cell r="R578" t="str">
            <v>0.642623</v>
          </cell>
          <cell r="S578" t="str">
            <v>0.256196</v>
          </cell>
          <cell r="T578" t="str">
            <v>NO</v>
          </cell>
          <cell r="U578" t="str">
            <v>DELIBERAZIONE EGATO 29 19/12/2018</v>
          </cell>
        </row>
        <row r="579">
          <cell r="A579" t="str">
            <v>C344271</v>
          </cell>
          <cell r="B579">
            <v>202601308416366</v>
          </cell>
          <cell r="D579" t="str">
            <v>ATO4</v>
          </cell>
          <cell r="E579" t="str">
            <v>C344271</v>
          </cell>
          <cell r="F579">
            <v>46143</v>
          </cell>
          <cell r="G579">
            <v>46507</v>
          </cell>
          <cell r="H579">
            <v>46179</v>
          </cell>
          <cell r="I579">
            <v>46179</v>
          </cell>
          <cell r="K579" t="str">
            <v>004078</v>
          </cell>
          <cell r="L579">
            <v>-33.130000000000003</v>
          </cell>
          <cell r="M579">
            <v>-33.130000000000003</v>
          </cell>
          <cell r="N579">
            <v>-33.130000000000003</v>
          </cell>
          <cell r="O579" t="str">
            <v>indiretto</v>
          </cell>
          <cell r="P579">
            <v>1</v>
          </cell>
          <cell r="Q579" t="str">
            <v>0.916558</v>
          </cell>
          <cell r="R579" t="str">
            <v>0.642623</v>
          </cell>
          <cell r="S579" t="str">
            <v>0.256196</v>
          </cell>
          <cell r="T579" t="str">
            <v>NO</v>
          </cell>
          <cell r="U579" t="str">
            <v>DELIBERAZIONE EGATO 29 19/12/2018</v>
          </cell>
        </row>
        <row r="580">
          <cell r="A580" t="str">
            <v>C117895</v>
          </cell>
          <cell r="B580">
            <v>202601308430210</v>
          </cell>
          <cell r="D580" t="str">
            <v>ATO4</v>
          </cell>
          <cell r="E580" t="str">
            <v>C117895</v>
          </cell>
          <cell r="F580">
            <v>46143</v>
          </cell>
          <cell r="G580">
            <v>46507</v>
          </cell>
          <cell r="H580">
            <v>46179</v>
          </cell>
          <cell r="I580">
            <v>46179</v>
          </cell>
          <cell r="K580" t="str">
            <v>004084</v>
          </cell>
          <cell r="L580">
            <v>-89.45</v>
          </cell>
          <cell r="M580">
            <v>-89.45</v>
          </cell>
          <cell r="N580">
            <v>-89.45</v>
          </cell>
          <cell r="O580" t="str">
            <v>indiretto</v>
          </cell>
          <cell r="P580">
            <v>3</v>
          </cell>
          <cell r="Q580" t="str">
            <v>0.824903</v>
          </cell>
          <cell r="R580" t="str">
            <v>0.578360</v>
          </cell>
          <cell r="S580" t="str">
            <v>0.230576</v>
          </cell>
          <cell r="T580" t="str">
            <v>NO</v>
          </cell>
          <cell r="U580" t="str">
            <v>DELIBERAZIONE EGATO 29 19/12/2018</v>
          </cell>
        </row>
        <row r="581">
          <cell r="A581" t="str">
            <v>C340146</v>
          </cell>
          <cell r="B581">
            <v>202601308436044</v>
          </cell>
          <cell r="D581" t="str">
            <v>ATO4</v>
          </cell>
          <cell r="E581" t="str">
            <v>C340146</v>
          </cell>
          <cell r="F581">
            <v>46143</v>
          </cell>
          <cell r="G581">
            <v>46507</v>
          </cell>
          <cell r="H581">
            <v>46179</v>
          </cell>
          <cell r="I581">
            <v>46179</v>
          </cell>
          <cell r="K581" t="str">
            <v>004130</v>
          </cell>
          <cell r="L581">
            <v>-105.03</v>
          </cell>
          <cell r="M581">
            <v>-105.03</v>
          </cell>
          <cell r="N581">
            <v>-105.03</v>
          </cell>
          <cell r="O581" t="str">
            <v>indiretto</v>
          </cell>
          <cell r="P581">
            <v>4</v>
          </cell>
          <cell r="Q581" t="str">
            <v>0.545182</v>
          </cell>
          <cell r="R581" t="str">
            <v>0.611443</v>
          </cell>
          <cell r="S581" t="str">
            <v>0.282207</v>
          </cell>
          <cell r="T581" t="str">
            <v>NO</v>
          </cell>
          <cell r="U581" t="str">
            <v>DELIBERA EGATO N.29 DEL 19/12/2018</v>
          </cell>
        </row>
        <row r="582">
          <cell r="A582" t="str">
            <v>C344289</v>
          </cell>
          <cell r="B582">
            <v>202601308437435</v>
          </cell>
          <cell r="D582" t="str">
            <v>ATO4</v>
          </cell>
          <cell r="E582" t="str">
            <v>C344289</v>
          </cell>
          <cell r="F582">
            <v>46143</v>
          </cell>
          <cell r="G582">
            <v>46507</v>
          </cell>
          <cell r="H582">
            <v>46179</v>
          </cell>
          <cell r="I582">
            <v>46179</v>
          </cell>
          <cell r="K582" t="str">
            <v>004066</v>
          </cell>
          <cell r="L582">
            <v>-99.39</v>
          </cell>
          <cell r="M582">
            <v>-99.39</v>
          </cell>
          <cell r="N582">
            <v>-99.39</v>
          </cell>
          <cell r="O582" t="str">
            <v>indiretto</v>
          </cell>
          <cell r="P582">
            <v>3</v>
          </cell>
          <cell r="Q582" t="str">
            <v>0.916558</v>
          </cell>
          <cell r="R582" t="str">
            <v>0.642623</v>
          </cell>
          <cell r="S582" t="str">
            <v>0.256196</v>
          </cell>
          <cell r="T582" t="str">
            <v>NO</v>
          </cell>
          <cell r="U582" t="str">
            <v>DELIBERAZIONE EGATO 29 19/12/2018</v>
          </cell>
        </row>
        <row r="583">
          <cell r="A583" t="str">
            <v>C337723</v>
          </cell>
          <cell r="B583">
            <v>202601308440156</v>
          </cell>
          <cell r="D583" t="str">
            <v>ATO4</v>
          </cell>
          <cell r="E583" t="str">
            <v>C337723</v>
          </cell>
          <cell r="F583">
            <v>46143</v>
          </cell>
          <cell r="G583">
            <v>46507</v>
          </cell>
          <cell r="H583">
            <v>46179</v>
          </cell>
          <cell r="I583">
            <v>46179</v>
          </cell>
          <cell r="K583" t="str">
            <v>004243</v>
          </cell>
          <cell r="L583">
            <v>-33.130000000000003</v>
          </cell>
          <cell r="M583">
            <v>-33.130000000000003</v>
          </cell>
          <cell r="N583">
            <v>-33.130000000000003</v>
          </cell>
          <cell r="O583" t="str">
            <v>indiretto</v>
          </cell>
          <cell r="P583">
            <v>1</v>
          </cell>
          <cell r="Q583" t="str">
            <v>0.916558</v>
          </cell>
          <cell r="R583" t="str">
            <v>0.642623</v>
          </cell>
          <cell r="S583" t="str">
            <v>0.256196</v>
          </cell>
          <cell r="T583" t="str">
            <v>NO</v>
          </cell>
          <cell r="U583" t="str">
            <v>DELIBERAZIONE EGATO 29 19/12/2018</v>
          </cell>
        </row>
        <row r="584">
          <cell r="A584" t="str">
            <v>C344138</v>
          </cell>
          <cell r="B584">
            <v>202601308440467</v>
          </cell>
          <cell r="D584" t="str">
            <v>ATO4</v>
          </cell>
          <cell r="E584" t="str">
            <v>C344138</v>
          </cell>
          <cell r="F584">
            <v>46143</v>
          </cell>
          <cell r="G584">
            <v>46507</v>
          </cell>
          <cell r="H584">
            <v>46179</v>
          </cell>
          <cell r="I584">
            <v>46179</v>
          </cell>
          <cell r="K584" t="str">
            <v>004082</v>
          </cell>
          <cell r="L584">
            <v>-66.260000000000005</v>
          </cell>
          <cell r="M584">
            <v>-66.260000000000005</v>
          </cell>
          <cell r="N584">
            <v>-66.260000000000005</v>
          </cell>
          <cell r="O584" t="str">
            <v>indiretto</v>
          </cell>
          <cell r="P584">
            <v>2</v>
          </cell>
          <cell r="Q584" t="str">
            <v>0.916558</v>
          </cell>
          <cell r="R584" t="str">
            <v>0.642623</v>
          </cell>
          <cell r="S584" t="str">
            <v>0.256196</v>
          </cell>
          <cell r="T584" t="str">
            <v>NO</v>
          </cell>
          <cell r="U584" t="str">
            <v>DELIBERAZIONE EGATO 29 19/12/2018</v>
          </cell>
        </row>
        <row r="585">
          <cell r="A585" t="str">
            <v>C117487</v>
          </cell>
          <cell r="B585">
            <v>202601308459630</v>
          </cell>
          <cell r="D585" t="str">
            <v>ATO4</v>
          </cell>
          <cell r="E585" t="str">
            <v>C117487</v>
          </cell>
          <cell r="F585">
            <v>46143</v>
          </cell>
          <cell r="G585">
            <v>46507</v>
          </cell>
          <cell r="H585">
            <v>46179</v>
          </cell>
          <cell r="I585">
            <v>46179</v>
          </cell>
          <cell r="K585" t="str">
            <v>004078</v>
          </cell>
          <cell r="L585">
            <v>-33.130000000000003</v>
          </cell>
          <cell r="M585">
            <v>-33.130000000000003</v>
          </cell>
          <cell r="N585">
            <v>-33.130000000000003</v>
          </cell>
          <cell r="O585" t="str">
            <v>indiretto</v>
          </cell>
          <cell r="P585">
            <v>1</v>
          </cell>
          <cell r="Q585" t="str">
            <v>0.916558</v>
          </cell>
          <cell r="R585" t="str">
            <v>0.642623</v>
          </cell>
          <cell r="S585" t="str">
            <v>0.256196</v>
          </cell>
          <cell r="T585" t="str">
            <v>NO</v>
          </cell>
          <cell r="U585" t="str">
            <v>DELIBERAZIONE EGATO 29 19/12/2018</v>
          </cell>
        </row>
        <row r="586">
          <cell r="A586" t="str">
            <v>C344201</v>
          </cell>
          <cell r="B586">
            <v>202601308460693</v>
          </cell>
          <cell r="D586" t="str">
            <v>ATO4</v>
          </cell>
          <cell r="E586" t="str">
            <v>C344201</v>
          </cell>
          <cell r="F586">
            <v>46143</v>
          </cell>
          <cell r="G586">
            <v>46507</v>
          </cell>
          <cell r="H586">
            <v>46179</v>
          </cell>
          <cell r="I586">
            <v>46179</v>
          </cell>
          <cell r="K586" t="str">
            <v>004081</v>
          </cell>
          <cell r="L586">
            <v>-151.79</v>
          </cell>
          <cell r="M586">
            <v>-151.79</v>
          </cell>
          <cell r="N586">
            <v>-151.79</v>
          </cell>
          <cell r="O586" t="str">
            <v>indiretto</v>
          </cell>
          <cell r="P586">
            <v>4</v>
          </cell>
          <cell r="Q586">
            <v>1091278</v>
          </cell>
          <cell r="R586" t="str">
            <v>0.691798</v>
          </cell>
          <cell r="S586" t="str">
            <v>0.296264</v>
          </cell>
          <cell r="T586" t="str">
            <v>NO</v>
          </cell>
          <cell r="U586" t="str">
            <v>DELIBERAZIONE EGATO 2 04/02/2019</v>
          </cell>
        </row>
        <row r="587">
          <cell r="A587" t="str">
            <v>C344242</v>
          </cell>
          <cell r="B587">
            <v>202601308470051</v>
          </cell>
          <cell r="D587" t="str">
            <v>ATO4</v>
          </cell>
          <cell r="E587" t="str">
            <v>C344242</v>
          </cell>
          <cell r="F587">
            <v>46143</v>
          </cell>
          <cell r="G587">
            <v>46507</v>
          </cell>
          <cell r="H587">
            <v>46179</v>
          </cell>
          <cell r="I587">
            <v>46179</v>
          </cell>
          <cell r="K587" t="str">
            <v>004012</v>
          </cell>
          <cell r="L587">
            <v>-98.48</v>
          </cell>
          <cell r="M587">
            <v>-98.48</v>
          </cell>
          <cell r="N587">
            <v>-98.48</v>
          </cell>
          <cell r="O587" t="str">
            <v>indiretto</v>
          </cell>
          <cell r="P587">
            <v>4</v>
          </cell>
          <cell r="Q587" t="str">
            <v>0.716943</v>
          </cell>
          <cell r="R587" t="str">
            <v>0.463071</v>
          </cell>
          <cell r="S587" t="str">
            <v>0.169064</v>
          </cell>
          <cell r="T587" t="str">
            <v>NO</v>
          </cell>
          <cell r="U587" t="str">
            <v>DELIBERAZIONE EGATO 2 04/02/2019</v>
          </cell>
        </row>
        <row r="588">
          <cell r="A588" t="str">
            <v>C344139</v>
          </cell>
          <cell r="B588">
            <v>202601308479852</v>
          </cell>
          <cell r="D588" t="str">
            <v>ATO4</v>
          </cell>
          <cell r="E588" t="str">
            <v>C344139</v>
          </cell>
          <cell r="F588">
            <v>46143</v>
          </cell>
          <cell r="G588">
            <v>46507</v>
          </cell>
          <cell r="H588">
            <v>46179</v>
          </cell>
          <cell r="I588">
            <v>46179</v>
          </cell>
          <cell r="K588" t="str">
            <v>004130</v>
          </cell>
          <cell r="L588">
            <v>-105.03</v>
          </cell>
          <cell r="M588">
            <v>-105.03</v>
          </cell>
          <cell r="N588">
            <v>-105.03</v>
          </cell>
          <cell r="O588" t="str">
            <v>indiretto</v>
          </cell>
          <cell r="P588">
            <v>4</v>
          </cell>
          <cell r="Q588" t="str">
            <v>0.545182</v>
          </cell>
          <cell r="R588" t="str">
            <v>0.611443</v>
          </cell>
          <cell r="S588" t="str">
            <v>0.282207</v>
          </cell>
          <cell r="T588" t="str">
            <v>NO</v>
          </cell>
          <cell r="U588" t="str">
            <v>DELIBERA EGATO N.29 DEL 19/12/2018</v>
          </cell>
        </row>
        <row r="589">
          <cell r="A589" t="str">
            <v>C344202</v>
          </cell>
          <cell r="B589">
            <v>202601308491433</v>
          </cell>
          <cell r="D589" t="str">
            <v>ATO4</v>
          </cell>
          <cell r="E589" t="str">
            <v>C344202</v>
          </cell>
          <cell r="F589">
            <v>46143</v>
          </cell>
          <cell r="G589">
            <v>46507</v>
          </cell>
          <cell r="H589">
            <v>46179</v>
          </cell>
          <cell r="I589">
            <v>46179</v>
          </cell>
          <cell r="K589" t="str">
            <v>004012</v>
          </cell>
          <cell r="L589">
            <v>-49.24</v>
          </cell>
          <cell r="M589">
            <v>-49.24</v>
          </cell>
          <cell r="N589">
            <v>-49.24</v>
          </cell>
          <cell r="O589" t="str">
            <v>indiretto</v>
          </cell>
          <cell r="P589">
            <v>2</v>
          </cell>
          <cell r="Q589" t="str">
            <v>0.716943</v>
          </cell>
          <cell r="R589" t="str">
            <v>0.463071</v>
          </cell>
          <cell r="S589" t="str">
            <v>0.169064</v>
          </cell>
          <cell r="T589" t="str">
            <v>NO</v>
          </cell>
          <cell r="U589" t="str">
            <v>DELIBERAZIONE EGATO 2 04/02/2019</v>
          </cell>
        </row>
        <row r="590">
          <cell r="A590" t="str">
            <v>C344241</v>
          </cell>
          <cell r="B590">
            <v>202601308492913</v>
          </cell>
          <cell r="D590" t="str">
            <v>ATO4</v>
          </cell>
          <cell r="E590" t="str">
            <v>C344241</v>
          </cell>
          <cell r="F590">
            <v>46143</v>
          </cell>
          <cell r="G590">
            <v>46507</v>
          </cell>
          <cell r="H590">
            <v>46179</v>
          </cell>
          <cell r="I590">
            <v>46179</v>
          </cell>
          <cell r="K590" t="str">
            <v>004075</v>
          </cell>
          <cell r="L590">
            <v>-97.11</v>
          </cell>
          <cell r="M590">
            <v>-97.11</v>
          </cell>
          <cell r="N590">
            <v>-97.11</v>
          </cell>
          <cell r="O590" t="str">
            <v>indiretto</v>
          </cell>
          <cell r="P590">
            <v>3</v>
          </cell>
          <cell r="Q590" t="str">
            <v>0.874880</v>
          </cell>
          <cell r="R590" t="str">
            <v>0.642623</v>
          </cell>
          <cell r="S590" t="str">
            <v>0.256196</v>
          </cell>
          <cell r="T590" t="str">
            <v>NO</v>
          </cell>
          <cell r="U590" t="str">
            <v>DELIBERAZIONE EGATO 11 27/03/2019</v>
          </cell>
        </row>
        <row r="591">
          <cell r="A591" t="str">
            <v>C333396</v>
          </cell>
          <cell r="B591">
            <v>202601308495370</v>
          </cell>
          <cell r="D591" t="str">
            <v>ATO4</v>
          </cell>
          <cell r="E591" t="str">
            <v>C333396</v>
          </cell>
          <cell r="F591">
            <v>46143</v>
          </cell>
          <cell r="G591">
            <v>46507</v>
          </cell>
          <cell r="H591">
            <v>46179</v>
          </cell>
          <cell r="I591">
            <v>46179</v>
          </cell>
          <cell r="K591" t="str">
            <v>004130</v>
          </cell>
          <cell r="L591">
            <v>-131.29</v>
          </cell>
          <cell r="M591">
            <v>-131.29</v>
          </cell>
          <cell r="N591">
            <v>-131.29</v>
          </cell>
          <cell r="O591" t="str">
            <v>indiretto</v>
          </cell>
          <cell r="P591">
            <v>5</v>
          </cell>
          <cell r="Q591" t="str">
            <v>0.545182</v>
          </cell>
          <cell r="R591" t="str">
            <v>0.611443</v>
          </cell>
          <cell r="S591" t="str">
            <v>0.282207</v>
          </cell>
          <cell r="T591" t="str">
            <v>NO</v>
          </cell>
          <cell r="U591" t="str">
            <v>DELIBERA EGATO N.29 DEL 19/12/2018</v>
          </cell>
        </row>
        <row r="592">
          <cell r="A592" t="str">
            <v>C337619</v>
          </cell>
          <cell r="B592">
            <v>202601308496177</v>
          </cell>
          <cell r="D592" t="str">
            <v>ATO4</v>
          </cell>
          <cell r="E592" t="str">
            <v>C337619</v>
          </cell>
          <cell r="F592">
            <v>46143</v>
          </cell>
          <cell r="G592">
            <v>46507</v>
          </cell>
          <cell r="H592">
            <v>46179</v>
          </cell>
          <cell r="I592">
            <v>46179</v>
          </cell>
          <cell r="K592" t="str">
            <v>004061</v>
          </cell>
          <cell r="L592">
            <v>-132.52000000000001</v>
          </cell>
          <cell r="M592">
            <v>-132.52000000000001</v>
          </cell>
          <cell r="N592">
            <v>-132.52000000000001</v>
          </cell>
          <cell r="O592" t="str">
            <v>indiretto</v>
          </cell>
          <cell r="P592">
            <v>4</v>
          </cell>
          <cell r="Q592" t="str">
            <v>0.916558</v>
          </cell>
          <cell r="R592" t="str">
            <v>0.642623</v>
          </cell>
          <cell r="S592" t="str">
            <v>0.256196</v>
          </cell>
          <cell r="T592" t="str">
            <v>NO</v>
          </cell>
          <cell r="U592" t="str">
            <v>DELIBERAZIONE EGATO 29 19/12/2018</v>
          </cell>
        </row>
        <row r="593">
          <cell r="A593" t="str">
            <v>C307995</v>
          </cell>
          <cell r="B593">
            <v>202601308496470</v>
          </cell>
          <cell r="D593" t="str">
            <v>ATO4</v>
          </cell>
          <cell r="E593" t="str">
            <v>C307995</v>
          </cell>
          <cell r="F593">
            <v>46143</v>
          </cell>
          <cell r="G593">
            <v>46507</v>
          </cell>
          <cell r="H593">
            <v>46179</v>
          </cell>
          <cell r="I593">
            <v>46179</v>
          </cell>
          <cell r="K593" t="str">
            <v>004130</v>
          </cell>
          <cell r="L593">
            <v>-78.78</v>
          </cell>
          <cell r="M593">
            <v>-78.78</v>
          </cell>
          <cell r="N593">
            <v>-78.78</v>
          </cell>
          <cell r="O593" t="str">
            <v>indiretto</v>
          </cell>
          <cell r="P593">
            <v>3</v>
          </cell>
          <cell r="Q593" t="str">
            <v>0.545182</v>
          </cell>
          <cell r="R593" t="str">
            <v>0.611443</v>
          </cell>
          <cell r="S593" t="str">
            <v>0.282207</v>
          </cell>
          <cell r="T593" t="str">
            <v>NO</v>
          </cell>
          <cell r="U593" t="str">
            <v>DELIBERA EGATO N.29 DEL 19/12/2018</v>
          </cell>
        </row>
        <row r="594">
          <cell r="A594" t="str">
            <v>C344290</v>
          </cell>
          <cell r="B594">
            <v>202601308496668</v>
          </cell>
          <cell r="D594" t="str">
            <v>ATO4</v>
          </cell>
          <cell r="E594" t="str">
            <v>C344290</v>
          </cell>
          <cell r="F594">
            <v>46143</v>
          </cell>
          <cell r="G594">
            <v>46507</v>
          </cell>
          <cell r="H594">
            <v>46179</v>
          </cell>
          <cell r="I594">
            <v>46179</v>
          </cell>
          <cell r="K594" t="str">
            <v>004078</v>
          </cell>
          <cell r="L594">
            <v>-66.260000000000005</v>
          </cell>
          <cell r="M594">
            <v>-66.260000000000005</v>
          </cell>
          <cell r="N594">
            <v>-66.260000000000005</v>
          </cell>
          <cell r="O594" t="str">
            <v>indiretto</v>
          </cell>
          <cell r="P594">
            <v>2</v>
          </cell>
          <cell r="Q594" t="str">
            <v>0.916558</v>
          </cell>
          <cell r="R594" t="str">
            <v>0.642623</v>
          </cell>
          <cell r="S594" t="str">
            <v>0.256196</v>
          </cell>
          <cell r="T594" t="str">
            <v>NO</v>
          </cell>
          <cell r="U594" t="str">
            <v>DELIBERAZIONE EGATO 29 19/12/2018</v>
          </cell>
        </row>
        <row r="595">
          <cell r="A595" t="str">
            <v>C344119</v>
          </cell>
          <cell r="B595">
            <v>202601308500519</v>
          </cell>
          <cell r="D595" t="str">
            <v>ATO4</v>
          </cell>
          <cell r="E595" t="str">
            <v>C344119</v>
          </cell>
          <cell r="F595">
            <v>46143</v>
          </cell>
          <cell r="G595">
            <v>46507</v>
          </cell>
          <cell r="H595">
            <v>46179</v>
          </cell>
          <cell r="I595">
            <v>46179</v>
          </cell>
          <cell r="K595" t="str">
            <v>004130</v>
          </cell>
          <cell r="L595">
            <v>-26.26</v>
          </cell>
          <cell r="M595">
            <v>-26.26</v>
          </cell>
          <cell r="N595">
            <v>-26.26</v>
          </cell>
          <cell r="O595" t="str">
            <v>indiretto</v>
          </cell>
          <cell r="P595">
            <v>1</v>
          </cell>
          <cell r="Q595" t="str">
            <v>0.545182</v>
          </cell>
          <cell r="R595" t="str">
            <v>0.611443</v>
          </cell>
          <cell r="S595" t="str">
            <v>0.282207</v>
          </cell>
          <cell r="T595" t="str">
            <v>NO</v>
          </cell>
          <cell r="U595" t="str">
            <v>DELIBERA EGATO N.29 DEL 19/12/2018</v>
          </cell>
        </row>
        <row r="596">
          <cell r="A596" t="str">
            <v>C311007</v>
          </cell>
          <cell r="B596">
            <v>202601308512627</v>
          </cell>
          <cell r="D596" t="str">
            <v>ATO4</v>
          </cell>
          <cell r="E596" t="str">
            <v>C311007</v>
          </cell>
          <cell r="F596">
            <v>46143</v>
          </cell>
          <cell r="G596">
            <v>46507</v>
          </cell>
          <cell r="H596">
            <v>46179</v>
          </cell>
          <cell r="I596">
            <v>46179</v>
          </cell>
          <cell r="K596" t="str">
            <v>004025</v>
          </cell>
          <cell r="L596">
            <v>-66.260000000000005</v>
          </cell>
          <cell r="M596">
            <v>-66.260000000000005</v>
          </cell>
          <cell r="N596">
            <v>-66.260000000000005</v>
          </cell>
          <cell r="O596" t="str">
            <v>indiretto</v>
          </cell>
          <cell r="P596">
            <v>2</v>
          </cell>
          <cell r="Q596" t="str">
            <v>0.916558</v>
          </cell>
          <cell r="R596" t="str">
            <v>0.642623</v>
          </cell>
          <cell r="S596" t="str">
            <v>0.256196</v>
          </cell>
          <cell r="T596" t="str">
            <v>NO</v>
          </cell>
          <cell r="U596" t="str">
            <v>DELIBERAZIONE EGATO 29 19/12/2018</v>
          </cell>
        </row>
        <row r="597">
          <cell r="A597" t="str">
            <v>C314644</v>
          </cell>
          <cell r="B597">
            <v>202601308529168</v>
          </cell>
          <cell r="D597" t="str">
            <v>ATO4</v>
          </cell>
          <cell r="E597" t="str">
            <v>C314644</v>
          </cell>
          <cell r="F597">
            <v>46143</v>
          </cell>
          <cell r="G597">
            <v>46507</v>
          </cell>
          <cell r="H597">
            <v>46179</v>
          </cell>
          <cell r="I597">
            <v>46179</v>
          </cell>
          <cell r="K597" t="str">
            <v>004078</v>
          </cell>
          <cell r="L597">
            <v>-99.39</v>
          </cell>
          <cell r="M597">
            <v>-99.39</v>
          </cell>
          <cell r="N597">
            <v>-99.39</v>
          </cell>
          <cell r="O597" t="str">
            <v>indiretto</v>
          </cell>
          <cell r="P597">
            <v>3</v>
          </cell>
          <cell r="Q597" t="str">
            <v>0.916558</v>
          </cell>
          <cell r="R597" t="str">
            <v>0.642623</v>
          </cell>
          <cell r="S597" t="str">
            <v>0.256196</v>
          </cell>
          <cell r="T597" t="str">
            <v>NO</v>
          </cell>
          <cell r="U597" t="str">
            <v>DELIBERAZIONE EGATO 29 19/12/2018</v>
          </cell>
        </row>
        <row r="598">
          <cell r="A598" t="str">
            <v>C320255</v>
          </cell>
          <cell r="B598">
            <v>202601308534510</v>
          </cell>
          <cell r="D598" t="str">
            <v>ATO4</v>
          </cell>
          <cell r="E598" t="str">
            <v>C320255</v>
          </cell>
          <cell r="F598">
            <v>46143</v>
          </cell>
          <cell r="G598">
            <v>46507</v>
          </cell>
          <cell r="H598">
            <v>46179</v>
          </cell>
          <cell r="I598">
            <v>46179</v>
          </cell>
          <cell r="K598" t="str">
            <v>004104</v>
          </cell>
          <cell r="L598">
            <v>-47.94</v>
          </cell>
          <cell r="M598">
            <v>-47.94</v>
          </cell>
          <cell r="N598">
            <v>-47.94</v>
          </cell>
          <cell r="O598" t="str">
            <v>indiretto</v>
          </cell>
          <cell r="P598">
            <v>2</v>
          </cell>
          <cell r="Q598" t="str">
            <v>0.721337</v>
          </cell>
          <cell r="R598" t="str">
            <v>0.441600</v>
          </cell>
          <cell r="S598" t="str">
            <v>0.150394</v>
          </cell>
          <cell r="T598" t="str">
            <v>NO</v>
          </cell>
          <cell r="U598" t="str">
            <v>DELIBERAZIONE EGATO 2 04/02/2019</v>
          </cell>
        </row>
        <row r="599">
          <cell r="A599" t="str">
            <v>C344247</v>
          </cell>
          <cell r="B599">
            <v>202601308540192</v>
          </cell>
          <cell r="D599" t="str">
            <v>ATO4</v>
          </cell>
          <cell r="E599" t="str">
            <v>C344247</v>
          </cell>
          <cell r="F599">
            <v>46143</v>
          </cell>
          <cell r="G599">
            <v>46507</v>
          </cell>
          <cell r="H599">
            <v>46179</v>
          </cell>
          <cell r="I599">
            <v>46179</v>
          </cell>
          <cell r="K599" t="str">
            <v>004130</v>
          </cell>
          <cell r="L599">
            <v>-131.29</v>
          </cell>
          <cell r="M599">
            <v>-131.29</v>
          </cell>
          <cell r="N599">
            <v>-131.29</v>
          </cell>
          <cell r="O599" t="str">
            <v>indiretto</v>
          </cell>
          <cell r="P599">
            <v>5</v>
          </cell>
          <cell r="Q599" t="str">
            <v>0.545182</v>
          </cell>
          <cell r="R599" t="str">
            <v>0.611443</v>
          </cell>
          <cell r="S599" t="str">
            <v>0.282207</v>
          </cell>
          <cell r="T599" t="str">
            <v>NO</v>
          </cell>
          <cell r="U599" t="str">
            <v>DELIBERA EGATO N.29 DEL 19/12/2018</v>
          </cell>
        </row>
        <row r="600">
          <cell r="A600" t="str">
            <v>C344240</v>
          </cell>
          <cell r="B600">
            <v>202601308540348</v>
          </cell>
          <cell r="D600" t="str">
            <v>ATO4</v>
          </cell>
          <cell r="E600" t="str">
            <v>C344240</v>
          </cell>
          <cell r="F600">
            <v>46143</v>
          </cell>
          <cell r="G600">
            <v>46507</v>
          </cell>
          <cell r="H600">
            <v>46179</v>
          </cell>
          <cell r="I600">
            <v>46179</v>
          </cell>
          <cell r="K600" t="str">
            <v>004078</v>
          </cell>
          <cell r="L600">
            <v>-33.130000000000003</v>
          </cell>
          <cell r="M600">
            <v>-33.130000000000003</v>
          </cell>
          <cell r="N600">
            <v>-33.130000000000003</v>
          </cell>
          <cell r="O600" t="str">
            <v>indiretto</v>
          </cell>
          <cell r="P600">
            <v>1</v>
          </cell>
          <cell r="Q600" t="str">
            <v>0.916558</v>
          </cell>
          <cell r="R600" t="str">
            <v>0.642623</v>
          </cell>
          <cell r="S600" t="str">
            <v>0.256196</v>
          </cell>
          <cell r="T600" t="str">
            <v>NO</v>
          </cell>
          <cell r="U600" t="str">
            <v>DELIBERAZIONE EGATO 29 19/12/2018</v>
          </cell>
        </row>
        <row r="601">
          <cell r="A601" t="str">
            <v>C122474</v>
          </cell>
          <cell r="B601">
            <v>202601308541172</v>
          </cell>
          <cell r="D601" t="str">
            <v>ATO4</v>
          </cell>
          <cell r="E601" t="str">
            <v>C122474</v>
          </cell>
          <cell r="F601">
            <v>46143</v>
          </cell>
          <cell r="G601">
            <v>46507</v>
          </cell>
          <cell r="H601">
            <v>46179</v>
          </cell>
          <cell r="I601">
            <v>46179</v>
          </cell>
          <cell r="K601" t="str">
            <v>004040</v>
          </cell>
          <cell r="L601">
            <v>-33.130000000000003</v>
          </cell>
          <cell r="M601">
            <v>-33.130000000000003</v>
          </cell>
          <cell r="N601">
            <v>-33.130000000000003</v>
          </cell>
          <cell r="O601" t="str">
            <v>indiretto</v>
          </cell>
          <cell r="P601">
            <v>1</v>
          </cell>
          <cell r="Q601" t="str">
            <v>0.916558</v>
          </cell>
          <cell r="R601" t="str">
            <v>0.642623</v>
          </cell>
          <cell r="S601" t="str">
            <v>0.256196</v>
          </cell>
          <cell r="T601" t="str">
            <v>NO</v>
          </cell>
          <cell r="U601" t="str">
            <v>DELIBERAZIONE EGATO 29 19/12/2018</v>
          </cell>
        </row>
        <row r="602">
          <cell r="A602" t="str">
            <v>C118867</v>
          </cell>
          <cell r="B602">
            <v>202601308542516</v>
          </cell>
          <cell r="D602" t="str">
            <v>ATO4</v>
          </cell>
          <cell r="E602" t="str">
            <v>C118867</v>
          </cell>
          <cell r="F602">
            <v>46143</v>
          </cell>
          <cell r="G602">
            <v>46507</v>
          </cell>
          <cell r="H602">
            <v>46179</v>
          </cell>
          <cell r="I602">
            <v>46179</v>
          </cell>
          <cell r="K602" t="str">
            <v>004078</v>
          </cell>
          <cell r="L602">
            <v>-66.260000000000005</v>
          </cell>
          <cell r="M602">
            <v>-66.260000000000005</v>
          </cell>
          <cell r="N602">
            <v>-66.260000000000005</v>
          </cell>
          <cell r="O602" t="str">
            <v>indiretto</v>
          </cell>
          <cell r="P602">
            <v>2</v>
          </cell>
          <cell r="Q602" t="str">
            <v>0.916558</v>
          </cell>
          <cell r="R602" t="str">
            <v>0.642623</v>
          </cell>
          <cell r="S602" t="str">
            <v>0.256196</v>
          </cell>
          <cell r="T602" t="str">
            <v>NO</v>
          </cell>
          <cell r="U602" t="str">
            <v>DELIBERAZIONE EGATO 29 19/12/2018</v>
          </cell>
        </row>
        <row r="603">
          <cell r="A603" t="str">
            <v>C320112</v>
          </cell>
          <cell r="B603">
            <v>202601308544427</v>
          </cell>
          <cell r="D603" t="str">
            <v>ATO4</v>
          </cell>
          <cell r="E603" t="str">
            <v>C320112</v>
          </cell>
          <cell r="F603">
            <v>46143</v>
          </cell>
          <cell r="G603">
            <v>46507</v>
          </cell>
          <cell r="H603">
            <v>46179</v>
          </cell>
          <cell r="I603">
            <v>46179</v>
          </cell>
          <cell r="K603" t="str">
            <v>004014</v>
          </cell>
          <cell r="L603">
            <v>-38.659999999999997</v>
          </cell>
          <cell r="M603">
            <v>-38.659999999999997</v>
          </cell>
          <cell r="N603">
            <v>-38.659999999999997</v>
          </cell>
          <cell r="O603" t="str">
            <v>indiretto</v>
          </cell>
          <cell r="P603">
            <v>1</v>
          </cell>
          <cell r="Q603">
            <v>1091278</v>
          </cell>
          <cell r="R603" t="str">
            <v>0.730790</v>
          </cell>
          <cell r="S603" t="str">
            <v>0.296264</v>
          </cell>
          <cell r="T603" t="str">
            <v>NO</v>
          </cell>
          <cell r="U603" t="str">
            <v>DELIBERAZIONE EGATO 2 04/02/2019</v>
          </cell>
        </row>
        <row r="604">
          <cell r="A604" t="str">
            <v>C337546</v>
          </cell>
          <cell r="B604">
            <v>202601308549835</v>
          </cell>
          <cell r="D604" t="str">
            <v>ATO4</v>
          </cell>
          <cell r="E604" t="str">
            <v>C337546</v>
          </cell>
          <cell r="F604">
            <v>46143</v>
          </cell>
          <cell r="G604">
            <v>46507</v>
          </cell>
          <cell r="H604">
            <v>46179</v>
          </cell>
          <cell r="I604">
            <v>46179</v>
          </cell>
          <cell r="K604" t="str">
            <v>004009</v>
          </cell>
          <cell r="L604">
            <v>-49.24</v>
          </cell>
          <cell r="M604">
            <v>-49.24</v>
          </cell>
          <cell r="N604">
            <v>-49.24</v>
          </cell>
          <cell r="O604" t="str">
            <v>indiretto</v>
          </cell>
          <cell r="P604">
            <v>2</v>
          </cell>
          <cell r="Q604" t="str">
            <v>0.716943</v>
          </cell>
          <cell r="R604" t="str">
            <v>0.463071</v>
          </cell>
          <cell r="S604" t="str">
            <v>0.169064</v>
          </cell>
          <cell r="T604" t="str">
            <v>NO</v>
          </cell>
          <cell r="U604" t="str">
            <v>DELIBERAZIONE EGATO 2 04/02/2019</v>
          </cell>
        </row>
        <row r="605">
          <cell r="A605" t="str">
            <v>C311904</v>
          </cell>
          <cell r="B605">
            <v>202601308550788</v>
          </cell>
          <cell r="D605" t="str">
            <v>ATO4</v>
          </cell>
          <cell r="E605" t="str">
            <v>C311904</v>
          </cell>
          <cell r="F605">
            <v>46143</v>
          </cell>
          <cell r="G605">
            <v>46507</v>
          </cell>
          <cell r="H605">
            <v>46179</v>
          </cell>
          <cell r="I605">
            <v>46179</v>
          </cell>
          <cell r="K605" t="str">
            <v>004022</v>
          </cell>
          <cell r="L605">
            <v>-132.52000000000001</v>
          </cell>
          <cell r="M605">
            <v>-132.52000000000001</v>
          </cell>
          <cell r="N605">
            <v>-132.52000000000001</v>
          </cell>
          <cell r="O605" t="str">
            <v>indiretto</v>
          </cell>
          <cell r="P605">
            <v>4</v>
          </cell>
          <cell r="Q605" t="str">
            <v>0.916558</v>
          </cell>
          <cell r="R605" t="str">
            <v>0.642623</v>
          </cell>
          <cell r="S605" t="str">
            <v>0.256196</v>
          </cell>
          <cell r="T605" t="str">
            <v>NO</v>
          </cell>
          <cell r="U605" t="str">
            <v>DELIBERAZIONE EGATO 29 19/12/2018</v>
          </cell>
        </row>
        <row r="606">
          <cell r="A606" t="str">
            <v>C338980</v>
          </cell>
          <cell r="B606">
            <v>202601308551939</v>
          </cell>
          <cell r="D606" t="str">
            <v>ATO4</v>
          </cell>
          <cell r="E606" t="str">
            <v>C338980</v>
          </cell>
          <cell r="F606">
            <v>46143</v>
          </cell>
          <cell r="G606">
            <v>46507</v>
          </cell>
          <cell r="H606">
            <v>46179</v>
          </cell>
          <cell r="I606">
            <v>46179</v>
          </cell>
          <cell r="K606" t="str">
            <v>004130</v>
          </cell>
          <cell r="L606">
            <v>-26.26</v>
          </cell>
          <cell r="M606">
            <v>-26.26</v>
          </cell>
          <cell r="N606">
            <v>-26.26</v>
          </cell>
          <cell r="O606" t="str">
            <v>indiretto</v>
          </cell>
          <cell r="P606">
            <v>1</v>
          </cell>
          <cell r="Q606" t="str">
            <v>0.545182</v>
          </cell>
          <cell r="R606" t="str">
            <v>0.611443</v>
          </cell>
          <cell r="S606" t="str">
            <v>0.282207</v>
          </cell>
          <cell r="T606" t="str">
            <v>NO</v>
          </cell>
          <cell r="U606" t="str">
            <v>DELIBERA EGATO N.29 DEL 19/12/2018</v>
          </cell>
        </row>
        <row r="607">
          <cell r="A607" t="str">
            <v>C124587</v>
          </cell>
          <cell r="B607">
            <v>202601308553883</v>
          </cell>
          <cell r="D607" t="str">
            <v>ATO4</v>
          </cell>
          <cell r="E607" t="str">
            <v>C124587</v>
          </cell>
          <cell r="F607">
            <v>46143</v>
          </cell>
          <cell r="G607">
            <v>46507</v>
          </cell>
          <cell r="H607">
            <v>46179</v>
          </cell>
          <cell r="I607">
            <v>46179</v>
          </cell>
          <cell r="K607" t="str">
            <v>004040</v>
          </cell>
          <cell r="L607">
            <v>-33.130000000000003</v>
          </cell>
          <cell r="M607">
            <v>-33.130000000000003</v>
          </cell>
          <cell r="N607">
            <v>-33.130000000000003</v>
          </cell>
          <cell r="O607" t="str">
            <v>indiretto</v>
          </cell>
          <cell r="P607">
            <v>1</v>
          </cell>
          <cell r="Q607" t="str">
            <v>0.916558</v>
          </cell>
          <cell r="R607" t="str">
            <v>0.642623</v>
          </cell>
          <cell r="S607" t="str">
            <v>0.256196</v>
          </cell>
          <cell r="T607" t="str">
            <v>NO</v>
          </cell>
          <cell r="U607" t="str">
            <v>DELIBERAZIONE EGATO 29 19/12/2018</v>
          </cell>
        </row>
        <row r="608">
          <cell r="A608" t="str">
            <v>C320043</v>
          </cell>
          <cell r="B608">
            <v>202601308554164</v>
          </cell>
          <cell r="D608" t="str">
            <v>ATO4</v>
          </cell>
          <cell r="E608" t="str">
            <v>C320043</v>
          </cell>
          <cell r="F608">
            <v>46143</v>
          </cell>
          <cell r="G608">
            <v>46507</v>
          </cell>
          <cell r="H608">
            <v>46179</v>
          </cell>
          <cell r="I608">
            <v>46179</v>
          </cell>
          <cell r="K608" t="str">
            <v>004078</v>
          </cell>
          <cell r="L608">
            <v>-99.39</v>
          </cell>
          <cell r="M608">
            <v>-99.39</v>
          </cell>
          <cell r="N608">
            <v>-99.39</v>
          </cell>
          <cell r="O608" t="str">
            <v>indiretto</v>
          </cell>
          <cell r="P608">
            <v>3</v>
          </cell>
          <cell r="Q608" t="str">
            <v>0.916558</v>
          </cell>
          <cell r="R608" t="str">
            <v>0.642623</v>
          </cell>
          <cell r="S608" t="str">
            <v>0.256196</v>
          </cell>
          <cell r="T608" t="str">
            <v>NO</v>
          </cell>
          <cell r="U608" t="str">
            <v>DELIBERAZIONE EGATO 29 19/12/2018</v>
          </cell>
        </row>
        <row r="609">
          <cell r="A609" t="str">
            <v>C344118</v>
          </cell>
          <cell r="B609">
            <v>202601308558234</v>
          </cell>
          <cell r="D609" t="str">
            <v>ATO4</v>
          </cell>
          <cell r="E609" t="str">
            <v>C344118</v>
          </cell>
          <cell r="F609">
            <v>46143</v>
          </cell>
          <cell r="G609">
            <v>46507</v>
          </cell>
          <cell r="H609">
            <v>46179</v>
          </cell>
          <cell r="I609">
            <v>46179</v>
          </cell>
          <cell r="K609" t="str">
            <v>004173</v>
          </cell>
          <cell r="L609">
            <v>-79.510000000000005</v>
          </cell>
          <cell r="M609">
            <v>-79.510000000000005</v>
          </cell>
          <cell r="N609">
            <v>-79.510000000000005</v>
          </cell>
          <cell r="O609" t="str">
            <v>indiretto</v>
          </cell>
          <cell r="P609">
            <v>3</v>
          </cell>
          <cell r="Q609" t="str">
            <v>0.733246</v>
          </cell>
          <cell r="R609" t="str">
            <v>0.514098</v>
          </cell>
          <cell r="S609" t="str">
            <v>0.204957</v>
          </cell>
          <cell r="T609" t="str">
            <v>NO</v>
          </cell>
          <cell r="U609" t="str">
            <v>DELIBERAZIONE EGATO 2 04/02/2019</v>
          </cell>
        </row>
        <row r="610">
          <cell r="A610" t="str">
            <v>C101011</v>
          </cell>
          <cell r="B610">
            <v>202601308561710</v>
          </cell>
          <cell r="D610" t="str">
            <v>ATO4</v>
          </cell>
          <cell r="E610" t="str">
            <v>C101011</v>
          </cell>
          <cell r="F610">
            <v>46143</v>
          </cell>
          <cell r="G610">
            <v>46507</v>
          </cell>
          <cell r="H610">
            <v>46179</v>
          </cell>
          <cell r="I610">
            <v>46179</v>
          </cell>
          <cell r="K610" t="str">
            <v>004166</v>
          </cell>
          <cell r="L610">
            <v>-119.84</v>
          </cell>
          <cell r="M610">
            <v>-119.84</v>
          </cell>
          <cell r="N610">
            <v>-119.84</v>
          </cell>
          <cell r="O610" t="str">
            <v>indiretto</v>
          </cell>
          <cell r="P610">
            <v>5</v>
          </cell>
          <cell r="Q610" t="str">
            <v>0.721337</v>
          </cell>
          <cell r="R610" t="str">
            <v>0.441600</v>
          </cell>
          <cell r="S610" t="str">
            <v>0.150394</v>
          </cell>
          <cell r="T610" t="str">
            <v>NO</v>
          </cell>
          <cell r="U610" t="str">
            <v>DELIBERAZIONE EGATO 2 04/02/2019</v>
          </cell>
        </row>
        <row r="611">
          <cell r="A611" t="str">
            <v>C337554</v>
          </cell>
          <cell r="B611">
            <v>202601308563183</v>
          </cell>
          <cell r="D611" t="str">
            <v>ATO4</v>
          </cell>
          <cell r="E611" t="str">
            <v>C337554</v>
          </cell>
          <cell r="F611">
            <v>46143</v>
          </cell>
          <cell r="G611">
            <v>46507</v>
          </cell>
          <cell r="H611">
            <v>46179</v>
          </cell>
          <cell r="I611">
            <v>46179</v>
          </cell>
          <cell r="K611" t="str">
            <v>004095</v>
          </cell>
          <cell r="L611">
            <v>-59.64</v>
          </cell>
          <cell r="M611">
            <v>-59.64</v>
          </cell>
          <cell r="N611">
            <v>-59.64</v>
          </cell>
          <cell r="O611" t="str">
            <v>indiretto</v>
          </cell>
          <cell r="P611">
            <v>2</v>
          </cell>
          <cell r="Q611" t="str">
            <v>0.824903</v>
          </cell>
          <cell r="R611" t="str">
            <v>0.578360</v>
          </cell>
          <cell r="S611" t="str">
            <v>0.230576</v>
          </cell>
          <cell r="T611" t="str">
            <v>NO</v>
          </cell>
          <cell r="U611" t="str">
            <v>DELIBERAZIONE EGATO 29 19/12/2018</v>
          </cell>
        </row>
        <row r="612">
          <cell r="A612" t="str">
            <v>C344345</v>
          </cell>
          <cell r="B612">
            <v>202601308563213</v>
          </cell>
          <cell r="D612" t="str">
            <v>ATO4</v>
          </cell>
          <cell r="E612" t="str">
            <v>C344345</v>
          </cell>
          <cell r="F612">
            <v>46143</v>
          </cell>
          <cell r="G612">
            <v>46507</v>
          </cell>
          <cell r="H612">
            <v>46179</v>
          </cell>
          <cell r="I612">
            <v>46179</v>
          </cell>
          <cell r="K612" t="str">
            <v>004213</v>
          </cell>
          <cell r="L612">
            <v>-119.73</v>
          </cell>
          <cell r="M612">
            <v>-119.73</v>
          </cell>
          <cell r="N612">
            <v>-119.73</v>
          </cell>
          <cell r="O612" t="str">
            <v>indiretto</v>
          </cell>
          <cell r="P612">
            <v>4</v>
          </cell>
          <cell r="Q612" t="str">
            <v>0.633304</v>
          </cell>
          <cell r="R612" t="str">
            <v>0.746975</v>
          </cell>
          <cell r="S612" t="str">
            <v>0.259818</v>
          </cell>
          <cell r="T612" t="str">
            <v>NO</v>
          </cell>
          <cell r="U612" t="str">
            <v>DELIBERA EGATO 12 22/04/21</v>
          </cell>
        </row>
        <row r="613">
          <cell r="A613" t="str">
            <v>C119713</v>
          </cell>
          <cell r="B613">
            <v>202601308566207</v>
          </cell>
          <cell r="D613" t="str">
            <v>ATO4</v>
          </cell>
          <cell r="E613" t="str">
            <v>C119713</v>
          </cell>
          <cell r="F613">
            <v>46143</v>
          </cell>
          <cell r="G613">
            <v>46507</v>
          </cell>
          <cell r="H613">
            <v>46179</v>
          </cell>
          <cell r="I613">
            <v>46179</v>
          </cell>
          <cell r="K613" t="str">
            <v>004247</v>
          </cell>
          <cell r="L613">
            <v>-149.09</v>
          </cell>
          <cell r="M613">
            <v>-149.09</v>
          </cell>
          <cell r="N613">
            <v>-149.09</v>
          </cell>
          <cell r="O613" t="str">
            <v>indiretto</v>
          </cell>
          <cell r="P613">
            <v>5</v>
          </cell>
          <cell r="Q613" t="str">
            <v>0.824903</v>
          </cell>
          <cell r="R613" t="str">
            <v>0.578360</v>
          </cell>
          <cell r="S613" t="str">
            <v>0.230576</v>
          </cell>
          <cell r="T613" t="str">
            <v>NO</v>
          </cell>
          <cell r="U613" t="str">
            <v>DELIBERAZIONE EGATO 29 19/12/2018</v>
          </cell>
        </row>
        <row r="614">
          <cell r="A614" t="str">
            <v>C344149</v>
          </cell>
          <cell r="B614">
            <v>202601308566368</v>
          </cell>
          <cell r="D614" t="str">
            <v>ATO4</v>
          </cell>
          <cell r="E614" t="str">
            <v>C344149</v>
          </cell>
          <cell r="F614">
            <v>46143</v>
          </cell>
          <cell r="G614">
            <v>46507</v>
          </cell>
          <cell r="H614">
            <v>46179</v>
          </cell>
          <cell r="I614">
            <v>46179</v>
          </cell>
          <cell r="K614" t="str">
            <v>004130</v>
          </cell>
          <cell r="L614">
            <v>-105.03</v>
          </cell>
          <cell r="M614">
            <v>-105.03</v>
          </cell>
          <cell r="N614">
            <v>-105.03</v>
          </cell>
          <cell r="O614" t="str">
            <v>indiretto</v>
          </cell>
          <cell r="P614">
            <v>4</v>
          </cell>
          <cell r="Q614" t="str">
            <v>0.545182</v>
          </cell>
          <cell r="R614" t="str">
            <v>0.611443</v>
          </cell>
          <cell r="S614" t="str">
            <v>0.282207</v>
          </cell>
          <cell r="T614" t="str">
            <v>NO</v>
          </cell>
          <cell r="U614" t="str">
            <v>DELIBERA EGATO N.29 DEL 19/12/2018</v>
          </cell>
        </row>
        <row r="615">
          <cell r="A615" t="str">
            <v>C344192</v>
          </cell>
          <cell r="B615">
            <v>202601308567400</v>
          </cell>
          <cell r="D615" t="str">
            <v>ATO4</v>
          </cell>
          <cell r="E615" t="str">
            <v>C344192</v>
          </cell>
          <cell r="F615">
            <v>46143</v>
          </cell>
          <cell r="G615">
            <v>46507</v>
          </cell>
          <cell r="H615">
            <v>46179</v>
          </cell>
          <cell r="I615">
            <v>46179</v>
          </cell>
          <cell r="K615" t="str">
            <v>004210</v>
          </cell>
          <cell r="L615">
            <v>-105.03</v>
          </cell>
          <cell r="M615">
            <v>-105.03</v>
          </cell>
          <cell r="N615">
            <v>-105.03</v>
          </cell>
          <cell r="O615" t="str">
            <v>indiretto</v>
          </cell>
          <cell r="P615">
            <v>4</v>
          </cell>
          <cell r="Q615" t="str">
            <v>0.545182</v>
          </cell>
          <cell r="R615" t="str">
            <v>0.611443</v>
          </cell>
          <cell r="S615" t="str">
            <v>0.282207</v>
          </cell>
          <cell r="T615" t="str">
            <v>NO</v>
          </cell>
          <cell r="U615" t="str">
            <v>DELIBERA EGATO N.29 DEL 19/12/2018</v>
          </cell>
        </row>
        <row r="616">
          <cell r="A616" t="str">
            <v>C310495</v>
          </cell>
          <cell r="B616">
            <v>202601308570631</v>
          </cell>
          <cell r="D616" t="str">
            <v>ATO4</v>
          </cell>
          <cell r="E616" t="str">
            <v>C310495</v>
          </cell>
          <cell r="F616">
            <v>46143</v>
          </cell>
          <cell r="G616">
            <v>46507</v>
          </cell>
          <cell r="H616">
            <v>46179</v>
          </cell>
          <cell r="I616">
            <v>46179</v>
          </cell>
          <cell r="K616" t="str">
            <v>004078</v>
          </cell>
          <cell r="L616">
            <v>-33.130000000000003</v>
          </cell>
          <cell r="M616">
            <v>-33.130000000000003</v>
          </cell>
          <cell r="N616">
            <v>-33.130000000000003</v>
          </cell>
          <cell r="O616" t="str">
            <v>indiretto</v>
          </cell>
          <cell r="P616">
            <v>1</v>
          </cell>
          <cell r="Q616" t="str">
            <v>0.916558</v>
          </cell>
          <cell r="R616" t="str">
            <v>0.642623</v>
          </cell>
          <cell r="S616" t="str">
            <v>0.256196</v>
          </cell>
          <cell r="T616" t="str">
            <v>NO</v>
          </cell>
          <cell r="U616" t="str">
            <v>DELIBERAZIONE EGATO 29 19/12/2018</v>
          </cell>
        </row>
        <row r="617">
          <cell r="A617" t="str">
            <v>C344117</v>
          </cell>
          <cell r="B617">
            <v>202601308571150</v>
          </cell>
          <cell r="D617" t="str">
            <v>ATO4</v>
          </cell>
          <cell r="E617" t="str">
            <v>C344117</v>
          </cell>
          <cell r="F617">
            <v>46143</v>
          </cell>
          <cell r="G617">
            <v>46507</v>
          </cell>
          <cell r="H617">
            <v>46179</v>
          </cell>
          <cell r="I617">
            <v>46179</v>
          </cell>
          <cell r="K617" t="str">
            <v>004066</v>
          </cell>
          <cell r="L617">
            <v>-132.52000000000001</v>
          </cell>
          <cell r="M617">
            <v>-132.52000000000001</v>
          </cell>
          <cell r="N617">
            <v>-132.52000000000001</v>
          </cell>
          <cell r="O617" t="str">
            <v>indiretto</v>
          </cell>
          <cell r="P617">
            <v>4</v>
          </cell>
          <cell r="Q617" t="str">
            <v>0.916558</v>
          </cell>
          <cell r="R617" t="str">
            <v>0.642623</v>
          </cell>
          <cell r="S617" t="str">
            <v>0.256196</v>
          </cell>
          <cell r="T617" t="str">
            <v>NO</v>
          </cell>
          <cell r="U617" t="str">
            <v>DELIBERAZIONE EGATO 29 19/12/2018</v>
          </cell>
        </row>
        <row r="618">
          <cell r="A618" t="str">
            <v>C344287</v>
          </cell>
          <cell r="B618">
            <v>202601308572756</v>
          </cell>
          <cell r="D618" t="str">
            <v>ATO4</v>
          </cell>
          <cell r="E618" t="str">
            <v>C344287</v>
          </cell>
          <cell r="F618">
            <v>46143</v>
          </cell>
          <cell r="G618">
            <v>46507</v>
          </cell>
          <cell r="H618">
            <v>46179</v>
          </cell>
          <cell r="I618">
            <v>46179</v>
          </cell>
          <cell r="K618" t="str">
            <v>004078</v>
          </cell>
          <cell r="L618">
            <v>-33.130000000000003</v>
          </cell>
          <cell r="M618">
            <v>-33.130000000000003</v>
          </cell>
          <cell r="N618">
            <v>-33.130000000000003</v>
          </cell>
          <cell r="O618" t="str">
            <v>indiretto</v>
          </cell>
          <cell r="P618">
            <v>1</v>
          </cell>
          <cell r="Q618" t="str">
            <v>0.916558</v>
          </cell>
          <cell r="R618" t="str">
            <v>0.642623</v>
          </cell>
          <cell r="S618" t="str">
            <v>0.256196</v>
          </cell>
          <cell r="T618" t="str">
            <v>NO</v>
          </cell>
          <cell r="U618" t="str">
            <v>DELIBERAZIONE EGATO 29 19/12/2018</v>
          </cell>
        </row>
        <row r="619">
          <cell r="A619" t="str">
            <v>C344148</v>
          </cell>
          <cell r="B619">
            <v>202601308573926</v>
          </cell>
          <cell r="D619" t="str">
            <v>ATO4</v>
          </cell>
          <cell r="E619" t="str">
            <v>C344148</v>
          </cell>
          <cell r="F619">
            <v>46143</v>
          </cell>
          <cell r="G619">
            <v>46507</v>
          </cell>
          <cell r="H619">
            <v>46179</v>
          </cell>
          <cell r="I619">
            <v>46179</v>
          </cell>
          <cell r="K619" t="str">
            <v>004130</v>
          </cell>
          <cell r="L619">
            <v>-78.78</v>
          </cell>
          <cell r="M619">
            <v>-78.78</v>
          </cell>
          <cell r="N619">
            <v>-78.78</v>
          </cell>
          <cell r="O619" t="str">
            <v>indiretto</v>
          </cell>
          <cell r="P619">
            <v>3</v>
          </cell>
          <cell r="Q619" t="str">
            <v>0.545182</v>
          </cell>
          <cell r="R619" t="str">
            <v>0.611443</v>
          </cell>
          <cell r="S619" t="str">
            <v>0.282207</v>
          </cell>
          <cell r="T619" t="str">
            <v>NO</v>
          </cell>
          <cell r="U619" t="str">
            <v>DELIBERA EGATO N.29 DEL 19/12/2018</v>
          </cell>
        </row>
        <row r="620">
          <cell r="A620" t="str">
            <v>C344137</v>
          </cell>
          <cell r="B620">
            <v>202601308580328</v>
          </cell>
          <cell r="D620" t="str">
            <v>ATO4</v>
          </cell>
          <cell r="E620" t="str">
            <v>C344137</v>
          </cell>
          <cell r="F620">
            <v>46143</v>
          </cell>
          <cell r="G620">
            <v>46507</v>
          </cell>
          <cell r="H620">
            <v>46179</v>
          </cell>
          <cell r="I620">
            <v>46179</v>
          </cell>
          <cell r="K620" t="str">
            <v>004179</v>
          </cell>
          <cell r="L620">
            <v>-86.33</v>
          </cell>
          <cell r="M620">
            <v>-86.33</v>
          </cell>
          <cell r="N620">
            <v>-86.33</v>
          </cell>
          <cell r="O620" t="str">
            <v>indiretto</v>
          </cell>
          <cell r="P620">
            <v>3</v>
          </cell>
          <cell r="Q620" t="str">
            <v>0.802937</v>
          </cell>
          <cell r="R620" t="str">
            <v>0.568257</v>
          </cell>
          <cell r="S620" t="str">
            <v>0.205575</v>
          </cell>
          <cell r="T620" t="str">
            <v>NO</v>
          </cell>
          <cell r="U620" t="str">
            <v>DELIBERAZIONE EGATO 11 27/03/2019</v>
          </cell>
        </row>
        <row r="621">
          <cell r="A621" t="str">
            <v>C120750</v>
          </cell>
          <cell r="B621">
            <v>202601308583386</v>
          </cell>
          <cell r="D621" t="str">
            <v>ATO4</v>
          </cell>
          <cell r="E621" t="str">
            <v>C120750</v>
          </cell>
          <cell r="F621">
            <v>46143</v>
          </cell>
          <cell r="G621">
            <v>46507</v>
          </cell>
          <cell r="H621">
            <v>46179</v>
          </cell>
          <cell r="I621">
            <v>46179</v>
          </cell>
          <cell r="K621" t="str">
            <v>004034</v>
          </cell>
          <cell r="L621">
            <v>-165.65</v>
          </cell>
          <cell r="M621">
            <v>-165.65</v>
          </cell>
          <cell r="N621">
            <v>-165.65</v>
          </cell>
          <cell r="O621" t="str">
            <v>indiretto</v>
          </cell>
          <cell r="P621">
            <v>5</v>
          </cell>
          <cell r="Q621" t="str">
            <v>0.916558</v>
          </cell>
          <cell r="R621" t="str">
            <v>0.642623</v>
          </cell>
          <cell r="S621" t="str">
            <v>0.256196</v>
          </cell>
          <cell r="T621" t="str">
            <v>NO</v>
          </cell>
          <cell r="U621" t="str">
            <v>DELIBERAZIONE EGATO 29 19/12/2018</v>
          </cell>
        </row>
        <row r="622">
          <cell r="A622" t="str">
            <v>C110106</v>
          </cell>
          <cell r="B622">
            <v>202601308590666</v>
          </cell>
          <cell r="D622" t="str">
            <v>ATO4</v>
          </cell>
          <cell r="E622" t="str">
            <v>C110106</v>
          </cell>
          <cell r="F622">
            <v>46143</v>
          </cell>
          <cell r="G622">
            <v>46507</v>
          </cell>
          <cell r="H622">
            <v>46179</v>
          </cell>
          <cell r="I622">
            <v>46179</v>
          </cell>
          <cell r="K622" t="str">
            <v>004082</v>
          </cell>
          <cell r="L622">
            <v>-132.52000000000001</v>
          </cell>
          <cell r="M622">
            <v>-132.52000000000001</v>
          </cell>
          <cell r="N622">
            <v>-132.52000000000001</v>
          </cell>
          <cell r="O622" t="str">
            <v>indiretto</v>
          </cell>
          <cell r="P622">
            <v>4</v>
          </cell>
          <cell r="Q622" t="str">
            <v>0.916558</v>
          </cell>
          <cell r="R622" t="str">
            <v>0.642623</v>
          </cell>
          <cell r="S622" t="str">
            <v>0.256196</v>
          </cell>
          <cell r="T622" t="str">
            <v>NO</v>
          </cell>
          <cell r="U622" t="str">
            <v>DELIBERAZIONE EGATO 29 19/12/2018</v>
          </cell>
        </row>
        <row r="623">
          <cell r="A623" t="str">
            <v>C309779</v>
          </cell>
          <cell r="B623">
            <v>202601308592445</v>
          </cell>
          <cell r="D623" t="str">
            <v>ATO4</v>
          </cell>
          <cell r="E623" t="str">
            <v>C309779</v>
          </cell>
          <cell r="F623">
            <v>46143</v>
          </cell>
          <cell r="G623">
            <v>46507</v>
          </cell>
          <cell r="H623">
            <v>46179</v>
          </cell>
          <cell r="I623">
            <v>46179</v>
          </cell>
          <cell r="K623" t="str">
            <v>004078</v>
          </cell>
          <cell r="L623">
            <v>-99.39</v>
          </cell>
          <cell r="M623">
            <v>-99.39</v>
          </cell>
          <cell r="N623">
            <v>-99.39</v>
          </cell>
          <cell r="O623" t="str">
            <v>indiretto</v>
          </cell>
          <cell r="P623">
            <v>3</v>
          </cell>
          <cell r="Q623" t="str">
            <v>0.916558</v>
          </cell>
          <cell r="R623" t="str">
            <v>0.642623</v>
          </cell>
          <cell r="S623" t="str">
            <v>0.256196</v>
          </cell>
          <cell r="T623" t="str">
            <v>NO</v>
          </cell>
          <cell r="U623" t="str">
            <v>DELIBERAZIONE EGATO 29 19/12/2018</v>
          </cell>
        </row>
        <row r="624">
          <cell r="A624" t="str">
            <v>C344288</v>
          </cell>
          <cell r="B624">
            <v>202601308596680</v>
          </cell>
          <cell r="D624" t="str">
            <v>ATO4</v>
          </cell>
          <cell r="E624" t="str">
            <v>C344288</v>
          </cell>
          <cell r="F624">
            <v>46143</v>
          </cell>
          <cell r="G624">
            <v>46507</v>
          </cell>
          <cell r="H624">
            <v>46179</v>
          </cell>
          <cell r="I624">
            <v>46179</v>
          </cell>
          <cell r="K624" t="str">
            <v>004064</v>
          </cell>
          <cell r="L624">
            <v>-33.130000000000003</v>
          </cell>
          <cell r="M624">
            <v>-33.130000000000003</v>
          </cell>
          <cell r="N624">
            <v>-33.130000000000003</v>
          </cell>
          <cell r="O624" t="str">
            <v>indiretto</v>
          </cell>
          <cell r="P624">
            <v>1</v>
          </cell>
          <cell r="Q624" t="str">
            <v>0.916558</v>
          </cell>
          <cell r="R624" t="str">
            <v>0.642623</v>
          </cell>
          <cell r="S624" t="str">
            <v>0.256196</v>
          </cell>
          <cell r="T624" t="str">
            <v>NO</v>
          </cell>
          <cell r="U624" t="str">
            <v>DELIBERAZIONE EGATO 29 19/12/2018</v>
          </cell>
        </row>
        <row r="625">
          <cell r="A625" t="str">
            <v>C309164</v>
          </cell>
          <cell r="B625">
            <v>202601308596923</v>
          </cell>
          <cell r="D625" t="str">
            <v>ATO4</v>
          </cell>
          <cell r="E625" t="str">
            <v>C309164</v>
          </cell>
          <cell r="F625">
            <v>46143</v>
          </cell>
          <cell r="G625">
            <v>46507</v>
          </cell>
          <cell r="H625">
            <v>46179</v>
          </cell>
          <cell r="I625">
            <v>46179</v>
          </cell>
          <cell r="K625" t="str">
            <v>004066</v>
          </cell>
          <cell r="L625">
            <v>-231.91</v>
          </cell>
          <cell r="M625">
            <v>-231.91</v>
          </cell>
          <cell r="N625">
            <v>-231.91</v>
          </cell>
          <cell r="O625" t="str">
            <v>indiretto</v>
          </cell>
          <cell r="P625">
            <v>7</v>
          </cell>
          <cell r="Q625" t="str">
            <v>0.916558</v>
          </cell>
          <cell r="R625" t="str">
            <v>0.642623</v>
          </cell>
          <cell r="S625" t="str">
            <v>0.256196</v>
          </cell>
          <cell r="T625" t="str">
            <v>NO</v>
          </cell>
          <cell r="U625" t="str">
            <v>DELIBERAZIONE EGATO 29 19/12/2018</v>
          </cell>
        </row>
        <row r="626">
          <cell r="A626" t="str">
            <v>C320333</v>
          </cell>
          <cell r="B626">
            <v>202601308599431</v>
          </cell>
          <cell r="D626" t="str">
            <v>ATO4</v>
          </cell>
          <cell r="E626" t="str">
            <v>C320333</v>
          </cell>
          <cell r="F626">
            <v>46143</v>
          </cell>
          <cell r="G626">
            <v>46507</v>
          </cell>
          <cell r="H626">
            <v>46179</v>
          </cell>
          <cell r="I626">
            <v>46179</v>
          </cell>
          <cell r="K626" t="str">
            <v>004066</v>
          </cell>
          <cell r="L626">
            <v>-99.39</v>
          </cell>
          <cell r="M626">
            <v>-99.39</v>
          </cell>
          <cell r="N626">
            <v>-99.39</v>
          </cell>
          <cell r="O626" t="str">
            <v>indiretto</v>
          </cell>
          <cell r="P626">
            <v>3</v>
          </cell>
          <cell r="Q626" t="str">
            <v>0.916558</v>
          </cell>
          <cell r="R626" t="str">
            <v>0.642623</v>
          </cell>
          <cell r="S626" t="str">
            <v>0.256196</v>
          </cell>
          <cell r="T626" t="str">
            <v>NO</v>
          </cell>
          <cell r="U626" t="str">
            <v>DELIBERAZIONE EGATO 29 19/12/2018</v>
          </cell>
        </row>
        <row r="627">
          <cell r="A627" t="str">
            <v>C344116</v>
          </cell>
          <cell r="B627">
            <v>202601308605920</v>
          </cell>
          <cell r="D627" t="str">
            <v>ATO4</v>
          </cell>
          <cell r="E627" t="str">
            <v>C344116</v>
          </cell>
          <cell r="F627">
            <v>46143</v>
          </cell>
          <cell r="G627">
            <v>46507</v>
          </cell>
          <cell r="H627">
            <v>46179</v>
          </cell>
          <cell r="I627">
            <v>46179</v>
          </cell>
          <cell r="K627" t="str">
            <v>004242</v>
          </cell>
          <cell r="L627">
            <v>-52.52</v>
          </cell>
          <cell r="M627">
            <v>-52.52</v>
          </cell>
          <cell r="N627">
            <v>-52.52</v>
          </cell>
          <cell r="O627" t="str">
            <v>indiretto</v>
          </cell>
          <cell r="P627">
            <v>2</v>
          </cell>
          <cell r="Q627" t="str">
            <v>0.545182</v>
          </cell>
          <cell r="R627" t="str">
            <v>0.611443</v>
          </cell>
          <cell r="S627" t="str">
            <v>0.282207</v>
          </cell>
          <cell r="T627" t="str">
            <v>NO</v>
          </cell>
          <cell r="U627" t="str">
            <v>DELIBERA EGATO N.29 DEL 19/12/2018</v>
          </cell>
        </row>
        <row r="628">
          <cell r="A628" t="str">
            <v>C307967</v>
          </cell>
          <cell r="B628">
            <v>202601308615848</v>
          </cell>
          <cell r="D628" t="str">
            <v>ATO4</v>
          </cell>
          <cell r="E628" t="str">
            <v>C307967</v>
          </cell>
          <cell r="F628">
            <v>46143</v>
          </cell>
          <cell r="G628">
            <v>46507</v>
          </cell>
          <cell r="H628">
            <v>46179</v>
          </cell>
          <cell r="I628">
            <v>46179</v>
          </cell>
          <cell r="K628" t="str">
            <v>004179</v>
          </cell>
          <cell r="L628">
            <v>-57.55</v>
          </cell>
          <cell r="M628">
            <v>-57.55</v>
          </cell>
          <cell r="N628">
            <v>-57.55</v>
          </cell>
          <cell r="O628" t="str">
            <v>indiretto</v>
          </cell>
          <cell r="P628">
            <v>2</v>
          </cell>
          <cell r="Q628" t="str">
            <v>0.802937</v>
          </cell>
          <cell r="R628" t="str">
            <v>0.568257</v>
          </cell>
          <cell r="S628" t="str">
            <v>0.205575</v>
          </cell>
          <cell r="T628" t="str">
            <v>NO</v>
          </cell>
          <cell r="U628" t="str">
            <v>DELIBERAZIONE EGATO 11 27/03/2019</v>
          </cell>
        </row>
        <row r="629">
          <cell r="A629" t="str">
            <v>C344262</v>
          </cell>
          <cell r="B629">
            <v>202601308616208</v>
          </cell>
          <cell r="D629" t="str">
            <v>ATO4</v>
          </cell>
          <cell r="E629" t="str">
            <v>C344262</v>
          </cell>
          <cell r="F629">
            <v>46143</v>
          </cell>
          <cell r="G629">
            <v>46507</v>
          </cell>
          <cell r="H629">
            <v>46179</v>
          </cell>
          <cell r="I629">
            <v>46179</v>
          </cell>
          <cell r="K629" t="str">
            <v>004130</v>
          </cell>
          <cell r="L629">
            <v>-131.29</v>
          </cell>
          <cell r="M629">
            <v>-131.29</v>
          </cell>
          <cell r="N629">
            <v>-131.29</v>
          </cell>
          <cell r="O629" t="str">
            <v>indiretto</v>
          </cell>
          <cell r="P629">
            <v>5</v>
          </cell>
          <cell r="Q629" t="str">
            <v>0.545182</v>
          </cell>
          <cell r="R629" t="str">
            <v>0.611443</v>
          </cell>
          <cell r="S629" t="str">
            <v>0.282207</v>
          </cell>
          <cell r="T629" t="str">
            <v>NO</v>
          </cell>
          <cell r="U629" t="str">
            <v>DELIBERA EGATO N.29 DEL 19/12/2018</v>
          </cell>
        </row>
        <row r="630">
          <cell r="A630" t="str">
            <v>C320256</v>
          </cell>
          <cell r="B630">
            <v>202601308620643</v>
          </cell>
          <cell r="D630" t="str">
            <v>ATO4</v>
          </cell>
          <cell r="E630" t="str">
            <v>C320256</v>
          </cell>
          <cell r="F630">
            <v>46143</v>
          </cell>
          <cell r="G630">
            <v>46507</v>
          </cell>
          <cell r="H630">
            <v>46179</v>
          </cell>
          <cell r="I630">
            <v>46179</v>
          </cell>
          <cell r="K630" t="str">
            <v>004009</v>
          </cell>
          <cell r="L630">
            <v>-24.62</v>
          </cell>
          <cell r="M630">
            <v>-24.62</v>
          </cell>
          <cell r="N630">
            <v>-24.62</v>
          </cell>
          <cell r="O630" t="str">
            <v>indiretto</v>
          </cell>
          <cell r="P630">
            <v>1</v>
          </cell>
          <cell r="Q630" t="str">
            <v>0.716943</v>
          </cell>
          <cell r="R630" t="str">
            <v>0.463071</v>
          </cell>
          <cell r="S630" t="str">
            <v>0.169064</v>
          </cell>
          <cell r="T630" t="str">
            <v>NO</v>
          </cell>
          <cell r="U630" t="str">
            <v>DELIBERAZIONE EGATO 2 04/02/2019</v>
          </cell>
        </row>
        <row r="631">
          <cell r="A631" t="str">
            <v>C344251</v>
          </cell>
          <cell r="B631">
            <v>202601308628736</v>
          </cell>
          <cell r="D631" t="str">
            <v>ATO4</v>
          </cell>
          <cell r="E631" t="str">
            <v>C344251</v>
          </cell>
          <cell r="F631">
            <v>46143</v>
          </cell>
          <cell r="G631">
            <v>46507</v>
          </cell>
          <cell r="H631">
            <v>46179</v>
          </cell>
          <cell r="I631">
            <v>46179</v>
          </cell>
          <cell r="K631" t="str">
            <v>004130</v>
          </cell>
          <cell r="L631">
            <v>-52.52</v>
          </cell>
          <cell r="M631">
            <v>-52.52</v>
          </cell>
          <cell r="N631">
            <v>-52.52</v>
          </cell>
          <cell r="O631" t="str">
            <v>indiretto</v>
          </cell>
          <cell r="P631">
            <v>2</v>
          </cell>
          <cell r="Q631" t="str">
            <v>0.545182</v>
          </cell>
          <cell r="R631" t="str">
            <v>0.611443</v>
          </cell>
          <cell r="S631" t="str">
            <v>0.282207</v>
          </cell>
          <cell r="T631" t="str">
            <v>NO</v>
          </cell>
          <cell r="U631" t="str">
            <v>DELIBERA EGATO N.29 DEL 19/12/2018</v>
          </cell>
        </row>
        <row r="632">
          <cell r="A632" t="str">
            <v>C344199</v>
          </cell>
          <cell r="B632">
            <v>202601308632604</v>
          </cell>
          <cell r="D632" t="str">
            <v>ATO4</v>
          </cell>
          <cell r="E632" t="str">
            <v>C344199</v>
          </cell>
          <cell r="F632">
            <v>46143</v>
          </cell>
          <cell r="G632">
            <v>46507</v>
          </cell>
          <cell r="H632">
            <v>46179</v>
          </cell>
          <cell r="I632">
            <v>46179</v>
          </cell>
          <cell r="K632" t="str">
            <v>004130</v>
          </cell>
          <cell r="L632">
            <v>-105.03</v>
          </cell>
          <cell r="M632">
            <v>-105.03</v>
          </cell>
          <cell r="N632">
            <v>-105.03</v>
          </cell>
          <cell r="O632" t="str">
            <v>indiretto</v>
          </cell>
          <cell r="P632">
            <v>4</v>
          </cell>
          <cell r="Q632" t="str">
            <v>0.545182</v>
          </cell>
          <cell r="R632" t="str">
            <v>0.611443</v>
          </cell>
          <cell r="S632" t="str">
            <v>0.282207</v>
          </cell>
          <cell r="T632" t="str">
            <v>NO</v>
          </cell>
          <cell r="U632" t="str">
            <v>DELIBERA EGATO N.29 DEL 19/12/2018</v>
          </cell>
        </row>
        <row r="633">
          <cell r="A633" t="str">
            <v>C320248</v>
          </cell>
          <cell r="B633">
            <v>202601308640548</v>
          </cell>
          <cell r="D633" t="str">
            <v>ATO4</v>
          </cell>
          <cell r="E633" t="str">
            <v>C320248</v>
          </cell>
          <cell r="F633">
            <v>46143</v>
          </cell>
          <cell r="G633">
            <v>46507</v>
          </cell>
          <cell r="H633">
            <v>46179</v>
          </cell>
          <cell r="I633">
            <v>46179</v>
          </cell>
          <cell r="K633" t="str">
            <v>004043</v>
          </cell>
          <cell r="L633">
            <v>-77.319999999999993</v>
          </cell>
          <cell r="M633">
            <v>-77.319999999999993</v>
          </cell>
          <cell r="N633">
            <v>-77.319999999999993</v>
          </cell>
          <cell r="O633" t="str">
            <v>indiretto</v>
          </cell>
          <cell r="P633">
            <v>2</v>
          </cell>
          <cell r="Q633">
            <v>1091278</v>
          </cell>
          <cell r="R633" t="str">
            <v>0.730790</v>
          </cell>
          <cell r="S633" t="str">
            <v>0.296264</v>
          </cell>
          <cell r="T633" t="str">
            <v>NO</v>
          </cell>
          <cell r="U633" t="str">
            <v>DELIBERAZIONE EGATO 2 04/02/2019</v>
          </cell>
        </row>
        <row r="634">
          <cell r="A634" t="str">
            <v>C320286</v>
          </cell>
          <cell r="B634">
            <v>202601308640922</v>
          </cell>
          <cell r="D634" t="str">
            <v>ATO4</v>
          </cell>
          <cell r="E634" t="str">
            <v>C320286</v>
          </cell>
          <cell r="F634">
            <v>46143</v>
          </cell>
          <cell r="G634">
            <v>46507</v>
          </cell>
          <cell r="H634">
            <v>46179</v>
          </cell>
          <cell r="I634">
            <v>46179</v>
          </cell>
          <cell r="K634" t="str">
            <v>004078</v>
          </cell>
          <cell r="L634">
            <v>-33.130000000000003</v>
          </cell>
          <cell r="M634">
            <v>-33.130000000000003</v>
          </cell>
          <cell r="N634">
            <v>-33.130000000000003</v>
          </cell>
          <cell r="O634" t="str">
            <v>indiretto</v>
          </cell>
          <cell r="P634">
            <v>1</v>
          </cell>
          <cell r="Q634" t="str">
            <v>0.916558</v>
          </cell>
          <cell r="R634" t="str">
            <v>0.642623</v>
          </cell>
          <cell r="S634" t="str">
            <v>0.256196</v>
          </cell>
          <cell r="T634" t="str">
            <v>NO</v>
          </cell>
          <cell r="U634" t="str">
            <v>DELIBERAZIONE EGATO 29 19/12/2018</v>
          </cell>
        </row>
        <row r="635">
          <cell r="A635" t="str">
            <v>C344219</v>
          </cell>
          <cell r="B635">
            <v>202601308644423</v>
          </cell>
          <cell r="D635" t="str">
            <v>ATO4</v>
          </cell>
          <cell r="E635" t="str">
            <v>C344219</v>
          </cell>
          <cell r="F635">
            <v>46143</v>
          </cell>
          <cell r="G635">
            <v>46507</v>
          </cell>
          <cell r="H635">
            <v>46179</v>
          </cell>
          <cell r="I635">
            <v>46179</v>
          </cell>
          <cell r="K635" t="str">
            <v>004129</v>
          </cell>
          <cell r="L635">
            <v>-113.84</v>
          </cell>
          <cell r="M635">
            <v>-113.84</v>
          </cell>
          <cell r="N635">
            <v>-113.84</v>
          </cell>
          <cell r="O635" t="str">
            <v>indiretto</v>
          </cell>
          <cell r="P635">
            <v>3</v>
          </cell>
          <cell r="Q635">
            <v>1091278</v>
          </cell>
          <cell r="R635" t="str">
            <v>0.691798</v>
          </cell>
          <cell r="S635" t="str">
            <v>0.296264</v>
          </cell>
          <cell r="T635" t="str">
            <v>NO</v>
          </cell>
          <cell r="U635" t="str">
            <v>DELIBERAZIONE EGATO 2 04/02/2019</v>
          </cell>
        </row>
        <row r="636">
          <cell r="A636" t="str">
            <v>C313704</v>
          </cell>
          <cell r="B636">
            <v>202601308645350</v>
          </cell>
          <cell r="D636" t="str">
            <v>ATO4</v>
          </cell>
          <cell r="E636" t="str">
            <v>C313704</v>
          </cell>
          <cell r="F636">
            <v>46143</v>
          </cell>
          <cell r="G636">
            <v>46507</v>
          </cell>
          <cell r="H636">
            <v>46179</v>
          </cell>
          <cell r="I636">
            <v>46179</v>
          </cell>
          <cell r="K636" t="str">
            <v>004025</v>
          </cell>
          <cell r="L636">
            <v>-99.39</v>
          </cell>
          <cell r="M636">
            <v>-99.39</v>
          </cell>
          <cell r="N636">
            <v>-99.39</v>
          </cell>
          <cell r="O636" t="str">
            <v>indiretto</v>
          </cell>
          <cell r="P636">
            <v>3</v>
          </cell>
          <cell r="Q636" t="str">
            <v>0.916558</v>
          </cell>
          <cell r="R636" t="str">
            <v>0.642623</v>
          </cell>
          <cell r="S636" t="str">
            <v>0.256196</v>
          </cell>
          <cell r="T636" t="str">
            <v>NO</v>
          </cell>
          <cell r="U636" t="str">
            <v>DELIBERAZIONE EGATO 29 19/12/2018</v>
          </cell>
        </row>
        <row r="637">
          <cell r="A637" t="str">
            <v>C314098</v>
          </cell>
          <cell r="B637">
            <v>202601308646228</v>
          </cell>
          <cell r="D637" t="str">
            <v>ATO4</v>
          </cell>
          <cell r="E637" t="str">
            <v>C314098</v>
          </cell>
          <cell r="F637">
            <v>46143</v>
          </cell>
          <cell r="G637">
            <v>46507</v>
          </cell>
          <cell r="H637">
            <v>46179</v>
          </cell>
          <cell r="I637">
            <v>46179</v>
          </cell>
          <cell r="K637" t="str">
            <v>004095</v>
          </cell>
          <cell r="L637">
            <v>-29.82</v>
          </cell>
          <cell r="M637">
            <v>-29.82</v>
          </cell>
          <cell r="N637">
            <v>-29.82</v>
          </cell>
          <cell r="O637" t="str">
            <v>indiretto</v>
          </cell>
          <cell r="P637">
            <v>1</v>
          </cell>
          <cell r="Q637" t="str">
            <v>0.824903</v>
          </cell>
          <cell r="R637" t="str">
            <v>0.578360</v>
          </cell>
          <cell r="S637" t="str">
            <v>0.230576</v>
          </cell>
          <cell r="T637" t="str">
            <v>NO</v>
          </cell>
          <cell r="U637" t="str">
            <v>DELIBERAZIONE EGATO 29 19/12/2018</v>
          </cell>
        </row>
        <row r="638">
          <cell r="A638" t="str">
            <v>C309895</v>
          </cell>
          <cell r="B638">
            <v>202601308652569</v>
          </cell>
          <cell r="D638" t="str">
            <v>ATO4</v>
          </cell>
          <cell r="E638" t="str">
            <v>C309895</v>
          </cell>
          <cell r="F638">
            <v>46143</v>
          </cell>
          <cell r="G638">
            <v>46507</v>
          </cell>
          <cell r="H638">
            <v>46179</v>
          </cell>
          <cell r="I638">
            <v>46179</v>
          </cell>
          <cell r="K638" t="str">
            <v>004144</v>
          </cell>
          <cell r="L638">
            <v>-99.39</v>
          </cell>
          <cell r="M638">
            <v>-99.39</v>
          </cell>
          <cell r="N638">
            <v>-99.39</v>
          </cell>
          <cell r="O638" t="str">
            <v>indiretto</v>
          </cell>
          <cell r="P638">
            <v>3</v>
          </cell>
          <cell r="Q638" t="str">
            <v>0.916558</v>
          </cell>
          <cell r="R638" t="str">
            <v>0.642623</v>
          </cell>
          <cell r="S638" t="str">
            <v>0.256196</v>
          </cell>
          <cell r="T638" t="str">
            <v>NO</v>
          </cell>
          <cell r="U638" t="str">
            <v>DELIBERAZIONE EGATO 29 19/12/2018</v>
          </cell>
        </row>
        <row r="639">
          <cell r="A639" t="str">
            <v>C344252</v>
          </cell>
          <cell r="B639">
            <v>202601308654276</v>
          </cell>
          <cell r="D639" t="str">
            <v>ATO4</v>
          </cell>
          <cell r="E639" t="str">
            <v>C344252</v>
          </cell>
          <cell r="F639">
            <v>46143</v>
          </cell>
          <cell r="G639">
            <v>46507</v>
          </cell>
          <cell r="H639">
            <v>46179</v>
          </cell>
          <cell r="I639">
            <v>46179</v>
          </cell>
          <cell r="K639" t="str">
            <v>004095</v>
          </cell>
          <cell r="L639">
            <v>-89.45</v>
          </cell>
          <cell r="M639">
            <v>-89.45</v>
          </cell>
          <cell r="N639">
            <v>-89.45</v>
          </cell>
          <cell r="O639" t="str">
            <v>indiretto</v>
          </cell>
          <cell r="P639">
            <v>3</v>
          </cell>
          <cell r="Q639" t="str">
            <v>0.824903</v>
          </cell>
          <cell r="R639" t="str">
            <v>0.578360</v>
          </cell>
          <cell r="S639" t="str">
            <v>0.230576</v>
          </cell>
          <cell r="T639" t="str">
            <v>NO</v>
          </cell>
          <cell r="U639" t="str">
            <v>DELIBERAZIONE EGATO 29 19/12/2018</v>
          </cell>
        </row>
        <row r="640">
          <cell r="A640" t="str">
            <v>C313634</v>
          </cell>
          <cell r="B640">
            <v>202601308656500</v>
          </cell>
          <cell r="D640" t="str">
            <v>ATO4</v>
          </cell>
          <cell r="E640" t="str">
            <v>C313634</v>
          </cell>
          <cell r="F640">
            <v>46143</v>
          </cell>
          <cell r="G640">
            <v>46507</v>
          </cell>
          <cell r="H640">
            <v>46179</v>
          </cell>
          <cell r="I640">
            <v>46179</v>
          </cell>
          <cell r="K640" t="str">
            <v>004116</v>
          </cell>
          <cell r="L640">
            <v>-71.900000000000006</v>
          </cell>
          <cell r="M640">
            <v>-71.900000000000006</v>
          </cell>
          <cell r="N640">
            <v>-71.900000000000006</v>
          </cell>
          <cell r="O640" t="str">
            <v>indiretto</v>
          </cell>
          <cell r="P640">
            <v>3</v>
          </cell>
          <cell r="Q640" t="str">
            <v>0.721337</v>
          </cell>
          <cell r="R640" t="str">
            <v>0.441600</v>
          </cell>
          <cell r="S640" t="str">
            <v>0.150394</v>
          </cell>
          <cell r="T640" t="str">
            <v>NO</v>
          </cell>
          <cell r="U640" t="str">
            <v>DELIBERAZIONE EGATO 2 04/02/2019</v>
          </cell>
        </row>
        <row r="641">
          <cell r="A641" t="str">
            <v>C308488</v>
          </cell>
          <cell r="B641">
            <v>202601308656859</v>
          </cell>
          <cell r="D641" t="str">
            <v>ATO4</v>
          </cell>
          <cell r="E641" t="str">
            <v>C308488</v>
          </cell>
          <cell r="F641">
            <v>46143</v>
          </cell>
          <cell r="G641">
            <v>46507</v>
          </cell>
          <cell r="H641">
            <v>46179</v>
          </cell>
          <cell r="I641">
            <v>46179</v>
          </cell>
          <cell r="K641" t="str">
            <v>004179</v>
          </cell>
          <cell r="L641">
            <v>-57.55</v>
          </cell>
          <cell r="M641">
            <v>-57.55</v>
          </cell>
          <cell r="N641">
            <v>-57.55</v>
          </cell>
          <cell r="O641" t="str">
            <v>indiretto</v>
          </cell>
          <cell r="P641">
            <v>2</v>
          </cell>
          <cell r="Q641" t="str">
            <v>0.802937</v>
          </cell>
          <cell r="R641" t="str">
            <v>0.568257</v>
          </cell>
          <cell r="S641" t="str">
            <v>0.205575</v>
          </cell>
          <cell r="T641" t="str">
            <v>NO</v>
          </cell>
          <cell r="U641" t="str">
            <v>DELIBERAZIONE EGATO 11 27/03/2019</v>
          </cell>
        </row>
        <row r="642">
          <cell r="A642" t="str">
            <v>C311730</v>
          </cell>
          <cell r="B642">
            <v>202601308657660</v>
          </cell>
          <cell r="D642" t="str">
            <v>ATO4</v>
          </cell>
          <cell r="E642" t="str">
            <v>C311730</v>
          </cell>
          <cell r="F642">
            <v>46143</v>
          </cell>
          <cell r="G642">
            <v>46507</v>
          </cell>
          <cell r="H642">
            <v>46179</v>
          </cell>
          <cell r="I642">
            <v>46179</v>
          </cell>
          <cell r="K642" t="str">
            <v>004132</v>
          </cell>
          <cell r="L642">
            <v>-76.58</v>
          </cell>
          <cell r="M642">
            <v>-76.58</v>
          </cell>
          <cell r="N642">
            <v>-76.58</v>
          </cell>
          <cell r="O642" t="str">
            <v>indiretto</v>
          </cell>
          <cell r="P642">
            <v>2</v>
          </cell>
          <cell r="Q642">
            <v>1091278</v>
          </cell>
          <cell r="R642" t="str">
            <v>0.746975</v>
          </cell>
          <cell r="S642" t="str">
            <v>0.259818</v>
          </cell>
          <cell r="T642" t="str">
            <v>NO</v>
          </cell>
          <cell r="U642" t="str">
            <v>DELIBERAZIONE EGATO 2 04/02/2019</v>
          </cell>
        </row>
        <row r="643">
          <cell r="A643" t="str">
            <v>C344311</v>
          </cell>
          <cell r="B643">
            <v>202601308661944</v>
          </cell>
          <cell r="D643" t="str">
            <v>ATO4</v>
          </cell>
          <cell r="E643" t="str">
            <v>C344311</v>
          </cell>
          <cell r="F643">
            <v>46143</v>
          </cell>
          <cell r="G643">
            <v>46507</v>
          </cell>
          <cell r="H643">
            <v>46179</v>
          </cell>
          <cell r="I643">
            <v>46179</v>
          </cell>
          <cell r="K643" t="str">
            <v>004144</v>
          </cell>
          <cell r="L643">
            <v>-132.52000000000001</v>
          </cell>
          <cell r="M643">
            <v>-132.52000000000001</v>
          </cell>
          <cell r="N643">
            <v>-132.52000000000001</v>
          </cell>
          <cell r="O643" t="str">
            <v>indiretto</v>
          </cell>
          <cell r="P643">
            <v>4</v>
          </cell>
          <cell r="Q643" t="str">
            <v>0.916558</v>
          </cell>
          <cell r="R643" t="str">
            <v>0.642623</v>
          </cell>
          <cell r="S643" t="str">
            <v>0.256196</v>
          </cell>
          <cell r="T643" t="str">
            <v>NO</v>
          </cell>
          <cell r="U643" t="str">
            <v>DELIBERAZIONE EGATO 29 19/12/2018</v>
          </cell>
        </row>
        <row r="644">
          <cell r="A644" t="str">
            <v>C344168</v>
          </cell>
          <cell r="B644">
            <v>202601308664368</v>
          </cell>
          <cell r="D644" t="str">
            <v>ATO4</v>
          </cell>
          <cell r="E644" t="str">
            <v>C344168</v>
          </cell>
          <cell r="F644">
            <v>46143</v>
          </cell>
          <cell r="G644">
            <v>46507</v>
          </cell>
          <cell r="H644">
            <v>46179</v>
          </cell>
          <cell r="I644">
            <v>46179</v>
          </cell>
          <cell r="K644" t="str">
            <v>004130</v>
          </cell>
          <cell r="L644">
            <v>-52.52</v>
          </cell>
          <cell r="M644">
            <v>-52.52</v>
          </cell>
          <cell r="N644">
            <v>-52.52</v>
          </cell>
          <cell r="O644" t="str">
            <v>indiretto</v>
          </cell>
          <cell r="P644">
            <v>2</v>
          </cell>
          <cell r="Q644" t="str">
            <v>0.545182</v>
          </cell>
          <cell r="R644" t="str">
            <v>0.611443</v>
          </cell>
          <cell r="S644" t="str">
            <v>0.282207</v>
          </cell>
          <cell r="T644" t="str">
            <v>NO</v>
          </cell>
          <cell r="U644" t="str">
            <v>DELIBERA EGATO N.29 DEL 19/12/2018</v>
          </cell>
        </row>
        <row r="645">
          <cell r="A645" t="str">
            <v>C344121</v>
          </cell>
          <cell r="B645">
            <v>202601308667029</v>
          </cell>
          <cell r="D645" t="str">
            <v>ATO4</v>
          </cell>
          <cell r="E645" t="str">
            <v>C344121</v>
          </cell>
          <cell r="F645">
            <v>46143</v>
          </cell>
          <cell r="G645">
            <v>46507</v>
          </cell>
          <cell r="H645">
            <v>46179</v>
          </cell>
          <cell r="I645">
            <v>46179</v>
          </cell>
          <cell r="K645" t="str">
            <v>004078</v>
          </cell>
          <cell r="L645">
            <v>-33.130000000000003</v>
          </cell>
          <cell r="M645">
            <v>-33.130000000000003</v>
          </cell>
          <cell r="N645">
            <v>-33.130000000000003</v>
          </cell>
          <cell r="O645" t="str">
            <v>indiretto</v>
          </cell>
          <cell r="P645">
            <v>1</v>
          </cell>
          <cell r="Q645" t="str">
            <v>0.916558</v>
          </cell>
          <cell r="R645" t="str">
            <v>0.642623</v>
          </cell>
          <cell r="S645" t="str">
            <v>0.256196</v>
          </cell>
          <cell r="T645" t="str">
            <v>NO</v>
          </cell>
          <cell r="U645" t="str">
            <v>DELIBERAZIONE EGATO 29 19/12/2018</v>
          </cell>
        </row>
        <row r="646">
          <cell r="A646" t="str">
            <v>C313491</v>
          </cell>
          <cell r="B646">
            <v>202601308671472</v>
          </cell>
          <cell r="D646" t="str">
            <v>ATO4</v>
          </cell>
          <cell r="E646" t="str">
            <v>C313491</v>
          </cell>
          <cell r="F646">
            <v>46143</v>
          </cell>
          <cell r="G646">
            <v>46507</v>
          </cell>
          <cell r="H646">
            <v>46179</v>
          </cell>
          <cell r="I646">
            <v>46179</v>
          </cell>
          <cell r="K646" t="str">
            <v>004078</v>
          </cell>
          <cell r="L646">
            <v>-33.130000000000003</v>
          </cell>
          <cell r="M646">
            <v>-33.130000000000003</v>
          </cell>
          <cell r="N646">
            <v>-33.130000000000003</v>
          </cell>
          <cell r="O646" t="str">
            <v>indiretto</v>
          </cell>
          <cell r="P646">
            <v>1</v>
          </cell>
          <cell r="Q646" t="str">
            <v>0.916558</v>
          </cell>
          <cell r="R646" t="str">
            <v>0.642623</v>
          </cell>
          <cell r="S646" t="str">
            <v>0.256196</v>
          </cell>
          <cell r="T646" t="str">
            <v>NO</v>
          </cell>
          <cell r="U646" t="str">
            <v>DELIBERAZIONE EGATO 29 19/12/2018</v>
          </cell>
        </row>
        <row r="647">
          <cell r="A647" t="str">
            <v>C344167</v>
          </cell>
          <cell r="B647">
            <v>202601308674716</v>
          </cell>
          <cell r="D647" t="str">
            <v>ATO4</v>
          </cell>
          <cell r="E647" t="str">
            <v>C344167</v>
          </cell>
          <cell r="F647">
            <v>46143</v>
          </cell>
          <cell r="G647">
            <v>46507</v>
          </cell>
          <cell r="H647">
            <v>46179</v>
          </cell>
          <cell r="I647">
            <v>46179</v>
          </cell>
          <cell r="K647" t="str">
            <v>004006</v>
          </cell>
          <cell r="L647">
            <v>-79.510000000000005</v>
          </cell>
          <cell r="M647">
            <v>-79.510000000000005</v>
          </cell>
          <cell r="N647">
            <v>-79.510000000000005</v>
          </cell>
          <cell r="O647" t="str">
            <v>indiretto</v>
          </cell>
          <cell r="P647">
            <v>3</v>
          </cell>
          <cell r="Q647" t="str">
            <v>0.733246</v>
          </cell>
          <cell r="R647" t="str">
            <v>0.514098</v>
          </cell>
          <cell r="S647" t="str">
            <v>0.204957</v>
          </cell>
          <cell r="T647" t="str">
            <v>NO</v>
          </cell>
          <cell r="U647" t="str">
            <v>DELIBERAZIONE EGATO 2 04/02/2019</v>
          </cell>
        </row>
        <row r="648">
          <cell r="A648" t="str">
            <v>C344312</v>
          </cell>
          <cell r="B648">
            <v>202601308678688</v>
          </cell>
          <cell r="D648" t="str">
            <v>ATO4</v>
          </cell>
          <cell r="E648" t="str">
            <v>C344312</v>
          </cell>
          <cell r="F648">
            <v>46143</v>
          </cell>
          <cell r="G648">
            <v>46507</v>
          </cell>
          <cell r="H648">
            <v>46179</v>
          </cell>
          <cell r="I648">
            <v>46179</v>
          </cell>
          <cell r="K648" t="str">
            <v>004009</v>
          </cell>
          <cell r="L648">
            <v>-49.24</v>
          </cell>
          <cell r="M648">
            <v>-49.24</v>
          </cell>
          <cell r="N648">
            <v>-49.24</v>
          </cell>
          <cell r="O648" t="str">
            <v>indiretto</v>
          </cell>
          <cell r="P648">
            <v>2</v>
          </cell>
          <cell r="Q648" t="str">
            <v>0.716943</v>
          </cell>
          <cell r="R648" t="str">
            <v>0.463071</v>
          </cell>
          <cell r="S648" t="str">
            <v>0.169064</v>
          </cell>
          <cell r="T648" t="str">
            <v>NO</v>
          </cell>
          <cell r="U648" t="str">
            <v>DELIBERAZIONE EGATO 2 04/02/2019</v>
          </cell>
        </row>
        <row r="649">
          <cell r="A649" t="str">
            <v>C344209</v>
          </cell>
          <cell r="B649">
            <v>202601308680823</v>
          </cell>
          <cell r="D649" t="str">
            <v>ATO4</v>
          </cell>
          <cell r="E649" t="str">
            <v>C344209</v>
          </cell>
          <cell r="F649">
            <v>46143</v>
          </cell>
          <cell r="G649">
            <v>46507</v>
          </cell>
          <cell r="H649">
            <v>46179</v>
          </cell>
          <cell r="I649">
            <v>46179</v>
          </cell>
          <cell r="K649" t="str">
            <v>004199</v>
          </cell>
          <cell r="L649">
            <v>-38.659999999999997</v>
          </cell>
          <cell r="M649">
            <v>-38.659999999999997</v>
          </cell>
          <cell r="N649">
            <v>-38.659999999999997</v>
          </cell>
          <cell r="O649" t="str">
            <v>indiretto</v>
          </cell>
          <cell r="P649">
            <v>1</v>
          </cell>
          <cell r="Q649">
            <v>1091278</v>
          </cell>
          <cell r="R649" t="str">
            <v>0.730790</v>
          </cell>
          <cell r="S649" t="str">
            <v>0.296264</v>
          </cell>
          <cell r="T649" t="str">
            <v>NO</v>
          </cell>
          <cell r="U649" t="str">
            <v>DELIBERAZIONE EGATO 2 04/02/2019</v>
          </cell>
        </row>
        <row r="650">
          <cell r="A650" t="str">
            <v>C310410</v>
          </cell>
          <cell r="B650">
            <v>202601308681138</v>
          </cell>
          <cell r="D650" t="str">
            <v>ATO4</v>
          </cell>
          <cell r="E650" t="str">
            <v>C310410</v>
          </cell>
          <cell r="F650">
            <v>46143</v>
          </cell>
          <cell r="G650">
            <v>46507</v>
          </cell>
          <cell r="H650">
            <v>46179</v>
          </cell>
          <cell r="I650">
            <v>46179</v>
          </cell>
          <cell r="K650" t="str">
            <v>004034</v>
          </cell>
          <cell r="L650">
            <v>-66.260000000000005</v>
          </cell>
          <cell r="M650">
            <v>-66.260000000000005</v>
          </cell>
          <cell r="N650">
            <v>-66.260000000000005</v>
          </cell>
          <cell r="O650" t="str">
            <v>indiretto</v>
          </cell>
          <cell r="P650">
            <v>2</v>
          </cell>
          <cell r="Q650" t="str">
            <v>0.916558</v>
          </cell>
          <cell r="R650" t="str">
            <v>0.642623</v>
          </cell>
          <cell r="S650" t="str">
            <v>0.256196</v>
          </cell>
          <cell r="T650" t="str">
            <v>NO</v>
          </cell>
          <cell r="U650" t="str">
            <v>DELIBERAZIONE EGATO 29 19/12/2018</v>
          </cell>
        </row>
        <row r="651">
          <cell r="A651" t="str">
            <v>C117795</v>
          </cell>
          <cell r="B651">
            <v>202601308697097</v>
          </cell>
          <cell r="D651" t="str">
            <v>ATO4</v>
          </cell>
          <cell r="E651" t="str">
            <v>C117795</v>
          </cell>
          <cell r="F651">
            <v>46143</v>
          </cell>
          <cell r="G651">
            <v>46507</v>
          </cell>
          <cell r="H651">
            <v>46179</v>
          </cell>
          <cell r="I651">
            <v>46179</v>
          </cell>
          <cell r="K651" t="str">
            <v>004028</v>
          </cell>
          <cell r="L651">
            <v>-66.260000000000005</v>
          </cell>
          <cell r="M651">
            <v>-66.260000000000005</v>
          </cell>
          <cell r="N651">
            <v>-66.260000000000005</v>
          </cell>
          <cell r="O651" t="str">
            <v>indiretto</v>
          </cell>
          <cell r="P651">
            <v>2</v>
          </cell>
          <cell r="Q651" t="str">
            <v>0.916558</v>
          </cell>
          <cell r="R651" t="str">
            <v>0.642623</v>
          </cell>
          <cell r="S651" t="str">
            <v>0.256196</v>
          </cell>
          <cell r="T651" t="str">
            <v>NO</v>
          </cell>
          <cell r="U651" t="str">
            <v>DELIBERAZIONE EGATO 29 19/12/2018</v>
          </cell>
        </row>
        <row r="652">
          <cell r="A652" t="str">
            <v>C344218</v>
          </cell>
          <cell r="B652">
            <v>202601308698040</v>
          </cell>
          <cell r="D652" t="str">
            <v>ATO4</v>
          </cell>
          <cell r="E652" t="str">
            <v>C344218</v>
          </cell>
          <cell r="F652">
            <v>46143</v>
          </cell>
          <cell r="G652">
            <v>46507</v>
          </cell>
          <cell r="H652">
            <v>46179</v>
          </cell>
          <cell r="I652">
            <v>46179</v>
          </cell>
          <cell r="K652" t="str">
            <v>004130</v>
          </cell>
          <cell r="L652">
            <v>-105.03</v>
          </cell>
          <cell r="M652">
            <v>-105.03</v>
          </cell>
          <cell r="N652">
            <v>-105.03</v>
          </cell>
          <cell r="O652" t="str">
            <v>indiretto</v>
          </cell>
          <cell r="P652">
            <v>4</v>
          </cell>
          <cell r="Q652" t="str">
            <v>0.545182</v>
          </cell>
          <cell r="R652" t="str">
            <v>0.611443</v>
          </cell>
          <cell r="S652" t="str">
            <v>0.282207</v>
          </cell>
          <cell r="T652" t="str">
            <v>NO</v>
          </cell>
          <cell r="U652" t="str">
            <v>DELIBERA EGATO N.29 DEL 19/12/2018</v>
          </cell>
        </row>
        <row r="653">
          <cell r="A653" t="str">
            <v>C309879</v>
          </cell>
          <cell r="B653">
            <v>202601308708960</v>
          </cell>
          <cell r="D653" t="str">
            <v>ATO4</v>
          </cell>
          <cell r="E653" t="str">
            <v>C309879</v>
          </cell>
          <cell r="F653">
            <v>46143</v>
          </cell>
          <cell r="G653">
            <v>46507</v>
          </cell>
          <cell r="H653">
            <v>46179</v>
          </cell>
          <cell r="I653">
            <v>46179</v>
          </cell>
          <cell r="K653" t="str">
            <v>004034</v>
          </cell>
          <cell r="L653">
            <v>-33.130000000000003</v>
          </cell>
          <cell r="M653">
            <v>-33.130000000000003</v>
          </cell>
          <cell r="N653">
            <v>-33.130000000000003</v>
          </cell>
          <cell r="O653" t="str">
            <v>indiretto</v>
          </cell>
          <cell r="P653">
            <v>1</v>
          </cell>
          <cell r="Q653" t="str">
            <v>0.916558</v>
          </cell>
          <cell r="R653" t="str">
            <v>0.642623</v>
          </cell>
          <cell r="S653" t="str">
            <v>0.256196</v>
          </cell>
          <cell r="T653" t="str">
            <v>NO</v>
          </cell>
          <cell r="U653" t="str">
            <v>DELIBERAZIONE EGATO 29 19/12/2018</v>
          </cell>
        </row>
        <row r="654">
          <cell r="A654" t="str">
            <v>C337634</v>
          </cell>
          <cell r="B654">
            <v>202601308712613</v>
          </cell>
          <cell r="D654" t="str">
            <v>ATO4</v>
          </cell>
          <cell r="E654" t="str">
            <v>C337634</v>
          </cell>
          <cell r="F654">
            <v>46143</v>
          </cell>
          <cell r="G654">
            <v>46507</v>
          </cell>
          <cell r="H654">
            <v>46179</v>
          </cell>
          <cell r="I654">
            <v>46179</v>
          </cell>
          <cell r="K654" t="str">
            <v>004081</v>
          </cell>
          <cell r="L654">
            <v>-151.79</v>
          </cell>
          <cell r="M654">
            <v>-151.79</v>
          </cell>
          <cell r="N654">
            <v>-151.79</v>
          </cell>
          <cell r="O654" t="str">
            <v>indiretto</v>
          </cell>
          <cell r="P654">
            <v>4</v>
          </cell>
          <cell r="Q654">
            <v>1091278</v>
          </cell>
          <cell r="R654" t="str">
            <v>0.691798</v>
          </cell>
          <cell r="S654" t="str">
            <v>0.296264</v>
          </cell>
          <cell r="T654" t="str">
            <v>NO</v>
          </cell>
          <cell r="U654" t="str">
            <v>DELIBERAZIONE EGATO 2 04/02/2019</v>
          </cell>
        </row>
        <row r="655">
          <cell r="A655" t="str">
            <v>C125449</v>
          </cell>
          <cell r="B655">
            <v>202601308716218</v>
          </cell>
          <cell r="D655" t="str">
            <v>ATO4</v>
          </cell>
          <cell r="E655" t="str">
            <v>C125449</v>
          </cell>
          <cell r="F655">
            <v>46143</v>
          </cell>
          <cell r="G655">
            <v>46507</v>
          </cell>
          <cell r="H655">
            <v>46179</v>
          </cell>
          <cell r="I655">
            <v>46179</v>
          </cell>
          <cell r="K655" t="str">
            <v>004061</v>
          </cell>
          <cell r="L655">
            <v>-165.65</v>
          </cell>
          <cell r="M655">
            <v>-165.65</v>
          </cell>
          <cell r="N655">
            <v>-165.65</v>
          </cell>
          <cell r="O655" t="str">
            <v>indiretto</v>
          </cell>
          <cell r="P655">
            <v>5</v>
          </cell>
          <cell r="Q655" t="str">
            <v>0.916558</v>
          </cell>
          <cell r="R655" t="str">
            <v>0.642623</v>
          </cell>
          <cell r="S655" t="str">
            <v>0.256196</v>
          </cell>
          <cell r="T655" t="str">
            <v>NO</v>
          </cell>
          <cell r="U655" t="str">
            <v>DELIBERAZIONE EGATO 29 19/12/2018</v>
          </cell>
        </row>
        <row r="656">
          <cell r="A656" t="str">
            <v>C314522</v>
          </cell>
          <cell r="B656">
            <v>202601308717225</v>
          </cell>
          <cell r="D656" t="str">
            <v>ATO4</v>
          </cell>
          <cell r="E656" t="str">
            <v>C314522</v>
          </cell>
          <cell r="F656">
            <v>46143</v>
          </cell>
          <cell r="G656">
            <v>46507</v>
          </cell>
          <cell r="H656">
            <v>46179</v>
          </cell>
          <cell r="I656">
            <v>46179</v>
          </cell>
          <cell r="K656" t="str">
            <v>004034</v>
          </cell>
          <cell r="L656">
            <v>-165.65</v>
          </cell>
          <cell r="M656">
            <v>-165.65</v>
          </cell>
          <cell r="N656">
            <v>-165.65</v>
          </cell>
          <cell r="O656" t="str">
            <v>indiretto</v>
          </cell>
          <cell r="P656">
            <v>5</v>
          </cell>
          <cell r="Q656" t="str">
            <v>0.916558</v>
          </cell>
          <cell r="R656" t="str">
            <v>0.642623</v>
          </cell>
          <cell r="S656" t="str">
            <v>0.256196</v>
          </cell>
          <cell r="T656" t="str">
            <v>NO</v>
          </cell>
          <cell r="U656" t="str">
            <v>DELIBERAZIONE EGATO 29 19/12/2018</v>
          </cell>
        </row>
        <row r="657">
          <cell r="A657" t="str">
            <v>C344310</v>
          </cell>
          <cell r="B657">
            <v>202601308718663</v>
          </cell>
          <cell r="D657" t="str">
            <v>ATO4</v>
          </cell>
          <cell r="E657" t="str">
            <v>C344310</v>
          </cell>
          <cell r="F657">
            <v>46143</v>
          </cell>
          <cell r="G657">
            <v>46507</v>
          </cell>
          <cell r="H657">
            <v>46179</v>
          </cell>
          <cell r="I657">
            <v>46179</v>
          </cell>
          <cell r="K657" t="str">
            <v>004130</v>
          </cell>
          <cell r="L657">
            <v>-105.03</v>
          </cell>
          <cell r="M657">
            <v>-105.03</v>
          </cell>
          <cell r="N657">
            <v>-105.03</v>
          </cell>
          <cell r="O657" t="str">
            <v>indiretto</v>
          </cell>
          <cell r="P657">
            <v>4</v>
          </cell>
          <cell r="Q657" t="str">
            <v>0.545182</v>
          </cell>
          <cell r="R657" t="str">
            <v>0.611443</v>
          </cell>
          <cell r="S657" t="str">
            <v>0.282207</v>
          </cell>
          <cell r="T657" t="str">
            <v>NO</v>
          </cell>
          <cell r="U657" t="str">
            <v>DELIBERA EGATO N.29 DEL 19/12/2018</v>
          </cell>
        </row>
        <row r="658">
          <cell r="A658" t="str">
            <v>C319964</v>
          </cell>
          <cell r="B658">
            <v>202601308720995</v>
          </cell>
          <cell r="D658" t="str">
            <v>ATO4</v>
          </cell>
          <cell r="E658" t="str">
            <v>C319964</v>
          </cell>
          <cell r="F658">
            <v>46143</v>
          </cell>
          <cell r="G658">
            <v>46507</v>
          </cell>
          <cell r="H658">
            <v>46179</v>
          </cell>
          <cell r="I658">
            <v>46179</v>
          </cell>
          <cell r="K658" t="str">
            <v>004078</v>
          </cell>
          <cell r="L658">
            <v>-99.39</v>
          </cell>
          <cell r="M658">
            <v>-99.39</v>
          </cell>
          <cell r="N658">
            <v>-99.39</v>
          </cell>
          <cell r="O658" t="str">
            <v>indiretto</v>
          </cell>
          <cell r="P658">
            <v>3</v>
          </cell>
          <cell r="Q658" t="str">
            <v>0.916558</v>
          </cell>
          <cell r="R658" t="str">
            <v>0.642623</v>
          </cell>
          <cell r="S658" t="str">
            <v>0.256196</v>
          </cell>
          <cell r="T658" t="str">
            <v>NO</v>
          </cell>
          <cell r="U658" t="str">
            <v>DELIBERAZIONE EGATO 29 19/12/2018</v>
          </cell>
        </row>
        <row r="659">
          <cell r="A659" t="str">
            <v>C308561</v>
          </cell>
          <cell r="B659">
            <v>202601308724427</v>
          </cell>
          <cell r="D659" t="str">
            <v>ATO4</v>
          </cell>
          <cell r="E659" t="str">
            <v>C308561</v>
          </cell>
          <cell r="F659">
            <v>46143</v>
          </cell>
          <cell r="G659">
            <v>46507</v>
          </cell>
          <cell r="H659">
            <v>46179</v>
          </cell>
          <cell r="I659">
            <v>46179</v>
          </cell>
          <cell r="K659" t="str">
            <v>004040</v>
          </cell>
          <cell r="L659">
            <v>-33.130000000000003</v>
          </cell>
          <cell r="M659">
            <v>-33.130000000000003</v>
          </cell>
          <cell r="N659">
            <v>-33.130000000000003</v>
          </cell>
          <cell r="O659" t="str">
            <v>indiretto</v>
          </cell>
          <cell r="P659">
            <v>1</v>
          </cell>
          <cell r="Q659" t="str">
            <v>0.916558</v>
          </cell>
          <cell r="R659" t="str">
            <v>0.642623</v>
          </cell>
          <cell r="S659" t="str">
            <v>0.256196</v>
          </cell>
          <cell r="T659" t="str">
            <v>NO</v>
          </cell>
          <cell r="U659" t="str">
            <v>DELIBERAZIONE EGATO 29 19/12/2018</v>
          </cell>
        </row>
        <row r="660">
          <cell r="A660" t="str">
            <v>C344198</v>
          </cell>
          <cell r="B660">
            <v>202601308726816</v>
          </cell>
          <cell r="D660" t="str">
            <v>ATO4</v>
          </cell>
          <cell r="E660" t="str">
            <v>C344198</v>
          </cell>
          <cell r="F660">
            <v>46143</v>
          </cell>
          <cell r="G660">
            <v>46507</v>
          </cell>
          <cell r="H660">
            <v>46179</v>
          </cell>
          <cell r="I660">
            <v>46179</v>
          </cell>
          <cell r="K660" t="str">
            <v>004066</v>
          </cell>
          <cell r="L660">
            <v>-66.260000000000005</v>
          </cell>
          <cell r="M660">
            <v>-66.260000000000005</v>
          </cell>
          <cell r="N660">
            <v>-66.260000000000005</v>
          </cell>
          <cell r="O660" t="str">
            <v>indiretto</v>
          </cell>
          <cell r="P660">
            <v>2</v>
          </cell>
          <cell r="Q660" t="str">
            <v>0.916558</v>
          </cell>
          <cell r="R660" t="str">
            <v>0.642623</v>
          </cell>
          <cell r="S660" t="str">
            <v>0.256196</v>
          </cell>
          <cell r="T660" t="str">
            <v>NO</v>
          </cell>
          <cell r="U660" t="str">
            <v>DELIBERAZIONE EGATO 29 19/12/2018</v>
          </cell>
        </row>
        <row r="661">
          <cell r="A661">
            <v>2000015383</v>
          </cell>
          <cell r="B661">
            <v>202601307954221</v>
          </cell>
          <cell r="D661" t="str">
            <v>ATO4</v>
          </cell>
          <cell r="E661">
            <v>2000015383</v>
          </cell>
          <cell r="F661">
            <v>46143</v>
          </cell>
          <cell r="G661">
            <v>46507</v>
          </cell>
          <cell r="H661">
            <v>46143</v>
          </cell>
          <cell r="I661">
            <v>46507</v>
          </cell>
          <cell r="K661" t="str">
            <v>004074</v>
          </cell>
          <cell r="L661">
            <v>-30.03</v>
          </cell>
          <cell r="M661">
            <v>-30.03</v>
          </cell>
          <cell r="N661">
            <v>-30.03</v>
          </cell>
          <cell r="O661" t="str">
            <v>diretto</v>
          </cell>
          <cell r="P661">
            <v>1</v>
          </cell>
          <cell r="Q661" t="str">
            <v>0.638867</v>
          </cell>
          <cell r="R661" t="str">
            <v>0.746975</v>
          </cell>
          <cell r="S661" t="str">
            <v>0.259818</v>
          </cell>
          <cell r="T661" t="str">
            <v>NO</v>
          </cell>
          <cell r="U661" t="str">
            <v xml:space="preserve">DELIBERA EGATO/4 N. 29 DEL 19/12/2018  </v>
          </cell>
        </row>
        <row r="662">
          <cell r="A662">
            <v>2000039272</v>
          </cell>
          <cell r="B662">
            <v>202601307576392</v>
          </cell>
          <cell r="D662" t="str">
            <v>ATO4</v>
          </cell>
          <cell r="E662">
            <v>2000039272</v>
          </cell>
          <cell r="F662">
            <v>46143</v>
          </cell>
          <cell r="G662">
            <v>46507</v>
          </cell>
          <cell r="H662">
            <v>46143</v>
          </cell>
          <cell r="I662">
            <v>46507</v>
          </cell>
          <cell r="K662" t="str">
            <v>004130</v>
          </cell>
          <cell r="L662">
            <v>-9.9499999999999993</v>
          </cell>
          <cell r="M662">
            <v>-9.9499999999999993</v>
          </cell>
          <cell r="N662">
            <v>-9.9499999999999993</v>
          </cell>
          <cell r="O662" t="str">
            <v>diretto</v>
          </cell>
          <cell r="P662">
            <v>1</v>
          </cell>
          <cell r="Q662" t="str">
            <v>0.545182</v>
          </cell>
          <cell r="R662" t="str">
            <v>0.611443</v>
          </cell>
          <cell r="S662" t="str">
            <v>0.282207</v>
          </cell>
          <cell r="T662" t="str">
            <v>NO</v>
          </cell>
          <cell r="U662" t="str">
            <v>DELIBERA EGATO N.29 DEL 19/12/2018</v>
          </cell>
        </row>
        <row r="663">
          <cell r="A663">
            <v>2000048300</v>
          </cell>
          <cell r="B663">
            <v>202601306633670</v>
          </cell>
          <cell r="D663" t="str">
            <v>ATO4</v>
          </cell>
          <cell r="E663">
            <v>2000048300</v>
          </cell>
          <cell r="F663">
            <v>46143</v>
          </cell>
          <cell r="G663">
            <v>46507</v>
          </cell>
          <cell r="H663">
            <v>46143</v>
          </cell>
          <cell r="I663">
            <v>46507</v>
          </cell>
          <cell r="K663" t="str">
            <v>004019</v>
          </cell>
          <cell r="L663">
            <v>-105.03</v>
          </cell>
          <cell r="M663">
            <v>-105.03</v>
          </cell>
          <cell r="N663">
            <v>-105.03</v>
          </cell>
          <cell r="O663" t="str">
            <v>diretto</v>
          </cell>
          <cell r="P663">
            <v>4</v>
          </cell>
          <cell r="Q663" t="str">
            <v>0.545182</v>
          </cell>
          <cell r="R663" t="str">
            <v>0.611443</v>
          </cell>
          <cell r="S663" t="str">
            <v>0.282207</v>
          </cell>
          <cell r="T663" t="str">
            <v>NO</v>
          </cell>
          <cell r="U663" t="str">
            <v>DELIBERA EGATO N.29 DEL 19/12/2018</v>
          </cell>
        </row>
        <row r="664">
          <cell r="A664">
            <v>2000044788</v>
          </cell>
          <cell r="B664">
            <v>202601307219632</v>
          </cell>
          <cell r="D664" t="str">
            <v>ATO4</v>
          </cell>
          <cell r="E664">
            <v>2000044788</v>
          </cell>
          <cell r="F664">
            <v>46143</v>
          </cell>
          <cell r="G664">
            <v>46507</v>
          </cell>
          <cell r="H664">
            <v>46143</v>
          </cell>
          <cell r="I664">
            <v>46507</v>
          </cell>
          <cell r="K664" t="str">
            <v>004090</v>
          </cell>
          <cell r="L664">
            <v>-52.52</v>
          </cell>
          <cell r="M664">
            <v>-52.52</v>
          </cell>
          <cell r="N664">
            <v>-52.52</v>
          </cell>
          <cell r="O664" t="str">
            <v>diretto</v>
          </cell>
          <cell r="P664">
            <v>2</v>
          </cell>
          <cell r="Q664" t="str">
            <v>0.545182</v>
          </cell>
          <cell r="R664" t="str">
            <v>0.611443</v>
          </cell>
          <cell r="S664" t="str">
            <v>0.282207</v>
          </cell>
          <cell r="T664" t="str">
            <v>NO</v>
          </cell>
          <cell r="U664" t="str">
            <v>DELIBERA EGATO N.29 DEL 19/12/2018</v>
          </cell>
        </row>
        <row r="665">
          <cell r="A665">
            <v>2000044523</v>
          </cell>
          <cell r="B665">
            <v>202601307738226</v>
          </cell>
          <cell r="D665" t="str">
            <v>ATO4</v>
          </cell>
          <cell r="E665">
            <v>2000044523</v>
          </cell>
          <cell r="F665">
            <v>46143</v>
          </cell>
          <cell r="G665">
            <v>46507</v>
          </cell>
          <cell r="H665">
            <v>46143</v>
          </cell>
          <cell r="I665">
            <v>46507</v>
          </cell>
          <cell r="K665" t="str">
            <v>004190</v>
          </cell>
          <cell r="L665">
            <v>-49.75</v>
          </cell>
          <cell r="M665">
            <v>-49.75</v>
          </cell>
          <cell r="N665">
            <v>-49.75</v>
          </cell>
          <cell r="O665" t="str">
            <v>diretto</v>
          </cell>
          <cell r="P665">
            <v>5</v>
          </cell>
          <cell r="Q665" t="str">
            <v>0.545182</v>
          </cell>
          <cell r="R665" t="str">
            <v>0.611443</v>
          </cell>
          <cell r="S665" t="str">
            <v>0.282207</v>
          </cell>
          <cell r="T665" t="str">
            <v>NO</v>
          </cell>
          <cell r="U665" t="str">
            <v>DELIBERA EGATO N.29 DEL 19/12/2018</v>
          </cell>
        </row>
        <row r="666">
          <cell r="A666">
            <v>2000041577</v>
          </cell>
          <cell r="B666">
            <v>202601308223853</v>
          </cell>
          <cell r="D666" t="str">
            <v>ATO4</v>
          </cell>
          <cell r="E666">
            <v>2000041577</v>
          </cell>
          <cell r="F666">
            <v>46143</v>
          </cell>
          <cell r="G666">
            <v>46507</v>
          </cell>
          <cell r="H666">
            <v>46143</v>
          </cell>
          <cell r="I666">
            <v>46507</v>
          </cell>
          <cell r="K666" t="str">
            <v>004245</v>
          </cell>
          <cell r="L666">
            <v>-131.29</v>
          </cell>
          <cell r="M666">
            <v>-131.29</v>
          </cell>
          <cell r="N666">
            <v>-131.29</v>
          </cell>
          <cell r="O666" t="str">
            <v>diretto</v>
          </cell>
          <cell r="P666">
            <v>5</v>
          </cell>
          <cell r="Q666" t="str">
            <v>0.545182</v>
          </cell>
          <cell r="R666" t="str">
            <v>0.611443</v>
          </cell>
          <cell r="S666" t="str">
            <v>0.282207</v>
          </cell>
          <cell r="T666" t="str">
            <v>NO</v>
          </cell>
          <cell r="U666" t="str">
            <v>DELIBERA EGATO N.29 DEL 19/12/2018</v>
          </cell>
        </row>
        <row r="667">
          <cell r="A667">
            <v>2000037725</v>
          </cell>
          <cell r="B667">
            <v>202601307472406</v>
          </cell>
          <cell r="D667" t="str">
            <v>ATO4</v>
          </cell>
          <cell r="E667">
            <v>2000037725</v>
          </cell>
          <cell r="F667">
            <v>46143</v>
          </cell>
          <cell r="G667">
            <v>46507</v>
          </cell>
          <cell r="H667">
            <v>46143</v>
          </cell>
          <cell r="I667">
            <v>46507</v>
          </cell>
          <cell r="K667" t="str">
            <v>004130</v>
          </cell>
          <cell r="L667">
            <v>-69.650000000000006</v>
          </cell>
          <cell r="M667">
            <v>-69.650000000000006</v>
          </cell>
          <cell r="N667">
            <v>-69.650000000000006</v>
          </cell>
          <cell r="O667" t="str">
            <v>diretto</v>
          </cell>
          <cell r="P667">
            <v>7</v>
          </cell>
          <cell r="Q667" t="str">
            <v>0.545182</v>
          </cell>
          <cell r="R667" t="str">
            <v>0.611443</v>
          </cell>
          <cell r="S667" t="str">
            <v>0.282207</v>
          </cell>
          <cell r="T667" t="str">
            <v>NO</v>
          </cell>
          <cell r="U667" t="str">
            <v>DELIBERA EGATO N.29 DEL 19/12/2018</v>
          </cell>
        </row>
        <row r="668">
          <cell r="A668">
            <v>4009051202</v>
          </cell>
          <cell r="B668">
            <v>202601308080208</v>
          </cell>
          <cell r="D668" t="str">
            <v>ATO4</v>
          </cell>
          <cell r="E668">
            <v>4009051202</v>
          </cell>
          <cell r="F668">
            <v>46143</v>
          </cell>
          <cell r="G668">
            <v>46507</v>
          </cell>
          <cell r="H668">
            <v>46143</v>
          </cell>
          <cell r="I668">
            <v>46507</v>
          </cell>
          <cell r="K668" t="str">
            <v>004009</v>
          </cell>
          <cell r="L668">
            <v>-26.17</v>
          </cell>
          <cell r="M668">
            <v>-26.17</v>
          </cell>
          <cell r="N668">
            <v>-26.17</v>
          </cell>
          <cell r="O668" t="str">
            <v>diretto</v>
          </cell>
          <cell r="P668">
            <v>2</v>
          </cell>
          <cell r="Q668" t="str">
            <v>0.716943</v>
          </cell>
          <cell r="R668" t="str">
            <v>0.463071</v>
          </cell>
          <cell r="S668" t="str">
            <v>0.169064</v>
          </cell>
          <cell r="T668" t="str">
            <v>NO</v>
          </cell>
          <cell r="U668" t="str">
            <v>DELIBERAZIONE EGATO 2 04/02/2019</v>
          </cell>
        </row>
        <row r="669">
          <cell r="A669">
            <v>4009002900</v>
          </cell>
          <cell r="B669">
            <v>202601307130327</v>
          </cell>
          <cell r="D669" t="str">
            <v>ATO4</v>
          </cell>
          <cell r="E669">
            <v>4009002900</v>
          </cell>
          <cell r="F669">
            <v>46143</v>
          </cell>
          <cell r="G669">
            <v>46507</v>
          </cell>
          <cell r="H669">
            <v>46143</v>
          </cell>
          <cell r="I669">
            <v>46507</v>
          </cell>
          <cell r="K669" t="str">
            <v>004009</v>
          </cell>
          <cell r="L669">
            <v>-39.25</v>
          </cell>
          <cell r="M669">
            <v>-39.25</v>
          </cell>
          <cell r="N669">
            <v>-39.25</v>
          </cell>
          <cell r="O669" t="str">
            <v>diretto</v>
          </cell>
          <cell r="P669">
            <v>3</v>
          </cell>
          <cell r="Q669" t="str">
            <v>0.716943</v>
          </cell>
          <cell r="R669" t="str">
            <v>0.463071</v>
          </cell>
          <cell r="S669" t="str">
            <v>0.169064</v>
          </cell>
          <cell r="T669" t="str">
            <v>NO</v>
          </cell>
          <cell r="U669" t="str">
            <v>DELIBERAZIONE EGATO 2 04/02/2019</v>
          </cell>
        </row>
        <row r="670">
          <cell r="A670">
            <v>2000012498</v>
          </cell>
          <cell r="B670">
            <v>202601308537531</v>
          </cell>
          <cell r="D670" t="str">
            <v>ATO4</v>
          </cell>
          <cell r="E670">
            <v>2000012498</v>
          </cell>
          <cell r="F670">
            <v>46143</v>
          </cell>
          <cell r="G670">
            <v>46507</v>
          </cell>
          <cell r="H670">
            <v>46143</v>
          </cell>
          <cell r="I670">
            <v>46507</v>
          </cell>
          <cell r="K670" t="str">
            <v>004009</v>
          </cell>
          <cell r="L670">
            <v>-39.25</v>
          </cell>
          <cell r="M670">
            <v>-39.25</v>
          </cell>
          <cell r="N670">
            <v>-39.25</v>
          </cell>
          <cell r="O670" t="str">
            <v>diretto</v>
          </cell>
          <cell r="P670">
            <v>3</v>
          </cell>
          <cell r="Q670" t="str">
            <v>0.716943</v>
          </cell>
          <cell r="R670" t="str">
            <v>0.463071</v>
          </cell>
          <cell r="S670" t="str">
            <v>0.169064</v>
          </cell>
          <cell r="T670" t="str">
            <v>NO</v>
          </cell>
          <cell r="U670" t="str">
            <v>DELIBERAZIONE EGATO 2 04/02/2019</v>
          </cell>
        </row>
        <row r="671">
          <cell r="A671">
            <v>2000054548</v>
          </cell>
          <cell r="B671">
            <v>202601306710252</v>
          </cell>
          <cell r="D671" t="str">
            <v>ATO4</v>
          </cell>
          <cell r="E671">
            <v>2000054548</v>
          </cell>
          <cell r="F671">
            <v>46143</v>
          </cell>
          <cell r="G671">
            <v>46507</v>
          </cell>
          <cell r="H671">
            <v>46143</v>
          </cell>
          <cell r="I671">
            <v>46507</v>
          </cell>
          <cell r="K671" t="str">
            <v>004009</v>
          </cell>
          <cell r="L671">
            <v>-73.86</v>
          </cell>
          <cell r="M671">
            <v>-73.86</v>
          </cell>
          <cell r="N671">
            <v>-73.86</v>
          </cell>
          <cell r="O671" t="str">
            <v>diretto</v>
          </cell>
          <cell r="P671">
            <v>3</v>
          </cell>
          <cell r="Q671" t="str">
            <v>0.716943</v>
          </cell>
          <cell r="R671" t="str">
            <v>0.463071</v>
          </cell>
          <cell r="S671" t="str">
            <v>0.169064</v>
          </cell>
          <cell r="T671" t="str">
            <v>NO</v>
          </cell>
          <cell r="U671" t="str">
            <v>DELIBERAZIONE EGATO 2 04/02/2019</v>
          </cell>
        </row>
        <row r="672">
          <cell r="A672">
            <v>2000052938</v>
          </cell>
          <cell r="B672">
            <v>202601308551708</v>
          </cell>
          <cell r="D672" t="str">
            <v>ATO4</v>
          </cell>
          <cell r="E672">
            <v>2000052938</v>
          </cell>
          <cell r="F672">
            <v>46143</v>
          </cell>
          <cell r="G672">
            <v>46507</v>
          </cell>
          <cell r="H672">
            <v>46143</v>
          </cell>
          <cell r="I672">
            <v>46507</v>
          </cell>
          <cell r="K672" t="str">
            <v>004012</v>
          </cell>
          <cell r="L672">
            <v>-123.1</v>
          </cell>
          <cell r="M672">
            <v>-123.1</v>
          </cell>
          <cell r="N672">
            <v>-123.1</v>
          </cell>
          <cell r="O672" t="str">
            <v>diretto</v>
          </cell>
          <cell r="P672">
            <v>5</v>
          </cell>
          <cell r="Q672" t="str">
            <v>0.716943</v>
          </cell>
          <cell r="R672" t="str">
            <v>0.463071</v>
          </cell>
          <cell r="S672" t="str">
            <v>0.169064</v>
          </cell>
          <cell r="T672" t="str">
            <v>NO</v>
          </cell>
          <cell r="U672" t="str">
            <v>DELIBERAZIONE EGATO 2 04/02/2019</v>
          </cell>
        </row>
        <row r="673">
          <cell r="A673">
            <v>2000049629</v>
          </cell>
          <cell r="B673">
            <v>202601307370317</v>
          </cell>
          <cell r="D673" t="str">
            <v>ATO4</v>
          </cell>
          <cell r="E673">
            <v>2000049629</v>
          </cell>
          <cell r="F673">
            <v>46143</v>
          </cell>
          <cell r="G673">
            <v>46507</v>
          </cell>
          <cell r="H673">
            <v>46143</v>
          </cell>
          <cell r="I673">
            <v>46507</v>
          </cell>
          <cell r="K673" t="str">
            <v>004009</v>
          </cell>
          <cell r="L673">
            <v>-13.08</v>
          </cell>
          <cell r="M673">
            <v>-13.08</v>
          </cell>
          <cell r="N673">
            <v>-13.08</v>
          </cell>
          <cell r="O673" t="str">
            <v>diretto</v>
          </cell>
          <cell r="P673">
            <v>1</v>
          </cell>
          <cell r="Q673" t="str">
            <v>0.716943</v>
          </cell>
          <cell r="R673" t="str">
            <v>0.463071</v>
          </cell>
          <cell r="S673" t="str">
            <v>0.169064</v>
          </cell>
          <cell r="T673" t="str">
            <v>NO</v>
          </cell>
          <cell r="U673" t="str">
            <v>DELIBERAZIONE EGATO 2 04/02/2019</v>
          </cell>
        </row>
        <row r="674">
          <cell r="A674" t="str">
            <v>024803</v>
          </cell>
          <cell r="B674">
            <v>202601306618563</v>
          </cell>
          <cell r="D674" t="str">
            <v>ATO4</v>
          </cell>
          <cell r="E674" t="str">
            <v>024803</v>
          </cell>
          <cell r="F674">
            <v>46143</v>
          </cell>
          <cell r="G674">
            <v>46507</v>
          </cell>
          <cell r="H674">
            <v>46143</v>
          </cell>
          <cell r="I674">
            <v>46507</v>
          </cell>
          <cell r="K674" t="str">
            <v>004043</v>
          </cell>
          <cell r="L674">
            <v>-193.3</v>
          </cell>
          <cell r="M674">
            <v>-193.3</v>
          </cell>
          <cell r="N674">
            <v>-193.3</v>
          </cell>
          <cell r="O674" t="str">
            <v>diretto</v>
          </cell>
          <cell r="P674">
            <v>5</v>
          </cell>
          <cell r="Q674">
            <v>1091278</v>
          </cell>
          <cell r="R674" t="str">
            <v>0.730790</v>
          </cell>
          <cell r="S674" t="str">
            <v>0.296264</v>
          </cell>
          <cell r="T674" t="str">
            <v>NO</v>
          </cell>
          <cell r="U674" t="str">
            <v>DELIBERAZIONE EGATO 2 04/02/2019</v>
          </cell>
        </row>
        <row r="675">
          <cell r="A675" t="str">
            <v>023381</v>
          </cell>
          <cell r="B675">
            <v>202601306857755</v>
          </cell>
          <cell r="D675" t="str">
            <v>ATO4</v>
          </cell>
          <cell r="E675" t="str">
            <v>023381</v>
          </cell>
          <cell r="F675">
            <v>46143</v>
          </cell>
          <cell r="G675">
            <v>46507</v>
          </cell>
          <cell r="H675">
            <v>46143</v>
          </cell>
          <cell r="I675">
            <v>46507</v>
          </cell>
          <cell r="K675" t="str">
            <v>004081</v>
          </cell>
          <cell r="L675">
            <v>-189.74</v>
          </cell>
          <cell r="M675">
            <v>-189.74</v>
          </cell>
          <cell r="N675">
            <v>-189.74</v>
          </cell>
          <cell r="O675" t="str">
            <v>diretto</v>
          </cell>
          <cell r="P675">
            <v>5</v>
          </cell>
          <cell r="Q675">
            <v>1091278</v>
          </cell>
          <cell r="R675" t="str">
            <v>0.691798</v>
          </cell>
          <cell r="S675" t="str">
            <v>0.296264</v>
          </cell>
          <cell r="T675" t="str">
            <v>NO</v>
          </cell>
          <cell r="U675" t="str">
            <v>DELIBERAZIONE EGATO 2 04/02/2019</v>
          </cell>
        </row>
        <row r="676">
          <cell r="A676" t="str">
            <v>022325</v>
          </cell>
          <cell r="B676">
            <v>202601306934598</v>
          </cell>
          <cell r="D676" t="str">
            <v>ATO4</v>
          </cell>
          <cell r="E676" t="str">
            <v>022325</v>
          </cell>
          <cell r="F676">
            <v>46143</v>
          </cell>
          <cell r="G676">
            <v>46507</v>
          </cell>
          <cell r="H676">
            <v>46143</v>
          </cell>
          <cell r="I676">
            <v>46507</v>
          </cell>
          <cell r="K676" t="str">
            <v>004086</v>
          </cell>
          <cell r="L676">
            <v>-193.3</v>
          </cell>
          <cell r="M676">
            <v>-193.3</v>
          </cell>
          <cell r="N676">
            <v>-193.3</v>
          </cell>
          <cell r="O676" t="str">
            <v>diretto</v>
          </cell>
          <cell r="P676">
            <v>5</v>
          </cell>
          <cell r="Q676">
            <v>1091278</v>
          </cell>
          <cell r="R676" t="str">
            <v>0.730790</v>
          </cell>
          <cell r="S676" t="str">
            <v>0.296264</v>
          </cell>
          <cell r="T676" t="str">
            <v>NO</v>
          </cell>
          <cell r="U676" t="str">
            <v>DELIBERAZIONE EGATO 2 04/02/2019</v>
          </cell>
        </row>
        <row r="677">
          <cell r="A677" t="str">
            <v>025495</v>
          </cell>
          <cell r="B677">
            <v>202601307778522</v>
          </cell>
          <cell r="D677" t="str">
            <v>ATO4</v>
          </cell>
          <cell r="E677" t="str">
            <v>025495</v>
          </cell>
          <cell r="F677">
            <v>46143</v>
          </cell>
          <cell r="G677">
            <v>46507</v>
          </cell>
          <cell r="H677">
            <v>46143</v>
          </cell>
          <cell r="I677">
            <v>46507</v>
          </cell>
          <cell r="K677" t="str">
            <v>004043</v>
          </cell>
          <cell r="L677">
            <v>-115.98</v>
          </cell>
          <cell r="M677">
            <v>-115.98</v>
          </cell>
          <cell r="N677">
            <v>-115.98</v>
          </cell>
          <cell r="O677" t="str">
            <v>diretto</v>
          </cell>
          <cell r="P677">
            <v>3</v>
          </cell>
          <cell r="Q677">
            <v>1091278</v>
          </cell>
          <cell r="R677" t="str">
            <v>0.730790</v>
          </cell>
          <cell r="S677" t="str">
            <v>0.296264</v>
          </cell>
          <cell r="T677" t="str">
            <v>NO</v>
          </cell>
          <cell r="U677" t="str">
            <v>DELIBERAZIONE EGATO 2 04/02/2019</v>
          </cell>
        </row>
        <row r="678">
          <cell r="A678" t="str">
            <v>012186</v>
          </cell>
          <cell r="B678">
            <v>202601307343423</v>
          </cell>
          <cell r="D678" t="str">
            <v>ATO4</v>
          </cell>
          <cell r="E678" t="str">
            <v>012186</v>
          </cell>
          <cell r="F678">
            <v>46143</v>
          </cell>
          <cell r="G678">
            <v>46507</v>
          </cell>
          <cell r="H678">
            <v>46143</v>
          </cell>
          <cell r="I678">
            <v>46507</v>
          </cell>
          <cell r="K678" t="str">
            <v>004081</v>
          </cell>
          <cell r="L678">
            <v>-37.950000000000003</v>
          </cell>
          <cell r="M678">
            <v>-37.950000000000003</v>
          </cell>
          <cell r="N678">
            <v>-37.950000000000003</v>
          </cell>
          <cell r="O678" t="str">
            <v>diretto</v>
          </cell>
          <cell r="P678">
            <v>1</v>
          </cell>
          <cell r="Q678">
            <v>1091278</v>
          </cell>
          <cell r="R678" t="str">
            <v>0.691798</v>
          </cell>
          <cell r="S678" t="str">
            <v>0.296264</v>
          </cell>
          <cell r="T678" t="str">
            <v>NO</v>
          </cell>
          <cell r="U678" t="str">
            <v>DELIBERAZIONE EGATO 2 04/02/2019</v>
          </cell>
        </row>
        <row r="679">
          <cell r="A679">
            <v>2000053683</v>
          </cell>
          <cell r="B679">
            <v>202601306667451</v>
          </cell>
          <cell r="D679" t="str">
            <v>ATO4</v>
          </cell>
          <cell r="E679">
            <v>2000053683</v>
          </cell>
          <cell r="F679">
            <v>46143</v>
          </cell>
          <cell r="G679">
            <v>46507</v>
          </cell>
          <cell r="H679">
            <v>46143</v>
          </cell>
          <cell r="I679">
            <v>46507</v>
          </cell>
          <cell r="K679" t="str">
            <v>004071</v>
          </cell>
          <cell r="L679">
            <v>-38.659999999999997</v>
          </cell>
          <cell r="M679">
            <v>-38.659999999999997</v>
          </cell>
          <cell r="N679">
            <v>-38.659999999999997</v>
          </cell>
          <cell r="O679" t="str">
            <v>diretto</v>
          </cell>
          <cell r="P679">
            <v>1</v>
          </cell>
          <cell r="Q679">
            <v>1091278</v>
          </cell>
          <cell r="R679" t="str">
            <v>0.730790</v>
          </cell>
          <cell r="S679" t="str">
            <v>0.296264</v>
          </cell>
          <cell r="T679" t="str">
            <v>NO</v>
          </cell>
          <cell r="U679" t="str">
            <v>DELIBERAZIONE EGATO 2 04/02/2019</v>
          </cell>
        </row>
        <row r="680">
          <cell r="A680" t="str">
            <v>025172</v>
          </cell>
          <cell r="B680">
            <v>202601307018944</v>
          </cell>
          <cell r="D680" t="str">
            <v>ATO4</v>
          </cell>
          <cell r="E680" t="str">
            <v>025172</v>
          </cell>
          <cell r="F680">
            <v>46143</v>
          </cell>
          <cell r="G680">
            <v>46507</v>
          </cell>
          <cell r="H680">
            <v>46143</v>
          </cell>
          <cell r="I680">
            <v>46507</v>
          </cell>
          <cell r="K680" t="str">
            <v>004043</v>
          </cell>
          <cell r="L680">
            <v>-38.659999999999997</v>
          </cell>
          <cell r="M680">
            <v>-38.659999999999997</v>
          </cell>
          <cell r="N680">
            <v>-38.659999999999997</v>
          </cell>
          <cell r="O680" t="str">
            <v>diretto</v>
          </cell>
          <cell r="P680">
            <v>1</v>
          </cell>
          <cell r="Q680">
            <v>1091278</v>
          </cell>
          <cell r="R680" t="str">
            <v>0.730790</v>
          </cell>
          <cell r="S680" t="str">
            <v>0.296264</v>
          </cell>
          <cell r="T680" t="str">
            <v>NO</v>
          </cell>
          <cell r="U680" t="str">
            <v>DELIBERAZIONE EGATO 2 04/02/2019</v>
          </cell>
        </row>
        <row r="681">
          <cell r="A681" t="str">
            <v>021349</v>
          </cell>
          <cell r="B681">
            <v>202601307649419</v>
          </cell>
          <cell r="D681" t="str">
            <v>ATO4</v>
          </cell>
          <cell r="E681" t="str">
            <v>021349</v>
          </cell>
          <cell r="F681">
            <v>46143</v>
          </cell>
          <cell r="G681">
            <v>46507</v>
          </cell>
          <cell r="H681">
            <v>46143</v>
          </cell>
          <cell r="I681">
            <v>46507</v>
          </cell>
          <cell r="K681" t="str">
            <v>004043</v>
          </cell>
          <cell r="L681">
            <v>-154.63999999999999</v>
          </cell>
          <cell r="M681">
            <v>-154.63999999999999</v>
          </cell>
          <cell r="N681">
            <v>-154.63999999999999</v>
          </cell>
          <cell r="O681" t="str">
            <v>diretto</v>
          </cell>
          <cell r="P681">
            <v>4</v>
          </cell>
          <cell r="Q681">
            <v>1091278</v>
          </cell>
          <cell r="R681" t="str">
            <v>0.730790</v>
          </cell>
          <cell r="S681" t="str">
            <v>0.296264</v>
          </cell>
          <cell r="T681" t="str">
            <v>NO</v>
          </cell>
          <cell r="U681" t="str">
            <v>DELIBERAZIONE EGATO 2 04/02/2019</v>
          </cell>
        </row>
        <row r="682">
          <cell r="A682">
            <v>2000050853</v>
          </cell>
          <cell r="B682">
            <v>202601307058116</v>
          </cell>
          <cell r="D682" t="str">
            <v>ATO4</v>
          </cell>
          <cell r="E682">
            <v>2000050853</v>
          </cell>
          <cell r="F682">
            <v>46143</v>
          </cell>
          <cell r="G682">
            <v>46507</v>
          </cell>
          <cell r="H682">
            <v>46143</v>
          </cell>
          <cell r="I682">
            <v>46507</v>
          </cell>
          <cell r="K682" t="str">
            <v>004107</v>
          </cell>
          <cell r="L682">
            <v>-154.63999999999999</v>
          </cell>
          <cell r="M682">
            <v>-154.63999999999999</v>
          </cell>
          <cell r="N682">
            <v>-154.63999999999999</v>
          </cell>
          <cell r="O682" t="str">
            <v>diretto</v>
          </cell>
          <cell r="P682">
            <v>4</v>
          </cell>
          <cell r="Q682">
            <v>1091278</v>
          </cell>
          <cell r="R682" t="str">
            <v>0.730790</v>
          </cell>
          <cell r="S682" t="str">
            <v>0.296264</v>
          </cell>
          <cell r="T682" t="str">
            <v>NO</v>
          </cell>
          <cell r="U682" t="str">
            <v>DELIBERAZIONE EGATO 2 04/02/2019</v>
          </cell>
        </row>
        <row r="683">
          <cell r="A683" t="str">
            <v>0562000409</v>
          </cell>
          <cell r="B683">
            <v>202601308640268</v>
          </cell>
          <cell r="D683" t="str">
            <v>ATO4</v>
          </cell>
          <cell r="E683" t="str">
            <v>0562000409</v>
          </cell>
          <cell r="F683">
            <v>46143</v>
          </cell>
          <cell r="G683">
            <v>46507</v>
          </cell>
          <cell r="H683">
            <v>46143</v>
          </cell>
          <cell r="I683">
            <v>46507</v>
          </cell>
          <cell r="K683" t="str">
            <v>004114</v>
          </cell>
          <cell r="L683">
            <v>-33.130000000000003</v>
          </cell>
          <cell r="M683">
            <v>-33.130000000000003</v>
          </cell>
          <cell r="N683">
            <v>-33.130000000000003</v>
          </cell>
          <cell r="O683" t="str">
            <v>diretto</v>
          </cell>
          <cell r="P683">
            <v>1</v>
          </cell>
          <cell r="Q683" t="str">
            <v>0.916558</v>
          </cell>
          <cell r="R683" t="str">
            <v>0.642623</v>
          </cell>
          <cell r="S683" t="str">
            <v>0.256196</v>
          </cell>
          <cell r="T683" t="str">
            <v>NO</v>
          </cell>
          <cell r="U683" t="str">
            <v>DELIBERAZIONE EGATO 29 19/12/2018</v>
          </cell>
        </row>
        <row r="684">
          <cell r="A684">
            <v>2000008157</v>
          </cell>
          <cell r="B684">
            <v>202601308457252</v>
          </cell>
          <cell r="D684" t="str">
            <v>ATO4</v>
          </cell>
          <cell r="E684">
            <v>2000008157</v>
          </cell>
          <cell r="F684">
            <v>46143</v>
          </cell>
          <cell r="G684">
            <v>46507</v>
          </cell>
          <cell r="H684">
            <v>46143</v>
          </cell>
          <cell r="I684">
            <v>46507</v>
          </cell>
          <cell r="K684" t="str">
            <v>004205</v>
          </cell>
          <cell r="L684">
            <v>-71.900000000000006</v>
          </cell>
          <cell r="M684">
            <v>-71.900000000000006</v>
          </cell>
          <cell r="N684">
            <v>-71.900000000000006</v>
          </cell>
          <cell r="O684" t="str">
            <v>diretto</v>
          </cell>
          <cell r="P684">
            <v>3</v>
          </cell>
          <cell r="Q684" t="str">
            <v>0.721337</v>
          </cell>
          <cell r="R684" t="str">
            <v>0.441600</v>
          </cell>
          <cell r="S684" t="str">
            <v>0.150394</v>
          </cell>
          <cell r="T684" t="str">
            <v>NO</v>
          </cell>
          <cell r="U684" t="str">
            <v>DELIBERAZIONE EGATO 2 04/02/2019</v>
          </cell>
        </row>
        <row r="685">
          <cell r="A685">
            <v>2000005378</v>
          </cell>
          <cell r="B685">
            <v>202601308682237</v>
          </cell>
          <cell r="D685" t="str">
            <v>ATO4</v>
          </cell>
          <cell r="E685">
            <v>2000005378</v>
          </cell>
          <cell r="F685">
            <v>46143</v>
          </cell>
          <cell r="G685">
            <v>46507</v>
          </cell>
          <cell r="H685">
            <v>46143</v>
          </cell>
          <cell r="I685">
            <v>46507</v>
          </cell>
          <cell r="K685" t="str">
            <v>004166</v>
          </cell>
          <cell r="L685">
            <v>-119.84</v>
          </cell>
          <cell r="M685">
            <v>-119.84</v>
          </cell>
          <cell r="N685">
            <v>-119.84</v>
          </cell>
          <cell r="O685" t="str">
            <v>diretto</v>
          </cell>
          <cell r="P685">
            <v>5</v>
          </cell>
          <cell r="Q685" t="str">
            <v>0.721337</v>
          </cell>
          <cell r="R685" t="str">
            <v>0.441600</v>
          </cell>
          <cell r="S685" t="str">
            <v>0.150394</v>
          </cell>
          <cell r="T685" t="str">
            <v>NO</v>
          </cell>
          <cell r="U685" t="str">
            <v>DELIBERAZIONE EGATO 2 04/02/2019</v>
          </cell>
        </row>
        <row r="686">
          <cell r="A686">
            <v>2000002309</v>
          </cell>
          <cell r="B686">
            <v>202601307049197</v>
          </cell>
          <cell r="D686" t="str">
            <v>ATO4</v>
          </cell>
          <cell r="E686">
            <v>2000002309</v>
          </cell>
          <cell r="F686">
            <v>46143</v>
          </cell>
          <cell r="G686">
            <v>46507</v>
          </cell>
          <cell r="H686">
            <v>46143</v>
          </cell>
          <cell r="I686">
            <v>46507</v>
          </cell>
          <cell r="K686" t="str">
            <v>004085</v>
          </cell>
          <cell r="L686">
            <v>-149.09</v>
          </cell>
          <cell r="M686">
            <v>-149.09</v>
          </cell>
          <cell r="N686">
            <v>-149.09</v>
          </cell>
          <cell r="O686" t="str">
            <v>diretto</v>
          </cell>
          <cell r="P686">
            <v>5</v>
          </cell>
          <cell r="Q686" t="str">
            <v>0.824903</v>
          </cell>
          <cell r="R686" t="str">
            <v>0.578360</v>
          </cell>
          <cell r="S686" t="str">
            <v>0.230576</v>
          </cell>
          <cell r="T686" t="str">
            <v>NO</v>
          </cell>
          <cell r="U686" t="str">
            <v>DELIBERAZIONE EGATO 29 19/12/2018</v>
          </cell>
        </row>
        <row r="687">
          <cell r="A687">
            <v>2000000547</v>
          </cell>
          <cell r="B687">
            <v>202601307868965</v>
          </cell>
          <cell r="D687" t="str">
            <v>ATO4</v>
          </cell>
          <cell r="E687">
            <v>2000000547</v>
          </cell>
          <cell r="F687">
            <v>46143</v>
          </cell>
          <cell r="G687">
            <v>46507</v>
          </cell>
          <cell r="H687">
            <v>46143</v>
          </cell>
          <cell r="I687">
            <v>46507</v>
          </cell>
          <cell r="K687" t="str">
            <v>004166</v>
          </cell>
          <cell r="L687">
            <v>-119.84</v>
          </cell>
          <cell r="M687">
            <v>-119.84</v>
          </cell>
          <cell r="N687">
            <v>-119.84</v>
          </cell>
          <cell r="O687" t="str">
            <v>diretto</v>
          </cell>
          <cell r="P687">
            <v>5</v>
          </cell>
          <cell r="Q687" t="str">
            <v>0.721337</v>
          </cell>
          <cell r="R687" t="str">
            <v>0.441600</v>
          </cell>
          <cell r="S687" t="str">
            <v>0.150394</v>
          </cell>
          <cell r="T687" t="str">
            <v>NO</v>
          </cell>
          <cell r="U687" t="str">
            <v>DELIBERAZIONE EGATO 2 04/02/2019</v>
          </cell>
        </row>
        <row r="688">
          <cell r="A688" t="str">
            <v>0962000043</v>
          </cell>
          <cell r="B688">
            <v>202601308678236</v>
          </cell>
          <cell r="D688" t="str">
            <v>ATO4</v>
          </cell>
          <cell r="E688" t="str">
            <v>0962000043</v>
          </cell>
          <cell r="F688">
            <v>46143</v>
          </cell>
          <cell r="G688">
            <v>46507</v>
          </cell>
          <cell r="H688">
            <v>46143</v>
          </cell>
          <cell r="I688">
            <v>46507</v>
          </cell>
          <cell r="K688" t="str">
            <v>004227</v>
          </cell>
          <cell r="L688">
            <v>-53.01</v>
          </cell>
          <cell r="M688">
            <v>-53.01</v>
          </cell>
          <cell r="N688">
            <v>-53.01</v>
          </cell>
          <cell r="O688" t="str">
            <v>diretto</v>
          </cell>
          <cell r="P688">
            <v>2</v>
          </cell>
          <cell r="Q688" t="str">
            <v>0.733246</v>
          </cell>
          <cell r="R688" t="str">
            <v>0.514098</v>
          </cell>
          <cell r="S688" t="str">
            <v>0.204957</v>
          </cell>
          <cell r="T688" t="str">
            <v>NO</v>
          </cell>
          <cell r="U688" t="str">
            <v>DELIBERAZIONE EGATO 2 04/02/2019</v>
          </cell>
        </row>
        <row r="689">
          <cell r="A689" t="str">
            <v>0812000582</v>
          </cell>
          <cell r="B689">
            <v>202601306789984</v>
          </cell>
          <cell r="D689" t="str">
            <v>ATO4</v>
          </cell>
          <cell r="E689" t="str">
            <v>0812000582</v>
          </cell>
          <cell r="F689">
            <v>46143</v>
          </cell>
          <cell r="G689">
            <v>46507</v>
          </cell>
          <cell r="H689">
            <v>46143</v>
          </cell>
          <cell r="I689">
            <v>46507</v>
          </cell>
          <cell r="K689" t="str">
            <v>004066</v>
          </cell>
          <cell r="L689">
            <v>-99.39</v>
          </cell>
          <cell r="M689">
            <v>-99.39</v>
          </cell>
          <cell r="N689">
            <v>-99.39</v>
          </cell>
          <cell r="O689" t="str">
            <v>diretto</v>
          </cell>
          <cell r="P689">
            <v>3</v>
          </cell>
          <cell r="Q689" t="str">
            <v>0.916558</v>
          </cell>
          <cell r="R689" t="str">
            <v>0.642623</v>
          </cell>
          <cell r="S689" t="str">
            <v>0.256196</v>
          </cell>
          <cell r="T689" t="str">
            <v>NO</v>
          </cell>
          <cell r="U689" t="str">
            <v>DELIBERAZIONE EGATO 29 19/12/2018</v>
          </cell>
        </row>
        <row r="690">
          <cell r="A690" t="str">
            <v>0780026801</v>
          </cell>
          <cell r="B690">
            <v>202601307203697</v>
          </cell>
          <cell r="D690" t="str">
            <v>ATO4</v>
          </cell>
          <cell r="E690" t="str">
            <v>0780026801</v>
          </cell>
          <cell r="F690">
            <v>46143</v>
          </cell>
          <cell r="G690">
            <v>46507</v>
          </cell>
          <cell r="H690">
            <v>46143</v>
          </cell>
          <cell r="I690">
            <v>46507</v>
          </cell>
          <cell r="K690" t="str">
            <v>004085</v>
          </cell>
          <cell r="L690">
            <v>-15.05</v>
          </cell>
          <cell r="M690">
            <v>-15.05</v>
          </cell>
          <cell r="N690">
            <v>-15.05</v>
          </cell>
          <cell r="O690" t="str">
            <v>diretto</v>
          </cell>
          <cell r="P690">
            <v>1</v>
          </cell>
          <cell r="Q690" t="str">
            <v>0.824903</v>
          </cell>
          <cell r="R690" t="str">
            <v>0.578360</v>
          </cell>
          <cell r="S690" t="str">
            <v>0.230576</v>
          </cell>
          <cell r="T690" t="str">
            <v>NO</v>
          </cell>
          <cell r="U690" t="str">
            <v>DELIBERAZIONE EGATO 29 19/12/2018</v>
          </cell>
        </row>
        <row r="691">
          <cell r="A691" t="str">
            <v>0682000339</v>
          </cell>
          <cell r="B691">
            <v>202601308539775</v>
          </cell>
          <cell r="D691" t="str">
            <v>ATO4</v>
          </cell>
          <cell r="E691" t="str">
            <v>0682000339</v>
          </cell>
          <cell r="F691">
            <v>46143</v>
          </cell>
          <cell r="G691">
            <v>46507</v>
          </cell>
          <cell r="H691">
            <v>46143</v>
          </cell>
          <cell r="I691">
            <v>46507</v>
          </cell>
          <cell r="K691" t="str">
            <v>004180</v>
          </cell>
          <cell r="L691">
            <v>-65.819999999999993</v>
          </cell>
          <cell r="M691">
            <v>-65.819999999999993</v>
          </cell>
          <cell r="N691">
            <v>-65.819999999999993</v>
          </cell>
          <cell r="O691" t="str">
            <v>diretto</v>
          </cell>
          <cell r="P691">
            <v>5</v>
          </cell>
          <cell r="Q691" t="str">
            <v>0.721337</v>
          </cell>
          <cell r="R691" t="str">
            <v>0.441600</v>
          </cell>
          <cell r="S691" t="str">
            <v>0.150394</v>
          </cell>
          <cell r="T691" t="str">
            <v>NO</v>
          </cell>
          <cell r="U691" t="str">
            <v>DELIBERAZIONE EGATO 2 04/02/2019</v>
          </cell>
        </row>
        <row r="692">
          <cell r="A692" t="str">
            <v>0680001815</v>
          </cell>
          <cell r="B692">
            <v>202601308154304</v>
          </cell>
          <cell r="D692" t="str">
            <v>ATO4</v>
          </cell>
          <cell r="E692" t="str">
            <v>0680001815</v>
          </cell>
          <cell r="F692">
            <v>46143</v>
          </cell>
          <cell r="G692">
            <v>46507</v>
          </cell>
          <cell r="H692">
            <v>46143</v>
          </cell>
          <cell r="I692">
            <v>46507</v>
          </cell>
          <cell r="K692" t="str">
            <v>004180</v>
          </cell>
          <cell r="L692">
            <v>-143.81</v>
          </cell>
          <cell r="M692">
            <v>-143.81</v>
          </cell>
          <cell r="N692">
            <v>-143.81</v>
          </cell>
          <cell r="O692" t="str">
            <v>diretto</v>
          </cell>
          <cell r="P692">
            <v>6</v>
          </cell>
          <cell r="Q692" t="str">
            <v>0.721337</v>
          </cell>
          <cell r="R692" t="str">
            <v>0.441600</v>
          </cell>
          <cell r="S692" t="str">
            <v>0.150394</v>
          </cell>
          <cell r="T692" t="str">
            <v>NO</v>
          </cell>
          <cell r="U692" t="str">
            <v>DELIBERAZIONE EGATO 2 04/02/2019</v>
          </cell>
        </row>
        <row r="693">
          <cell r="A693" t="str">
            <v>0512000251</v>
          </cell>
          <cell r="B693">
            <v>202601306628997</v>
          </cell>
          <cell r="D693" t="str">
            <v>ATO4</v>
          </cell>
          <cell r="E693" t="str">
            <v>0512000251</v>
          </cell>
          <cell r="F693">
            <v>46143</v>
          </cell>
          <cell r="G693">
            <v>46507</v>
          </cell>
          <cell r="H693">
            <v>46143</v>
          </cell>
          <cell r="I693">
            <v>46507</v>
          </cell>
          <cell r="K693" t="str">
            <v>004049</v>
          </cell>
          <cell r="L693">
            <v>-132.52000000000001</v>
          </cell>
          <cell r="M693">
            <v>-132.52000000000001</v>
          </cell>
          <cell r="N693">
            <v>-132.52000000000001</v>
          </cell>
          <cell r="O693" t="str">
            <v>diretto</v>
          </cell>
          <cell r="P693">
            <v>4</v>
          </cell>
          <cell r="Q693" t="str">
            <v>0.916558</v>
          </cell>
          <cell r="R693" t="str">
            <v>0.642623</v>
          </cell>
          <cell r="S693" t="str">
            <v>0.256196</v>
          </cell>
          <cell r="T693" t="str">
            <v>NO</v>
          </cell>
          <cell r="U693" t="str">
            <v>DELIBERAZIONE EGATO 29 19/12/2018</v>
          </cell>
        </row>
        <row r="694">
          <cell r="A694" t="str">
            <v>0312000878</v>
          </cell>
          <cell r="B694">
            <v>202601307853154</v>
          </cell>
          <cell r="D694" t="str">
            <v>ATO4</v>
          </cell>
          <cell r="E694" t="str">
            <v>0312000878</v>
          </cell>
          <cell r="F694">
            <v>46143</v>
          </cell>
          <cell r="G694">
            <v>46507</v>
          </cell>
          <cell r="H694">
            <v>46143</v>
          </cell>
          <cell r="I694">
            <v>46507</v>
          </cell>
          <cell r="K694" t="str">
            <v>004082</v>
          </cell>
          <cell r="L694">
            <v>-198.78</v>
          </cell>
          <cell r="M694">
            <v>-198.78</v>
          </cell>
          <cell r="N694">
            <v>-198.78</v>
          </cell>
          <cell r="O694" t="str">
            <v>diretto</v>
          </cell>
          <cell r="P694">
            <v>6</v>
          </cell>
          <cell r="Q694" t="str">
            <v>0.916558</v>
          </cell>
          <cell r="R694" t="str">
            <v>0.642623</v>
          </cell>
          <cell r="S694" t="str">
            <v>0.256196</v>
          </cell>
          <cell r="T694" t="str">
            <v>NO</v>
          </cell>
          <cell r="U694" t="str">
            <v>DELIBERAZIONE EGATO 29 19/12/2018</v>
          </cell>
        </row>
        <row r="695">
          <cell r="A695" t="str">
            <v>0170122101</v>
          </cell>
          <cell r="B695">
            <v>202601306746938</v>
          </cell>
          <cell r="D695" t="str">
            <v>ATO4</v>
          </cell>
          <cell r="E695" t="str">
            <v>0170122101</v>
          </cell>
          <cell r="F695">
            <v>46143</v>
          </cell>
          <cell r="G695">
            <v>46507</v>
          </cell>
          <cell r="H695">
            <v>46143</v>
          </cell>
          <cell r="I695">
            <v>46507</v>
          </cell>
          <cell r="K695" t="str">
            <v>004034</v>
          </cell>
          <cell r="L695">
            <v>-100.36</v>
          </cell>
          <cell r="M695">
            <v>-100.36</v>
          </cell>
          <cell r="N695">
            <v>-100.36</v>
          </cell>
          <cell r="O695" t="str">
            <v>diretto</v>
          </cell>
          <cell r="P695">
            <v>6</v>
          </cell>
          <cell r="Q695" t="str">
            <v>0.916558</v>
          </cell>
          <cell r="R695" t="str">
            <v>0.642623</v>
          </cell>
          <cell r="S695" t="str">
            <v>0.256196</v>
          </cell>
          <cell r="T695" t="str">
            <v>NO</v>
          </cell>
          <cell r="U695" t="str">
            <v>DELIBERAZIONE EGATO 29 19/12/2018</v>
          </cell>
        </row>
        <row r="696">
          <cell r="A696" t="str">
            <v>0132000149</v>
          </cell>
          <cell r="B696">
            <v>202601308138277</v>
          </cell>
          <cell r="D696" t="str">
            <v>ATO4</v>
          </cell>
          <cell r="E696" t="str">
            <v>0132000149</v>
          </cell>
          <cell r="F696">
            <v>46143</v>
          </cell>
          <cell r="G696">
            <v>46507</v>
          </cell>
          <cell r="H696">
            <v>46143</v>
          </cell>
          <cell r="I696">
            <v>46507</v>
          </cell>
          <cell r="K696" t="str">
            <v>004022</v>
          </cell>
          <cell r="L696">
            <v>-165.65</v>
          </cell>
          <cell r="M696">
            <v>-165.65</v>
          </cell>
          <cell r="N696">
            <v>-165.65</v>
          </cell>
          <cell r="O696" t="str">
            <v>diretto</v>
          </cell>
          <cell r="P696">
            <v>5</v>
          </cell>
          <cell r="Q696" t="str">
            <v>0.916558</v>
          </cell>
          <cell r="R696" t="str">
            <v>0.642623</v>
          </cell>
          <cell r="S696" t="str">
            <v>0.256196</v>
          </cell>
          <cell r="T696" t="str">
            <v>NO</v>
          </cell>
          <cell r="U696" t="str">
            <v>DELIBERAZIONE EGATO 29 19/12/2018</v>
          </cell>
        </row>
        <row r="697">
          <cell r="A697" t="str">
            <v>0092000829</v>
          </cell>
          <cell r="B697">
            <v>202601306724712</v>
          </cell>
          <cell r="D697" t="str">
            <v>ATO4</v>
          </cell>
          <cell r="E697" t="str">
            <v>0092000829</v>
          </cell>
          <cell r="F697">
            <v>46143</v>
          </cell>
          <cell r="G697">
            <v>46507</v>
          </cell>
          <cell r="H697">
            <v>46143</v>
          </cell>
          <cell r="I697">
            <v>46507</v>
          </cell>
          <cell r="K697" t="str">
            <v>004040</v>
          </cell>
          <cell r="L697">
            <v>-165.65</v>
          </cell>
          <cell r="M697">
            <v>-165.65</v>
          </cell>
          <cell r="N697">
            <v>-165.65</v>
          </cell>
          <cell r="O697" t="str">
            <v>diretto</v>
          </cell>
          <cell r="P697">
            <v>5</v>
          </cell>
          <cell r="Q697" t="str">
            <v>0.916558</v>
          </cell>
          <cell r="R697" t="str">
            <v>0.642623</v>
          </cell>
          <cell r="S697" t="str">
            <v>0.256196</v>
          </cell>
          <cell r="T697" t="str">
            <v>NO</v>
          </cell>
          <cell r="U697" t="str">
            <v>DELIBERAZIONE EGATO 29 19/12/2018</v>
          </cell>
        </row>
        <row r="698">
          <cell r="A698" t="str">
            <v>0092000550</v>
          </cell>
          <cell r="B698">
            <v>202601307615030</v>
          </cell>
          <cell r="D698" t="str">
            <v>ATO4</v>
          </cell>
          <cell r="E698" t="str">
            <v>0092000550</v>
          </cell>
          <cell r="F698">
            <v>46143</v>
          </cell>
          <cell r="G698">
            <v>46507</v>
          </cell>
          <cell r="H698">
            <v>46143</v>
          </cell>
          <cell r="I698">
            <v>46507</v>
          </cell>
          <cell r="K698" t="str">
            <v>004040</v>
          </cell>
          <cell r="L698">
            <v>-66.91</v>
          </cell>
          <cell r="M698">
            <v>-66.91</v>
          </cell>
          <cell r="N698">
            <v>-66.91</v>
          </cell>
          <cell r="O698" t="str">
            <v>diretto</v>
          </cell>
          <cell r="P698">
            <v>4</v>
          </cell>
          <cell r="Q698" t="str">
            <v>0.916558</v>
          </cell>
          <cell r="R698" t="str">
            <v>0.642623</v>
          </cell>
          <cell r="S698" t="str">
            <v>0.256196</v>
          </cell>
          <cell r="T698" t="str">
            <v>NO</v>
          </cell>
          <cell r="U698" t="str">
            <v>DELIBERAZIONE EGATO 29 19/12/2018</v>
          </cell>
        </row>
        <row r="699">
          <cell r="A699" t="str">
            <v>0032000054</v>
          </cell>
          <cell r="B699">
            <v>202601307501158</v>
          </cell>
          <cell r="D699" t="str">
            <v>ATO4</v>
          </cell>
          <cell r="E699" t="str">
            <v>0032000054</v>
          </cell>
          <cell r="F699">
            <v>46143</v>
          </cell>
          <cell r="G699">
            <v>46507</v>
          </cell>
          <cell r="H699">
            <v>46143</v>
          </cell>
          <cell r="I699">
            <v>46507</v>
          </cell>
          <cell r="K699" t="str">
            <v>004104</v>
          </cell>
          <cell r="L699">
            <v>-52.66</v>
          </cell>
          <cell r="M699">
            <v>-52.66</v>
          </cell>
          <cell r="N699">
            <v>-52.66</v>
          </cell>
          <cell r="O699" t="str">
            <v>diretto</v>
          </cell>
          <cell r="P699">
            <v>4</v>
          </cell>
          <cell r="Q699" t="str">
            <v>0.721337</v>
          </cell>
          <cell r="R699" t="str">
            <v>0.441600</v>
          </cell>
          <cell r="S699" t="str">
            <v>0.150394</v>
          </cell>
          <cell r="T699" t="str">
            <v>NO</v>
          </cell>
          <cell r="U699" t="str">
            <v>DELIBERAZIONE EGATO 2 04/02/2019</v>
          </cell>
        </row>
        <row r="700">
          <cell r="A700" t="str">
            <v>0022000292</v>
          </cell>
          <cell r="B700">
            <v>202601308170364</v>
          </cell>
          <cell r="D700" t="str">
            <v>ATO4</v>
          </cell>
          <cell r="E700" t="str">
            <v>0022000292</v>
          </cell>
          <cell r="F700">
            <v>46143</v>
          </cell>
          <cell r="G700">
            <v>46507</v>
          </cell>
          <cell r="H700">
            <v>46143</v>
          </cell>
          <cell r="I700">
            <v>46507</v>
          </cell>
          <cell r="K700" t="str">
            <v>004116</v>
          </cell>
          <cell r="L700">
            <v>-95.87</v>
          </cell>
          <cell r="M700">
            <v>-95.87</v>
          </cell>
          <cell r="N700">
            <v>-95.87</v>
          </cell>
          <cell r="O700" t="str">
            <v>diretto</v>
          </cell>
          <cell r="P700">
            <v>4</v>
          </cell>
          <cell r="Q700" t="str">
            <v>0.721337</v>
          </cell>
          <cell r="R700" t="str">
            <v>0.441600</v>
          </cell>
          <cell r="S700" t="str">
            <v>0.150394</v>
          </cell>
          <cell r="T700" t="str">
            <v>NO</v>
          </cell>
          <cell r="U700" t="str">
            <v>DELIBERAZIONE EGATO 2 04/02/2019</v>
          </cell>
        </row>
        <row r="701">
          <cell r="A701" t="str">
            <v>0012003114</v>
          </cell>
          <cell r="B701">
            <v>202601308607620</v>
          </cell>
          <cell r="D701" t="str">
            <v>ATO4</v>
          </cell>
          <cell r="E701" t="str">
            <v>0012003114</v>
          </cell>
          <cell r="F701">
            <v>46143</v>
          </cell>
          <cell r="G701">
            <v>46507</v>
          </cell>
          <cell r="H701">
            <v>46143</v>
          </cell>
          <cell r="I701">
            <v>46507</v>
          </cell>
          <cell r="K701" t="str">
            <v>004078</v>
          </cell>
          <cell r="L701">
            <v>-100.36</v>
          </cell>
          <cell r="M701">
            <v>-100.36</v>
          </cell>
          <cell r="N701">
            <v>-100.36</v>
          </cell>
          <cell r="O701" t="str">
            <v>diretto</v>
          </cell>
          <cell r="P701">
            <v>6</v>
          </cell>
          <cell r="Q701" t="str">
            <v>0.916558</v>
          </cell>
          <cell r="R701" t="str">
            <v>0.642623</v>
          </cell>
          <cell r="S701" t="str">
            <v>0.256196</v>
          </cell>
          <cell r="T701" t="str">
            <v>NO</v>
          </cell>
          <cell r="U701" t="str">
            <v>DELIBERAZIONE EGATO 29 19/12/2018</v>
          </cell>
        </row>
        <row r="702">
          <cell r="A702">
            <v>2000017827</v>
          </cell>
          <cell r="B702">
            <v>202601307803782</v>
          </cell>
          <cell r="D702" t="str">
            <v>ATO4</v>
          </cell>
          <cell r="E702">
            <v>2000017827</v>
          </cell>
          <cell r="F702">
            <v>46143</v>
          </cell>
          <cell r="G702">
            <v>46507</v>
          </cell>
          <cell r="H702">
            <v>46143</v>
          </cell>
          <cell r="I702">
            <v>46507</v>
          </cell>
          <cell r="K702" t="str">
            <v>004075</v>
          </cell>
          <cell r="L702">
            <v>-32.369999999999997</v>
          </cell>
          <cell r="M702">
            <v>-32.369999999999997</v>
          </cell>
          <cell r="N702">
            <v>-32.369999999999997</v>
          </cell>
          <cell r="O702" t="str">
            <v>diretto</v>
          </cell>
          <cell r="P702">
            <v>1</v>
          </cell>
          <cell r="Q702" t="str">
            <v>0.874880</v>
          </cell>
          <cell r="R702" t="str">
            <v>0.642623</v>
          </cell>
          <cell r="S702" t="str">
            <v>0.256196</v>
          </cell>
          <cell r="T702" t="str">
            <v>NO</v>
          </cell>
          <cell r="U702" t="str">
            <v>DELIBERAZIONE EGATO 11 27/03/2019</v>
          </cell>
        </row>
        <row r="703">
          <cell r="A703">
            <v>2000000723</v>
          </cell>
          <cell r="B703">
            <v>202601307043547</v>
          </cell>
          <cell r="D703" t="str">
            <v>ATO4</v>
          </cell>
          <cell r="E703">
            <v>2000000723</v>
          </cell>
          <cell r="F703">
            <v>46143</v>
          </cell>
          <cell r="G703">
            <v>46507</v>
          </cell>
          <cell r="H703">
            <v>46143</v>
          </cell>
          <cell r="I703">
            <v>46507</v>
          </cell>
          <cell r="K703" t="str">
            <v>004136</v>
          </cell>
          <cell r="L703">
            <v>-99.39</v>
          </cell>
          <cell r="M703">
            <v>-99.39</v>
          </cell>
          <cell r="N703">
            <v>-99.39</v>
          </cell>
          <cell r="O703" t="str">
            <v>diretto</v>
          </cell>
          <cell r="P703">
            <v>3</v>
          </cell>
          <cell r="Q703" t="str">
            <v>0.916558</v>
          </cell>
          <cell r="R703" t="str">
            <v>0.642623</v>
          </cell>
          <cell r="S703" t="str">
            <v>0.256196</v>
          </cell>
          <cell r="T703" t="str">
            <v>NO</v>
          </cell>
          <cell r="U703" t="str">
            <v>DELIBERAZIONE EGATO 29 19/12/2018</v>
          </cell>
        </row>
        <row r="704">
          <cell r="A704" t="str">
            <v>0532000235</v>
          </cell>
          <cell r="B704">
            <v>202601308658787</v>
          </cell>
          <cell r="D704" t="str">
            <v>ATO4</v>
          </cell>
          <cell r="E704" t="str">
            <v>0532000235</v>
          </cell>
          <cell r="F704">
            <v>46143</v>
          </cell>
          <cell r="G704">
            <v>46507</v>
          </cell>
          <cell r="H704">
            <v>46143</v>
          </cell>
          <cell r="I704">
            <v>46507</v>
          </cell>
          <cell r="K704" t="str">
            <v>004118</v>
          </cell>
          <cell r="L704">
            <v>-66.260000000000005</v>
          </cell>
          <cell r="M704">
            <v>-66.260000000000005</v>
          </cell>
          <cell r="N704">
            <v>-66.260000000000005</v>
          </cell>
          <cell r="O704" t="str">
            <v>diretto</v>
          </cell>
          <cell r="P704">
            <v>2</v>
          </cell>
          <cell r="Q704" t="str">
            <v>0.916558</v>
          </cell>
          <cell r="R704" t="str">
            <v>0.642623</v>
          </cell>
          <cell r="S704" t="str">
            <v>0.256196</v>
          </cell>
          <cell r="T704" t="str">
            <v>NO</v>
          </cell>
          <cell r="U704" t="str">
            <v>DELIBERAZIONE EGATO 29 19/12/2018</v>
          </cell>
        </row>
        <row r="705">
          <cell r="A705" t="str">
            <v>0312001218</v>
          </cell>
          <cell r="B705">
            <v>202601306947037</v>
          </cell>
          <cell r="D705" t="str">
            <v>ATO4</v>
          </cell>
          <cell r="E705" t="str">
            <v>0312001218</v>
          </cell>
          <cell r="F705">
            <v>46143</v>
          </cell>
          <cell r="G705">
            <v>46507</v>
          </cell>
          <cell r="H705">
            <v>46143</v>
          </cell>
          <cell r="I705">
            <v>46507</v>
          </cell>
          <cell r="K705" t="str">
            <v>004082</v>
          </cell>
          <cell r="L705">
            <v>-16.73</v>
          </cell>
          <cell r="M705">
            <v>-16.73</v>
          </cell>
          <cell r="N705">
            <v>-16.73</v>
          </cell>
          <cell r="O705" t="str">
            <v>diretto</v>
          </cell>
          <cell r="P705">
            <v>1</v>
          </cell>
          <cell r="Q705" t="str">
            <v>0.916558</v>
          </cell>
          <cell r="R705" t="str">
            <v>0.642623</v>
          </cell>
          <cell r="S705" t="str">
            <v>0.256196</v>
          </cell>
          <cell r="T705" t="str">
            <v>NO</v>
          </cell>
          <cell r="U705" t="str">
            <v>DELIBERAZIONE EGATO 29 19/12/2018</v>
          </cell>
        </row>
        <row r="706">
          <cell r="A706" t="str">
            <v>0132000515</v>
          </cell>
          <cell r="B706">
            <v>202601307506128</v>
          </cell>
          <cell r="D706" t="str">
            <v>ATO4</v>
          </cell>
          <cell r="E706" t="str">
            <v>0132000515</v>
          </cell>
          <cell r="F706">
            <v>46143</v>
          </cell>
          <cell r="G706">
            <v>46507</v>
          </cell>
          <cell r="H706">
            <v>46143</v>
          </cell>
          <cell r="I706">
            <v>46507</v>
          </cell>
          <cell r="K706" t="str">
            <v>004022</v>
          </cell>
          <cell r="L706">
            <v>-99.39</v>
          </cell>
          <cell r="M706">
            <v>-99.39</v>
          </cell>
          <cell r="N706">
            <v>-99.39</v>
          </cell>
          <cell r="O706" t="str">
            <v>diretto</v>
          </cell>
          <cell r="P706">
            <v>3</v>
          </cell>
          <cell r="Q706" t="str">
            <v>0.916558</v>
          </cell>
          <cell r="R706" t="str">
            <v>0.642623</v>
          </cell>
          <cell r="S706" t="str">
            <v>0.256196</v>
          </cell>
          <cell r="T706" t="str">
            <v>NO</v>
          </cell>
          <cell r="U706" t="str">
            <v>DELIBERAZIONE EGATO 29 19/12/2018</v>
          </cell>
        </row>
        <row r="707">
          <cell r="A707" t="str">
            <v>0062001165</v>
          </cell>
          <cell r="B707">
            <v>202601307206095</v>
          </cell>
          <cell r="D707" t="str">
            <v>ATO4</v>
          </cell>
          <cell r="E707" t="str">
            <v>0062001165</v>
          </cell>
          <cell r="F707">
            <v>46143</v>
          </cell>
          <cell r="G707">
            <v>46507</v>
          </cell>
          <cell r="H707">
            <v>46143</v>
          </cell>
          <cell r="I707">
            <v>46507</v>
          </cell>
          <cell r="K707" t="str">
            <v>004028</v>
          </cell>
          <cell r="L707">
            <v>-132.52000000000001</v>
          </cell>
          <cell r="M707">
            <v>-132.52000000000001</v>
          </cell>
          <cell r="N707">
            <v>-132.52000000000001</v>
          </cell>
          <cell r="O707" t="str">
            <v>diretto</v>
          </cell>
          <cell r="P707">
            <v>4</v>
          </cell>
          <cell r="Q707" t="str">
            <v>0.916558</v>
          </cell>
          <cell r="R707" t="str">
            <v>0.642623</v>
          </cell>
          <cell r="S707" t="str">
            <v>0.256196</v>
          </cell>
          <cell r="T707" t="str">
            <v>NO</v>
          </cell>
          <cell r="U707" t="str">
            <v>DELIBERAZIONE EGATO 29 19/12/2018</v>
          </cell>
        </row>
        <row r="708">
          <cell r="A708">
            <v>2000054799</v>
          </cell>
          <cell r="B708">
            <v>202601307352936</v>
          </cell>
          <cell r="D708" t="str">
            <v>ATO4</v>
          </cell>
          <cell r="E708">
            <v>2000054799</v>
          </cell>
          <cell r="F708">
            <v>46143</v>
          </cell>
          <cell r="G708">
            <v>46507</v>
          </cell>
          <cell r="H708">
            <v>46143</v>
          </cell>
          <cell r="I708">
            <v>46507</v>
          </cell>
          <cell r="K708" t="str">
            <v>004166</v>
          </cell>
          <cell r="L708">
            <v>-143.81</v>
          </cell>
          <cell r="M708">
            <v>-143.81</v>
          </cell>
          <cell r="N708">
            <v>-143.81</v>
          </cell>
          <cell r="O708" t="str">
            <v>diretto</v>
          </cell>
          <cell r="P708">
            <v>6</v>
          </cell>
          <cell r="Q708" t="str">
            <v>0.721337</v>
          </cell>
          <cell r="R708" t="str">
            <v>0.441600</v>
          </cell>
          <cell r="S708" t="str">
            <v>0.150394</v>
          </cell>
          <cell r="T708" t="str">
            <v>NO</v>
          </cell>
          <cell r="U708" t="str">
            <v>DELIBERAZIONE EGATO 2 04/02/2019</v>
          </cell>
        </row>
        <row r="709">
          <cell r="A709">
            <v>2000053422</v>
          </cell>
          <cell r="B709">
            <v>202601308529110</v>
          </cell>
          <cell r="D709" t="str">
            <v>ATO4</v>
          </cell>
          <cell r="E709">
            <v>2000053422</v>
          </cell>
          <cell r="F709">
            <v>46143</v>
          </cell>
          <cell r="G709">
            <v>46507</v>
          </cell>
          <cell r="H709">
            <v>46143</v>
          </cell>
          <cell r="I709">
            <v>46507</v>
          </cell>
          <cell r="K709" t="str">
            <v>004180</v>
          </cell>
          <cell r="L709">
            <v>-143.81</v>
          </cell>
          <cell r="M709">
            <v>-143.81</v>
          </cell>
          <cell r="N709">
            <v>-143.81</v>
          </cell>
          <cell r="O709" t="str">
            <v>diretto</v>
          </cell>
          <cell r="P709">
            <v>6</v>
          </cell>
          <cell r="Q709" t="str">
            <v>0.721337</v>
          </cell>
          <cell r="R709" t="str">
            <v>0.441600</v>
          </cell>
          <cell r="S709" t="str">
            <v>0.150394</v>
          </cell>
          <cell r="T709" t="str">
            <v>NO</v>
          </cell>
          <cell r="U709" t="str">
            <v>DELIBERAZIONE EGATO 2 04/02/2019</v>
          </cell>
        </row>
        <row r="710">
          <cell r="A710">
            <v>2000053300</v>
          </cell>
          <cell r="B710">
            <v>202601308176384</v>
          </cell>
          <cell r="D710" t="str">
            <v>ATO4</v>
          </cell>
          <cell r="E710">
            <v>2000053300</v>
          </cell>
          <cell r="F710">
            <v>46143</v>
          </cell>
          <cell r="G710">
            <v>46507</v>
          </cell>
          <cell r="H710">
            <v>46143</v>
          </cell>
          <cell r="I710">
            <v>46507</v>
          </cell>
          <cell r="K710" t="str">
            <v>004085</v>
          </cell>
          <cell r="L710">
            <v>-119.27</v>
          </cell>
          <cell r="M710">
            <v>-119.27</v>
          </cell>
          <cell r="N710">
            <v>-119.27</v>
          </cell>
          <cell r="O710" t="str">
            <v>diretto</v>
          </cell>
          <cell r="P710">
            <v>4</v>
          </cell>
          <cell r="Q710" t="str">
            <v>0.824903</v>
          </cell>
          <cell r="R710" t="str">
            <v>0.578360</v>
          </cell>
          <cell r="S710" t="str">
            <v>0.230576</v>
          </cell>
          <cell r="T710" t="str">
            <v>NO</v>
          </cell>
          <cell r="U710" t="str">
            <v>DELIBERAZIONE EGATO 29 19/12/2018</v>
          </cell>
        </row>
        <row r="711">
          <cell r="A711">
            <v>2000053182</v>
          </cell>
          <cell r="B711">
            <v>202601308525444</v>
          </cell>
          <cell r="D711" t="str">
            <v>ATO4</v>
          </cell>
          <cell r="E711">
            <v>2000053182</v>
          </cell>
          <cell r="F711">
            <v>46143</v>
          </cell>
          <cell r="G711">
            <v>46507</v>
          </cell>
          <cell r="H711">
            <v>46143</v>
          </cell>
          <cell r="I711">
            <v>46507</v>
          </cell>
          <cell r="K711" t="str">
            <v>004085</v>
          </cell>
          <cell r="L711">
            <v>-149.09</v>
          </cell>
          <cell r="M711">
            <v>-149.09</v>
          </cell>
          <cell r="N711">
            <v>-149.09</v>
          </cell>
          <cell r="O711" t="str">
            <v>diretto</v>
          </cell>
          <cell r="P711">
            <v>5</v>
          </cell>
          <cell r="Q711" t="str">
            <v>0.824903</v>
          </cell>
          <cell r="R711" t="str">
            <v>0.578360</v>
          </cell>
          <cell r="S711" t="str">
            <v>0.230576</v>
          </cell>
          <cell r="T711" t="str">
            <v>NO</v>
          </cell>
          <cell r="U711" t="str">
            <v>DELIBERAZIONE EGATO 29 19/12/2018</v>
          </cell>
        </row>
        <row r="712">
          <cell r="A712">
            <v>2000052588</v>
          </cell>
          <cell r="B712">
            <v>202601306822561</v>
          </cell>
          <cell r="D712" t="str">
            <v>ATO4</v>
          </cell>
          <cell r="E712">
            <v>2000052588</v>
          </cell>
          <cell r="F712">
            <v>46143</v>
          </cell>
          <cell r="G712">
            <v>46507</v>
          </cell>
          <cell r="H712">
            <v>46143</v>
          </cell>
          <cell r="I712">
            <v>46507</v>
          </cell>
          <cell r="K712" t="str">
            <v>004028</v>
          </cell>
          <cell r="L712">
            <v>-132.52000000000001</v>
          </cell>
          <cell r="M712">
            <v>-132.52000000000001</v>
          </cell>
          <cell r="N712">
            <v>-132.52000000000001</v>
          </cell>
          <cell r="O712" t="str">
            <v>diretto</v>
          </cell>
          <cell r="P712">
            <v>4</v>
          </cell>
          <cell r="Q712" t="str">
            <v>0.916558</v>
          </cell>
          <cell r="R712" t="str">
            <v>0.642623</v>
          </cell>
          <cell r="S712" t="str">
            <v>0.256196</v>
          </cell>
          <cell r="T712" t="str">
            <v>NO</v>
          </cell>
          <cell r="U712" t="str">
            <v>DELIBERAZIONE EGATO 29 19/12/2018</v>
          </cell>
        </row>
        <row r="713">
          <cell r="A713">
            <v>2000050326</v>
          </cell>
          <cell r="B713">
            <v>202601308057056</v>
          </cell>
          <cell r="D713" t="str">
            <v>ATO4</v>
          </cell>
          <cell r="E713">
            <v>2000050326</v>
          </cell>
          <cell r="F713">
            <v>46143</v>
          </cell>
          <cell r="G713">
            <v>46507</v>
          </cell>
          <cell r="H713">
            <v>46143</v>
          </cell>
          <cell r="I713">
            <v>46507</v>
          </cell>
          <cell r="K713" t="str">
            <v>004163</v>
          </cell>
          <cell r="L713">
            <v>-33.450000000000003</v>
          </cell>
          <cell r="M713">
            <v>-33.450000000000003</v>
          </cell>
          <cell r="N713">
            <v>-33.450000000000003</v>
          </cell>
          <cell r="O713" t="str">
            <v>diretto</v>
          </cell>
          <cell r="P713">
            <v>2</v>
          </cell>
          <cell r="Q713" t="str">
            <v>0.916558</v>
          </cell>
          <cell r="R713" t="str">
            <v>0.642623</v>
          </cell>
          <cell r="S713" t="str">
            <v>0.256196</v>
          </cell>
          <cell r="T713" t="str">
            <v>NO</v>
          </cell>
          <cell r="U713" t="str">
            <v>DELIBERAZIONE EGATO 29 19/12/2018</v>
          </cell>
        </row>
        <row r="714">
          <cell r="A714">
            <v>2000049803</v>
          </cell>
          <cell r="B714">
            <v>202601308108375</v>
          </cell>
          <cell r="D714" t="str">
            <v>ATO4</v>
          </cell>
          <cell r="E714">
            <v>2000049803</v>
          </cell>
          <cell r="F714">
            <v>46143</v>
          </cell>
          <cell r="G714">
            <v>46507</v>
          </cell>
          <cell r="H714">
            <v>46143</v>
          </cell>
          <cell r="I714">
            <v>46507</v>
          </cell>
          <cell r="K714" t="str">
            <v>004209</v>
          </cell>
          <cell r="L714">
            <v>-89.45</v>
          </cell>
          <cell r="M714">
            <v>-89.45</v>
          </cell>
          <cell r="N714">
            <v>-89.45</v>
          </cell>
          <cell r="O714" t="str">
            <v>diretto</v>
          </cell>
          <cell r="P714">
            <v>3</v>
          </cell>
          <cell r="Q714" t="str">
            <v>0.824903</v>
          </cell>
          <cell r="R714" t="str">
            <v>0.578360</v>
          </cell>
          <cell r="S714" t="str">
            <v>0.230576</v>
          </cell>
          <cell r="T714" t="str">
            <v>NO</v>
          </cell>
          <cell r="U714" t="str">
            <v>DELIBERAZIONE EGATO 29 19/12/2018</v>
          </cell>
        </row>
        <row r="715">
          <cell r="A715">
            <v>2000049594</v>
          </cell>
          <cell r="B715">
            <v>202601307361811</v>
          </cell>
          <cell r="D715" t="str">
            <v>ATO4</v>
          </cell>
          <cell r="E715">
            <v>2000049594</v>
          </cell>
          <cell r="F715">
            <v>46143</v>
          </cell>
          <cell r="G715">
            <v>46507</v>
          </cell>
          <cell r="H715">
            <v>46143</v>
          </cell>
          <cell r="I715">
            <v>46507</v>
          </cell>
          <cell r="K715" t="str">
            <v>004114</v>
          </cell>
          <cell r="L715">
            <v>-50.18</v>
          </cell>
          <cell r="M715">
            <v>-50.18</v>
          </cell>
          <cell r="N715">
            <v>-50.18</v>
          </cell>
          <cell r="O715" t="str">
            <v>diretto</v>
          </cell>
          <cell r="P715">
            <v>3</v>
          </cell>
          <cell r="Q715" t="str">
            <v>0.916558</v>
          </cell>
          <cell r="R715" t="str">
            <v>0.642623</v>
          </cell>
          <cell r="S715" t="str">
            <v>0.256196</v>
          </cell>
          <cell r="T715" t="str">
            <v>NO</v>
          </cell>
          <cell r="U715" t="str">
            <v>DELIBERAZIONE EGATO 29 19/12/2018</v>
          </cell>
        </row>
        <row r="716">
          <cell r="A716">
            <v>2000049359</v>
          </cell>
          <cell r="B716">
            <v>202601308680989</v>
          </cell>
          <cell r="D716" t="str">
            <v>ATO4</v>
          </cell>
          <cell r="E716">
            <v>2000049359</v>
          </cell>
          <cell r="F716">
            <v>46143</v>
          </cell>
          <cell r="G716">
            <v>46507</v>
          </cell>
          <cell r="H716">
            <v>46143</v>
          </cell>
          <cell r="I716">
            <v>46507</v>
          </cell>
          <cell r="K716" t="str">
            <v>004066</v>
          </cell>
          <cell r="L716">
            <v>-132.52000000000001</v>
          </cell>
          <cell r="M716">
            <v>-132.52000000000001</v>
          </cell>
          <cell r="N716">
            <v>-132.52000000000001</v>
          </cell>
          <cell r="O716" t="str">
            <v>diretto</v>
          </cell>
          <cell r="P716">
            <v>4</v>
          </cell>
          <cell r="Q716" t="str">
            <v>0.916558</v>
          </cell>
          <cell r="R716" t="str">
            <v>0.642623</v>
          </cell>
          <cell r="S716" t="str">
            <v>0.256196</v>
          </cell>
          <cell r="T716" t="str">
            <v>NO</v>
          </cell>
          <cell r="U716" t="str">
            <v>DELIBERAZIONE EGATO 29 19/12/2018</v>
          </cell>
        </row>
        <row r="717">
          <cell r="A717">
            <v>2000031128</v>
          </cell>
          <cell r="B717">
            <v>202601307181215</v>
          </cell>
          <cell r="D717" t="str">
            <v>ATO4</v>
          </cell>
          <cell r="E717">
            <v>2000031128</v>
          </cell>
          <cell r="F717">
            <v>46143</v>
          </cell>
          <cell r="G717">
            <v>46507</v>
          </cell>
          <cell r="H717">
            <v>46143</v>
          </cell>
          <cell r="I717">
            <v>46507</v>
          </cell>
          <cell r="K717" t="str">
            <v>004085</v>
          </cell>
          <cell r="L717">
            <v>-45.16</v>
          </cell>
          <cell r="M717">
            <v>-45.16</v>
          </cell>
          <cell r="N717">
            <v>-45.16</v>
          </cell>
          <cell r="O717" t="str">
            <v>diretto</v>
          </cell>
          <cell r="P717">
            <v>3</v>
          </cell>
          <cell r="Q717" t="str">
            <v>0.824903</v>
          </cell>
          <cell r="R717" t="str">
            <v>0.578360</v>
          </cell>
          <cell r="S717" t="str">
            <v>0.230576</v>
          </cell>
          <cell r="T717" t="str">
            <v>NO</v>
          </cell>
          <cell r="U717" t="str">
            <v>DELIBERAZIONE EGATO 29 19/12/2018</v>
          </cell>
        </row>
        <row r="718">
          <cell r="A718">
            <v>2000029493</v>
          </cell>
          <cell r="B718">
            <v>202601306712775</v>
          </cell>
          <cell r="D718" t="str">
            <v>ATO4</v>
          </cell>
          <cell r="E718">
            <v>2000029493</v>
          </cell>
          <cell r="F718">
            <v>46143</v>
          </cell>
          <cell r="G718">
            <v>46507</v>
          </cell>
          <cell r="H718">
            <v>46143</v>
          </cell>
          <cell r="I718">
            <v>46507</v>
          </cell>
          <cell r="K718" t="str">
            <v>004025</v>
          </cell>
          <cell r="L718">
            <v>-33.130000000000003</v>
          </cell>
          <cell r="M718">
            <v>-33.130000000000003</v>
          </cell>
          <cell r="N718">
            <v>-33.130000000000003</v>
          </cell>
          <cell r="O718" t="str">
            <v>diretto</v>
          </cell>
          <cell r="P718">
            <v>1</v>
          </cell>
          <cell r="Q718" t="str">
            <v>0.916558</v>
          </cell>
          <cell r="R718" t="str">
            <v>0.642623</v>
          </cell>
          <cell r="S718" t="str">
            <v>0.256196</v>
          </cell>
          <cell r="T718" t="str">
            <v>NO</v>
          </cell>
          <cell r="U718" t="str">
            <v>DELIBERAZIONE EGATO 29 19/12/2018</v>
          </cell>
        </row>
        <row r="719">
          <cell r="A719">
            <v>2000028899</v>
          </cell>
          <cell r="B719">
            <v>202601308655681</v>
          </cell>
          <cell r="D719" t="str">
            <v>ATO4</v>
          </cell>
          <cell r="E719">
            <v>2000028899</v>
          </cell>
          <cell r="F719">
            <v>46143</v>
          </cell>
          <cell r="G719">
            <v>46507</v>
          </cell>
          <cell r="H719">
            <v>46143</v>
          </cell>
          <cell r="I719">
            <v>46507</v>
          </cell>
          <cell r="K719" t="str">
            <v>004078</v>
          </cell>
          <cell r="L719">
            <v>-16.73</v>
          </cell>
          <cell r="M719">
            <v>-16.73</v>
          </cell>
          <cell r="N719">
            <v>-16.73</v>
          </cell>
          <cell r="O719" t="str">
            <v>diretto</v>
          </cell>
          <cell r="P719">
            <v>1</v>
          </cell>
          <cell r="Q719" t="str">
            <v>0.916558</v>
          </cell>
          <cell r="R719" t="str">
            <v>0.642623</v>
          </cell>
          <cell r="S719" t="str">
            <v>0.256196</v>
          </cell>
          <cell r="T719" t="str">
            <v>NO</v>
          </cell>
          <cell r="U719" t="str">
            <v>DELIBERAZIONE EGATO 29 19/12/2018</v>
          </cell>
        </row>
        <row r="720">
          <cell r="A720">
            <v>2000023525</v>
          </cell>
          <cell r="B720">
            <v>202601307523352</v>
          </cell>
          <cell r="D720" t="str">
            <v>ATO4</v>
          </cell>
          <cell r="E720">
            <v>2000023525</v>
          </cell>
          <cell r="F720">
            <v>46143</v>
          </cell>
          <cell r="G720">
            <v>46507</v>
          </cell>
          <cell r="H720">
            <v>46143</v>
          </cell>
          <cell r="I720">
            <v>46507</v>
          </cell>
          <cell r="K720" t="str">
            <v>004163</v>
          </cell>
          <cell r="L720">
            <v>-66.91</v>
          </cell>
          <cell r="M720">
            <v>-66.91</v>
          </cell>
          <cell r="N720">
            <v>-66.91</v>
          </cell>
          <cell r="O720" t="str">
            <v>diretto</v>
          </cell>
          <cell r="P720">
            <v>4</v>
          </cell>
          <cell r="Q720" t="str">
            <v>0.916558</v>
          </cell>
          <cell r="R720" t="str">
            <v>0.642623</v>
          </cell>
          <cell r="S720" t="str">
            <v>0.256196</v>
          </cell>
          <cell r="T720" t="str">
            <v>NO</v>
          </cell>
          <cell r="U720" t="str">
            <v>DELIBERAZIONE EGATO 29 19/12/2018</v>
          </cell>
        </row>
        <row r="721">
          <cell r="A721">
            <v>2000018286</v>
          </cell>
          <cell r="B721">
            <v>202601307650172</v>
          </cell>
          <cell r="D721" t="str">
            <v>ATO4</v>
          </cell>
          <cell r="E721">
            <v>2000018286</v>
          </cell>
          <cell r="F721">
            <v>46143</v>
          </cell>
          <cell r="G721">
            <v>46507</v>
          </cell>
          <cell r="H721">
            <v>46143</v>
          </cell>
          <cell r="I721">
            <v>46507</v>
          </cell>
          <cell r="K721" t="str">
            <v>004144</v>
          </cell>
          <cell r="L721">
            <v>-66.260000000000005</v>
          </cell>
          <cell r="M721">
            <v>-66.260000000000005</v>
          </cell>
          <cell r="N721">
            <v>-66.260000000000005</v>
          </cell>
          <cell r="O721" t="str">
            <v>diretto</v>
          </cell>
          <cell r="P721">
            <v>2</v>
          </cell>
          <cell r="Q721" t="str">
            <v>0.916558</v>
          </cell>
          <cell r="R721" t="str">
            <v>0.642623</v>
          </cell>
          <cell r="S721" t="str">
            <v>0.256196</v>
          </cell>
          <cell r="T721" t="str">
            <v>NO</v>
          </cell>
          <cell r="U721" t="str">
            <v>DELIBERAZIONE EGATO 29 19/12/2018</v>
          </cell>
        </row>
        <row r="722">
          <cell r="A722">
            <v>2000014750</v>
          </cell>
          <cell r="B722">
            <v>202601307757402</v>
          </cell>
          <cell r="D722" t="str">
            <v>ATO4</v>
          </cell>
          <cell r="E722">
            <v>2000014750</v>
          </cell>
          <cell r="F722">
            <v>46143</v>
          </cell>
          <cell r="G722">
            <v>46507</v>
          </cell>
          <cell r="H722">
            <v>46143</v>
          </cell>
          <cell r="I722">
            <v>46507</v>
          </cell>
          <cell r="K722" t="str">
            <v>004068</v>
          </cell>
          <cell r="L722">
            <v>-132.52000000000001</v>
          </cell>
          <cell r="M722">
            <v>-132.52000000000001</v>
          </cell>
          <cell r="N722">
            <v>-132.52000000000001</v>
          </cell>
          <cell r="O722" t="str">
            <v>diretto</v>
          </cell>
          <cell r="P722">
            <v>4</v>
          </cell>
          <cell r="Q722" t="str">
            <v>0.916558</v>
          </cell>
          <cell r="R722" t="str">
            <v>0.642623</v>
          </cell>
          <cell r="S722" t="str">
            <v>0.256196</v>
          </cell>
          <cell r="T722" t="str">
            <v>NO</v>
          </cell>
          <cell r="U722" t="str">
            <v>DELIBERAZIONE EGATO 29 19/12/2018</v>
          </cell>
        </row>
        <row r="723">
          <cell r="A723">
            <v>2000014328</v>
          </cell>
          <cell r="B723">
            <v>202601308482837</v>
          </cell>
          <cell r="D723" t="str">
            <v>ATO4</v>
          </cell>
          <cell r="E723">
            <v>2000014328</v>
          </cell>
          <cell r="F723">
            <v>46143</v>
          </cell>
          <cell r="G723">
            <v>46507</v>
          </cell>
          <cell r="H723">
            <v>46143</v>
          </cell>
          <cell r="I723">
            <v>46507</v>
          </cell>
          <cell r="K723" t="str">
            <v>004078</v>
          </cell>
          <cell r="L723">
            <v>-66.91</v>
          </cell>
          <cell r="M723">
            <v>-66.91</v>
          </cell>
          <cell r="N723">
            <v>-66.91</v>
          </cell>
          <cell r="O723" t="str">
            <v>diretto</v>
          </cell>
          <cell r="P723">
            <v>4</v>
          </cell>
          <cell r="Q723" t="str">
            <v>0.916558</v>
          </cell>
          <cell r="R723" t="str">
            <v>0.642623</v>
          </cell>
          <cell r="S723" t="str">
            <v>0.256196</v>
          </cell>
          <cell r="T723" t="str">
            <v>NO</v>
          </cell>
          <cell r="U723" t="str">
            <v>DELIBERAZIONE EGATO 29 19/12/2018</v>
          </cell>
        </row>
        <row r="724">
          <cell r="A724">
            <v>2000012708</v>
          </cell>
          <cell r="B724">
            <v>202601307647793</v>
          </cell>
          <cell r="D724" t="str">
            <v>ATO4</v>
          </cell>
          <cell r="E724">
            <v>2000012708</v>
          </cell>
          <cell r="F724">
            <v>46143</v>
          </cell>
          <cell r="G724">
            <v>46507</v>
          </cell>
          <cell r="H724">
            <v>46143</v>
          </cell>
          <cell r="I724">
            <v>46507</v>
          </cell>
          <cell r="K724" t="str">
            <v>004249</v>
          </cell>
          <cell r="L724">
            <v>-4.0599999999999996</v>
          </cell>
          <cell r="M724">
            <v>-4.0599999999999996</v>
          </cell>
          <cell r="N724">
            <v>-4.0599999999999996</v>
          </cell>
          <cell r="O724" t="str">
            <v>diretto</v>
          </cell>
          <cell r="P724">
            <v>1</v>
          </cell>
          <cell r="Q724" t="str">
            <v>0.222532</v>
          </cell>
          <cell r="R724" t="str">
            <v>0.366671</v>
          </cell>
          <cell r="S724" t="str">
            <v>0.139082</v>
          </cell>
          <cell r="T724" t="str">
            <v>NO</v>
          </cell>
          <cell r="U724" t="str">
            <v>DELIBERAZIONE EGATO 4 23/02/2023</v>
          </cell>
        </row>
        <row r="725">
          <cell r="A725">
            <v>2000012040</v>
          </cell>
          <cell r="B725">
            <v>202601307507588</v>
          </cell>
          <cell r="D725" t="str">
            <v>ATO4</v>
          </cell>
          <cell r="E725">
            <v>2000012040</v>
          </cell>
          <cell r="F725">
            <v>46143</v>
          </cell>
          <cell r="G725">
            <v>46507</v>
          </cell>
          <cell r="H725">
            <v>46143</v>
          </cell>
          <cell r="I725">
            <v>46507</v>
          </cell>
          <cell r="K725" t="str">
            <v>004116</v>
          </cell>
          <cell r="L725">
            <v>-119.84</v>
          </cell>
          <cell r="M725">
            <v>-119.84</v>
          </cell>
          <cell r="N725">
            <v>-119.84</v>
          </cell>
          <cell r="O725" t="str">
            <v>diretto</v>
          </cell>
          <cell r="P725">
            <v>5</v>
          </cell>
          <cell r="Q725" t="str">
            <v>0.721337</v>
          </cell>
          <cell r="R725" t="str">
            <v>0.441600</v>
          </cell>
          <cell r="S725" t="str">
            <v>0.150394</v>
          </cell>
          <cell r="T725" t="str">
            <v>NO</v>
          </cell>
          <cell r="U725" t="str">
            <v>DELIBERAZIONE EGATO 2 04/02/2019</v>
          </cell>
        </row>
        <row r="726">
          <cell r="A726">
            <v>1040000390</v>
          </cell>
          <cell r="B726">
            <v>202601307732832</v>
          </cell>
          <cell r="D726" t="str">
            <v>ATO4</v>
          </cell>
          <cell r="E726">
            <v>1040000390</v>
          </cell>
          <cell r="F726">
            <v>46143</v>
          </cell>
          <cell r="G726">
            <v>46507</v>
          </cell>
          <cell r="H726">
            <v>46143</v>
          </cell>
          <cell r="I726">
            <v>46507</v>
          </cell>
          <cell r="K726" t="str">
            <v>004171</v>
          </cell>
          <cell r="L726">
            <v>-18.16</v>
          </cell>
          <cell r="M726">
            <v>-18.16</v>
          </cell>
          <cell r="N726">
            <v>-18.16</v>
          </cell>
          <cell r="O726" t="str">
            <v>diretto</v>
          </cell>
          <cell r="P726">
            <v>1</v>
          </cell>
          <cell r="Q726" t="str">
            <v>0.483220</v>
          </cell>
          <cell r="R726" t="str">
            <v>0.350215</v>
          </cell>
          <cell r="S726" t="str">
            <v>0.161638</v>
          </cell>
          <cell r="T726" t="str">
            <v>NO</v>
          </cell>
          <cell r="U726" t="str">
            <v>DELIBERAZIONE EGATO 23 16/11/2020</v>
          </cell>
        </row>
        <row r="727">
          <cell r="A727" t="str">
            <v>0840022901</v>
          </cell>
          <cell r="B727">
            <v>202601306716049</v>
          </cell>
          <cell r="D727" t="str">
            <v>ATO4</v>
          </cell>
          <cell r="E727" t="str">
            <v>0840022901</v>
          </cell>
          <cell r="F727">
            <v>46143</v>
          </cell>
          <cell r="G727">
            <v>46507</v>
          </cell>
          <cell r="H727">
            <v>46143</v>
          </cell>
          <cell r="I727">
            <v>46507</v>
          </cell>
          <cell r="K727" t="str">
            <v>004159</v>
          </cell>
          <cell r="L727">
            <v>-26.76</v>
          </cell>
          <cell r="M727">
            <v>-26.76</v>
          </cell>
          <cell r="N727">
            <v>-26.76</v>
          </cell>
          <cell r="O727" t="str">
            <v>diretto</v>
          </cell>
          <cell r="P727">
            <v>2</v>
          </cell>
          <cell r="Q727" t="str">
            <v>0.733246</v>
          </cell>
          <cell r="R727" t="str">
            <v>0.514098</v>
          </cell>
          <cell r="S727" t="str">
            <v>0.204957</v>
          </cell>
          <cell r="T727" t="str">
            <v>NO</v>
          </cell>
          <cell r="U727" t="str">
            <v>DELIBERAZIONE EGATO 2 04/02/2019</v>
          </cell>
        </row>
        <row r="728">
          <cell r="A728" t="str">
            <v>0830219401</v>
          </cell>
          <cell r="B728">
            <v>202601307298300</v>
          </cell>
          <cell r="D728" t="str">
            <v>ATO4</v>
          </cell>
          <cell r="E728" t="str">
            <v>0830219401</v>
          </cell>
          <cell r="F728">
            <v>46143</v>
          </cell>
          <cell r="G728">
            <v>46507</v>
          </cell>
          <cell r="H728">
            <v>46143</v>
          </cell>
          <cell r="I728">
            <v>46507</v>
          </cell>
          <cell r="K728" t="str">
            <v>004155</v>
          </cell>
          <cell r="L728">
            <v>-90.33</v>
          </cell>
          <cell r="M728">
            <v>-90.33</v>
          </cell>
          <cell r="N728">
            <v>-90.33</v>
          </cell>
          <cell r="O728" t="str">
            <v>diretto</v>
          </cell>
          <cell r="P728">
            <v>6</v>
          </cell>
          <cell r="Q728" t="str">
            <v>0.824903</v>
          </cell>
          <cell r="R728" t="str">
            <v>0.578360</v>
          </cell>
          <cell r="S728" t="str">
            <v>0.230576</v>
          </cell>
          <cell r="T728" t="str">
            <v>NO</v>
          </cell>
          <cell r="U728" t="str">
            <v>DELIBERAZIONE EGATO 29 19/12/2018</v>
          </cell>
        </row>
        <row r="729">
          <cell r="A729" t="str">
            <v>0812001039</v>
          </cell>
          <cell r="B729">
            <v>202601308401100</v>
          </cell>
          <cell r="D729" t="str">
            <v>ATO4</v>
          </cell>
          <cell r="E729" t="str">
            <v>0812001039</v>
          </cell>
          <cell r="F729">
            <v>46143</v>
          </cell>
          <cell r="G729">
            <v>46507</v>
          </cell>
          <cell r="H729">
            <v>46143</v>
          </cell>
          <cell r="I729">
            <v>46507</v>
          </cell>
          <cell r="K729" t="str">
            <v>004066</v>
          </cell>
          <cell r="L729">
            <v>-132.52000000000001</v>
          </cell>
          <cell r="M729">
            <v>-132.52000000000001</v>
          </cell>
          <cell r="N729">
            <v>-132.52000000000001</v>
          </cell>
          <cell r="O729" t="str">
            <v>diretto</v>
          </cell>
          <cell r="P729">
            <v>4</v>
          </cell>
          <cell r="Q729" t="str">
            <v>0.916558</v>
          </cell>
          <cell r="R729" t="str">
            <v>0.642623</v>
          </cell>
          <cell r="S729" t="str">
            <v>0.256196</v>
          </cell>
          <cell r="T729" t="str">
            <v>NO</v>
          </cell>
          <cell r="U729" t="str">
            <v>DELIBERAZIONE EGATO 29 19/12/2018</v>
          </cell>
        </row>
        <row r="730">
          <cell r="A730" t="str">
            <v>0802000093</v>
          </cell>
          <cell r="B730">
            <v>202601306840272</v>
          </cell>
          <cell r="D730" t="str">
            <v>ATO4</v>
          </cell>
          <cell r="E730" t="str">
            <v>0802000093</v>
          </cell>
          <cell r="F730">
            <v>46143</v>
          </cell>
          <cell r="G730">
            <v>46507</v>
          </cell>
          <cell r="H730">
            <v>46143</v>
          </cell>
          <cell r="I730">
            <v>46507</v>
          </cell>
          <cell r="K730" t="str">
            <v>004108</v>
          </cell>
          <cell r="L730">
            <v>-41.66</v>
          </cell>
          <cell r="M730">
            <v>-41.66</v>
          </cell>
          <cell r="N730">
            <v>-41.66</v>
          </cell>
          <cell r="O730" t="str">
            <v>diretto</v>
          </cell>
          <cell r="P730">
            <v>3</v>
          </cell>
          <cell r="Q730" t="str">
            <v>0.265650</v>
          </cell>
          <cell r="R730" t="str">
            <v>0.369583</v>
          </cell>
          <cell r="S730" t="str">
            <v>0.125657</v>
          </cell>
          <cell r="T730" t="str">
            <v>NO</v>
          </cell>
          <cell r="U730" t="str">
            <v>DELIBERAZIONE EGATO 2 04/02/2019</v>
          </cell>
        </row>
        <row r="731">
          <cell r="A731" t="str">
            <v>0780096401</v>
          </cell>
          <cell r="B731">
            <v>202601306663846</v>
          </cell>
          <cell r="D731" t="str">
            <v>ATO4</v>
          </cell>
          <cell r="E731" t="str">
            <v>0780096401</v>
          </cell>
          <cell r="F731">
            <v>46143</v>
          </cell>
          <cell r="G731">
            <v>46507</v>
          </cell>
          <cell r="H731">
            <v>46143</v>
          </cell>
          <cell r="I731">
            <v>46507</v>
          </cell>
          <cell r="K731" t="str">
            <v>004085</v>
          </cell>
          <cell r="L731">
            <v>-29.82</v>
          </cell>
          <cell r="M731">
            <v>-29.82</v>
          </cell>
          <cell r="N731">
            <v>-29.82</v>
          </cell>
          <cell r="O731" t="str">
            <v>diretto</v>
          </cell>
          <cell r="P731">
            <v>1</v>
          </cell>
          <cell r="Q731" t="str">
            <v>0.824903</v>
          </cell>
          <cell r="R731" t="str">
            <v>0.578360</v>
          </cell>
          <cell r="S731" t="str">
            <v>0.230576</v>
          </cell>
          <cell r="T731" t="str">
            <v>NO</v>
          </cell>
          <cell r="U731" t="str">
            <v>DELIBERAZIONE EGATO 29 19/12/2018</v>
          </cell>
        </row>
        <row r="732">
          <cell r="A732" t="str">
            <v>0772000544</v>
          </cell>
          <cell r="B732">
            <v>202601307520592</v>
          </cell>
          <cell r="D732" t="str">
            <v>ATO4</v>
          </cell>
          <cell r="E732" t="str">
            <v>0772000544</v>
          </cell>
          <cell r="F732">
            <v>46143</v>
          </cell>
          <cell r="G732">
            <v>46507</v>
          </cell>
          <cell r="H732">
            <v>46143</v>
          </cell>
          <cell r="I732">
            <v>46507</v>
          </cell>
          <cell r="K732" t="str">
            <v>004209</v>
          </cell>
          <cell r="L732">
            <v>-89.45</v>
          </cell>
          <cell r="M732">
            <v>-89.45</v>
          </cell>
          <cell r="N732">
            <v>-89.45</v>
          </cell>
          <cell r="O732" t="str">
            <v>diretto</v>
          </cell>
          <cell r="P732">
            <v>3</v>
          </cell>
          <cell r="Q732" t="str">
            <v>0.824903</v>
          </cell>
          <cell r="R732" t="str">
            <v>0.578360</v>
          </cell>
          <cell r="S732" t="str">
            <v>0.230576</v>
          </cell>
          <cell r="T732" t="str">
            <v>NO</v>
          </cell>
          <cell r="U732" t="str">
            <v>DELIBERAZIONE EGATO 29 19/12/2018</v>
          </cell>
        </row>
        <row r="733">
          <cell r="A733" t="str">
            <v>0762000689</v>
          </cell>
          <cell r="B733">
            <v>202601306833961</v>
          </cell>
          <cell r="D733" t="str">
            <v>ATO4</v>
          </cell>
          <cell r="E733" t="str">
            <v>0762000689</v>
          </cell>
          <cell r="F733">
            <v>46143</v>
          </cell>
          <cell r="G733">
            <v>46507</v>
          </cell>
          <cell r="H733">
            <v>46143</v>
          </cell>
          <cell r="I733">
            <v>46507</v>
          </cell>
          <cell r="K733" t="str">
            <v>004157</v>
          </cell>
          <cell r="L733">
            <v>-165.65</v>
          </cell>
          <cell r="M733">
            <v>-165.65</v>
          </cell>
          <cell r="N733">
            <v>-165.65</v>
          </cell>
          <cell r="O733" t="str">
            <v>diretto</v>
          </cell>
          <cell r="P733">
            <v>5</v>
          </cell>
          <cell r="Q733" t="str">
            <v>0.916558</v>
          </cell>
          <cell r="R733" t="str">
            <v>0.642623</v>
          </cell>
          <cell r="S733" t="str">
            <v>0.256196</v>
          </cell>
          <cell r="T733" t="str">
            <v>NO</v>
          </cell>
          <cell r="U733" t="str">
            <v>DELIBERAZIONE EGATO 29 19/12/2018</v>
          </cell>
        </row>
        <row r="734">
          <cell r="A734" t="str">
            <v>0760055202</v>
          </cell>
          <cell r="B734">
            <v>202601307252134</v>
          </cell>
          <cell r="D734" t="str">
            <v>ATO4</v>
          </cell>
          <cell r="E734" t="str">
            <v>0760055202</v>
          </cell>
          <cell r="F734">
            <v>46143</v>
          </cell>
          <cell r="G734">
            <v>46507</v>
          </cell>
          <cell r="H734">
            <v>46143</v>
          </cell>
          <cell r="I734">
            <v>46507</v>
          </cell>
          <cell r="K734" t="str">
            <v>004157</v>
          </cell>
          <cell r="L734">
            <v>-16.73</v>
          </cell>
          <cell r="M734">
            <v>-16.73</v>
          </cell>
          <cell r="N734">
            <v>-16.73</v>
          </cell>
          <cell r="O734" t="str">
            <v>diretto</v>
          </cell>
          <cell r="P734">
            <v>1</v>
          </cell>
          <cell r="Q734" t="str">
            <v>0.916558</v>
          </cell>
          <cell r="R734" t="str">
            <v>0.642623</v>
          </cell>
          <cell r="S734" t="str">
            <v>0.256196</v>
          </cell>
          <cell r="T734" t="str">
            <v>NO</v>
          </cell>
          <cell r="U734" t="str">
            <v>DELIBERAZIONE EGATO 29 19/12/2018</v>
          </cell>
        </row>
        <row r="735">
          <cell r="A735" t="str">
            <v>0672000118</v>
          </cell>
          <cell r="B735">
            <v>202601308683878</v>
          </cell>
          <cell r="D735" t="str">
            <v>ATO4</v>
          </cell>
          <cell r="E735" t="str">
            <v>0672000118</v>
          </cell>
          <cell r="F735">
            <v>46143</v>
          </cell>
          <cell r="G735">
            <v>46507</v>
          </cell>
          <cell r="H735">
            <v>46143</v>
          </cell>
          <cell r="I735">
            <v>46507</v>
          </cell>
          <cell r="K735" t="str">
            <v>004121</v>
          </cell>
          <cell r="L735">
            <v>-12.74</v>
          </cell>
          <cell r="M735">
            <v>-12.74</v>
          </cell>
          <cell r="N735">
            <v>-12.74</v>
          </cell>
          <cell r="O735" t="str">
            <v>diretto</v>
          </cell>
          <cell r="P735">
            <v>1</v>
          </cell>
          <cell r="Q735" t="str">
            <v>0.225322</v>
          </cell>
          <cell r="R735" t="str">
            <v>0.352946</v>
          </cell>
          <cell r="S735" t="str">
            <v>0.120001</v>
          </cell>
          <cell r="T735" t="str">
            <v>NO</v>
          </cell>
          <cell r="U735" t="str">
            <v>DELIBERAZIONE EGATO 2 04/02/2019</v>
          </cell>
        </row>
        <row r="736">
          <cell r="A736" t="str">
            <v>0670000502</v>
          </cell>
          <cell r="B736">
            <v>202601307989178</v>
          </cell>
          <cell r="D736" t="str">
            <v>ATO4</v>
          </cell>
          <cell r="E736" t="str">
            <v>0670000502</v>
          </cell>
          <cell r="F736">
            <v>46143</v>
          </cell>
          <cell r="G736">
            <v>46507</v>
          </cell>
          <cell r="H736">
            <v>46143</v>
          </cell>
          <cell r="I736">
            <v>46507</v>
          </cell>
          <cell r="K736" t="str">
            <v>004121</v>
          </cell>
          <cell r="L736">
            <v>-38.229999999999997</v>
          </cell>
          <cell r="M736">
            <v>-38.229999999999997</v>
          </cell>
          <cell r="N736">
            <v>-38.229999999999997</v>
          </cell>
          <cell r="O736" t="str">
            <v>diretto</v>
          </cell>
          <cell r="P736">
            <v>3</v>
          </cell>
          <cell r="Q736" t="str">
            <v>0.225322</v>
          </cell>
          <cell r="R736" t="str">
            <v>0.352946</v>
          </cell>
          <cell r="S736" t="str">
            <v>0.120001</v>
          </cell>
          <cell r="T736" t="str">
            <v>NO</v>
          </cell>
          <cell r="U736" t="str">
            <v>DELIBERAZIONE EGATO 2 04/02/2019</v>
          </cell>
        </row>
        <row r="737">
          <cell r="A737" t="str">
            <v>0582001123</v>
          </cell>
          <cell r="B737">
            <v>202601307482678</v>
          </cell>
          <cell r="D737" t="str">
            <v>ATO4</v>
          </cell>
          <cell r="E737" t="str">
            <v>0582001123</v>
          </cell>
          <cell r="F737">
            <v>46143</v>
          </cell>
          <cell r="G737">
            <v>46507</v>
          </cell>
          <cell r="H737">
            <v>46143</v>
          </cell>
          <cell r="I737">
            <v>46507</v>
          </cell>
          <cell r="K737" t="str">
            <v>004163</v>
          </cell>
          <cell r="L737">
            <v>-33.450000000000003</v>
          </cell>
          <cell r="M737">
            <v>-33.450000000000003</v>
          </cell>
          <cell r="N737">
            <v>-33.450000000000003</v>
          </cell>
          <cell r="O737" t="str">
            <v>diretto</v>
          </cell>
          <cell r="P737">
            <v>2</v>
          </cell>
          <cell r="Q737" t="str">
            <v>0.916558</v>
          </cell>
          <cell r="R737" t="str">
            <v>0.642623</v>
          </cell>
          <cell r="S737" t="str">
            <v>0.256196</v>
          </cell>
          <cell r="T737" t="str">
            <v>NO</v>
          </cell>
          <cell r="U737" t="str">
            <v>DELIBERAZIONE EGATO 29 19/12/2018</v>
          </cell>
        </row>
        <row r="738">
          <cell r="A738" t="str">
            <v>0582000829</v>
          </cell>
          <cell r="B738">
            <v>202601308410035</v>
          </cell>
          <cell r="D738" t="str">
            <v>ATO4</v>
          </cell>
          <cell r="E738" t="str">
            <v>0582000829</v>
          </cell>
          <cell r="F738">
            <v>46143</v>
          </cell>
          <cell r="G738">
            <v>46507</v>
          </cell>
          <cell r="H738">
            <v>46143</v>
          </cell>
          <cell r="I738">
            <v>46507</v>
          </cell>
          <cell r="K738" t="str">
            <v>004163</v>
          </cell>
          <cell r="L738">
            <v>-99.39</v>
          </cell>
          <cell r="M738">
            <v>-99.39</v>
          </cell>
          <cell r="N738">
            <v>-99.39</v>
          </cell>
          <cell r="O738" t="str">
            <v>diretto</v>
          </cell>
          <cell r="P738">
            <v>3</v>
          </cell>
          <cell r="Q738" t="str">
            <v>0.916558</v>
          </cell>
          <cell r="R738" t="str">
            <v>0.642623</v>
          </cell>
          <cell r="S738" t="str">
            <v>0.256196</v>
          </cell>
          <cell r="T738" t="str">
            <v>NO</v>
          </cell>
          <cell r="U738" t="str">
            <v>DELIBERAZIONE EGATO 29 19/12/2018</v>
          </cell>
        </row>
        <row r="739">
          <cell r="A739" t="str">
            <v>0572000500</v>
          </cell>
          <cell r="B739">
            <v>202601306543762</v>
          </cell>
          <cell r="D739" t="str">
            <v>ATO4</v>
          </cell>
          <cell r="E739" t="str">
            <v>0572000500</v>
          </cell>
          <cell r="F739">
            <v>46143</v>
          </cell>
          <cell r="G739">
            <v>46507</v>
          </cell>
          <cell r="H739">
            <v>46143</v>
          </cell>
          <cell r="I739">
            <v>46507</v>
          </cell>
          <cell r="K739" t="str">
            <v>004016</v>
          </cell>
          <cell r="L739">
            <v>-132.52000000000001</v>
          </cell>
          <cell r="M739">
            <v>-132.52000000000001</v>
          </cell>
          <cell r="N739">
            <v>-132.52000000000001</v>
          </cell>
          <cell r="O739" t="str">
            <v>diretto</v>
          </cell>
          <cell r="P739">
            <v>4</v>
          </cell>
          <cell r="Q739" t="str">
            <v>0.916558</v>
          </cell>
          <cell r="R739" t="str">
            <v>0.642623</v>
          </cell>
          <cell r="S739" t="str">
            <v>0.256196</v>
          </cell>
          <cell r="T739" t="str">
            <v>NO</v>
          </cell>
          <cell r="U739" t="str">
            <v>DELIBERAZIONE EGATO 29 19/12/2018</v>
          </cell>
        </row>
        <row r="740">
          <cell r="A740" t="str">
            <v>0380000369</v>
          </cell>
          <cell r="B740">
            <v>202601306914904</v>
          </cell>
          <cell r="D740" t="str">
            <v>ATO4</v>
          </cell>
          <cell r="E740" t="str">
            <v>0380000369</v>
          </cell>
          <cell r="F740">
            <v>46143</v>
          </cell>
          <cell r="G740">
            <v>46507</v>
          </cell>
          <cell r="H740">
            <v>46143</v>
          </cell>
          <cell r="I740">
            <v>46507</v>
          </cell>
          <cell r="K740" t="str">
            <v>004033</v>
          </cell>
          <cell r="L740">
            <v>-47.94</v>
          </cell>
          <cell r="M740">
            <v>-47.94</v>
          </cell>
          <cell r="N740">
            <v>-47.94</v>
          </cell>
          <cell r="O740" t="str">
            <v>diretto</v>
          </cell>
          <cell r="P740">
            <v>2</v>
          </cell>
          <cell r="Q740" t="str">
            <v>0.721337</v>
          </cell>
          <cell r="R740" t="str">
            <v>0.441600</v>
          </cell>
          <cell r="S740" t="str">
            <v>0.150394</v>
          </cell>
          <cell r="T740" t="str">
            <v>NO</v>
          </cell>
          <cell r="U740" t="str">
            <v>DELIBERAZIONE EGATO 2 04/02/2019</v>
          </cell>
        </row>
        <row r="741">
          <cell r="A741" t="str">
            <v>0232000110</v>
          </cell>
          <cell r="B741">
            <v>202601307231830</v>
          </cell>
          <cell r="D741" t="str">
            <v>ATO4</v>
          </cell>
          <cell r="E741" t="str">
            <v>0232000110</v>
          </cell>
          <cell r="F741">
            <v>46143</v>
          </cell>
          <cell r="G741">
            <v>46507</v>
          </cell>
          <cell r="H741">
            <v>46143</v>
          </cell>
          <cell r="I741">
            <v>46507</v>
          </cell>
          <cell r="K741" t="str">
            <v>004093</v>
          </cell>
          <cell r="L741">
            <v>-59.64</v>
          </cell>
          <cell r="M741">
            <v>-59.64</v>
          </cell>
          <cell r="N741">
            <v>-59.64</v>
          </cell>
          <cell r="O741" t="str">
            <v>diretto</v>
          </cell>
          <cell r="P741">
            <v>2</v>
          </cell>
          <cell r="Q741" t="str">
            <v>0.824903</v>
          </cell>
          <cell r="R741" t="str">
            <v>0.578360</v>
          </cell>
          <cell r="S741" t="str">
            <v>0.230576</v>
          </cell>
          <cell r="T741" t="str">
            <v>NO</v>
          </cell>
          <cell r="U741" t="str">
            <v>DELIBERAZIONE EGATO 29 19/12/2018</v>
          </cell>
        </row>
        <row r="742">
          <cell r="A742">
            <v>2000055262</v>
          </cell>
          <cell r="B742">
            <v>202601307750840</v>
          </cell>
          <cell r="D742" t="str">
            <v>ATO4</v>
          </cell>
          <cell r="E742">
            <v>2000055262</v>
          </cell>
          <cell r="F742">
            <v>46143</v>
          </cell>
          <cell r="G742">
            <v>46507</v>
          </cell>
          <cell r="H742">
            <v>46143</v>
          </cell>
          <cell r="I742">
            <v>46507</v>
          </cell>
          <cell r="K742" t="str">
            <v>004227</v>
          </cell>
          <cell r="L742">
            <v>-26.5</v>
          </cell>
          <cell r="M742">
            <v>-26.5</v>
          </cell>
          <cell r="N742">
            <v>-26.5</v>
          </cell>
          <cell r="O742" t="str">
            <v>diretto</v>
          </cell>
          <cell r="P742">
            <v>1</v>
          </cell>
          <cell r="Q742" t="str">
            <v>0.733246</v>
          </cell>
          <cell r="R742" t="str">
            <v>0.514098</v>
          </cell>
          <cell r="S742" t="str">
            <v>0.204957</v>
          </cell>
          <cell r="T742" t="str">
            <v>NO</v>
          </cell>
          <cell r="U742" t="str">
            <v>DELIBERAZIONE EGATO 2 04/02/2019</v>
          </cell>
        </row>
        <row r="743">
          <cell r="A743">
            <v>2000049766</v>
          </cell>
          <cell r="B743">
            <v>202601308091895</v>
          </cell>
          <cell r="D743" t="str">
            <v>ATO4</v>
          </cell>
          <cell r="E743">
            <v>2000049766</v>
          </cell>
          <cell r="F743">
            <v>46143</v>
          </cell>
          <cell r="G743">
            <v>46507</v>
          </cell>
          <cell r="H743">
            <v>46143</v>
          </cell>
          <cell r="I743">
            <v>46507</v>
          </cell>
          <cell r="K743" t="str">
            <v>004082</v>
          </cell>
          <cell r="L743">
            <v>-33.130000000000003</v>
          </cell>
          <cell r="M743">
            <v>-33.130000000000003</v>
          </cell>
          <cell r="N743">
            <v>-33.130000000000003</v>
          </cell>
          <cell r="O743" t="str">
            <v>diretto</v>
          </cell>
          <cell r="P743">
            <v>1</v>
          </cell>
          <cell r="Q743" t="str">
            <v>0.916558</v>
          </cell>
          <cell r="R743" t="str">
            <v>0.642623</v>
          </cell>
          <cell r="S743" t="str">
            <v>0.256196</v>
          </cell>
          <cell r="T743" t="str">
            <v>NO</v>
          </cell>
          <cell r="U743" t="str">
            <v>DELIBERAZIONE EGATO 29 19/12/2018</v>
          </cell>
        </row>
        <row r="744">
          <cell r="A744">
            <v>2000022025</v>
          </cell>
          <cell r="B744">
            <v>202601308488218</v>
          </cell>
          <cell r="D744" t="str">
            <v>ATO4</v>
          </cell>
          <cell r="E744">
            <v>2000022025</v>
          </cell>
          <cell r="F744">
            <v>46143</v>
          </cell>
          <cell r="G744">
            <v>46507</v>
          </cell>
          <cell r="H744">
            <v>46143</v>
          </cell>
          <cell r="I744">
            <v>46507</v>
          </cell>
          <cell r="K744" t="str">
            <v>004163</v>
          </cell>
          <cell r="L744">
            <v>-33.130000000000003</v>
          </cell>
          <cell r="M744">
            <v>-33.130000000000003</v>
          </cell>
          <cell r="N744">
            <v>-33.130000000000003</v>
          </cell>
          <cell r="O744" t="str">
            <v>diretto</v>
          </cell>
          <cell r="P744">
            <v>1</v>
          </cell>
          <cell r="Q744" t="str">
            <v>0.916558</v>
          </cell>
          <cell r="R744" t="str">
            <v>0.642623</v>
          </cell>
          <cell r="S744" t="str">
            <v>0.256196</v>
          </cell>
          <cell r="T744" t="str">
            <v>NO</v>
          </cell>
          <cell r="U744" t="str">
            <v>DELIBERAZIONE EGATO 29 19/12/2018</v>
          </cell>
        </row>
        <row r="745">
          <cell r="A745">
            <v>2000019772</v>
          </cell>
          <cell r="B745">
            <v>202601307754985</v>
          </cell>
          <cell r="D745" t="str">
            <v>ATO4</v>
          </cell>
          <cell r="E745">
            <v>2000019772</v>
          </cell>
          <cell r="F745">
            <v>46143</v>
          </cell>
          <cell r="G745">
            <v>46507</v>
          </cell>
          <cell r="H745">
            <v>46143</v>
          </cell>
          <cell r="I745">
            <v>46507</v>
          </cell>
          <cell r="K745" t="str">
            <v>004144</v>
          </cell>
          <cell r="L745">
            <v>-33.130000000000003</v>
          </cell>
          <cell r="M745">
            <v>-33.130000000000003</v>
          </cell>
          <cell r="N745">
            <v>-33.130000000000003</v>
          </cell>
          <cell r="O745" t="str">
            <v>diretto</v>
          </cell>
          <cell r="P745">
            <v>1</v>
          </cell>
          <cell r="Q745" t="str">
            <v>0.916558</v>
          </cell>
          <cell r="R745" t="str">
            <v>0.642623</v>
          </cell>
          <cell r="S745" t="str">
            <v>0.256196</v>
          </cell>
          <cell r="T745" t="str">
            <v>NO</v>
          </cell>
          <cell r="U745" t="str">
            <v>DELIBERAZIONE EGATO 29 19/12/2018</v>
          </cell>
        </row>
        <row r="746">
          <cell r="A746" t="str">
            <v>0730004802</v>
          </cell>
          <cell r="B746">
            <v>202601307570460</v>
          </cell>
          <cell r="D746" t="str">
            <v>ATO4</v>
          </cell>
          <cell r="E746" t="str">
            <v>0730004802</v>
          </cell>
          <cell r="F746">
            <v>46143</v>
          </cell>
          <cell r="G746">
            <v>46507</v>
          </cell>
          <cell r="H746">
            <v>46143</v>
          </cell>
          <cell r="I746">
            <v>46507</v>
          </cell>
          <cell r="K746" t="str">
            <v>004032</v>
          </cell>
          <cell r="L746">
            <v>-26.5</v>
          </cell>
          <cell r="M746">
            <v>-26.5</v>
          </cell>
          <cell r="N746">
            <v>-26.5</v>
          </cell>
          <cell r="O746" t="str">
            <v>diretto</v>
          </cell>
          <cell r="P746">
            <v>1</v>
          </cell>
          <cell r="Q746" t="str">
            <v>0.733246</v>
          </cell>
          <cell r="R746" t="str">
            <v>0.514098</v>
          </cell>
          <cell r="S746" t="str">
            <v>0.204957</v>
          </cell>
          <cell r="T746" t="str">
            <v>NO</v>
          </cell>
          <cell r="U746" t="str">
            <v>DELIBERAZIONE EGATO 2 04/02/2019</v>
          </cell>
        </row>
        <row r="747">
          <cell r="A747" t="str">
            <v>0052000430</v>
          </cell>
          <cell r="B747">
            <v>202601306640459</v>
          </cell>
          <cell r="D747" t="str">
            <v>ATO4</v>
          </cell>
          <cell r="E747" t="str">
            <v>0052000430</v>
          </cell>
          <cell r="F747">
            <v>46143</v>
          </cell>
          <cell r="G747">
            <v>46507</v>
          </cell>
          <cell r="H747">
            <v>46143</v>
          </cell>
          <cell r="I747">
            <v>46507</v>
          </cell>
          <cell r="K747" t="str">
            <v>004025</v>
          </cell>
          <cell r="L747">
            <v>-33.130000000000003</v>
          </cell>
          <cell r="M747">
            <v>-33.130000000000003</v>
          </cell>
          <cell r="N747">
            <v>-33.130000000000003</v>
          </cell>
          <cell r="O747" t="str">
            <v>diretto</v>
          </cell>
          <cell r="P747">
            <v>1</v>
          </cell>
          <cell r="Q747" t="str">
            <v>0.916558</v>
          </cell>
          <cell r="R747" t="str">
            <v>0.642623</v>
          </cell>
          <cell r="S747" t="str">
            <v>0.256196</v>
          </cell>
          <cell r="T747" t="str">
            <v>NO</v>
          </cell>
          <cell r="U747" t="str">
            <v>DELIBERAZIONE EGATO 29 19/12/2018</v>
          </cell>
        </row>
        <row r="748">
          <cell r="A748">
            <v>2000019067</v>
          </cell>
          <cell r="B748">
            <v>202512302676920</v>
          </cell>
          <cell r="D748" t="str">
            <v>ATO4</v>
          </cell>
          <cell r="E748">
            <v>2000019067</v>
          </cell>
          <cell r="F748">
            <v>46113</v>
          </cell>
          <cell r="G748">
            <v>46477</v>
          </cell>
          <cell r="H748">
            <v>46113</v>
          </cell>
          <cell r="I748">
            <v>46477</v>
          </cell>
          <cell r="K748" t="str">
            <v>004025</v>
          </cell>
          <cell r="L748">
            <v>-141.68</v>
          </cell>
          <cell r="M748">
            <v>-141.68</v>
          </cell>
          <cell r="N748">
            <v>-141.68</v>
          </cell>
          <cell r="O748" t="str">
            <v>diretto</v>
          </cell>
          <cell r="P748">
            <v>8</v>
          </cell>
          <cell r="Q748" t="str">
            <v>0.970423</v>
          </cell>
          <cell r="R748" t="str">
            <v>0.680389</v>
          </cell>
          <cell r="S748" t="str">
            <v>0.271253</v>
          </cell>
          <cell r="T748" t="str">
            <v>NO</v>
          </cell>
          <cell r="U748" t="str">
            <v>DELIBERAZIONE EGATO 29 19/12/2018</v>
          </cell>
        </row>
        <row r="749">
          <cell r="A749">
            <v>4012052650</v>
          </cell>
          <cell r="B749">
            <v>202512302688840</v>
          </cell>
          <cell r="D749" t="str">
            <v>ATO4</v>
          </cell>
          <cell r="E749">
            <v>4012052650</v>
          </cell>
          <cell r="F749">
            <v>46113</v>
          </cell>
          <cell r="G749">
            <v>46477</v>
          </cell>
          <cell r="H749">
            <v>46113</v>
          </cell>
          <cell r="I749">
            <v>46477</v>
          </cell>
          <cell r="K749" t="str">
            <v>004012</v>
          </cell>
          <cell r="L749">
            <v>-26.07</v>
          </cell>
          <cell r="M749">
            <v>-26.07</v>
          </cell>
          <cell r="N749">
            <v>-26.07</v>
          </cell>
          <cell r="O749" t="str">
            <v>diretto</v>
          </cell>
          <cell r="P749">
            <v>1</v>
          </cell>
          <cell r="Q749" t="str">
            <v>0.759077</v>
          </cell>
          <cell r="R749" t="str">
            <v>0.490285</v>
          </cell>
          <cell r="S749" t="str">
            <v>0.179000</v>
          </cell>
          <cell r="T749" t="str">
            <v>NO</v>
          </cell>
          <cell r="U749" t="str">
            <v>DELIBERAZIONE EGATO 2 04/02/2019</v>
          </cell>
        </row>
        <row r="750">
          <cell r="A750">
            <v>2000049351</v>
          </cell>
          <cell r="B750">
            <v>202512304438087</v>
          </cell>
          <cell r="D750" t="str">
            <v>ATO4</v>
          </cell>
          <cell r="E750">
            <v>2000049351</v>
          </cell>
          <cell r="F750">
            <v>46113</v>
          </cell>
          <cell r="G750">
            <v>46477</v>
          </cell>
          <cell r="H750">
            <v>46113</v>
          </cell>
          <cell r="I750">
            <v>46477</v>
          </cell>
          <cell r="K750" t="str">
            <v>004009</v>
          </cell>
          <cell r="L750">
            <v>-78.2</v>
          </cell>
          <cell r="M750">
            <v>-78.2</v>
          </cell>
          <cell r="N750">
            <v>-78.2</v>
          </cell>
          <cell r="O750" t="str">
            <v>diretto</v>
          </cell>
          <cell r="P750">
            <v>3</v>
          </cell>
          <cell r="Q750" t="str">
            <v>0.759077</v>
          </cell>
          <cell r="R750" t="str">
            <v>0.490285</v>
          </cell>
          <cell r="S750" t="str">
            <v>0.179000</v>
          </cell>
          <cell r="T750" t="str">
            <v>NO</v>
          </cell>
          <cell r="U750" t="str">
            <v>DELIBERAZIONE EGATO 2 04/02/2019</v>
          </cell>
        </row>
        <row r="751">
          <cell r="A751">
            <v>2000049498</v>
          </cell>
          <cell r="B751">
            <v>202512304327388</v>
          </cell>
          <cell r="D751" t="str">
            <v>ATO4</v>
          </cell>
          <cell r="E751">
            <v>2000049498</v>
          </cell>
          <cell r="F751">
            <v>46113</v>
          </cell>
          <cell r="G751">
            <v>46477</v>
          </cell>
          <cell r="H751">
            <v>46113</v>
          </cell>
          <cell r="I751">
            <v>46477</v>
          </cell>
          <cell r="K751" t="str">
            <v>004097</v>
          </cell>
          <cell r="L751">
            <v>-20.28</v>
          </cell>
          <cell r="M751">
            <v>-20.28</v>
          </cell>
          <cell r="N751">
            <v>-20.28</v>
          </cell>
          <cell r="O751" t="str">
            <v>diretto</v>
          </cell>
          <cell r="P751">
            <v>1</v>
          </cell>
          <cell r="Q751" t="str">
            <v>0.584101</v>
          </cell>
          <cell r="R751" t="str">
            <v>0.354237</v>
          </cell>
          <cell r="S751" t="str">
            <v>0.173021</v>
          </cell>
          <cell r="T751" t="str">
            <v>NO</v>
          </cell>
          <cell r="U751" t="str">
            <v>DELIBERA EGATO N. 38 12/12/22</v>
          </cell>
        </row>
        <row r="752">
          <cell r="A752">
            <v>2000032150</v>
          </cell>
          <cell r="B752">
            <v>202512302686918</v>
          </cell>
          <cell r="D752" t="str">
            <v>ATO4</v>
          </cell>
          <cell r="E752">
            <v>2000032150</v>
          </cell>
          <cell r="F752">
            <v>46113</v>
          </cell>
          <cell r="G752">
            <v>46477</v>
          </cell>
          <cell r="H752">
            <v>46113</v>
          </cell>
          <cell r="I752">
            <v>46477</v>
          </cell>
          <cell r="K752" t="str">
            <v>004043</v>
          </cell>
          <cell r="L752">
            <v>-40.93</v>
          </cell>
          <cell r="M752">
            <v>-40.93</v>
          </cell>
          <cell r="N752">
            <v>-40.93</v>
          </cell>
          <cell r="O752" t="str">
            <v>diretto</v>
          </cell>
          <cell r="P752">
            <v>1</v>
          </cell>
          <cell r="Q752">
            <v>1155411</v>
          </cell>
          <cell r="R752" t="str">
            <v>0.773737</v>
          </cell>
          <cell r="S752" t="str">
            <v>0.313675</v>
          </cell>
          <cell r="T752" t="str">
            <v>NO</v>
          </cell>
          <cell r="U752" t="str">
            <v>DELIBERAZIONE EGATO 2 04/02/2019</v>
          </cell>
        </row>
        <row r="753">
          <cell r="A753">
            <v>2000055884</v>
          </cell>
          <cell r="B753">
            <v>202512302682800</v>
          </cell>
          <cell r="D753" t="str">
            <v>ATO4</v>
          </cell>
          <cell r="E753">
            <v>2000055884</v>
          </cell>
          <cell r="F753">
            <v>46113</v>
          </cell>
          <cell r="G753">
            <v>46477</v>
          </cell>
          <cell r="H753">
            <v>46113</v>
          </cell>
          <cell r="I753">
            <v>46477</v>
          </cell>
          <cell r="K753" t="str">
            <v>004079</v>
          </cell>
          <cell r="L753">
            <v>-157.85</v>
          </cell>
          <cell r="M753">
            <v>-157.85</v>
          </cell>
          <cell r="N753">
            <v>-157.85</v>
          </cell>
          <cell r="O753" t="str">
            <v>diretto</v>
          </cell>
          <cell r="P753">
            <v>5</v>
          </cell>
          <cell r="Q753" t="str">
            <v>0.873381</v>
          </cell>
          <cell r="R753" t="str">
            <v>0.612350</v>
          </cell>
          <cell r="S753" t="str">
            <v>0.244127</v>
          </cell>
          <cell r="T753" t="str">
            <v>NO</v>
          </cell>
          <cell r="U753" t="str">
            <v>DELIBERAZIONE EGATO 29 19/12/2018</v>
          </cell>
        </row>
        <row r="754">
          <cell r="A754">
            <v>2000055216</v>
          </cell>
          <cell r="B754">
            <v>202512302663059</v>
          </cell>
          <cell r="D754" t="str">
            <v>ATO4</v>
          </cell>
          <cell r="E754">
            <v>2000055216</v>
          </cell>
          <cell r="F754">
            <v>46113</v>
          </cell>
          <cell r="G754">
            <v>46477</v>
          </cell>
          <cell r="H754">
            <v>46113</v>
          </cell>
          <cell r="I754">
            <v>46477</v>
          </cell>
          <cell r="K754" t="str">
            <v>004066</v>
          </cell>
          <cell r="L754">
            <v>-105.23</v>
          </cell>
          <cell r="M754">
            <v>-105.23</v>
          </cell>
          <cell r="N754">
            <v>-105.23</v>
          </cell>
          <cell r="O754" t="str">
            <v>diretto</v>
          </cell>
          <cell r="P754">
            <v>3</v>
          </cell>
          <cell r="Q754" t="str">
            <v>0.970423</v>
          </cell>
          <cell r="R754" t="str">
            <v>0.680389</v>
          </cell>
          <cell r="S754" t="str">
            <v>0.271253</v>
          </cell>
          <cell r="T754" t="str">
            <v>NO</v>
          </cell>
          <cell r="U754" t="str">
            <v>DELIBERAZIONE EGATO 29 19/12/2018</v>
          </cell>
        </row>
        <row r="755">
          <cell r="A755">
            <v>2000054264</v>
          </cell>
          <cell r="B755">
            <v>202512302702416</v>
          </cell>
          <cell r="D755" t="str">
            <v>ATO4</v>
          </cell>
          <cell r="E755">
            <v>2000054264</v>
          </cell>
          <cell r="F755">
            <v>46113</v>
          </cell>
          <cell r="G755">
            <v>46477</v>
          </cell>
          <cell r="H755">
            <v>46113</v>
          </cell>
          <cell r="I755">
            <v>46477</v>
          </cell>
          <cell r="K755" t="str">
            <v>004114</v>
          </cell>
          <cell r="L755">
            <v>-105.23</v>
          </cell>
          <cell r="M755">
            <v>-105.23</v>
          </cell>
          <cell r="N755">
            <v>-105.23</v>
          </cell>
          <cell r="O755" t="str">
            <v>diretto</v>
          </cell>
          <cell r="P755">
            <v>3</v>
          </cell>
          <cell r="Q755" t="str">
            <v>0.970423</v>
          </cell>
          <cell r="R755" t="str">
            <v>0.680389</v>
          </cell>
          <cell r="S755" t="str">
            <v>0.271253</v>
          </cell>
          <cell r="T755" t="str">
            <v>NO</v>
          </cell>
          <cell r="U755" t="str">
            <v>DELIBERAZIONE EGATO 29 19/12/2018</v>
          </cell>
        </row>
        <row r="756">
          <cell r="A756">
            <v>2000051985</v>
          </cell>
          <cell r="B756">
            <v>202512302666124</v>
          </cell>
          <cell r="D756" t="str">
            <v>ATO4</v>
          </cell>
          <cell r="E756">
            <v>2000051985</v>
          </cell>
          <cell r="F756">
            <v>46113</v>
          </cell>
          <cell r="G756">
            <v>46477</v>
          </cell>
          <cell r="H756">
            <v>46113</v>
          </cell>
          <cell r="I756">
            <v>46477</v>
          </cell>
          <cell r="K756" t="str">
            <v>004066</v>
          </cell>
          <cell r="L756">
            <v>-175.39</v>
          </cell>
          <cell r="M756">
            <v>-175.39</v>
          </cell>
          <cell r="N756">
            <v>-175.39</v>
          </cell>
          <cell r="O756" t="str">
            <v>diretto</v>
          </cell>
          <cell r="P756">
            <v>5</v>
          </cell>
          <cell r="Q756" t="str">
            <v>0.970423</v>
          </cell>
          <cell r="R756" t="str">
            <v>0.680389</v>
          </cell>
          <cell r="S756" t="str">
            <v>0.271253</v>
          </cell>
          <cell r="T756" t="str">
            <v>NO</v>
          </cell>
          <cell r="U756" t="str">
            <v>DELIBERAZIONE EGATO 29 19/12/2018</v>
          </cell>
        </row>
        <row r="757">
          <cell r="A757">
            <v>2000049436</v>
          </cell>
          <cell r="B757">
            <v>202512302676486</v>
          </cell>
          <cell r="D757" t="str">
            <v>ATO4</v>
          </cell>
          <cell r="E757">
            <v>2000049436</v>
          </cell>
          <cell r="F757">
            <v>46113</v>
          </cell>
          <cell r="G757">
            <v>46477</v>
          </cell>
          <cell r="H757">
            <v>46113</v>
          </cell>
          <cell r="I757">
            <v>46477</v>
          </cell>
          <cell r="K757" t="str">
            <v>004192</v>
          </cell>
          <cell r="L757">
            <v>-105.23</v>
          </cell>
          <cell r="M757">
            <v>-105.23</v>
          </cell>
          <cell r="N757">
            <v>-105.23</v>
          </cell>
          <cell r="O757" t="str">
            <v>diretto</v>
          </cell>
          <cell r="P757">
            <v>3</v>
          </cell>
          <cell r="Q757" t="str">
            <v>0.970423</v>
          </cell>
          <cell r="R757" t="str">
            <v>0.680389</v>
          </cell>
          <cell r="S757" t="str">
            <v>0.271253</v>
          </cell>
          <cell r="T757" t="str">
            <v>NO</v>
          </cell>
          <cell r="U757" t="str">
            <v>DELIBERAZIONE EGATO 29 19/12/2018</v>
          </cell>
        </row>
        <row r="758">
          <cell r="A758">
            <v>2000003818</v>
          </cell>
          <cell r="B758">
            <v>202512302694163</v>
          </cell>
          <cell r="D758" t="str">
            <v>ATO4</v>
          </cell>
          <cell r="E758">
            <v>2000003818</v>
          </cell>
          <cell r="F758">
            <v>46113</v>
          </cell>
          <cell r="G758">
            <v>46477</v>
          </cell>
          <cell r="H758">
            <v>46113</v>
          </cell>
          <cell r="I758">
            <v>46477</v>
          </cell>
          <cell r="K758" t="str">
            <v>004179</v>
          </cell>
          <cell r="L758">
            <v>-148.19</v>
          </cell>
          <cell r="M758">
            <v>-148.19</v>
          </cell>
          <cell r="N758">
            <v>-148.19</v>
          </cell>
          <cell r="O758" t="str">
            <v>diretto</v>
          </cell>
          <cell r="P758">
            <v>5</v>
          </cell>
          <cell r="Q758" t="str">
            <v>0.850124</v>
          </cell>
          <cell r="R758" t="str">
            <v>0.568257</v>
          </cell>
          <cell r="S758" t="str">
            <v>0.205575</v>
          </cell>
          <cell r="T758" t="str">
            <v>NO</v>
          </cell>
          <cell r="U758" t="str">
            <v>DELIBERAZIONE EGATO 11 27/03/2019</v>
          </cell>
        </row>
        <row r="759">
          <cell r="A759" t="str">
            <v>0832001058</v>
          </cell>
          <cell r="B759">
            <v>202512303914889</v>
          </cell>
          <cell r="D759" t="str">
            <v>ATO4</v>
          </cell>
          <cell r="E759" t="str">
            <v>0832001058</v>
          </cell>
          <cell r="F759">
            <v>46113</v>
          </cell>
          <cell r="G759">
            <v>46477</v>
          </cell>
          <cell r="H759">
            <v>46113</v>
          </cell>
          <cell r="I759">
            <v>46477</v>
          </cell>
          <cell r="K759" t="str">
            <v>004155</v>
          </cell>
          <cell r="L759">
            <v>-47.82</v>
          </cell>
          <cell r="M759">
            <v>-47.82</v>
          </cell>
          <cell r="N759">
            <v>-47.82</v>
          </cell>
          <cell r="O759" t="str">
            <v>diretto</v>
          </cell>
          <cell r="P759">
            <v>3</v>
          </cell>
          <cell r="Q759" t="str">
            <v>0.873381</v>
          </cell>
          <cell r="R759" t="str">
            <v>0.612350</v>
          </cell>
          <cell r="S759" t="str">
            <v>0.244127</v>
          </cell>
          <cell r="T759" t="str">
            <v>NO</v>
          </cell>
          <cell r="U759" t="str">
            <v>DELIBERAZIONE EGATO 29 19/12/2018</v>
          </cell>
        </row>
        <row r="760">
          <cell r="A760" t="str">
            <v>0602000167</v>
          </cell>
          <cell r="B760">
            <v>202512304106289</v>
          </cell>
          <cell r="D760" t="str">
            <v>ATO4</v>
          </cell>
          <cell r="E760" t="str">
            <v>0602000167</v>
          </cell>
          <cell r="F760">
            <v>46113</v>
          </cell>
          <cell r="G760">
            <v>46477</v>
          </cell>
          <cell r="H760">
            <v>46113</v>
          </cell>
          <cell r="I760">
            <v>46477</v>
          </cell>
          <cell r="K760" t="str">
            <v>004165</v>
          </cell>
          <cell r="L760">
            <v>-106.26</v>
          </cell>
          <cell r="M760">
            <v>-106.26</v>
          </cell>
          <cell r="N760">
            <v>-106.26</v>
          </cell>
          <cell r="O760" t="str">
            <v>diretto</v>
          </cell>
          <cell r="P760">
            <v>6</v>
          </cell>
          <cell r="Q760" t="str">
            <v>0.970423</v>
          </cell>
          <cell r="R760" t="str">
            <v>0.680389</v>
          </cell>
          <cell r="S760" t="str">
            <v>0.271253</v>
          </cell>
          <cell r="T760" t="str">
            <v>NO</v>
          </cell>
          <cell r="U760" t="str">
            <v>DELIBERAZIONE EGATO 29 19/12/2018</v>
          </cell>
        </row>
        <row r="761">
          <cell r="A761" t="str">
            <v>0090020701</v>
          </cell>
          <cell r="B761">
            <v>202512304001857</v>
          </cell>
          <cell r="D761" t="str">
            <v>ATO4</v>
          </cell>
          <cell r="E761" t="str">
            <v>0090020701</v>
          </cell>
          <cell r="F761">
            <v>46113</v>
          </cell>
          <cell r="G761">
            <v>46477</v>
          </cell>
          <cell r="H761">
            <v>46113</v>
          </cell>
          <cell r="I761">
            <v>46477</v>
          </cell>
          <cell r="K761" t="str">
            <v>004040</v>
          </cell>
          <cell r="L761">
            <v>-35.08</v>
          </cell>
          <cell r="M761">
            <v>-35.08</v>
          </cell>
          <cell r="N761">
            <v>-35.08</v>
          </cell>
          <cell r="O761" t="str">
            <v>diretto</v>
          </cell>
          <cell r="P761">
            <v>1</v>
          </cell>
          <cell r="Q761" t="str">
            <v>0.970423</v>
          </cell>
          <cell r="R761" t="str">
            <v>0.680389</v>
          </cell>
          <cell r="S761" t="str">
            <v>0.271253</v>
          </cell>
          <cell r="T761" t="str">
            <v>NO</v>
          </cell>
          <cell r="U761" t="str">
            <v>DELIBERAZIONE EGATO 29 19/12/2018</v>
          </cell>
        </row>
        <row r="762">
          <cell r="A762" t="str">
            <v>0062000882</v>
          </cell>
          <cell r="B762">
            <v>202512302679255</v>
          </cell>
          <cell r="D762" t="str">
            <v>ATO4</v>
          </cell>
          <cell r="E762" t="str">
            <v>0062000882</v>
          </cell>
          <cell r="F762">
            <v>46113</v>
          </cell>
          <cell r="G762">
            <v>46477</v>
          </cell>
          <cell r="H762">
            <v>46113</v>
          </cell>
          <cell r="I762">
            <v>46477</v>
          </cell>
          <cell r="K762" t="str">
            <v>004028</v>
          </cell>
          <cell r="L762">
            <v>-140.31</v>
          </cell>
          <cell r="M762">
            <v>-140.31</v>
          </cell>
          <cell r="N762">
            <v>-140.31</v>
          </cell>
          <cell r="O762" t="str">
            <v>diretto</v>
          </cell>
          <cell r="P762">
            <v>4</v>
          </cell>
          <cell r="Q762" t="str">
            <v>0.970423</v>
          </cell>
          <cell r="R762" t="str">
            <v>0.680389</v>
          </cell>
          <cell r="S762" t="str">
            <v>0.271253</v>
          </cell>
          <cell r="T762" t="str">
            <v>NO</v>
          </cell>
          <cell r="U762" t="str">
            <v>DELIBERAZIONE EGATO 29 19/12/2018</v>
          </cell>
        </row>
        <row r="763">
          <cell r="A763">
            <v>1062001478</v>
          </cell>
          <cell r="B763">
            <v>202512302682465</v>
          </cell>
          <cell r="D763" t="str">
            <v>ATO4</v>
          </cell>
          <cell r="E763">
            <v>1062001478</v>
          </cell>
          <cell r="F763">
            <v>46113</v>
          </cell>
          <cell r="G763">
            <v>46477</v>
          </cell>
          <cell r="H763">
            <v>46113</v>
          </cell>
          <cell r="I763">
            <v>46477</v>
          </cell>
          <cell r="K763" t="str">
            <v>004179</v>
          </cell>
          <cell r="L763">
            <v>-88.91</v>
          </cell>
          <cell r="M763">
            <v>-88.91</v>
          </cell>
          <cell r="N763">
            <v>-88.91</v>
          </cell>
          <cell r="O763" t="str">
            <v>diretto</v>
          </cell>
          <cell r="P763">
            <v>3</v>
          </cell>
          <cell r="Q763" t="str">
            <v>0.850124</v>
          </cell>
          <cell r="R763" t="str">
            <v>0.568257</v>
          </cell>
          <cell r="S763" t="str">
            <v>0.205575</v>
          </cell>
          <cell r="T763" t="str">
            <v>NO</v>
          </cell>
          <cell r="U763" t="str">
            <v>DELIBERAZIONE EGATO 11 27/03/2019</v>
          </cell>
        </row>
        <row r="764">
          <cell r="A764" t="str">
            <v>0012002335</v>
          </cell>
          <cell r="B764">
            <v>202512302699362</v>
          </cell>
          <cell r="D764" t="str">
            <v>ATO4</v>
          </cell>
          <cell r="E764" t="str">
            <v>0012002335</v>
          </cell>
          <cell r="F764">
            <v>46113</v>
          </cell>
          <cell r="G764">
            <v>46477</v>
          </cell>
          <cell r="H764">
            <v>46113</v>
          </cell>
          <cell r="I764">
            <v>46477</v>
          </cell>
          <cell r="K764" t="str">
            <v>004078</v>
          </cell>
          <cell r="L764">
            <v>-17.71</v>
          </cell>
          <cell r="M764">
            <v>-17.71</v>
          </cell>
          <cell r="N764">
            <v>-17.71</v>
          </cell>
          <cell r="O764" t="str">
            <v>diretto</v>
          </cell>
          <cell r="P764">
            <v>1</v>
          </cell>
          <cell r="Q764" t="str">
            <v>0.970423</v>
          </cell>
          <cell r="R764" t="str">
            <v>0.680389</v>
          </cell>
          <cell r="S764" t="str">
            <v>0.271253</v>
          </cell>
          <cell r="T764" t="str">
            <v>NO</v>
          </cell>
          <cell r="U764" t="str">
            <v>DELIBERAZIONE EGATO 29 19/12/2018</v>
          </cell>
        </row>
        <row r="765">
          <cell r="A765">
            <v>2000047267</v>
          </cell>
          <cell r="B765">
            <v>202511294574565</v>
          </cell>
          <cell r="D765" t="str">
            <v>ATO4</v>
          </cell>
          <cell r="E765">
            <v>2000047267</v>
          </cell>
          <cell r="F765">
            <v>46082</v>
          </cell>
          <cell r="G765">
            <v>46446</v>
          </cell>
          <cell r="H765">
            <v>46082</v>
          </cell>
          <cell r="I765">
            <v>46446</v>
          </cell>
          <cell r="K765" t="str">
            <v>004210</v>
          </cell>
          <cell r="L765">
            <v>-31.6</v>
          </cell>
          <cell r="M765">
            <v>-31.6</v>
          </cell>
          <cell r="N765">
            <v>-31.6</v>
          </cell>
          <cell r="O765" t="str">
            <v>diretto</v>
          </cell>
          <cell r="P765">
            <v>3</v>
          </cell>
          <cell r="Q765" t="str">
            <v>0.577221</v>
          </cell>
          <cell r="R765" t="str">
            <v>0.647377</v>
          </cell>
          <cell r="S765" t="str">
            <v>0.298792</v>
          </cell>
          <cell r="T765" t="str">
            <v>NO</v>
          </cell>
          <cell r="U765" t="str">
            <v>DELIBERA EGATO N.29 DEL 19/12/2018</v>
          </cell>
        </row>
        <row r="766">
          <cell r="A766">
            <v>2000041777</v>
          </cell>
          <cell r="B766">
            <v>202511294510178</v>
          </cell>
          <cell r="D766" t="str">
            <v>ATO4</v>
          </cell>
          <cell r="E766">
            <v>2000041777</v>
          </cell>
          <cell r="F766">
            <v>46082</v>
          </cell>
          <cell r="G766">
            <v>46446</v>
          </cell>
          <cell r="H766">
            <v>46082</v>
          </cell>
          <cell r="I766">
            <v>46446</v>
          </cell>
          <cell r="K766" t="str">
            <v>004245</v>
          </cell>
          <cell r="L766">
            <v>-55.6</v>
          </cell>
          <cell r="M766">
            <v>-55.6</v>
          </cell>
          <cell r="N766">
            <v>-55.6</v>
          </cell>
          <cell r="O766" t="str">
            <v>diretto</v>
          </cell>
          <cell r="P766">
            <v>2</v>
          </cell>
          <cell r="Q766" t="str">
            <v>0.577221</v>
          </cell>
          <cell r="R766" t="str">
            <v>0.647377</v>
          </cell>
          <cell r="S766" t="str">
            <v>0.298792</v>
          </cell>
          <cell r="T766" t="str">
            <v>NO</v>
          </cell>
          <cell r="U766" t="str">
            <v>DELIBERA EGATO N.29 DEL 19/12/2018</v>
          </cell>
        </row>
        <row r="767">
          <cell r="A767">
            <v>4012054693</v>
          </cell>
          <cell r="B767">
            <v>202511294494493</v>
          </cell>
          <cell r="D767" t="str">
            <v>ATO4</v>
          </cell>
          <cell r="E767">
            <v>4012054693</v>
          </cell>
          <cell r="F767">
            <v>46082</v>
          </cell>
          <cell r="G767">
            <v>46446</v>
          </cell>
          <cell r="H767">
            <v>46082</v>
          </cell>
          <cell r="I767">
            <v>46446</v>
          </cell>
          <cell r="K767" t="str">
            <v>004012</v>
          </cell>
          <cell r="L767">
            <v>-52.14</v>
          </cell>
          <cell r="M767">
            <v>-52.14</v>
          </cell>
          <cell r="N767">
            <v>-52.14</v>
          </cell>
          <cell r="O767" t="str">
            <v>diretto</v>
          </cell>
          <cell r="P767">
            <v>2</v>
          </cell>
          <cell r="Q767" t="str">
            <v>0.759077</v>
          </cell>
          <cell r="R767" t="str">
            <v>0.490285</v>
          </cell>
          <cell r="S767" t="str">
            <v>0.179000</v>
          </cell>
          <cell r="T767" t="str">
            <v>NO</v>
          </cell>
          <cell r="U767" t="str">
            <v>DELIBERAZIONE EGATO 2 04/02/2019</v>
          </cell>
        </row>
        <row r="768">
          <cell r="A768">
            <v>2000049744</v>
          </cell>
          <cell r="B768">
            <v>202511294494787</v>
          </cell>
          <cell r="D768" t="str">
            <v>ATO4</v>
          </cell>
          <cell r="E768">
            <v>2000049744</v>
          </cell>
          <cell r="F768">
            <v>46082</v>
          </cell>
          <cell r="G768">
            <v>46446</v>
          </cell>
          <cell r="H768">
            <v>46082</v>
          </cell>
          <cell r="I768">
            <v>46446</v>
          </cell>
          <cell r="K768" t="str">
            <v>004200</v>
          </cell>
          <cell r="L768">
            <v>-42.17</v>
          </cell>
          <cell r="M768">
            <v>-42.17</v>
          </cell>
          <cell r="N768">
            <v>-42.17</v>
          </cell>
          <cell r="O768" t="str">
            <v>diretto</v>
          </cell>
          <cell r="P768">
            <v>2</v>
          </cell>
          <cell r="Q768">
            <v>1155411</v>
          </cell>
          <cell r="R768" t="str">
            <v>0.773737</v>
          </cell>
          <cell r="S768" t="str">
            <v>0.313675</v>
          </cell>
          <cell r="T768" t="str">
            <v>NO</v>
          </cell>
          <cell r="U768" t="str">
            <v>DELIBERAZIONE EGATO 2 04/02/2019</v>
          </cell>
        </row>
        <row r="769">
          <cell r="A769">
            <v>2000033041</v>
          </cell>
          <cell r="B769">
            <v>202511294514728</v>
          </cell>
          <cell r="D769" t="str">
            <v>ATO4</v>
          </cell>
          <cell r="E769">
            <v>2000033041</v>
          </cell>
          <cell r="F769">
            <v>46082</v>
          </cell>
          <cell r="G769">
            <v>46446</v>
          </cell>
          <cell r="H769">
            <v>46082</v>
          </cell>
          <cell r="I769">
            <v>46446</v>
          </cell>
          <cell r="K769" t="str">
            <v>004043</v>
          </cell>
          <cell r="L769">
            <v>-204.66</v>
          </cell>
          <cell r="M769">
            <v>-204.66</v>
          </cell>
          <cell r="N769">
            <v>-204.66</v>
          </cell>
          <cell r="O769" t="str">
            <v>diretto</v>
          </cell>
          <cell r="P769">
            <v>5</v>
          </cell>
          <cell r="Q769">
            <v>1155411</v>
          </cell>
          <cell r="R769" t="str">
            <v>0.773737</v>
          </cell>
          <cell r="S769" t="str">
            <v>0.313675</v>
          </cell>
          <cell r="T769" t="str">
            <v>NO</v>
          </cell>
          <cell r="U769" t="str">
            <v>DELIBERAZIONE EGATO 2 04/02/2019</v>
          </cell>
        </row>
        <row r="770">
          <cell r="A770">
            <v>2000019802</v>
          </cell>
          <cell r="B770">
            <v>202511296319866</v>
          </cell>
          <cell r="D770" t="str">
            <v>ATO4</v>
          </cell>
          <cell r="E770">
            <v>2000019802</v>
          </cell>
          <cell r="F770">
            <v>46082</v>
          </cell>
          <cell r="G770">
            <v>46446</v>
          </cell>
          <cell r="H770">
            <v>46082</v>
          </cell>
          <cell r="I770">
            <v>46446</v>
          </cell>
          <cell r="K770" t="str">
            <v>004014</v>
          </cell>
          <cell r="L770">
            <v>-163.72999999999999</v>
          </cell>
          <cell r="M770">
            <v>-163.72999999999999</v>
          </cell>
          <cell r="N770">
            <v>-163.72999999999999</v>
          </cell>
          <cell r="O770" t="str">
            <v>diretto</v>
          </cell>
          <cell r="P770">
            <v>4</v>
          </cell>
          <cell r="Q770">
            <v>1155411</v>
          </cell>
          <cell r="R770" t="str">
            <v>0.773737</v>
          </cell>
          <cell r="S770" t="str">
            <v>0.313675</v>
          </cell>
          <cell r="T770" t="str">
            <v>NO</v>
          </cell>
          <cell r="U770" t="str">
            <v>DELIBERAZIONE EGATO 2 04/02/2019</v>
          </cell>
        </row>
        <row r="771">
          <cell r="A771">
            <v>2000009954</v>
          </cell>
          <cell r="B771">
            <v>202511294556624</v>
          </cell>
          <cell r="D771" t="str">
            <v>ATO4</v>
          </cell>
          <cell r="E771">
            <v>2000009954</v>
          </cell>
          <cell r="F771">
            <v>46082</v>
          </cell>
          <cell r="G771">
            <v>46446</v>
          </cell>
          <cell r="H771">
            <v>46082</v>
          </cell>
          <cell r="I771">
            <v>46446</v>
          </cell>
          <cell r="K771" t="str">
            <v>004097</v>
          </cell>
          <cell r="L771">
            <v>-20.28</v>
          </cell>
          <cell r="M771">
            <v>-20.28</v>
          </cell>
          <cell r="N771">
            <v>-20.28</v>
          </cell>
          <cell r="O771" t="str">
            <v>diretto</v>
          </cell>
          <cell r="P771">
            <v>1</v>
          </cell>
          <cell r="Q771" t="str">
            <v>0.584101</v>
          </cell>
          <cell r="R771" t="str">
            <v>0.354237</v>
          </cell>
          <cell r="S771" t="str">
            <v>0.173021</v>
          </cell>
          <cell r="T771" t="str">
            <v>NO</v>
          </cell>
          <cell r="U771" t="str">
            <v>DELIBERA EGATO N. 38 12/12/22</v>
          </cell>
        </row>
        <row r="772">
          <cell r="A772" t="str">
            <v>025597</v>
          </cell>
          <cell r="B772">
            <v>202511295905954</v>
          </cell>
          <cell r="D772" t="str">
            <v>ATO4</v>
          </cell>
          <cell r="E772" t="str">
            <v>025597</v>
          </cell>
          <cell r="F772">
            <v>46082</v>
          </cell>
          <cell r="G772">
            <v>46446</v>
          </cell>
          <cell r="H772">
            <v>46082</v>
          </cell>
          <cell r="I772">
            <v>46446</v>
          </cell>
          <cell r="K772" t="str">
            <v>004107</v>
          </cell>
          <cell r="L772">
            <v>-40.93</v>
          </cell>
          <cell r="M772">
            <v>-40.93</v>
          </cell>
          <cell r="N772">
            <v>-40.93</v>
          </cell>
          <cell r="O772" t="str">
            <v>diretto</v>
          </cell>
          <cell r="P772">
            <v>1</v>
          </cell>
          <cell r="Q772">
            <v>1155411</v>
          </cell>
          <cell r="R772" t="str">
            <v>0.773737</v>
          </cell>
          <cell r="S772" t="str">
            <v>0.313675</v>
          </cell>
          <cell r="T772" t="str">
            <v>NO</v>
          </cell>
          <cell r="U772" t="str">
            <v>DELIBERAZIONE EGATO 2 04/02/2019</v>
          </cell>
        </row>
        <row r="773">
          <cell r="A773">
            <v>2000032090</v>
          </cell>
          <cell r="B773">
            <v>202511295870485</v>
          </cell>
          <cell r="D773" t="str">
            <v>ATO4</v>
          </cell>
          <cell r="E773">
            <v>2000032090</v>
          </cell>
          <cell r="F773">
            <v>46082</v>
          </cell>
          <cell r="G773">
            <v>46446</v>
          </cell>
          <cell r="H773">
            <v>46082</v>
          </cell>
          <cell r="I773">
            <v>46446</v>
          </cell>
          <cell r="K773" t="str">
            <v>004081</v>
          </cell>
          <cell r="L773">
            <v>-39.44</v>
          </cell>
          <cell r="M773">
            <v>-39.44</v>
          </cell>
          <cell r="N773">
            <v>-39.44</v>
          </cell>
          <cell r="O773" t="str">
            <v>diretto</v>
          </cell>
          <cell r="P773">
            <v>1</v>
          </cell>
          <cell r="Q773">
            <v>1155411</v>
          </cell>
          <cell r="R773" t="str">
            <v>0.691798</v>
          </cell>
          <cell r="S773" t="str">
            <v>0.313675</v>
          </cell>
          <cell r="T773" t="str">
            <v>NO</v>
          </cell>
          <cell r="U773" t="str">
            <v>DELIBERAZIONE EGATO 2 04/02/2019</v>
          </cell>
        </row>
        <row r="774">
          <cell r="A774">
            <v>2000034116</v>
          </cell>
          <cell r="B774">
            <v>202511296226581</v>
          </cell>
          <cell r="D774" t="str">
            <v>ATO4</v>
          </cell>
          <cell r="E774">
            <v>2000034116</v>
          </cell>
          <cell r="F774">
            <v>46082</v>
          </cell>
          <cell r="G774">
            <v>46446</v>
          </cell>
          <cell r="H774">
            <v>46082</v>
          </cell>
          <cell r="I774">
            <v>46446</v>
          </cell>
          <cell r="K774" t="str">
            <v>004121</v>
          </cell>
          <cell r="L774">
            <v>-13.49</v>
          </cell>
          <cell r="M774">
            <v>-13.49</v>
          </cell>
          <cell r="N774">
            <v>-13.49</v>
          </cell>
          <cell r="O774" t="str">
            <v>diretto</v>
          </cell>
          <cell r="P774">
            <v>1</v>
          </cell>
          <cell r="Q774" t="str">
            <v>0.238563</v>
          </cell>
          <cell r="R774" t="str">
            <v>0.373689</v>
          </cell>
          <cell r="S774" t="str">
            <v>0.127053</v>
          </cell>
          <cell r="T774" t="str">
            <v>NO</v>
          </cell>
          <cell r="U774" t="str">
            <v>DELIBERAZIONE EGATO 2 04/02/2019</v>
          </cell>
        </row>
        <row r="775">
          <cell r="A775">
            <v>2000023625</v>
          </cell>
          <cell r="B775">
            <v>202511294551243</v>
          </cell>
          <cell r="D775" t="str">
            <v>ATO4</v>
          </cell>
          <cell r="E775">
            <v>2000023625</v>
          </cell>
          <cell r="F775">
            <v>46082</v>
          </cell>
          <cell r="G775">
            <v>46446</v>
          </cell>
          <cell r="H775">
            <v>46082</v>
          </cell>
          <cell r="I775">
            <v>46446</v>
          </cell>
          <cell r="K775" t="str">
            <v>004209</v>
          </cell>
          <cell r="L775">
            <v>-157.85</v>
          </cell>
          <cell r="M775">
            <v>-157.85</v>
          </cell>
          <cell r="N775">
            <v>-157.85</v>
          </cell>
          <cell r="O775" t="str">
            <v>diretto</v>
          </cell>
          <cell r="P775">
            <v>5</v>
          </cell>
          <cell r="Q775" t="str">
            <v>0.873381</v>
          </cell>
          <cell r="R775" t="str">
            <v>0.612350</v>
          </cell>
          <cell r="S775" t="str">
            <v>0.244127</v>
          </cell>
          <cell r="T775" t="str">
            <v>NO</v>
          </cell>
          <cell r="U775" t="str">
            <v>DELIBERAZIONE EGATO 29 19/12/2018</v>
          </cell>
        </row>
        <row r="776">
          <cell r="A776" t="str">
            <v>0252000345</v>
          </cell>
          <cell r="B776">
            <v>202511296042027</v>
          </cell>
          <cell r="D776" t="str">
            <v>ATO4</v>
          </cell>
          <cell r="E776" t="str">
            <v>0252000345</v>
          </cell>
          <cell r="F776">
            <v>46082</v>
          </cell>
          <cell r="G776">
            <v>46446</v>
          </cell>
          <cell r="H776">
            <v>46082</v>
          </cell>
          <cell r="I776">
            <v>46446</v>
          </cell>
          <cell r="K776" t="str">
            <v>004079</v>
          </cell>
          <cell r="L776">
            <v>-189.42</v>
          </cell>
          <cell r="M776">
            <v>-189.42</v>
          </cell>
          <cell r="N776">
            <v>-189.42</v>
          </cell>
          <cell r="O776" t="str">
            <v>diretto</v>
          </cell>
          <cell r="P776">
            <v>6</v>
          </cell>
          <cell r="Q776" t="str">
            <v>0.873381</v>
          </cell>
          <cell r="R776" t="str">
            <v>0.612350</v>
          </cell>
          <cell r="S776" t="str">
            <v>0.244127</v>
          </cell>
          <cell r="T776" t="str">
            <v>NO</v>
          </cell>
          <cell r="U776" t="str">
            <v>DELIBERAZIONE EGATO 29 19/12/2018</v>
          </cell>
        </row>
        <row r="777">
          <cell r="A777" t="str">
            <v>0020003366</v>
          </cell>
          <cell r="B777">
            <v>202511294548474</v>
          </cell>
          <cell r="D777" t="str">
            <v>ATO4</v>
          </cell>
          <cell r="E777" t="str">
            <v>0020003366</v>
          </cell>
          <cell r="F777">
            <v>46082</v>
          </cell>
          <cell r="G777">
            <v>46446</v>
          </cell>
          <cell r="H777">
            <v>46082</v>
          </cell>
          <cell r="I777">
            <v>46446</v>
          </cell>
          <cell r="K777" t="str">
            <v>004116</v>
          </cell>
          <cell r="L777">
            <v>-152.26</v>
          </cell>
          <cell r="M777">
            <v>-152.26</v>
          </cell>
          <cell r="N777">
            <v>-152.26</v>
          </cell>
          <cell r="O777" t="str">
            <v>diretto</v>
          </cell>
          <cell r="P777">
            <v>6</v>
          </cell>
          <cell r="Q777" t="str">
            <v>0.763729</v>
          </cell>
          <cell r="R777" t="str">
            <v>0.467552</v>
          </cell>
          <cell r="S777" t="str">
            <v>0.159233</v>
          </cell>
          <cell r="T777" t="str">
            <v>NO</v>
          </cell>
          <cell r="U777" t="str">
            <v>DELIBERAZIONE EGATO 2 04/02/2019</v>
          </cell>
        </row>
        <row r="778">
          <cell r="A778">
            <v>2000053553</v>
          </cell>
          <cell r="B778">
            <v>202511295831970</v>
          </cell>
          <cell r="D778" t="str">
            <v>ATO4</v>
          </cell>
          <cell r="E778">
            <v>2000053553</v>
          </cell>
          <cell r="F778">
            <v>46082</v>
          </cell>
          <cell r="G778">
            <v>46446</v>
          </cell>
          <cell r="H778">
            <v>46082</v>
          </cell>
          <cell r="I778">
            <v>46446</v>
          </cell>
          <cell r="K778" t="str">
            <v>004068</v>
          </cell>
          <cell r="L778">
            <v>-175.39</v>
          </cell>
          <cell r="M778">
            <v>-175.39</v>
          </cell>
          <cell r="N778">
            <v>-175.39</v>
          </cell>
          <cell r="O778" t="str">
            <v>diretto</v>
          </cell>
          <cell r="P778">
            <v>5</v>
          </cell>
          <cell r="Q778" t="str">
            <v>0.970423</v>
          </cell>
          <cell r="R778" t="str">
            <v>0.680389</v>
          </cell>
          <cell r="S778" t="str">
            <v>0.271253</v>
          </cell>
          <cell r="T778" t="str">
            <v>NO</v>
          </cell>
          <cell r="U778" t="str">
            <v>DELIBERAZIONE EGATO 29 19/12/2018</v>
          </cell>
        </row>
        <row r="779">
          <cell r="A779">
            <v>2000052475</v>
          </cell>
          <cell r="B779">
            <v>202511294563785</v>
          </cell>
          <cell r="D779" t="str">
            <v>ATO4</v>
          </cell>
          <cell r="E779">
            <v>2000052475</v>
          </cell>
          <cell r="F779">
            <v>46082</v>
          </cell>
          <cell r="G779">
            <v>46446</v>
          </cell>
          <cell r="H779">
            <v>46082</v>
          </cell>
          <cell r="I779">
            <v>46446</v>
          </cell>
          <cell r="K779" t="str">
            <v>004078</v>
          </cell>
          <cell r="L779">
            <v>-70.84</v>
          </cell>
          <cell r="M779">
            <v>-70.84</v>
          </cell>
          <cell r="N779">
            <v>-70.84</v>
          </cell>
          <cell r="O779" t="str">
            <v>diretto</v>
          </cell>
          <cell r="P779">
            <v>4</v>
          </cell>
          <cell r="Q779" t="str">
            <v>0.970423</v>
          </cell>
          <cell r="R779" t="str">
            <v>0.680389</v>
          </cell>
          <cell r="S779" t="str">
            <v>0.271253</v>
          </cell>
          <cell r="T779" t="str">
            <v>NO</v>
          </cell>
          <cell r="U779" t="str">
            <v>DELIBERAZIONE EGATO 29 19/12/2018</v>
          </cell>
        </row>
        <row r="780">
          <cell r="A780">
            <v>2000052355</v>
          </cell>
          <cell r="B780">
            <v>202511295898598</v>
          </cell>
          <cell r="D780" t="str">
            <v>ATO4</v>
          </cell>
          <cell r="E780">
            <v>2000052355</v>
          </cell>
          <cell r="F780">
            <v>46082</v>
          </cell>
          <cell r="G780">
            <v>46446</v>
          </cell>
          <cell r="H780">
            <v>46082</v>
          </cell>
          <cell r="I780">
            <v>46446</v>
          </cell>
          <cell r="K780" t="str">
            <v>004078</v>
          </cell>
          <cell r="L780">
            <v>-35.42</v>
          </cell>
          <cell r="M780">
            <v>-35.42</v>
          </cell>
          <cell r="N780">
            <v>-35.42</v>
          </cell>
          <cell r="O780" t="str">
            <v>diretto</v>
          </cell>
          <cell r="P780">
            <v>2</v>
          </cell>
          <cell r="Q780" t="str">
            <v>0.970423</v>
          </cell>
          <cell r="R780" t="str">
            <v>0.680389</v>
          </cell>
          <cell r="S780" t="str">
            <v>0.271253</v>
          </cell>
          <cell r="T780" t="str">
            <v>NO</v>
          </cell>
          <cell r="U780" t="str">
            <v>DELIBERAZIONE EGATO 29 19/12/2018</v>
          </cell>
        </row>
        <row r="781">
          <cell r="A781">
            <v>2000020923</v>
          </cell>
          <cell r="B781">
            <v>202511296065842</v>
          </cell>
          <cell r="D781" t="str">
            <v>ATO4</v>
          </cell>
          <cell r="E781">
            <v>2000020923</v>
          </cell>
          <cell r="F781">
            <v>46082</v>
          </cell>
          <cell r="G781">
            <v>46446</v>
          </cell>
          <cell r="H781">
            <v>46082</v>
          </cell>
          <cell r="I781">
            <v>46446</v>
          </cell>
          <cell r="K781" t="str">
            <v>004078</v>
          </cell>
          <cell r="L781">
            <v>-210.47</v>
          </cell>
          <cell r="M781">
            <v>-210.47</v>
          </cell>
          <cell r="N781">
            <v>-210.47</v>
          </cell>
          <cell r="O781" t="str">
            <v>diretto</v>
          </cell>
          <cell r="P781">
            <v>6</v>
          </cell>
          <cell r="Q781" t="str">
            <v>0.970423</v>
          </cell>
          <cell r="R781" t="str">
            <v>0.680389</v>
          </cell>
          <cell r="S781" t="str">
            <v>0.271253</v>
          </cell>
          <cell r="T781" t="str">
            <v>NO</v>
          </cell>
          <cell r="U781" t="str">
            <v>DELIBERAZIONE EGATO 29 19/12/2018</v>
          </cell>
        </row>
        <row r="782">
          <cell r="A782">
            <v>2000019183</v>
          </cell>
          <cell r="B782">
            <v>202511296439969</v>
          </cell>
          <cell r="D782" t="str">
            <v>ATO4</v>
          </cell>
          <cell r="E782">
            <v>2000019183</v>
          </cell>
          <cell r="F782">
            <v>46082</v>
          </cell>
          <cell r="G782">
            <v>46446</v>
          </cell>
          <cell r="H782">
            <v>46082</v>
          </cell>
          <cell r="I782">
            <v>46446</v>
          </cell>
          <cell r="K782" t="str">
            <v>004153</v>
          </cell>
          <cell r="L782">
            <v>-70.16</v>
          </cell>
          <cell r="M782">
            <v>-70.16</v>
          </cell>
          <cell r="N782">
            <v>-70.16</v>
          </cell>
          <cell r="O782" t="str">
            <v>diretto</v>
          </cell>
          <cell r="P782">
            <v>2</v>
          </cell>
          <cell r="Q782" t="str">
            <v>0.970423</v>
          </cell>
          <cell r="R782" t="str">
            <v>0.680389</v>
          </cell>
          <cell r="S782" t="str">
            <v>0.271253</v>
          </cell>
          <cell r="T782" t="str">
            <v>NO</v>
          </cell>
          <cell r="U782" t="str">
            <v>DELIBERAZIONE EGATO 29 19/12/2018</v>
          </cell>
        </row>
        <row r="783">
          <cell r="A783" t="str">
            <v>0542000179</v>
          </cell>
          <cell r="B783">
            <v>202511294505853</v>
          </cell>
          <cell r="D783" t="str">
            <v>ATO4</v>
          </cell>
          <cell r="E783" t="str">
            <v>0542000179</v>
          </cell>
          <cell r="F783">
            <v>46082</v>
          </cell>
          <cell r="G783">
            <v>46446</v>
          </cell>
          <cell r="H783">
            <v>46082</v>
          </cell>
          <cell r="I783">
            <v>46446</v>
          </cell>
          <cell r="K783" t="str">
            <v>004144</v>
          </cell>
          <cell r="L783">
            <v>-88.55</v>
          </cell>
          <cell r="M783">
            <v>-88.55</v>
          </cell>
          <cell r="N783">
            <v>-88.55</v>
          </cell>
          <cell r="O783" t="str">
            <v>diretto</v>
          </cell>
          <cell r="P783">
            <v>5</v>
          </cell>
          <cell r="Q783" t="str">
            <v>0.970423</v>
          </cell>
          <cell r="R783" t="str">
            <v>0.680389</v>
          </cell>
          <cell r="S783" t="str">
            <v>0.271253</v>
          </cell>
          <cell r="T783" t="str">
            <v>NO</v>
          </cell>
          <cell r="U783" t="str">
            <v>DELIBERAZIONE EGATO 29 19/12/2018</v>
          </cell>
        </row>
        <row r="784">
          <cell r="A784" t="str">
            <v>0312000689</v>
          </cell>
          <cell r="B784">
            <v>202511294514860</v>
          </cell>
          <cell r="D784" t="str">
            <v>ATO4</v>
          </cell>
          <cell r="E784" t="str">
            <v>0312000689</v>
          </cell>
          <cell r="F784">
            <v>46082</v>
          </cell>
          <cell r="G784">
            <v>46446</v>
          </cell>
          <cell r="H784">
            <v>46082</v>
          </cell>
          <cell r="I784">
            <v>46446</v>
          </cell>
          <cell r="K784" t="str">
            <v>004082</v>
          </cell>
          <cell r="L784">
            <v>-70.16</v>
          </cell>
          <cell r="M784">
            <v>-70.16</v>
          </cell>
          <cell r="N784">
            <v>-70.16</v>
          </cell>
          <cell r="O784" t="str">
            <v>diretto</v>
          </cell>
          <cell r="P784">
            <v>2</v>
          </cell>
          <cell r="Q784" t="str">
            <v>0.970423</v>
          </cell>
          <cell r="R784" t="str">
            <v>0.680389</v>
          </cell>
          <cell r="S784" t="str">
            <v>0.271253</v>
          </cell>
          <cell r="T784" t="str">
            <v>NO</v>
          </cell>
          <cell r="U784" t="str">
            <v>DELIBERAZIONE EGATO 29 19/12/2018</v>
          </cell>
        </row>
        <row r="785">
          <cell r="A785" t="str">
            <v>0770134201</v>
          </cell>
          <cell r="B785">
            <v>202511294502679</v>
          </cell>
          <cell r="D785" t="str">
            <v>ATO4</v>
          </cell>
          <cell r="E785" t="str">
            <v>0770134201</v>
          </cell>
          <cell r="F785">
            <v>46082</v>
          </cell>
          <cell r="G785">
            <v>46446</v>
          </cell>
          <cell r="H785">
            <v>46082</v>
          </cell>
          <cell r="I785">
            <v>46446</v>
          </cell>
          <cell r="K785" t="str">
            <v>004209</v>
          </cell>
          <cell r="L785">
            <v>-31.88</v>
          </cell>
          <cell r="M785">
            <v>-31.88</v>
          </cell>
          <cell r="N785">
            <v>-31.88</v>
          </cell>
          <cell r="O785" t="str">
            <v>diretto</v>
          </cell>
          <cell r="P785">
            <v>2</v>
          </cell>
          <cell r="Q785" t="str">
            <v>0.873381</v>
          </cell>
          <cell r="R785" t="str">
            <v>0.612350</v>
          </cell>
          <cell r="S785" t="str">
            <v>0.244127</v>
          </cell>
          <cell r="T785" t="str">
            <v>NO</v>
          </cell>
          <cell r="U785" t="str">
            <v>DELIBERAZIONE EGATO 29 19/12/2018</v>
          </cell>
        </row>
        <row r="786">
          <cell r="A786" t="str">
            <v>0472000330</v>
          </cell>
          <cell r="B786">
            <v>202511294496057</v>
          </cell>
          <cell r="D786" t="str">
            <v>ATO4</v>
          </cell>
          <cell r="E786" t="str">
            <v>0472000330</v>
          </cell>
          <cell r="F786">
            <v>46082</v>
          </cell>
          <cell r="G786">
            <v>46446</v>
          </cell>
          <cell r="H786">
            <v>46082</v>
          </cell>
          <cell r="I786">
            <v>46446</v>
          </cell>
          <cell r="K786" t="str">
            <v>004205</v>
          </cell>
          <cell r="L786">
            <v>-25.38</v>
          </cell>
          <cell r="M786">
            <v>-25.38</v>
          </cell>
          <cell r="N786">
            <v>-25.38</v>
          </cell>
          <cell r="O786" t="str">
            <v>diretto</v>
          </cell>
          <cell r="P786">
            <v>1</v>
          </cell>
          <cell r="Q786" t="str">
            <v>0.763729</v>
          </cell>
          <cell r="R786" t="str">
            <v>0.467552</v>
          </cell>
          <cell r="S786" t="str">
            <v>0.159233</v>
          </cell>
          <cell r="T786" t="str">
            <v>NO</v>
          </cell>
          <cell r="U786" t="str">
            <v>DELIBERAZIONE EGATO 2 04/02/2019</v>
          </cell>
        </row>
        <row r="787">
          <cell r="A787" t="str">
            <v>0130044201</v>
          </cell>
          <cell r="B787">
            <v>202511294561892</v>
          </cell>
          <cell r="D787" t="str">
            <v>ATO4</v>
          </cell>
          <cell r="E787" t="str">
            <v>0130044201</v>
          </cell>
          <cell r="F787">
            <v>46082</v>
          </cell>
          <cell r="G787">
            <v>46446</v>
          </cell>
          <cell r="H787">
            <v>46082</v>
          </cell>
          <cell r="I787">
            <v>46446</v>
          </cell>
          <cell r="K787" t="str">
            <v>004022</v>
          </cell>
          <cell r="L787">
            <v>-70.16</v>
          </cell>
          <cell r="M787">
            <v>-70.16</v>
          </cell>
          <cell r="N787">
            <v>-70.16</v>
          </cell>
          <cell r="O787" t="str">
            <v>diretto</v>
          </cell>
          <cell r="P787">
            <v>2</v>
          </cell>
          <cell r="Q787" t="str">
            <v>0.970423</v>
          </cell>
          <cell r="R787" t="str">
            <v>0.680389</v>
          </cell>
          <cell r="S787" t="str">
            <v>0.271253</v>
          </cell>
          <cell r="T787" t="str">
            <v>NO</v>
          </cell>
          <cell r="U787" t="str">
            <v>DELIBERAZIONE EGATO 29 19/12/2018</v>
          </cell>
        </row>
        <row r="788">
          <cell r="A788" t="str">
            <v>0100000104</v>
          </cell>
          <cell r="B788">
            <v>202511294541519</v>
          </cell>
          <cell r="D788" t="str">
            <v>ATO4</v>
          </cell>
          <cell r="E788" t="str">
            <v>0100000104</v>
          </cell>
          <cell r="F788">
            <v>46082</v>
          </cell>
          <cell r="G788">
            <v>46446</v>
          </cell>
          <cell r="H788">
            <v>46082</v>
          </cell>
          <cell r="I788">
            <v>46446</v>
          </cell>
          <cell r="K788" t="str">
            <v>004053</v>
          </cell>
          <cell r="L788">
            <v>-22.62</v>
          </cell>
          <cell r="M788">
            <v>-22.62</v>
          </cell>
          <cell r="N788">
            <v>-22.62</v>
          </cell>
          <cell r="O788" t="str">
            <v>diretto</v>
          </cell>
          <cell r="P788">
            <v>1</v>
          </cell>
          <cell r="Q788" t="str">
            <v>0.539916</v>
          </cell>
          <cell r="R788" t="str">
            <v>0.522137</v>
          </cell>
          <cell r="S788" t="str">
            <v>0.177482</v>
          </cell>
          <cell r="T788" t="str">
            <v>NO</v>
          </cell>
          <cell r="U788" t="str">
            <v>DELIBERAZIONE EGATO 2 04/02/2019</v>
          </cell>
        </row>
        <row r="789">
          <cell r="A789" t="str">
            <v>0092000302</v>
          </cell>
          <cell r="B789">
            <v>202511294507072</v>
          </cell>
          <cell r="D789" t="str">
            <v>ATO4</v>
          </cell>
          <cell r="E789" t="str">
            <v>0092000302</v>
          </cell>
          <cell r="F789">
            <v>46082</v>
          </cell>
          <cell r="G789">
            <v>46446</v>
          </cell>
          <cell r="H789">
            <v>46082</v>
          </cell>
          <cell r="I789">
            <v>46446</v>
          </cell>
          <cell r="K789" t="str">
            <v>004040</v>
          </cell>
          <cell r="L789">
            <v>-17.71</v>
          </cell>
          <cell r="M789">
            <v>-17.71</v>
          </cell>
          <cell r="N789">
            <v>-17.71</v>
          </cell>
          <cell r="O789" t="str">
            <v>diretto</v>
          </cell>
          <cell r="P789">
            <v>1</v>
          </cell>
          <cell r="Q789" t="str">
            <v>0.970423</v>
          </cell>
          <cell r="R789" t="str">
            <v>0.680389</v>
          </cell>
          <cell r="S789" t="str">
            <v>0.271253</v>
          </cell>
          <cell r="T789" t="str">
            <v>NO</v>
          </cell>
          <cell r="U789" t="str">
            <v>DELIBERAZIONE EGATO 29 19/12/2018</v>
          </cell>
        </row>
        <row r="790">
          <cell r="A790" t="str">
            <v>0592000728</v>
          </cell>
          <cell r="B790">
            <v>202511296245388</v>
          </cell>
          <cell r="D790" t="str">
            <v>ATO4</v>
          </cell>
          <cell r="E790" t="str">
            <v>0592000728</v>
          </cell>
          <cell r="F790">
            <v>46082</v>
          </cell>
          <cell r="G790">
            <v>46446</v>
          </cell>
          <cell r="H790">
            <v>46082</v>
          </cell>
          <cell r="I790">
            <v>46446</v>
          </cell>
          <cell r="K790" t="str">
            <v>004068</v>
          </cell>
          <cell r="L790">
            <v>-280.62</v>
          </cell>
          <cell r="M790">
            <v>-280.62</v>
          </cell>
          <cell r="N790">
            <v>-280.62</v>
          </cell>
          <cell r="O790" t="str">
            <v>diretto</v>
          </cell>
          <cell r="P790">
            <v>8</v>
          </cell>
          <cell r="Q790" t="str">
            <v>0.970423</v>
          </cell>
          <cell r="R790" t="str">
            <v>0.680389</v>
          </cell>
          <cell r="S790" t="str">
            <v>0.271253</v>
          </cell>
          <cell r="T790" t="str">
            <v>NO</v>
          </cell>
          <cell r="U790" t="str">
            <v>DELIBERAZIONE EGATO 29 19/12/2018</v>
          </cell>
        </row>
        <row r="791">
          <cell r="A791" t="str">
            <v>0062000930</v>
          </cell>
          <cell r="B791">
            <v>202511294540723</v>
          </cell>
          <cell r="D791" t="str">
            <v>ATO4</v>
          </cell>
          <cell r="E791" t="str">
            <v>0062000930</v>
          </cell>
          <cell r="F791">
            <v>46082</v>
          </cell>
          <cell r="G791">
            <v>46446</v>
          </cell>
          <cell r="H791">
            <v>46082</v>
          </cell>
          <cell r="I791">
            <v>46446</v>
          </cell>
          <cell r="K791" t="str">
            <v>004028</v>
          </cell>
          <cell r="L791">
            <v>-140.31</v>
          </cell>
          <cell r="M791">
            <v>-140.31</v>
          </cell>
          <cell r="N791">
            <v>-140.31</v>
          </cell>
          <cell r="O791" t="str">
            <v>diretto</v>
          </cell>
          <cell r="P791">
            <v>4</v>
          </cell>
          <cell r="Q791" t="str">
            <v>0.970423</v>
          </cell>
          <cell r="R791" t="str">
            <v>0.680389</v>
          </cell>
          <cell r="S791" t="str">
            <v>0.271253</v>
          </cell>
          <cell r="T791" t="str">
            <v>NO</v>
          </cell>
          <cell r="U791" t="str">
            <v>DELIBERAZIONE EGATO 29 19/12/2018</v>
          </cell>
        </row>
        <row r="792">
          <cell r="A792">
            <v>1052000259</v>
          </cell>
          <cell r="B792">
            <v>202511294556840</v>
          </cell>
          <cell r="D792" t="str">
            <v>ATO4</v>
          </cell>
          <cell r="E792">
            <v>1052000259</v>
          </cell>
          <cell r="F792">
            <v>46082</v>
          </cell>
          <cell r="G792">
            <v>46446</v>
          </cell>
          <cell r="H792">
            <v>46082</v>
          </cell>
          <cell r="I792">
            <v>46446</v>
          </cell>
          <cell r="K792" t="str">
            <v>004062</v>
          </cell>
          <cell r="L792">
            <v>-36.49</v>
          </cell>
          <cell r="M792">
            <v>-36.49</v>
          </cell>
          <cell r="N792">
            <v>-36.49</v>
          </cell>
          <cell r="O792" t="str">
            <v>diretto</v>
          </cell>
          <cell r="P792">
            <v>1</v>
          </cell>
          <cell r="Q792">
            <v>1225803</v>
          </cell>
          <cell r="R792" t="str">
            <v>0.577445</v>
          </cell>
          <cell r="S792" t="str">
            <v>0.196331</v>
          </cell>
          <cell r="T792" t="str">
            <v>NO</v>
          </cell>
          <cell r="U792" t="str">
            <v>DELIBERAZIONE EGATO 11 27/03/2019</v>
          </cell>
        </row>
        <row r="793">
          <cell r="A793" t="str">
            <v>0522000174</v>
          </cell>
          <cell r="B793">
            <v>202511294527732</v>
          </cell>
          <cell r="D793" t="str">
            <v>ATO4</v>
          </cell>
          <cell r="E793" t="str">
            <v>0522000174</v>
          </cell>
          <cell r="F793">
            <v>46082</v>
          </cell>
          <cell r="G793">
            <v>46446</v>
          </cell>
          <cell r="H793">
            <v>46082</v>
          </cell>
          <cell r="I793">
            <v>46446</v>
          </cell>
          <cell r="K793" t="str">
            <v>004136</v>
          </cell>
          <cell r="L793">
            <v>-35.08</v>
          </cell>
          <cell r="M793">
            <v>-35.08</v>
          </cell>
          <cell r="N793">
            <v>-35.08</v>
          </cell>
          <cell r="O793" t="str">
            <v>diretto</v>
          </cell>
          <cell r="P793">
            <v>1</v>
          </cell>
          <cell r="Q793" t="str">
            <v>0.970423</v>
          </cell>
          <cell r="R793" t="str">
            <v>0.680389</v>
          </cell>
          <cell r="S793" t="str">
            <v>0.271253</v>
          </cell>
          <cell r="T793" t="str">
            <v>NO</v>
          </cell>
          <cell r="U793" t="str">
            <v>DELIBERAZIONE EGATO 29 19/12/2018</v>
          </cell>
        </row>
        <row r="794">
          <cell r="L794">
            <v>-70118.91999999994</v>
          </cell>
          <cell r="M794">
            <v>-70118.91999999994</v>
          </cell>
          <cell r="N794">
            <v>-70118.91999999994</v>
          </cell>
        </row>
        <row r="795">
          <cell r="L795">
            <v>0</v>
          </cell>
          <cell r="M795">
            <v>0</v>
          </cell>
          <cell r="N795">
            <v>0</v>
          </cell>
        </row>
        <row r="796">
          <cell r="L796">
            <v>58896.4399999999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ogati mag-giu 2026_791_old"/>
    </sheetNames>
    <sheetDataSet>
      <sheetData sheetId="0">
        <row r="1">
          <cell r="D1" t="str">
            <v>Codice utente</v>
          </cell>
          <cell r="E1" t="str">
            <v>Data di inizio del periodo di agevolazione ordinaria</v>
          </cell>
          <cell r="F1" t="str">
            <v>Data di fine del periodo di agevolazione ordinaria</v>
          </cell>
          <cell r="G1" t="str">
            <v>Data di inizio periodo oggetto di fatturazione</v>
          </cell>
          <cell r="H1" t="str">
            <v>Data di fine periodo oggetto di fatturazione</v>
          </cell>
          <cell r="I1" t="str">
            <v>Data di eventuale cessazione anticipata</v>
          </cell>
          <cell r="J1" t="str">
            <v>Codice Istat del Comune in cui è sita la fornitura</v>
          </cell>
          <cell r="K1" t="str">
            <v>Importo effettivamente riconosciuto nel bimestre dal gestore (€)</v>
          </cell>
          <cell r="L1" t="str">
            <v>Importo cumulativo riconosciuto all’utente fino al bimestre oggetto di dichiarazione (€)</v>
          </cell>
          <cell r="M1" t="str">
            <v>Importo totale da corrispondere nel periodo di agevolazione (€)</v>
          </cell>
          <cell r="N1" t="str">
            <v>Tipologia di utente (diretto o indiretto)</v>
          </cell>
          <cell r="O1" t="str">
            <v>Numerosità famiglia anagrafica</v>
          </cell>
          <cell r="P1" t="str">
            <v>Tariffa agevolata del servizio di acquedotto applicata all’utente (€/m3)</v>
          </cell>
          <cell r="Q1" t="str">
            <v>Tariffa individuata per la quantificazione della quota variabile del corrispettivo di depurazione (€/m3)</v>
          </cell>
          <cell r="R1" t="str">
            <v>Tariffa individuata per la quantificazione della quota variabile del corrispettivo di fognatura (€/m3)</v>
          </cell>
          <cell r="S1" t="str">
            <v>Tariffa  approvata dall'ARERA (SI o NO)</v>
          </cell>
          <cell r="T1" t="str">
            <v>Atto deliberativo della struttura dei corrispettivi applicati all’utenza ai sensi del TICSI</v>
          </cell>
        </row>
        <row r="2">
          <cell r="D2" t="str">
            <v>C312509</v>
          </cell>
          <cell r="E2">
            <v>44197</v>
          </cell>
          <cell r="F2">
            <v>44561</v>
          </cell>
          <cell r="G2">
            <v>46169</v>
          </cell>
          <cell r="H2">
            <v>46169</v>
          </cell>
          <cell r="J2" t="str">
            <v>004078</v>
          </cell>
          <cell r="K2">
            <v>-78.92</v>
          </cell>
          <cell r="L2">
            <v>-78.92</v>
          </cell>
          <cell r="M2">
            <v>-78.92</v>
          </cell>
          <cell r="N2" t="str">
            <v>indiretto</v>
          </cell>
          <cell r="O2">
            <v>1</v>
          </cell>
          <cell r="P2" t="str">
            <v>0.727758</v>
          </cell>
          <cell r="Q2" t="str">
            <v>0.510250</v>
          </cell>
          <cell r="R2" t="str">
            <v>0.203423</v>
          </cell>
          <cell r="S2" t="str">
            <v>NO</v>
          </cell>
          <cell r="T2" t="str">
            <v>DELIBERAZIONE EGATO 29 19/12/2018</v>
          </cell>
        </row>
        <row r="3">
          <cell r="D3" t="str">
            <v>C131028</v>
          </cell>
          <cell r="E3">
            <v>44197</v>
          </cell>
          <cell r="F3">
            <v>44561</v>
          </cell>
          <cell r="G3">
            <v>46191</v>
          </cell>
          <cell r="H3">
            <v>46191</v>
          </cell>
          <cell r="J3" t="str">
            <v>004233</v>
          </cell>
          <cell r="K3">
            <v>-71.03</v>
          </cell>
          <cell r="L3">
            <v>-71.03</v>
          </cell>
          <cell r="M3">
            <v>-71.03</v>
          </cell>
          <cell r="N3" t="str">
            <v>indiretto</v>
          </cell>
          <cell r="O3">
            <v>1</v>
          </cell>
          <cell r="P3" t="str">
            <v>0.654983</v>
          </cell>
          <cell r="Q3" t="str">
            <v>0.459225</v>
          </cell>
          <cell r="R3" t="str">
            <v>0.183080</v>
          </cell>
          <cell r="S3" t="str">
            <v>NO</v>
          </cell>
          <cell r="T3" t="str">
            <v>DELIBERAZIONE EGATO 29 19/12/2018</v>
          </cell>
        </row>
        <row r="4">
          <cell r="D4" t="str">
            <v>C311082</v>
          </cell>
          <cell r="E4">
            <v>44197</v>
          </cell>
          <cell r="F4">
            <v>44561</v>
          </cell>
          <cell r="G4">
            <v>46153</v>
          </cell>
          <cell r="H4">
            <v>46153</v>
          </cell>
          <cell r="J4" t="str">
            <v>004041</v>
          </cell>
          <cell r="K4">
            <v>-78.92</v>
          </cell>
          <cell r="L4">
            <v>-78.92</v>
          </cell>
          <cell r="M4">
            <v>-78.92</v>
          </cell>
          <cell r="N4" t="str">
            <v>indiretto</v>
          </cell>
          <cell r="O4">
            <v>2</v>
          </cell>
          <cell r="P4" t="str">
            <v>0.727758</v>
          </cell>
          <cell r="Q4" t="str">
            <v>0.510250</v>
          </cell>
          <cell r="R4" t="str">
            <v>0.203423</v>
          </cell>
          <cell r="S4" t="str">
            <v>NO</v>
          </cell>
          <cell r="T4" t="str">
            <v>DELIBERAZIONE EGATO 29 19/12/2018</v>
          </cell>
        </row>
        <row r="5">
          <cell r="D5" t="str">
            <v>C309233</v>
          </cell>
          <cell r="E5">
            <v>44197</v>
          </cell>
          <cell r="F5">
            <v>44561</v>
          </cell>
          <cell r="G5">
            <v>46169</v>
          </cell>
          <cell r="H5">
            <v>46169</v>
          </cell>
          <cell r="J5" t="str">
            <v>004078</v>
          </cell>
          <cell r="K5">
            <v>-105.22</v>
          </cell>
          <cell r="L5">
            <v>-105.22</v>
          </cell>
          <cell r="M5">
            <v>-105.22</v>
          </cell>
          <cell r="N5" t="str">
            <v>indiretto</v>
          </cell>
          <cell r="O5">
            <v>4</v>
          </cell>
          <cell r="P5" t="str">
            <v>0.727758</v>
          </cell>
          <cell r="Q5" t="str">
            <v>0.510250</v>
          </cell>
          <cell r="R5" t="str">
            <v>0.203423</v>
          </cell>
          <cell r="S5" t="str">
            <v>NO</v>
          </cell>
          <cell r="T5" t="str">
            <v>DELIBERAZIONE EGATO 29 19/12/2018</v>
          </cell>
        </row>
        <row r="6">
          <cell r="D6" t="str">
            <v>C312509</v>
          </cell>
          <cell r="E6">
            <v>44562</v>
          </cell>
          <cell r="F6">
            <v>44926</v>
          </cell>
          <cell r="G6">
            <v>46169</v>
          </cell>
          <cell r="H6">
            <v>46169</v>
          </cell>
          <cell r="J6" t="str">
            <v>004028</v>
          </cell>
          <cell r="K6">
            <v>-85.42</v>
          </cell>
          <cell r="L6">
            <v>-85.42</v>
          </cell>
          <cell r="M6">
            <v>-85.42</v>
          </cell>
          <cell r="N6" t="str">
            <v>indiretto</v>
          </cell>
          <cell r="O6">
            <v>1</v>
          </cell>
          <cell r="P6" t="str">
            <v>0.787676</v>
          </cell>
          <cell r="Q6" t="str">
            <v>0.552260</v>
          </cell>
          <cell r="R6" t="str">
            <v>0.220171</v>
          </cell>
          <cell r="S6" t="str">
            <v>NO</v>
          </cell>
          <cell r="T6" t="str">
            <v>DELIBERAZIONE EGATO 29 19/12/2018</v>
          </cell>
        </row>
        <row r="7">
          <cell r="D7" t="str">
            <v>C311310</v>
          </cell>
          <cell r="E7">
            <v>44562</v>
          </cell>
          <cell r="F7">
            <v>44926</v>
          </cell>
          <cell r="G7">
            <v>46153</v>
          </cell>
          <cell r="H7">
            <v>46153</v>
          </cell>
          <cell r="J7" t="str">
            <v>004012</v>
          </cell>
          <cell r="K7">
            <v>-63.17</v>
          </cell>
          <cell r="L7">
            <v>-63.17</v>
          </cell>
          <cell r="M7">
            <v>-63.17</v>
          </cell>
          <cell r="N7" t="str">
            <v>indiretto</v>
          </cell>
          <cell r="O7">
            <v>2</v>
          </cell>
          <cell r="P7" t="str">
            <v>0.613187</v>
          </cell>
          <cell r="Q7" t="str">
            <v>0.396055</v>
          </cell>
          <cell r="R7" t="str">
            <v>0.144597</v>
          </cell>
          <cell r="S7" t="str">
            <v>NO</v>
          </cell>
          <cell r="T7" t="str">
            <v>DELIBERAZIONE EGATO 2 04/02/2019</v>
          </cell>
        </row>
        <row r="8">
          <cell r="D8" t="str">
            <v>C309462</v>
          </cell>
          <cell r="E8">
            <v>44562</v>
          </cell>
          <cell r="F8">
            <v>44926</v>
          </cell>
          <cell r="G8">
            <v>46191</v>
          </cell>
          <cell r="H8">
            <v>46191</v>
          </cell>
          <cell r="J8" t="str">
            <v>004157</v>
          </cell>
          <cell r="K8">
            <v>-85.42</v>
          </cell>
          <cell r="L8">
            <v>-85.42</v>
          </cell>
          <cell r="M8">
            <v>-85.42</v>
          </cell>
          <cell r="N8" t="str">
            <v>indiretto</v>
          </cell>
          <cell r="O8">
            <v>1</v>
          </cell>
          <cell r="P8" t="str">
            <v>0.787676</v>
          </cell>
          <cell r="Q8" t="str">
            <v>0.552260</v>
          </cell>
          <cell r="R8" t="str">
            <v>0.220171</v>
          </cell>
          <cell r="S8" t="str">
            <v>NO</v>
          </cell>
          <cell r="T8" t="str">
            <v>DELIBERAZIONE EGATO 29 19/12/2018</v>
          </cell>
        </row>
        <row r="9">
          <cell r="D9" t="str">
            <v>C309462</v>
          </cell>
          <cell r="E9">
            <v>45078</v>
          </cell>
          <cell r="F9">
            <v>45443</v>
          </cell>
          <cell r="G9">
            <v>46191</v>
          </cell>
          <cell r="H9">
            <v>46191</v>
          </cell>
          <cell r="J9" t="str">
            <v>004068</v>
          </cell>
          <cell r="K9">
            <v>-92.72</v>
          </cell>
          <cell r="L9">
            <v>-92.72</v>
          </cell>
          <cell r="M9">
            <v>-92.72</v>
          </cell>
          <cell r="N9" t="str">
            <v>indiretto</v>
          </cell>
          <cell r="O9">
            <v>3</v>
          </cell>
          <cell r="P9" t="str">
            <v>0.854998</v>
          </cell>
          <cell r="Q9" t="str">
            <v>0.599462</v>
          </cell>
          <cell r="R9" t="str">
            <v>0.238989</v>
          </cell>
          <cell r="S9" t="str">
            <v>NO</v>
          </cell>
          <cell r="T9" t="str">
            <v>DELIBERAZIONE EGATO 29 19/12/2018</v>
          </cell>
        </row>
        <row r="10">
          <cell r="D10" t="str">
            <v>C317242</v>
          </cell>
          <cell r="E10">
            <v>45170</v>
          </cell>
          <cell r="F10">
            <v>45535</v>
          </cell>
          <cell r="G10">
            <v>46191</v>
          </cell>
          <cell r="H10">
            <v>46191</v>
          </cell>
          <cell r="J10" t="str">
            <v>004062</v>
          </cell>
          <cell r="K10">
            <v>-96.46</v>
          </cell>
          <cell r="L10">
            <v>-96.46</v>
          </cell>
          <cell r="M10">
            <v>-96.46</v>
          </cell>
          <cell r="N10" t="str">
            <v>indiretto</v>
          </cell>
          <cell r="O10">
            <v>3</v>
          </cell>
          <cell r="P10">
            <v>1080003</v>
          </cell>
          <cell r="Q10" t="str">
            <v>0.508762</v>
          </cell>
          <cell r="R10" t="str">
            <v>0.172979</v>
          </cell>
          <cell r="S10" t="str">
            <v>NO</v>
          </cell>
          <cell r="T10" t="str">
            <v>DELIBERAZIONE EGATO 11 27/03/2019</v>
          </cell>
        </row>
        <row r="11">
          <cell r="D11" t="str">
            <v>C309233</v>
          </cell>
          <cell r="E11">
            <v>45323</v>
          </cell>
          <cell r="F11">
            <v>45688</v>
          </cell>
          <cell r="G11">
            <v>46169</v>
          </cell>
          <cell r="H11">
            <v>46169</v>
          </cell>
          <cell r="J11" t="str">
            <v>004078</v>
          </cell>
          <cell r="K11">
            <v>-92.72</v>
          </cell>
          <cell r="L11">
            <v>-92.72</v>
          </cell>
          <cell r="M11">
            <v>-92.72</v>
          </cell>
          <cell r="N11" t="str">
            <v>indiretto</v>
          </cell>
          <cell r="O11">
            <v>3</v>
          </cell>
          <cell r="P11" t="str">
            <v>0.854998</v>
          </cell>
          <cell r="Q11" t="str">
            <v>0.599462</v>
          </cell>
          <cell r="R11" t="str">
            <v>0.238989</v>
          </cell>
          <cell r="S11" t="str">
            <v>NO</v>
          </cell>
          <cell r="T11" t="str">
            <v>DELIBERAZIONE EGATO 29 19/12/2018</v>
          </cell>
        </row>
        <row r="12">
          <cell r="D12" t="str">
            <v>C018784</v>
          </cell>
          <cell r="E12">
            <v>45474</v>
          </cell>
          <cell r="F12">
            <v>45838</v>
          </cell>
          <cell r="G12">
            <v>46191</v>
          </cell>
          <cell r="H12">
            <v>46191</v>
          </cell>
          <cell r="J12" t="str">
            <v>004078</v>
          </cell>
          <cell r="K12">
            <v>-92.72</v>
          </cell>
          <cell r="L12">
            <v>-92.72</v>
          </cell>
          <cell r="M12">
            <v>-92.72</v>
          </cell>
          <cell r="N12" t="str">
            <v>indiretto</v>
          </cell>
          <cell r="O12">
            <v>3</v>
          </cell>
          <cell r="P12" t="str">
            <v>0.854998</v>
          </cell>
          <cell r="Q12" t="str">
            <v>0.599462</v>
          </cell>
          <cell r="R12" t="str">
            <v>0.599462</v>
          </cell>
          <cell r="S12" t="str">
            <v>NO</v>
          </cell>
          <cell r="T12" t="str">
            <v>DELIBERAZIONE EGATO 29 19/12/2018</v>
          </cell>
        </row>
        <row r="13">
          <cell r="D13" t="str">
            <v>C319733</v>
          </cell>
          <cell r="E13">
            <v>45474</v>
          </cell>
          <cell r="F13">
            <v>45838</v>
          </cell>
          <cell r="G13">
            <v>46191</v>
          </cell>
          <cell r="H13">
            <v>46191</v>
          </cell>
          <cell r="J13" t="str">
            <v>004008</v>
          </cell>
          <cell r="K13">
            <v>-92.72</v>
          </cell>
          <cell r="L13">
            <v>-92.72</v>
          </cell>
          <cell r="M13">
            <v>-92.72</v>
          </cell>
          <cell r="N13" t="str">
            <v>indiretto</v>
          </cell>
          <cell r="O13">
            <v>3</v>
          </cell>
          <cell r="P13" t="str">
            <v>0.854998</v>
          </cell>
          <cell r="Q13" t="str">
            <v>0.599462</v>
          </cell>
          <cell r="R13" t="str">
            <v>0.599462</v>
          </cell>
          <cell r="S13" t="str">
            <v>NO</v>
          </cell>
          <cell r="T13" t="str">
            <v>DELIBERAZIONE EGATO 29 19/12/2018</v>
          </cell>
        </row>
        <row r="14">
          <cell r="D14" t="str">
            <v>C314116</v>
          </cell>
          <cell r="E14">
            <v>45627</v>
          </cell>
          <cell r="F14">
            <v>45991</v>
          </cell>
          <cell r="G14">
            <v>46153</v>
          </cell>
          <cell r="H14">
            <v>46153</v>
          </cell>
          <cell r="J14" t="str">
            <v>004028</v>
          </cell>
          <cell r="K14">
            <v>-92.72</v>
          </cell>
          <cell r="L14">
            <v>-92.72</v>
          </cell>
          <cell r="M14">
            <v>-92.72</v>
          </cell>
          <cell r="N14" t="str">
            <v>indiretto</v>
          </cell>
          <cell r="O14">
            <v>3</v>
          </cell>
          <cell r="P14" t="str">
            <v>0.854998</v>
          </cell>
          <cell r="Q14" t="str">
            <v>0.599462</v>
          </cell>
          <cell r="R14" t="str">
            <v>0.238989</v>
          </cell>
          <cell r="S14" t="str">
            <v>NO</v>
          </cell>
          <cell r="T14" t="str">
            <v>DELIBERAZIONE EGATO 29 19/12/2018</v>
          </cell>
        </row>
        <row r="15">
          <cell r="D15" t="str">
            <v>C309233</v>
          </cell>
          <cell r="E15">
            <v>45689</v>
          </cell>
          <cell r="F15">
            <v>46053</v>
          </cell>
          <cell r="G15">
            <v>46169</v>
          </cell>
          <cell r="H15">
            <v>46169</v>
          </cell>
          <cell r="J15" t="str">
            <v>004078</v>
          </cell>
          <cell r="K15">
            <v>-99.21</v>
          </cell>
          <cell r="L15">
            <v>-99.21</v>
          </cell>
          <cell r="M15">
            <v>-99.21</v>
          </cell>
          <cell r="N15" t="str">
            <v>indiretto</v>
          </cell>
          <cell r="O15">
            <v>3</v>
          </cell>
          <cell r="P15" t="str">
            <v>0.914848</v>
          </cell>
          <cell r="Q15" t="str">
            <v>0.641424</v>
          </cell>
          <cell r="R15" t="str">
            <v>0.255718</v>
          </cell>
          <cell r="S15" t="str">
            <v>NO</v>
          </cell>
          <cell r="T15" t="str">
            <v>DELIBERAZIONE EGATO 29 19/12/2018</v>
          </cell>
        </row>
        <row r="16">
          <cell r="D16" t="str">
            <v>C309462</v>
          </cell>
          <cell r="E16">
            <v>45748</v>
          </cell>
          <cell r="F16">
            <v>46112</v>
          </cell>
          <cell r="G16">
            <v>46191</v>
          </cell>
          <cell r="H16">
            <v>46191</v>
          </cell>
          <cell r="J16" t="str">
            <v>004009</v>
          </cell>
          <cell r="K16">
            <v>-24.57</v>
          </cell>
          <cell r="L16">
            <v>-24.57</v>
          </cell>
          <cell r="M16">
            <v>-24.57</v>
          </cell>
          <cell r="N16" t="str">
            <v>indiretto</v>
          </cell>
          <cell r="O16">
            <v>1</v>
          </cell>
          <cell r="P16" t="str">
            <v>0.715605</v>
          </cell>
          <cell r="Q16" t="str">
            <v>0.462207</v>
          </cell>
          <cell r="R16" t="str">
            <v>0.168749</v>
          </cell>
          <cell r="S16" t="str">
            <v>NO</v>
          </cell>
          <cell r="T16" t="str">
            <v>DELIBERAZIONE EGATO 2 04/02/2019</v>
          </cell>
        </row>
        <row r="17">
          <cell r="D17" t="str">
            <v>C007200</v>
          </cell>
          <cell r="E17">
            <v>45809</v>
          </cell>
          <cell r="F17">
            <v>46173</v>
          </cell>
          <cell r="G17">
            <v>46181</v>
          </cell>
          <cell r="H17">
            <v>46181</v>
          </cell>
          <cell r="J17" t="str">
            <v>004049</v>
          </cell>
          <cell r="K17">
            <v>-175.39</v>
          </cell>
          <cell r="L17">
            <v>-175.39</v>
          </cell>
          <cell r="M17">
            <v>-175.39</v>
          </cell>
          <cell r="N17" t="str">
            <v>indiretto</v>
          </cell>
          <cell r="O17">
            <v>5</v>
          </cell>
          <cell r="P17" t="str">
            <v>0.970423</v>
          </cell>
          <cell r="Q17" t="str">
            <v>0.680389</v>
          </cell>
          <cell r="R17" t="str">
            <v>0.271253</v>
          </cell>
          <cell r="S17" t="str">
            <v>NO</v>
          </cell>
          <cell r="T17" t="str">
            <v>DELIBERAZIONE EGATO 29 19/12/2018</v>
          </cell>
        </row>
        <row r="18">
          <cell r="D18" t="str">
            <v>C307784</v>
          </cell>
          <cell r="E18">
            <v>45809</v>
          </cell>
          <cell r="F18">
            <v>46173</v>
          </cell>
          <cell r="G18">
            <v>46192</v>
          </cell>
          <cell r="H18">
            <v>46192</v>
          </cell>
          <cell r="J18" t="str">
            <v>004078</v>
          </cell>
          <cell r="K18">
            <v>-105.23</v>
          </cell>
          <cell r="L18">
            <v>-105.23</v>
          </cell>
          <cell r="M18">
            <v>-105.23</v>
          </cell>
          <cell r="N18" t="str">
            <v>indiretto</v>
          </cell>
          <cell r="O18">
            <v>3</v>
          </cell>
          <cell r="P18" t="str">
            <v>0.970423</v>
          </cell>
          <cell r="Q18" t="str">
            <v>0.680389</v>
          </cell>
          <cell r="R18" t="str">
            <v>0.271253</v>
          </cell>
          <cell r="S18" t="str">
            <v>NO</v>
          </cell>
          <cell r="T18" t="str">
            <v>DELIBERAZIONE EGATO 29 19/12/2018</v>
          </cell>
        </row>
        <row r="19">
          <cell r="D19" t="str">
            <v>C339592</v>
          </cell>
          <cell r="E19">
            <v>45839</v>
          </cell>
          <cell r="F19">
            <v>46203</v>
          </cell>
          <cell r="G19">
            <v>46181</v>
          </cell>
          <cell r="H19">
            <v>46181</v>
          </cell>
          <cell r="J19" t="str">
            <v>004082</v>
          </cell>
          <cell r="K19">
            <v>-70.16</v>
          </cell>
          <cell r="L19">
            <v>-70.16</v>
          </cell>
          <cell r="M19">
            <v>-70.16</v>
          </cell>
          <cell r="N19" t="str">
            <v>indiretto</v>
          </cell>
          <cell r="O19">
            <v>2</v>
          </cell>
          <cell r="P19" t="str">
            <v>0.970423</v>
          </cell>
          <cell r="Q19" t="str">
            <v>0.680389</v>
          </cell>
          <cell r="R19" t="str">
            <v>0.271253</v>
          </cell>
          <cell r="S19" t="str">
            <v>NO</v>
          </cell>
          <cell r="T19" t="str">
            <v>DELIBERAZIONE EGATO 29 19/12/2018</v>
          </cell>
        </row>
        <row r="20">
          <cell r="D20" t="str">
            <v>C018784</v>
          </cell>
          <cell r="E20">
            <v>45839</v>
          </cell>
          <cell r="F20">
            <v>46203</v>
          </cell>
          <cell r="G20">
            <v>46191</v>
          </cell>
          <cell r="H20">
            <v>46191</v>
          </cell>
          <cell r="J20" t="str">
            <v>004078</v>
          </cell>
          <cell r="K20">
            <v>-35.08</v>
          </cell>
          <cell r="L20">
            <v>-35.08</v>
          </cell>
          <cell r="M20">
            <v>-35.08</v>
          </cell>
          <cell r="N20" t="str">
            <v>indiretto</v>
          </cell>
          <cell r="O20">
            <v>1</v>
          </cell>
          <cell r="P20" t="str">
            <v>0.970423</v>
          </cell>
          <cell r="Q20" t="str">
            <v>0.680389</v>
          </cell>
          <cell r="R20" t="str">
            <v>0.271253</v>
          </cell>
          <cell r="S20" t="str">
            <v>NO</v>
          </cell>
          <cell r="T20" t="str">
            <v>DELIBERAZIONE EGATO 29 19/12/2018</v>
          </cell>
        </row>
        <row r="21">
          <cell r="D21" t="str">
            <v>C341166</v>
          </cell>
          <cell r="E21">
            <v>45931</v>
          </cell>
          <cell r="F21">
            <v>46295</v>
          </cell>
          <cell r="G21">
            <v>46169</v>
          </cell>
          <cell r="H21">
            <v>46169</v>
          </cell>
          <cell r="J21" t="str">
            <v>004245</v>
          </cell>
          <cell r="K21">
            <v>-222.41</v>
          </cell>
          <cell r="L21">
            <v>-222.41</v>
          </cell>
          <cell r="M21">
            <v>-222.41</v>
          </cell>
          <cell r="N21" t="str">
            <v>indiretto</v>
          </cell>
          <cell r="O21">
            <v>8</v>
          </cell>
          <cell r="P21" t="str">
            <v>0.577221</v>
          </cell>
          <cell r="Q21" t="str">
            <v>0.647377</v>
          </cell>
          <cell r="R21" t="str">
            <v>0.298792</v>
          </cell>
          <cell r="S21" t="str">
            <v>NO</v>
          </cell>
          <cell r="T21" t="str">
            <v>DELIBERA EGATO N.29 DEL 19/12/2018</v>
          </cell>
        </row>
        <row r="22">
          <cell r="D22" t="str">
            <v>C311198</v>
          </cell>
          <cell r="E22">
            <v>45931</v>
          </cell>
          <cell r="F22">
            <v>46295</v>
          </cell>
          <cell r="G22">
            <v>46181</v>
          </cell>
          <cell r="H22">
            <v>46181</v>
          </cell>
          <cell r="J22" t="str">
            <v>004078</v>
          </cell>
          <cell r="K22">
            <v>-70.16</v>
          </cell>
          <cell r="L22">
            <v>-70.16</v>
          </cell>
          <cell r="M22">
            <v>-70.16</v>
          </cell>
          <cell r="N22" t="str">
            <v>indiretto</v>
          </cell>
          <cell r="O22">
            <v>2</v>
          </cell>
          <cell r="P22" t="str">
            <v>0.970423</v>
          </cell>
          <cell r="Q22" t="str">
            <v>0.680389</v>
          </cell>
          <cell r="R22" t="str">
            <v>0.271253</v>
          </cell>
          <cell r="S22" t="str">
            <v>NO</v>
          </cell>
          <cell r="T22" t="str">
            <v>DELIBERAZIONE EGATO 29 19/12/2018</v>
          </cell>
        </row>
        <row r="23">
          <cell r="D23" t="str">
            <v>C311198</v>
          </cell>
          <cell r="E23">
            <v>45931</v>
          </cell>
          <cell r="F23">
            <v>46295</v>
          </cell>
          <cell r="G23">
            <v>46153</v>
          </cell>
          <cell r="H23">
            <v>46153</v>
          </cell>
          <cell r="J23" t="str">
            <v>004078</v>
          </cell>
          <cell r="K23">
            <v>-70.16</v>
          </cell>
          <cell r="L23">
            <v>-70.16</v>
          </cell>
          <cell r="M23">
            <v>-70.16</v>
          </cell>
          <cell r="N23" t="str">
            <v>indiretto</v>
          </cell>
          <cell r="O23">
            <v>2</v>
          </cell>
          <cell r="P23" t="str">
            <v>0.970423</v>
          </cell>
          <cell r="Q23" t="str">
            <v>0.680389</v>
          </cell>
          <cell r="R23" t="str">
            <v>0.271253</v>
          </cell>
          <cell r="S23" t="str">
            <v>NO</v>
          </cell>
          <cell r="T23" t="str">
            <v>DELIBERAZIONE EGATO 29 19/12/2018</v>
          </cell>
        </row>
        <row r="24">
          <cell r="D24" t="str">
            <v>C312140</v>
          </cell>
          <cell r="E24">
            <v>45962</v>
          </cell>
          <cell r="F24">
            <v>46326</v>
          </cell>
          <cell r="G24">
            <v>46168</v>
          </cell>
          <cell r="H24">
            <v>46168</v>
          </cell>
          <cell r="J24" t="str">
            <v>004078</v>
          </cell>
          <cell r="K24">
            <v>-105.23</v>
          </cell>
          <cell r="L24">
            <v>-105.23</v>
          </cell>
          <cell r="M24">
            <v>-105.23</v>
          </cell>
          <cell r="N24" t="str">
            <v>indiretto</v>
          </cell>
          <cell r="O24">
            <v>3</v>
          </cell>
          <cell r="P24" t="str">
            <v>0.970423</v>
          </cell>
          <cell r="Q24" t="str">
            <v>0.680389</v>
          </cell>
          <cell r="R24" t="str">
            <v>0.271253</v>
          </cell>
          <cell r="S24" t="str">
            <v>NO</v>
          </cell>
          <cell r="T24" t="str">
            <v>DELIBERAZIONE EGATO 29 19/12/2018</v>
          </cell>
        </row>
        <row r="25">
          <cell r="D25" t="str">
            <v>C314116</v>
          </cell>
          <cell r="E25">
            <v>45992</v>
          </cell>
          <cell r="F25">
            <v>46356</v>
          </cell>
          <cell r="G25">
            <v>46153</v>
          </cell>
          <cell r="H25">
            <v>46153</v>
          </cell>
          <cell r="J25" t="str">
            <v>004028</v>
          </cell>
          <cell r="K25">
            <v>-70.16</v>
          </cell>
          <cell r="L25">
            <v>-70.16</v>
          </cell>
          <cell r="M25">
            <v>-70.16</v>
          </cell>
          <cell r="N25" t="str">
            <v>indiretto</v>
          </cell>
          <cell r="O25">
            <v>2</v>
          </cell>
          <cell r="P25" t="str">
            <v>0.970423</v>
          </cell>
          <cell r="Q25" t="str">
            <v>0.680389</v>
          </cell>
          <cell r="R25" t="str">
            <v>0.271253</v>
          </cell>
          <cell r="S25" t="str">
            <v>NO</v>
          </cell>
          <cell r="T25" t="str">
            <v>DELIBERAZIONE EGATO 29 19/12/2018</v>
          </cell>
        </row>
        <row r="26">
          <cell r="D26" t="str">
            <v>C342553</v>
          </cell>
          <cell r="E26">
            <v>46023</v>
          </cell>
          <cell r="F26">
            <v>46387</v>
          </cell>
          <cell r="G26">
            <v>46169</v>
          </cell>
          <cell r="H26">
            <v>46169</v>
          </cell>
          <cell r="J26" t="str">
            <v>004110</v>
          </cell>
          <cell r="K26">
            <v>-104.88</v>
          </cell>
          <cell r="L26">
            <v>-104.88</v>
          </cell>
          <cell r="M26">
            <v>-104.88</v>
          </cell>
          <cell r="N26" t="str">
            <v>indiretto</v>
          </cell>
          <cell r="O26">
            <v>1</v>
          </cell>
          <cell r="P26" t="str">
            <v>0.970423</v>
          </cell>
          <cell r="Q26" t="str">
            <v>0.680389</v>
          </cell>
          <cell r="R26" t="str">
            <v>0.271253</v>
          </cell>
          <cell r="S26" t="str">
            <v>NO</v>
          </cell>
          <cell r="T26" t="str">
            <v>DELIBERAZIONE EGATO 29 19/12/2018</v>
          </cell>
        </row>
        <row r="27">
          <cell r="D27" t="str">
            <v>C308450</v>
          </cell>
          <cell r="E27">
            <v>46023</v>
          </cell>
          <cell r="F27">
            <v>46387</v>
          </cell>
          <cell r="G27">
            <v>46153</v>
          </cell>
          <cell r="H27">
            <v>46153</v>
          </cell>
          <cell r="J27" t="str">
            <v>004028</v>
          </cell>
          <cell r="K27">
            <v>-104.88</v>
          </cell>
          <cell r="L27">
            <v>-104.88</v>
          </cell>
          <cell r="M27">
            <v>-104.88</v>
          </cell>
          <cell r="N27" t="str">
            <v>indiretto</v>
          </cell>
          <cell r="O27">
            <v>1</v>
          </cell>
          <cell r="P27" t="str">
            <v>0.970423</v>
          </cell>
          <cell r="Q27" t="str">
            <v>0.680389</v>
          </cell>
          <cell r="R27" t="str">
            <v>0.271253</v>
          </cell>
          <cell r="S27" t="str">
            <v>NO</v>
          </cell>
          <cell r="T27" t="str">
            <v>DELIBERAZIONE EGATO 29 19/12/2018</v>
          </cell>
        </row>
        <row r="28">
          <cell r="D28" t="str">
            <v>C309363</v>
          </cell>
          <cell r="E28">
            <v>46023</v>
          </cell>
          <cell r="F28">
            <v>46387</v>
          </cell>
          <cell r="G28">
            <v>46181</v>
          </cell>
          <cell r="H28">
            <v>46181</v>
          </cell>
          <cell r="J28" t="str">
            <v>004028</v>
          </cell>
          <cell r="K28">
            <v>-209.76</v>
          </cell>
          <cell r="L28">
            <v>-209.76</v>
          </cell>
          <cell r="M28">
            <v>-209.76</v>
          </cell>
          <cell r="N28" t="str">
            <v>indiretto</v>
          </cell>
          <cell r="O28">
            <v>2</v>
          </cell>
          <cell r="P28" t="str">
            <v>0.970423</v>
          </cell>
          <cell r="Q28" t="str">
            <v>0.680389</v>
          </cell>
          <cell r="R28" t="str">
            <v>0.271253</v>
          </cell>
          <cell r="S28" t="str">
            <v>NO</v>
          </cell>
          <cell r="T28" t="str">
            <v>DELIBERAZIONE EGATO 29 19/12/2018</v>
          </cell>
        </row>
        <row r="29">
          <cell r="D29" t="str">
            <v>C342580</v>
          </cell>
          <cell r="E29">
            <v>46023</v>
          </cell>
          <cell r="F29">
            <v>46387</v>
          </cell>
          <cell r="G29">
            <v>46153</v>
          </cell>
          <cell r="H29">
            <v>46153</v>
          </cell>
          <cell r="J29" t="str">
            <v>004091</v>
          </cell>
          <cell r="K29">
            <v>-126.28</v>
          </cell>
          <cell r="L29">
            <v>-126.28</v>
          </cell>
          <cell r="M29">
            <v>-126.28</v>
          </cell>
          <cell r="N29" t="str">
            <v>indiretto</v>
          </cell>
          <cell r="O29">
            <v>2</v>
          </cell>
          <cell r="P29" t="str">
            <v>0.873381</v>
          </cell>
          <cell r="Q29" t="str">
            <v>0.612350</v>
          </cell>
          <cell r="R29" t="str">
            <v>0.244127</v>
          </cell>
          <cell r="S29" t="str">
            <v>NO</v>
          </cell>
          <cell r="T29" t="str">
            <v>DELIBERAZIONE EGATO 29 19/12/2018</v>
          </cell>
        </row>
        <row r="30">
          <cell r="D30" t="str">
            <v>C343072</v>
          </cell>
          <cell r="E30">
            <v>46054</v>
          </cell>
          <cell r="F30">
            <v>46418</v>
          </cell>
          <cell r="G30">
            <v>46168</v>
          </cell>
          <cell r="H30">
            <v>46168</v>
          </cell>
          <cell r="J30" t="str">
            <v>004078</v>
          </cell>
          <cell r="K30">
            <v>-70.16</v>
          </cell>
          <cell r="L30">
            <v>-70.16</v>
          </cell>
          <cell r="M30">
            <v>-70.16</v>
          </cell>
          <cell r="N30" t="str">
            <v>indiretto</v>
          </cell>
          <cell r="O30">
            <v>2</v>
          </cell>
          <cell r="P30" t="str">
            <v>0.970423</v>
          </cell>
          <cell r="Q30" t="str">
            <v>0.680389</v>
          </cell>
          <cell r="R30" t="str">
            <v>0.271253</v>
          </cell>
          <cell r="S30" t="str">
            <v>NO</v>
          </cell>
          <cell r="T30" t="str">
            <v>DELIBERAZIONE EGATO 29 19/12/2018</v>
          </cell>
        </row>
        <row r="31">
          <cell r="D31" t="str">
            <v>C317493</v>
          </cell>
          <cell r="E31">
            <v>46054</v>
          </cell>
          <cell r="F31">
            <v>46418</v>
          </cell>
          <cell r="G31">
            <v>46191</v>
          </cell>
          <cell r="H31">
            <v>46191</v>
          </cell>
          <cell r="J31" t="str">
            <v>004066</v>
          </cell>
          <cell r="K31">
            <v>-140.31</v>
          </cell>
          <cell r="L31">
            <v>-140.31</v>
          </cell>
          <cell r="M31">
            <v>-140.31</v>
          </cell>
          <cell r="N31" t="str">
            <v>indiretto</v>
          </cell>
          <cell r="O31">
            <v>4</v>
          </cell>
          <cell r="P31" t="str">
            <v>0.970423</v>
          </cell>
          <cell r="Q31" t="str">
            <v>0.680389</v>
          </cell>
          <cell r="R31" t="str">
            <v>0.271253</v>
          </cell>
          <cell r="S31" t="str">
            <v>NO</v>
          </cell>
          <cell r="T31" t="str">
            <v>DELIBERAZIONE EGATO 29 19/12/2018</v>
          </cell>
        </row>
        <row r="32">
          <cell r="D32" t="str">
            <v>C314065</v>
          </cell>
          <cell r="E32">
            <v>46054</v>
          </cell>
          <cell r="F32">
            <v>46418</v>
          </cell>
          <cell r="G32">
            <v>46169</v>
          </cell>
          <cell r="H32">
            <v>46169</v>
          </cell>
          <cell r="J32" t="str">
            <v>004078</v>
          </cell>
          <cell r="K32">
            <v>-35.08</v>
          </cell>
          <cell r="L32">
            <v>-35.08</v>
          </cell>
          <cell r="M32">
            <v>-35.08</v>
          </cell>
          <cell r="N32" t="str">
            <v>indiretto</v>
          </cell>
          <cell r="O32">
            <v>1</v>
          </cell>
          <cell r="P32" t="str">
            <v>0.970423</v>
          </cell>
          <cell r="Q32" t="str">
            <v>0.680389</v>
          </cell>
          <cell r="R32" t="str">
            <v>0.271253</v>
          </cell>
          <cell r="S32" t="str">
            <v>NO</v>
          </cell>
          <cell r="T32" t="str">
            <v>DELIBERAZIONE EGATO 29 19/12/2018</v>
          </cell>
        </row>
        <row r="33">
          <cell r="D33" t="str">
            <v>C320180</v>
          </cell>
          <cell r="E33">
            <v>46054</v>
          </cell>
          <cell r="F33">
            <v>46418</v>
          </cell>
          <cell r="G33">
            <v>46181</v>
          </cell>
          <cell r="H33">
            <v>46181</v>
          </cell>
          <cell r="J33" t="str">
            <v>004081</v>
          </cell>
          <cell r="K33">
            <v>-118.31</v>
          </cell>
          <cell r="L33">
            <v>-118.31</v>
          </cell>
          <cell r="M33">
            <v>-118.31</v>
          </cell>
          <cell r="N33" t="str">
            <v>indiretto</v>
          </cell>
          <cell r="O33">
            <v>3</v>
          </cell>
          <cell r="P33">
            <v>1155411</v>
          </cell>
          <cell r="Q33" t="str">
            <v>0.691798</v>
          </cell>
          <cell r="R33" t="str">
            <v>0.313675</v>
          </cell>
          <cell r="S33" t="str">
            <v>NO</v>
          </cell>
          <cell r="T33" t="str">
            <v>DELIBERAZIONE EGATO 2 04/02/2019</v>
          </cell>
        </row>
        <row r="34">
          <cell r="D34" t="str">
            <v>C319640</v>
          </cell>
          <cell r="E34">
            <v>46082</v>
          </cell>
          <cell r="F34">
            <v>46446</v>
          </cell>
          <cell r="G34">
            <v>46149</v>
          </cell>
          <cell r="H34">
            <v>46149</v>
          </cell>
          <cell r="J34" t="str">
            <v>004213</v>
          </cell>
          <cell r="K34">
            <v>-95.07</v>
          </cell>
          <cell r="L34">
            <v>-95.07</v>
          </cell>
          <cell r="M34">
            <v>-95.07</v>
          </cell>
          <cell r="N34" t="str">
            <v>indiretto</v>
          </cell>
          <cell r="O34">
            <v>3</v>
          </cell>
          <cell r="P34" t="str">
            <v>0.670523</v>
          </cell>
          <cell r="Q34" t="str">
            <v>0.790874</v>
          </cell>
          <cell r="R34" t="str">
            <v>0.275088</v>
          </cell>
          <cell r="S34" t="str">
            <v>NO</v>
          </cell>
          <cell r="T34" t="str">
            <v>DELIBERA EGATO 12 22/04/21</v>
          </cell>
        </row>
        <row r="35">
          <cell r="D35" t="str">
            <v>C336624</v>
          </cell>
          <cell r="E35">
            <v>46082</v>
          </cell>
          <cell r="F35">
            <v>46446</v>
          </cell>
          <cell r="G35">
            <v>46191</v>
          </cell>
          <cell r="H35">
            <v>46191</v>
          </cell>
          <cell r="J35" t="str">
            <v>004066</v>
          </cell>
          <cell r="K35">
            <v>-245.54</v>
          </cell>
          <cell r="L35">
            <v>-245.54</v>
          </cell>
          <cell r="M35">
            <v>-245.54</v>
          </cell>
          <cell r="N35" t="str">
            <v>indiretto</v>
          </cell>
          <cell r="O35">
            <v>7</v>
          </cell>
          <cell r="P35" t="str">
            <v>0.970423</v>
          </cell>
          <cell r="Q35" t="str">
            <v>0.680389</v>
          </cell>
          <cell r="R35" t="str">
            <v>0.271253</v>
          </cell>
          <cell r="S35" t="str">
            <v>NO</v>
          </cell>
          <cell r="T35" t="str">
            <v>DELIBERAZIONE EGATO 29 19/12/2018</v>
          </cell>
        </row>
        <row r="36">
          <cell r="D36" t="str">
            <v>C336636</v>
          </cell>
          <cell r="E36">
            <v>46082</v>
          </cell>
          <cell r="F36">
            <v>46446</v>
          </cell>
          <cell r="G36">
            <v>46191</v>
          </cell>
          <cell r="H36">
            <v>46191</v>
          </cell>
          <cell r="J36" t="str">
            <v>004061</v>
          </cell>
          <cell r="K36">
            <v>-175.39</v>
          </cell>
          <cell r="L36">
            <v>-175.39</v>
          </cell>
          <cell r="M36">
            <v>-175.39</v>
          </cell>
          <cell r="N36" t="str">
            <v>indiretto</v>
          </cell>
          <cell r="O36">
            <v>5</v>
          </cell>
          <cell r="P36" t="str">
            <v>0.970423</v>
          </cell>
          <cell r="Q36" t="str">
            <v>0.680389</v>
          </cell>
          <cell r="R36" t="str">
            <v>0.271253</v>
          </cell>
          <cell r="S36" t="str">
            <v>NO</v>
          </cell>
          <cell r="T36" t="str">
            <v>DELIBERAZIONE EGATO 29 19/12/2018</v>
          </cell>
        </row>
        <row r="37">
          <cell r="D37" t="str">
            <v>C343882</v>
          </cell>
          <cell r="E37">
            <v>46113</v>
          </cell>
          <cell r="F37">
            <v>46477</v>
          </cell>
          <cell r="G37">
            <v>46149</v>
          </cell>
          <cell r="H37">
            <v>46149</v>
          </cell>
          <cell r="J37" t="str">
            <v>004157</v>
          </cell>
          <cell r="K37">
            <v>-35.08</v>
          </cell>
          <cell r="L37">
            <v>-35.08</v>
          </cell>
          <cell r="M37">
            <v>-35.08</v>
          </cell>
          <cell r="N37" t="str">
            <v>indiretto</v>
          </cell>
          <cell r="O37">
            <v>1</v>
          </cell>
          <cell r="P37" t="str">
            <v>0.970423</v>
          </cell>
          <cell r="Q37" t="str">
            <v>0.680389</v>
          </cell>
          <cell r="R37" t="str">
            <v>0.271253</v>
          </cell>
          <cell r="S37" t="str">
            <v>NO</v>
          </cell>
          <cell r="T37" t="str">
            <v>DELIBERAZIONE EGATO 29 19/12/2018</v>
          </cell>
        </row>
        <row r="38">
          <cell r="D38" t="str">
            <v>C343923</v>
          </cell>
          <cell r="E38">
            <v>46113</v>
          </cell>
          <cell r="F38">
            <v>46477</v>
          </cell>
          <cell r="G38">
            <v>46149</v>
          </cell>
          <cell r="H38">
            <v>46149</v>
          </cell>
          <cell r="J38" t="str">
            <v>004208</v>
          </cell>
          <cell r="K38">
            <v>-111.52</v>
          </cell>
          <cell r="L38">
            <v>-111.52</v>
          </cell>
          <cell r="M38">
            <v>-111.52</v>
          </cell>
          <cell r="N38" t="str">
            <v>indiretto</v>
          </cell>
          <cell r="O38">
            <v>3</v>
          </cell>
          <cell r="P38">
            <v>1263176</v>
          </cell>
          <cell r="Q38" t="str">
            <v>0.577445</v>
          </cell>
          <cell r="R38" t="str">
            <v>0.196331</v>
          </cell>
          <cell r="S38" t="str">
            <v>NO</v>
          </cell>
          <cell r="T38" t="str">
            <v>DELIBERAZIONE EGATO 11 27/03/2019</v>
          </cell>
        </row>
        <row r="39">
          <cell r="D39" t="str">
            <v>C343887</v>
          </cell>
          <cell r="E39">
            <v>46113</v>
          </cell>
          <cell r="F39">
            <v>46477</v>
          </cell>
          <cell r="G39">
            <v>46149</v>
          </cell>
          <cell r="H39">
            <v>46149</v>
          </cell>
          <cell r="J39" t="str">
            <v>004179</v>
          </cell>
          <cell r="K39">
            <v>-59.27</v>
          </cell>
          <cell r="L39">
            <v>-59.27</v>
          </cell>
          <cell r="M39">
            <v>-59.27</v>
          </cell>
          <cell r="N39" t="str">
            <v>indiretto</v>
          </cell>
          <cell r="O39">
            <v>2</v>
          </cell>
          <cell r="P39" t="str">
            <v>0.850124</v>
          </cell>
          <cell r="Q39" t="str">
            <v>0.568257</v>
          </cell>
          <cell r="R39" t="str">
            <v>0.205575</v>
          </cell>
          <cell r="S39" t="str">
            <v>NO</v>
          </cell>
          <cell r="T39" t="str">
            <v>DELIBERAZIONE EGATO 11 27/03/2019</v>
          </cell>
        </row>
        <row r="40">
          <cell r="D40" t="str">
            <v>C343910</v>
          </cell>
          <cell r="E40">
            <v>46113</v>
          </cell>
          <cell r="F40">
            <v>46477</v>
          </cell>
          <cell r="G40">
            <v>46149</v>
          </cell>
          <cell r="H40">
            <v>46149</v>
          </cell>
          <cell r="J40" t="str">
            <v>004078</v>
          </cell>
          <cell r="K40">
            <v>-35.08</v>
          </cell>
          <cell r="L40">
            <v>-35.08</v>
          </cell>
          <cell r="M40">
            <v>-35.08</v>
          </cell>
          <cell r="N40" t="str">
            <v>indiretto</v>
          </cell>
          <cell r="O40">
            <v>1</v>
          </cell>
          <cell r="P40" t="str">
            <v>0.970423</v>
          </cell>
          <cell r="Q40" t="str">
            <v>0.680389</v>
          </cell>
          <cell r="R40" t="str">
            <v>0.271253</v>
          </cell>
          <cell r="S40" t="str">
            <v>NO</v>
          </cell>
          <cell r="T40" t="str">
            <v>DELIBERAZIONE EGATO 29 19/12/2018</v>
          </cell>
        </row>
        <row r="41">
          <cell r="D41" t="str">
            <v>C320029</v>
          </cell>
          <cell r="E41">
            <v>46113</v>
          </cell>
          <cell r="F41">
            <v>46477</v>
          </cell>
          <cell r="G41">
            <v>46149</v>
          </cell>
          <cell r="H41">
            <v>46149</v>
          </cell>
          <cell r="J41" t="str">
            <v>004034</v>
          </cell>
          <cell r="K41">
            <v>-70.16</v>
          </cell>
          <cell r="L41">
            <v>-70.16</v>
          </cell>
          <cell r="M41">
            <v>-70.16</v>
          </cell>
          <cell r="N41" t="str">
            <v>indiretto</v>
          </cell>
          <cell r="O41">
            <v>2</v>
          </cell>
          <cell r="P41" t="str">
            <v>0.970423</v>
          </cell>
          <cell r="Q41" t="str">
            <v>0.680389</v>
          </cell>
          <cell r="R41" t="str">
            <v>0.271253</v>
          </cell>
          <cell r="S41" t="str">
            <v>NO</v>
          </cell>
          <cell r="T41" t="str">
            <v>DELIBERAZIONE EGATO 29 19/12/2018</v>
          </cell>
        </row>
        <row r="42">
          <cell r="D42" t="str">
            <v>C341839</v>
          </cell>
          <cell r="E42">
            <v>46113</v>
          </cell>
          <cell r="F42">
            <v>46477</v>
          </cell>
          <cell r="G42">
            <v>46149</v>
          </cell>
          <cell r="H42">
            <v>46149</v>
          </cell>
          <cell r="J42" t="str">
            <v>004121</v>
          </cell>
          <cell r="K42">
            <v>-40.479999999999997</v>
          </cell>
          <cell r="L42">
            <v>-40.479999999999997</v>
          </cell>
          <cell r="M42">
            <v>-40.479999999999997</v>
          </cell>
          <cell r="N42" t="str">
            <v>indiretto</v>
          </cell>
          <cell r="O42">
            <v>3</v>
          </cell>
          <cell r="P42" t="str">
            <v>0.238563</v>
          </cell>
          <cell r="Q42" t="str">
            <v>0.373689</v>
          </cell>
          <cell r="R42" t="str">
            <v>0.127053</v>
          </cell>
          <cell r="S42" t="str">
            <v>NO</v>
          </cell>
          <cell r="T42" t="str">
            <v>DELIBERAZIONE EGATO 2 04/02/2019</v>
          </cell>
        </row>
        <row r="43">
          <cell r="D43" t="str">
            <v>C343892</v>
          </cell>
          <cell r="E43">
            <v>46113</v>
          </cell>
          <cell r="F43">
            <v>46477</v>
          </cell>
          <cell r="G43">
            <v>46149</v>
          </cell>
          <cell r="H43">
            <v>46149</v>
          </cell>
          <cell r="J43" t="str">
            <v>004130</v>
          </cell>
          <cell r="K43">
            <v>-83.41</v>
          </cell>
          <cell r="L43">
            <v>-83.41</v>
          </cell>
          <cell r="M43">
            <v>-83.41</v>
          </cell>
          <cell r="N43" t="str">
            <v>indiretto</v>
          </cell>
          <cell r="O43">
            <v>3</v>
          </cell>
          <cell r="P43" t="str">
            <v>0.577221</v>
          </cell>
          <cell r="Q43" t="str">
            <v>0.647377</v>
          </cell>
          <cell r="R43" t="str">
            <v>0.298792</v>
          </cell>
          <cell r="S43" t="str">
            <v>NO</v>
          </cell>
          <cell r="T43" t="str">
            <v>DELIBERA EGATO N.29 DEL 19/12/2018</v>
          </cell>
        </row>
        <row r="44">
          <cell r="D44" t="str">
            <v>C343922</v>
          </cell>
          <cell r="E44">
            <v>46113</v>
          </cell>
          <cell r="F44">
            <v>46477</v>
          </cell>
          <cell r="G44">
            <v>46149</v>
          </cell>
          <cell r="H44">
            <v>46149</v>
          </cell>
          <cell r="J44" t="str">
            <v>004208</v>
          </cell>
          <cell r="K44">
            <v>-37.17</v>
          </cell>
          <cell r="L44">
            <v>-37.17</v>
          </cell>
          <cell r="M44">
            <v>-37.17</v>
          </cell>
          <cell r="N44" t="str">
            <v>indiretto</v>
          </cell>
          <cell r="O44">
            <v>1</v>
          </cell>
          <cell r="P44">
            <v>1263176</v>
          </cell>
          <cell r="Q44" t="str">
            <v>0.577445</v>
          </cell>
          <cell r="R44" t="str">
            <v>0.196331</v>
          </cell>
          <cell r="S44" t="str">
            <v>NO</v>
          </cell>
          <cell r="T44" t="str">
            <v>DELIBERAZIONE EGATO 11 27/03/2019</v>
          </cell>
        </row>
        <row r="45">
          <cell r="D45" t="str">
            <v>C308713</v>
          </cell>
          <cell r="E45">
            <v>46113</v>
          </cell>
          <cell r="F45">
            <v>46477</v>
          </cell>
          <cell r="G45">
            <v>46149</v>
          </cell>
          <cell r="H45">
            <v>46149</v>
          </cell>
          <cell r="J45" t="str">
            <v>004233</v>
          </cell>
          <cell r="K45">
            <v>-31.57</v>
          </cell>
          <cell r="L45">
            <v>-31.57</v>
          </cell>
          <cell r="M45">
            <v>-31.57</v>
          </cell>
          <cell r="N45" t="str">
            <v>indiretto</v>
          </cell>
          <cell r="O45">
            <v>1</v>
          </cell>
          <cell r="P45" t="str">
            <v>0.873381</v>
          </cell>
          <cell r="Q45" t="str">
            <v>0.612350</v>
          </cell>
          <cell r="R45" t="str">
            <v>0.244127</v>
          </cell>
          <cell r="S45" t="str">
            <v>NO</v>
          </cell>
          <cell r="T45" t="str">
            <v>DELIBERAZIONE EGATO 29 19/12/2018</v>
          </cell>
        </row>
        <row r="46">
          <cell r="D46" t="str">
            <v>C343913</v>
          </cell>
          <cell r="E46">
            <v>46113</v>
          </cell>
          <cell r="F46">
            <v>46477</v>
          </cell>
          <cell r="G46">
            <v>46149</v>
          </cell>
          <cell r="H46">
            <v>46149</v>
          </cell>
          <cell r="J46" t="str">
            <v>004078</v>
          </cell>
          <cell r="K46">
            <v>-105.23</v>
          </cell>
          <cell r="L46">
            <v>-105.23</v>
          </cell>
          <cell r="M46">
            <v>-105.23</v>
          </cell>
          <cell r="N46" t="str">
            <v>indiretto</v>
          </cell>
          <cell r="O46">
            <v>3</v>
          </cell>
          <cell r="P46" t="str">
            <v>0.970423</v>
          </cell>
          <cell r="Q46" t="str">
            <v>0.680389</v>
          </cell>
          <cell r="R46" t="str">
            <v>0.271253</v>
          </cell>
          <cell r="S46" t="str">
            <v>NO</v>
          </cell>
          <cell r="T46" t="str">
            <v>DELIBERAZIONE EGATO 29 19/12/2018</v>
          </cell>
        </row>
        <row r="47">
          <cell r="D47" t="str">
            <v>C312362</v>
          </cell>
          <cell r="E47">
            <v>46113</v>
          </cell>
          <cell r="F47">
            <v>46477</v>
          </cell>
          <cell r="G47">
            <v>46149</v>
          </cell>
          <cell r="H47">
            <v>46149</v>
          </cell>
          <cell r="J47" t="str">
            <v>004025</v>
          </cell>
          <cell r="K47">
            <v>-210.47</v>
          </cell>
          <cell r="L47">
            <v>-210.47</v>
          </cell>
          <cell r="M47">
            <v>-210.47</v>
          </cell>
          <cell r="N47" t="str">
            <v>indiretto</v>
          </cell>
          <cell r="O47">
            <v>6</v>
          </cell>
          <cell r="P47" t="str">
            <v>0.970423</v>
          </cell>
          <cell r="Q47" t="str">
            <v>0.680389</v>
          </cell>
          <cell r="R47" t="str">
            <v>0.271253</v>
          </cell>
          <cell r="S47" t="str">
            <v>NO</v>
          </cell>
          <cell r="T47" t="str">
            <v>DELIBERAZIONE EGATO 29 19/12/2018</v>
          </cell>
        </row>
        <row r="48">
          <cell r="D48" t="str">
            <v>C320109</v>
          </cell>
          <cell r="E48">
            <v>46113</v>
          </cell>
          <cell r="F48">
            <v>46477</v>
          </cell>
          <cell r="G48">
            <v>46149</v>
          </cell>
          <cell r="H48">
            <v>46149</v>
          </cell>
          <cell r="J48" t="str">
            <v>004068</v>
          </cell>
          <cell r="K48">
            <v>-35.08</v>
          </cell>
          <cell r="L48">
            <v>-35.08</v>
          </cell>
          <cell r="M48">
            <v>-35.08</v>
          </cell>
          <cell r="N48" t="str">
            <v>indiretto</v>
          </cell>
          <cell r="O48">
            <v>1</v>
          </cell>
          <cell r="P48" t="str">
            <v>0.970423</v>
          </cell>
          <cell r="Q48" t="str">
            <v>0.680389</v>
          </cell>
          <cell r="R48" t="str">
            <v>0.271253</v>
          </cell>
          <cell r="S48" t="str">
            <v>NO</v>
          </cell>
          <cell r="T48" t="str">
            <v>DELIBERAZIONE EGATO 29 19/12/2018</v>
          </cell>
        </row>
        <row r="49">
          <cell r="D49" t="str">
            <v>C343915</v>
          </cell>
          <cell r="E49">
            <v>46113</v>
          </cell>
          <cell r="F49">
            <v>46477</v>
          </cell>
          <cell r="G49">
            <v>46149</v>
          </cell>
          <cell r="H49">
            <v>46149</v>
          </cell>
          <cell r="J49" t="str">
            <v>004192</v>
          </cell>
          <cell r="K49">
            <v>-70.16</v>
          </cell>
          <cell r="L49">
            <v>-70.16</v>
          </cell>
          <cell r="M49">
            <v>-70.16</v>
          </cell>
          <cell r="N49" t="str">
            <v>indiretto</v>
          </cell>
          <cell r="O49">
            <v>2</v>
          </cell>
          <cell r="P49" t="str">
            <v>0.970423</v>
          </cell>
          <cell r="Q49" t="str">
            <v>0.680389</v>
          </cell>
          <cell r="R49" t="str">
            <v>0.271253</v>
          </cell>
          <cell r="S49" t="str">
            <v>NO</v>
          </cell>
          <cell r="T49" t="str">
            <v>DELIBERAZIONE EGATO 29 19/12/2018</v>
          </cell>
        </row>
        <row r="50">
          <cell r="D50" t="str">
            <v>C309807</v>
          </cell>
          <cell r="E50">
            <v>46113</v>
          </cell>
          <cell r="F50">
            <v>46477</v>
          </cell>
          <cell r="G50">
            <v>46149</v>
          </cell>
          <cell r="H50">
            <v>46149</v>
          </cell>
          <cell r="J50" t="str">
            <v>004192</v>
          </cell>
          <cell r="K50">
            <v>-70.16</v>
          </cell>
          <cell r="L50">
            <v>-70.16</v>
          </cell>
          <cell r="M50">
            <v>-70.16</v>
          </cell>
          <cell r="N50" t="str">
            <v>indiretto</v>
          </cell>
          <cell r="O50">
            <v>2</v>
          </cell>
          <cell r="P50" t="str">
            <v>0.970423</v>
          </cell>
          <cell r="Q50" t="str">
            <v>0.680389</v>
          </cell>
          <cell r="R50" t="str">
            <v>0.271253</v>
          </cell>
          <cell r="S50" t="str">
            <v>NO</v>
          </cell>
          <cell r="T50" t="str">
            <v>DELIBERAZIONE EGATO 29 19/12/2018</v>
          </cell>
        </row>
        <row r="51">
          <cell r="D51" t="str">
            <v>C343918</v>
          </cell>
          <cell r="E51">
            <v>46113</v>
          </cell>
          <cell r="F51">
            <v>46477</v>
          </cell>
          <cell r="G51">
            <v>46149</v>
          </cell>
          <cell r="H51">
            <v>46149</v>
          </cell>
          <cell r="J51" t="str">
            <v>004061</v>
          </cell>
          <cell r="K51">
            <v>-105.23</v>
          </cell>
          <cell r="L51">
            <v>-105.23</v>
          </cell>
          <cell r="M51">
            <v>-105.23</v>
          </cell>
          <cell r="N51" t="str">
            <v>indiretto</v>
          </cell>
          <cell r="O51">
            <v>3</v>
          </cell>
          <cell r="P51" t="str">
            <v>0.970423</v>
          </cell>
          <cell r="Q51" t="str">
            <v>0.680389</v>
          </cell>
          <cell r="R51" t="str">
            <v>0.271253</v>
          </cell>
          <cell r="S51" t="str">
            <v>NO</v>
          </cell>
          <cell r="T51" t="str">
            <v>DELIBERAZIONE EGATO 29 19/12/2018</v>
          </cell>
        </row>
        <row r="52">
          <cell r="D52" t="str">
            <v>C343914</v>
          </cell>
          <cell r="E52">
            <v>46113</v>
          </cell>
          <cell r="F52">
            <v>46477</v>
          </cell>
          <cell r="G52">
            <v>46149</v>
          </cell>
          <cell r="H52">
            <v>46149</v>
          </cell>
          <cell r="J52" t="str">
            <v>004078</v>
          </cell>
          <cell r="K52">
            <v>-35.08</v>
          </cell>
          <cell r="L52">
            <v>-35.08</v>
          </cell>
          <cell r="M52">
            <v>-35.08</v>
          </cell>
          <cell r="N52" t="str">
            <v>indiretto</v>
          </cell>
          <cell r="O52">
            <v>1</v>
          </cell>
          <cell r="P52" t="str">
            <v>0.970423</v>
          </cell>
          <cell r="Q52" t="str">
            <v>0.680389</v>
          </cell>
          <cell r="R52" t="str">
            <v>0.271253</v>
          </cell>
          <cell r="S52" t="str">
            <v>NO</v>
          </cell>
          <cell r="T52" t="str">
            <v>DELIBERAZIONE EGATO 29 19/12/2018</v>
          </cell>
        </row>
        <row r="53">
          <cell r="D53" t="str">
            <v>C343894</v>
          </cell>
          <cell r="E53">
            <v>46113</v>
          </cell>
          <cell r="F53">
            <v>46477</v>
          </cell>
          <cell r="G53">
            <v>46149</v>
          </cell>
          <cell r="H53">
            <v>46149</v>
          </cell>
          <cell r="J53" t="str">
            <v>004064</v>
          </cell>
          <cell r="K53">
            <v>-105.23</v>
          </cell>
          <cell r="L53">
            <v>-105.23</v>
          </cell>
          <cell r="M53">
            <v>-105.23</v>
          </cell>
          <cell r="N53" t="str">
            <v>indiretto</v>
          </cell>
          <cell r="O53">
            <v>3</v>
          </cell>
          <cell r="P53" t="str">
            <v>0.970423</v>
          </cell>
          <cell r="Q53" t="str">
            <v>0.680389</v>
          </cell>
          <cell r="R53" t="str">
            <v>0.271253</v>
          </cell>
          <cell r="S53" t="str">
            <v>NO</v>
          </cell>
          <cell r="T53" t="str">
            <v>DELIBERAZIONE EGATO 29 19/12/2018</v>
          </cell>
        </row>
        <row r="54">
          <cell r="D54" t="str">
            <v>C343896</v>
          </cell>
          <cell r="E54">
            <v>46113</v>
          </cell>
          <cell r="F54">
            <v>46477</v>
          </cell>
          <cell r="G54">
            <v>46149</v>
          </cell>
          <cell r="H54">
            <v>46149</v>
          </cell>
          <cell r="J54" t="str">
            <v>004130</v>
          </cell>
          <cell r="K54">
            <v>-139.01</v>
          </cell>
          <cell r="L54">
            <v>-139.01</v>
          </cell>
          <cell r="M54">
            <v>-139.01</v>
          </cell>
          <cell r="N54" t="str">
            <v>indiretto</v>
          </cell>
          <cell r="O54">
            <v>5</v>
          </cell>
          <cell r="P54" t="str">
            <v>0.577221</v>
          </cell>
          <cell r="Q54" t="str">
            <v>0.647377</v>
          </cell>
          <cell r="R54" t="str">
            <v>0.298792</v>
          </cell>
          <cell r="S54" t="str">
            <v>NO</v>
          </cell>
          <cell r="T54" t="str">
            <v>DELIBERA EGATO N.29 DEL 19/12/2018</v>
          </cell>
        </row>
        <row r="55">
          <cell r="D55" t="str">
            <v>C128516</v>
          </cell>
          <cell r="E55">
            <v>46113</v>
          </cell>
          <cell r="F55">
            <v>46477</v>
          </cell>
          <cell r="G55">
            <v>46149</v>
          </cell>
          <cell r="H55">
            <v>46149</v>
          </cell>
          <cell r="J55" t="str">
            <v>004078</v>
          </cell>
          <cell r="K55">
            <v>-175.39</v>
          </cell>
          <cell r="L55">
            <v>-175.39</v>
          </cell>
          <cell r="M55">
            <v>-175.39</v>
          </cell>
          <cell r="N55" t="str">
            <v>indiretto</v>
          </cell>
          <cell r="O55">
            <v>5</v>
          </cell>
          <cell r="P55" t="str">
            <v>0.970423</v>
          </cell>
          <cell r="Q55" t="str">
            <v>0.680389</v>
          </cell>
          <cell r="R55" t="str">
            <v>0.271253</v>
          </cell>
          <cell r="S55" t="str">
            <v>NO</v>
          </cell>
          <cell r="T55" t="str">
            <v>DELIBERAZIONE EGATO 29 19/12/2018</v>
          </cell>
        </row>
        <row r="56">
          <cell r="D56" t="str">
            <v>C343911</v>
          </cell>
          <cell r="E56">
            <v>46113</v>
          </cell>
          <cell r="F56">
            <v>46477</v>
          </cell>
          <cell r="G56">
            <v>46149</v>
          </cell>
          <cell r="H56">
            <v>46149</v>
          </cell>
          <cell r="J56" t="str">
            <v>004078</v>
          </cell>
          <cell r="K56">
            <v>-35.08</v>
          </cell>
          <cell r="L56">
            <v>-35.08</v>
          </cell>
          <cell r="M56">
            <v>-35.08</v>
          </cell>
          <cell r="N56" t="str">
            <v>indiretto</v>
          </cell>
          <cell r="O56">
            <v>1</v>
          </cell>
          <cell r="P56" t="str">
            <v>0.970423</v>
          </cell>
          <cell r="Q56" t="str">
            <v>0.680389</v>
          </cell>
          <cell r="R56" t="str">
            <v>0.271253</v>
          </cell>
          <cell r="S56" t="str">
            <v>NO</v>
          </cell>
          <cell r="T56" t="str">
            <v>DELIBERAZIONE EGATO 29 19/12/2018</v>
          </cell>
        </row>
        <row r="57">
          <cell r="D57" t="str">
            <v>C343893</v>
          </cell>
          <cell r="E57">
            <v>46113</v>
          </cell>
          <cell r="F57">
            <v>46477</v>
          </cell>
          <cell r="G57">
            <v>46149</v>
          </cell>
          <cell r="H57">
            <v>46149</v>
          </cell>
          <cell r="J57" t="str">
            <v>004061</v>
          </cell>
          <cell r="K57">
            <v>-70.16</v>
          </cell>
          <cell r="L57">
            <v>-70.16</v>
          </cell>
          <cell r="M57">
            <v>-70.16</v>
          </cell>
          <cell r="N57" t="str">
            <v>indiretto</v>
          </cell>
          <cell r="O57">
            <v>2</v>
          </cell>
          <cell r="P57" t="str">
            <v>0.970423</v>
          </cell>
          <cell r="Q57" t="str">
            <v>0.680389</v>
          </cell>
          <cell r="R57" t="str">
            <v>0.271253</v>
          </cell>
          <cell r="S57" t="str">
            <v>NO</v>
          </cell>
          <cell r="T57" t="str">
            <v>DELIBERAZIONE EGATO 29 19/12/2018</v>
          </cell>
        </row>
        <row r="58">
          <cell r="D58" t="str">
            <v>C343889</v>
          </cell>
          <cell r="E58">
            <v>46113</v>
          </cell>
          <cell r="F58">
            <v>46477</v>
          </cell>
          <cell r="G58">
            <v>46149</v>
          </cell>
          <cell r="H58">
            <v>46149</v>
          </cell>
          <cell r="J58" t="str">
            <v>004012</v>
          </cell>
          <cell r="K58">
            <v>-130.34</v>
          </cell>
          <cell r="L58">
            <v>-130.34</v>
          </cell>
          <cell r="M58">
            <v>-130.34</v>
          </cell>
          <cell r="N58" t="str">
            <v>indiretto</v>
          </cell>
          <cell r="O58">
            <v>5</v>
          </cell>
          <cell r="P58" t="str">
            <v>0.759077</v>
          </cell>
          <cell r="Q58" t="str">
            <v>0.490285</v>
          </cell>
          <cell r="R58" t="str">
            <v>0.179000</v>
          </cell>
          <cell r="S58" t="str">
            <v>NO</v>
          </cell>
          <cell r="T58" t="str">
            <v>DELIBERAZIONE EGATO 2 04/02/2019</v>
          </cell>
        </row>
        <row r="59">
          <cell r="D59" t="str">
            <v>C343897</v>
          </cell>
          <cell r="E59">
            <v>46113</v>
          </cell>
          <cell r="F59">
            <v>46477</v>
          </cell>
          <cell r="G59">
            <v>46149</v>
          </cell>
          <cell r="H59">
            <v>46149</v>
          </cell>
          <cell r="J59" t="str">
            <v>004130</v>
          </cell>
          <cell r="K59">
            <v>-166.81</v>
          </cell>
          <cell r="L59">
            <v>-166.81</v>
          </cell>
          <cell r="M59">
            <v>-166.81</v>
          </cell>
          <cell r="N59" t="str">
            <v>indiretto</v>
          </cell>
          <cell r="O59">
            <v>6</v>
          </cell>
          <cell r="P59" t="str">
            <v>0.577221</v>
          </cell>
          <cell r="Q59" t="str">
            <v>0.647377</v>
          </cell>
          <cell r="R59" t="str">
            <v>0.298792</v>
          </cell>
          <cell r="S59" t="str">
            <v>NO</v>
          </cell>
          <cell r="T59" t="str">
            <v>DELIBERA EGATO N.29 DEL 19/12/2018</v>
          </cell>
        </row>
        <row r="60">
          <cell r="D60" t="str">
            <v>C315043</v>
          </cell>
          <cell r="E60">
            <v>46113</v>
          </cell>
          <cell r="F60">
            <v>46477</v>
          </cell>
          <cell r="G60">
            <v>46149</v>
          </cell>
          <cell r="H60">
            <v>46149</v>
          </cell>
          <cell r="J60" t="str">
            <v>004233</v>
          </cell>
          <cell r="K60">
            <v>-31.57</v>
          </cell>
          <cell r="L60">
            <v>-31.57</v>
          </cell>
          <cell r="M60">
            <v>-31.57</v>
          </cell>
          <cell r="N60" t="str">
            <v>indiretto</v>
          </cell>
          <cell r="O60">
            <v>1</v>
          </cell>
          <cell r="P60" t="str">
            <v>0.873381</v>
          </cell>
          <cell r="Q60" t="str">
            <v>0.612350</v>
          </cell>
          <cell r="R60" t="str">
            <v>0.244127</v>
          </cell>
          <cell r="S60" t="str">
            <v>NO</v>
          </cell>
          <cell r="T60" t="str">
            <v>DELIBERAZIONE EGATO 29 19/12/2018</v>
          </cell>
        </row>
        <row r="61">
          <cell r="D61" t="str">
            <v>C311703</v>
          </cell>
          <cell r="E61">
            <v>46113</v>
          </cell>
          <cell r="F61">
            <v>46477</v>
          </cell>
          <cell r="G61">
            <v>46149</v>
          </cell>
          <cell r="H61">
            <v>46149</v>
          </cell>
          <cell r="J61" t="str">
            <v>004078</v>
          </cell>
          <cell r="K61">
            <v>-35.08</v>
          </cell>
          <cell r="L61">
            <v>-35.08</v>
          </cell>
          <cell r="M61">
            <v>-35.08</v>
          </cell>
          <cell r="N61" t="str">
            <v>indiretto</v>
          </cell>
          <cell r="O61">
            <v>1</v>
          </cell>
          <cell r="P61" t="str">
            <v>0.970423</v>
          </cell>
          <cell r="Q61" t="str">
            <v>0.680389</v>
          </cell>
          <cell r="R61" t="str">
            <v>0.271253</v>
          </cell>
          <cell r="S61" t="str">
            <v>NO</v>
          </cell>
          <cell r="T61" t="str">
            <v>DELIBERAZIONE EGATO 29 19/12/2018</v>
          </cell>
        </row>
        <row r="62">
          <cell r="D62" t="str">
            <v>C321357</v>
          </cell>
          <cell r="E62">
            <v>46113</v>
          </cell>
          <cell r="F62">
            <v>46477</v>
          </cell>
          <cell r="G62">
            <v>46149</v>
          </cell>
          <cell r="H62">
            <v>46149</v>
          </cell>
          <cell r="J62" t="str">
            <v>004078</v>
          </cell>
          <cell r="K62">
            <v>-175.39</v>
          </cell>
          <cell r="L62">
            <v>-175.39</v>
          </cell>
          <cell r="M62">
            <v>-175.39</v>
          </cell>
          <cell r="N62" t="str">
            <v>indiretto</v>
          </cell>
          <cell r="O62">
            <v>5</v>
          </cell>
          <cell r="P62" t="str">
            <v>0.970423</v>
          </cell>
          <cell r="Q62" t="str">
            <v>0.680389</v>
          </cell>
          <cell r="R62" t="str">
            <v>0.271253</v>
          </cell>
          <cell r="S62" t="str">
            <v>NO</v>
          </cell>
          <cell r="T62" t="str">
            <v>DELIBERAZIONE EGATO 29 19/12/2018</v>
          </cell>
        </row>
        <row r="63">
          <cell r="D63" t="str">
            <v>C343903</v>
          </cell>
          <cell r="E63">
            <v>46113</v>
          </cell>
          <cell r="F63">
            <v>46477</v>
          </cell>
          <cell r="G63">
            <v>46149</v>
          </cell>
          <cell r="H63">
            <v>46149</v>
          </cell>
          <cell r="J63" t="str">
            <v>004078</v>
          </cell>
          <cell r="K63">
            <v>-210.47</v>
          </cell>
          <cell r="L63">
            <v>-210.47</v>
          </cell>
          <cell r="M63">
            <v>-210.47</v>
          </cell>
          <cell r="N63" t="str">
            <v>indiretto</v>
          </cell>
          <cell r="O63">
            <v>6</v>
          </cell>
          <cell r="P63" t="str">
            <v>0.970423</v>
          </cell>
          <cell r="Q63" t="str">
            <v>0.680389</v>
          </cell>
          <cell r="R63" t="str">
            <v>0.271253</v>
          </cell>
          <cell r="S63" t="str">
            <v>NO</v>
          </cell>
          <cell r="T63" t="str">
            <v>DELIBERAZIONE EGATO 29 19/12/2018</v>
          </cell>
        </row>
        <row r="64">
          <cell r="D64" t="str">
            <v>C343895</v>
          </cell>
          <cell r="E64">
            <v>46113</v>
          </cell>
          <cell r="F64">
            <v>46477</v>
          </cell>
          <cell r="G64">
            <v>46149</v>
          </cell>
          <cell r="H64">
            <v>46149</v>
          </cell>
          <cell r="J64" t="str">
            <v>004078</v>
          </cell>
          <cell r="K64">
            <v>-175.39</v>
          </cell>
          <cell r="L64">
            <v>-175.39</v>
          </cell>
          <cell r="M64">
            <v>-175.39</v>
          </cell>
          <cell r="N64" t="str">
            <v>indiretto</v>
          </cell>
          <cell r="O64">
            <v>5</v>
          </cell>
          <cell r="P64" t="str">
            <v>0.970423</v>
          </cell>
          <cell r="Q64" t="str">
            <v>0.680389</v>
          </cell>
          <cell r="R64" t="str">
            <v>0.271253</v>
          </cell>
          <cell r="S64" t="str">
            <v>NO</v>
          </cell>
          <cell r="T64" t="str">
            <v>DELIBERAZIONE EGATO 29 19/12/2018</v>
          </cell>
        </row>
        <row r="65">
          <cell r="D65" t="str">
            <v>C343888</v>
          </cell>
          <cell r="E65">
            <v>46113</v>
          </cell>
          <cell r="F65">
            <v>46477</v>
          </cell>
          <cell r="G65">
            <v>46149</v>
          </cell>
          <cell r="H65">
            <v>46149</v>
          </cell>
          <cell r="J65" t="str">
            <v>004130</v>
          </cell>
          <cell r="K65">
            <v>-83.41</v>
          </cell>
          <cell r="L65">
            <v>-83.41</v>
          </cell>
          <cell r="M65">
            <v>-83.41</v>
          </cell>
          <cell r="N65" t="str">
            <v>indiretto</v>
          </cell>
          <cell r="O65">
            <v>3</v>
          </cell>
          <cell r="P65" t="str">
            <v>0.577221</v>
          </cell>
          <cell r="Q65" t="str">
            <v>0.647377</v>
          </cell>
          <cell r="R65" t="str">
            <v>0.298792</v>
          </cell>
          <cell r="S65" t="str">
            <v>NO</v>
          </cell>
          <cell r="T65" t="str">
            <v>DELIBERA EGATO N.29 DEL 19/12/2018</v>
          </cell>
        </row>
        <row r="66">
          <cell r="D66" t="str">
            <v>C109542</v>
          </cell>
          <cell r="E66">
            <v>46113</v>
          </cell>
          <cell r="F66">
            <v>46477</v>
          </cell>
          <cell r="G66">
            <v>46149</v>
          </cell>
          <cell r="H66">
            <v>46149</v>
          </cell>
          <cell r="J66" t="str">
            <v>004079</v>
          </cell>
          <cell r="K66">
            <v>-31.57</v>
          </cell>
          <cell r="L66">
            <v>-31.57</v>
          </cell>
          <cell r="M66">
            <v>-31.57</v>
          </cell>
          <cell r="N66" t="str">
            <v>indiretto</v>
          </cell>
          <cell r="O66">
            <v>1</v>
          </cell>
          <cell r="P66" t="str">
            <v>0.873381</v>
          </cell>
          <cell r="Q66" t="str">
            <v>0.612350</v>
          </cell>
          <cell r="R66" t="str">
            <v>0.244127</v>
          </cell>
          <cell r="S66" t="str">
            <v>NO</v>
          </cell>
          <cell r="T66" t="str">
            <v>DELIBERAZIONE EGATO 29 19/12/2018</v>
          </cell>
        </row>
        <row r="67">
          <cell r="D67" t="str">
            <v>C312185</v>
          </cell>
          <cell r="E67">
            <v>46113</v>
          </cell>
          <cell r="F67">
            <v>46477</v>
          </cell>
          <cell r="G67">
            <v>46149</v>
          </cell>
          <cell r="H67">
            <v>46149</v>
          </cell>
          <cell r="J67" t="str">
            <v>004207</v>
          </cell>
          <cell r="K67">
            <v>-113.11</v>
          </cell>
          <cell r="L67">
            <v>-113.11</v>
          </cell>
          <cell r="M67">
            <v>-113.11</v>
          </cell>
          <cell r="N67" t="str">
            <v>indiretto</v>
          </cell>
          <cell r="O67">
            <v>5</v>
          </cell>
          <cell r="P67" t="str">
            <v>0.539916</v>
          </cell>
          <cell r="Q67" t="str">
            <v>0.522137</v>
          </cell>
          <cell r="R67" t="str">
            <v>0.177482</v>
          </cell>
          <cell r="S67" t="str">
            <v>NO</v>
          </cell>
          <cell r="T67" t="str">
            <v>DELIBERAZIONE EGATO 2 04/02/2019</v>
          </cell>
        </row>
        <row r="68">
          <cell r="D68" t="str">
            <v>C343157</v>
          </cell>
          <cell r="E68">
            <v>46113</v>
          </cell>
          <cell r="F68">
            <v>46477</v>
          </cell>
          <cell r="G68">
            <v>46149</v>
          </cell>
          <cell r="H68">
            <v>46149</v>
          </cell>
          <cell r="J68" t="str">
            <v>004019</v>
          </cell>
          <cell r="K68">
            <v>-111.21</v>
          </cell>
          <cell r="L68">
            <v>-111.21</v>
          </cell>
          <cell r="M68">
            <v>-111.21</v>
          </cell>
          <cell r="N68" t="str">
            <v>indiretto</v>
          </cell>
          <cell r="O68">
            <v>4</v>
          </cell>
          <cell r="P68" t="str">
            <v>0.577221</v>
          </cell>
          <cell r="Q68" t="str">
            <v>0.647377</v>
          </cell>
          <cell r="R68" t="str">
            <v>0.298792</v>
          </cell>
          <cell r="S68" t="str">
            <v>NO</v>
          </cell>
          <cell r="T68" t="str">
            <v>DELIBERA EGATO N.29 DEL 19/12/2018</v>
          </cell>
        </row>
        <row r="69">
          <cell r="D69" t="str">
            <v>C337149</v>
          </cell>
          <cell r="E69">
            <v>46113</v>
          </cell>
          <cell r="F69">
            <v>46477</v>
          </cell>
          <cell r="G69">
            <v>46149</v>
          </cell>
          <cell r="H69">
            <v>46149</v>
          </cell>
          <cell r="J69" t="str">
            <v>004078</v>
          </cell>
          <cell r="K69">
            <v>-175.39</v>
          </cell>
          <cell r="L69">
            <v>-175.39</v>
          </cell>
          <cell r="M69">
            <v>-175.39</v>
          </cell>
          <cell r="N69" t="str">
            <v>indiretto</v>
          </cell>
          <cell r="O69">
            <v>5</v>
          </cell>
          <cell r="P69" t="str">
            <v>0.970423</v>
          </cell>
          <cell r="Q69" t="str">
            <v>0.680389</v>
          </cell>
          <cell r="R69" t="str">
            <v>0.271253</v>
          </cell>
          <cell r="S69" t="str">
            <v>NO</v>
          </cell>
          <cell r="T69" t="str">
            <v>DELIBERAZIONE EGATO 29 19/12/2018</v>
          </cell>
        </row>
        <row r="70">
          <cell r="D70" t="str">
            <v>C343905</v>
          </cell>
          <cell r="E70">
            <v>46113</v>
          </cell>
          <cell r="F70">
            <v>46477</v>
          </cell>
          <cell r="G70">
            <v>46149</v>
          </cell>
          <cell r="H70">
            <v>46149</v>
          </cell>
          <cell r="J70" t="str">
            <v>004130</v>
          </cell>
          <cell r="K70">
            <v>-55.6</v>
          </cell>
          <cell r="L70">
            <v>-55.6</v>
          </cell>
          <cell r="M70">
            <v>-55.6</v>
          </cell>
          <cell r="N70" t="str">
            <v>indiretto</v>
          </cell>
          <cell r="O70">
            <v>2</v>
          </cell>
          <cell r="P70" t="str">
            <v>0.577221</v>
          </cell>
          <cell r="Q70" t="str">
            <v>0.647377</v>
          </cell>
          <cell r="R70" t="str">
            <v>0.298792</v>
          </cell>
          <cell r="S70" t="str">
            <v>NO</v>
          </cell>
          <cell r="T70" t="str">
            <v>DELIBERA EGATO N.29 DEL 19/12/2018</v>
          </cell>
        </row>
        <row r="71">
          <cell r="D71" t="str">
            <v>C339262</v>
          </cell>
          <cell r="E71">
            <v>46113</v>
          </cell>
          <cell r="F71">
            <v>46477</v>
          </cell>
          <cell r="G71">
            <v>46149</v>
          </cell>
          <cell r="H71">
            <v>46149</v>
          </cell>
          <cell r="J71" t="str">
            <v>004130</v>
          </cell>
          <cell r="K71">
            <v>-166.81</v>
          </cell>
          <cell r="L71">
            <v>-166.81</v>
          </cell>
          <cell r="M71">
            <v>-166.81</v>
          </cell>
          <cell r="N71" t="str">
            <v>indiretto</v>
          </cell>
          <cell r="O71">
            <v>6</v>
          </cell>
          <cell r="P71" t="str">
            <v>0.577221</v>
          </cell>
          <cell r="Q71" t="str">
            <v>0.647377</v>
          </cell>
          <cell r="R71" t="str">
            <v>0.298792</v>
          </cell>
          <cell r="S71" t="str">
            <v>NO</v>
          </cell>
          <cell r="T71" t="str">
            <v>DELIBERA EGATO N.29 DEL 19/12/2018</v>
          </cell>
        </row>
        <row r="72">
          <cell r="D72" t="str">
            <v>C337163</v>
          </cell>
          <cell r="E72">
            <v>46113</v>
          </cell>
          <cell r="F72">
            <v>46477</v>
          </cell>
          <cell r="G72">
            <v>46149</v>
          </cell>
          <cell r="H72">
            <v>46149</v>
          </cell>
          <cell r="J72" t="str">
            <v>004082</v>
          </cell>
          <cell r="K72">
            <v>-35.08</v>
          </cell>
          <cell r="L72">
            <v>-35.08</v>
          </cell>
          <cell r="M72">
            <v>-35.08</v>
          </cell>
          <cell r="N72" t="str">
            <v>indiretto</v>
          </cell>
          <cell r="O72">
            <v>1</v>
          </cell>
          <cell r="P72" t="str">
            <v>0.970423</v>
          </cell>
          <cell r="Q72" t="str">
            <v>0.680389</v>
          </cell>
          <cell r="R72" t="str">
            <v>0.271253</v>
          </cell>
          <cell r="S72" t="str">
            <v>NO</v>
          </cell>
          <cell r="T72" t="str">
            <v>DELIBERAZIONE EGATO 29 19/12/2018</v>
          </cell>
        </row>
        <row r="73">
          <cell r="D73" t="str">
            <v>C316354</v>
          </cell>
          <cell r="E73">
            <v>46113</v>
          </cell>
          <cell r="F73">
            <v>46477</v>
          </cell>
          <cell r="G73">
            <v>46149</v>
          </cell>
          <cell r="H73">
            <v>46149</v>
          </cell>
          <cell r="J73" t="str">
            <v>004179</v>
          </cell>
          <cell r="K73">
            <v>-59.27</v>
          </cell>
          <cell r="L73">
            <v>-59.27</v>
          </cell>
          <cell r="M73">
            <v>-59.27</v>
          </cell>
          <cell r="N73" t="str">
            <v>indiretto</v>
          </cell>
          <cell r="O73">
            <v>2</v>
          </cell>
          <cell r="P73" t="str">
            <v>0.850124</v>
          </cell>
          <cell r="Q73" t="str">
            <v>0.568257</v>
          </cell>
          <cell r="R73" t="str">
            <v>0.205575</v>
          </cell>
          <cell r="S73" t="str">
            <v>NO</v>
          </cell>
          <cell r="T73" t="str">
            <v>DELIBERAZIONE EGATO 11 27/03/2019</v>
          </cell>
        </row>
        <row r="74">
          <cell r="D74" t="str">
            <v>C343919</v>
          </cell>
          <cell r="E74">
            <v>46113</v>
          </cell>
          <cell r="F74">
            <v>46477</v>
          </cell>
          <cell r="G74">
            <v>46149</v>
          </cell>
          <cell r="H74">
            <v>46149</v>
          </cell>
          <cell r="J74" t="str">
            <v>004016</v>
          </cell>
          <cell r="K74">
            <v>-70.16</v>
          </cell>
          <cell r="L74">
            <v>-70.16</v>
          </cell>
          <cell r="M74">
            <v>-70.16</v>
          </cell>
          <cell r="N74" t="str">
            <v>indiretto</v>
          </cell>
          <cell r="O74">
            <v>2</v>
          </cell>
          <cell r="P74" t="str">
            <v>0.970423</v>
          </cell>
          <cell r="Q74" t="str">
            <v>0.680389</v>
          </cell>
          <cell r="R74" t="str">
            <v>0.271253</v>
          </cell>
          <cell r="S74" t="str">
            <v>NO</v>
          </cell>
          <cell r="T74" t="str">
            <v>DELIBERAZIONE EGATO 29 19/12/2018</v>
          </cell>
        </row>
        <row r="75">
          <cell r="D75" t="str">
            <v>C312839</v>
          </cell>
          <cell r="E75">
            <v>46113</v>
          </cell>
          <cell r="F75">
            <v>46477</v>
          </cell>
          <cell r="G75">
            <v>46149</v>
          </cell>
          <cell r="H75">
            <v>46149</v>
          </cell>
          <cell r="J75" t="str">
            <v>004078</v>
          </cell>
          <cell r="K75">
            <v>-35.08</v>
          </cell>
          <cell r="L75">
            <v>-35.08</v>
          </cell>
          <cell r="M75">
            <v>-35.08</v>
          </cell>
          <cell r="N75" t="str">
            <v>indiretto</v>
          </cell>
          <cell r="O75">
            <v>1</v>
          </cell>
          <cell r="P75" t="str">
            <v>0.970423</v>
          </cell>
          <cell r="Q75" t="str">
            <v>0.680389</v>
          </cell>
          <cell r="R75" t="str">
            <v>0.271253</v>
          </cell>
          <cell r="S75" t="str">
            <v>NO</v>
          </cell>
          <cell r="T75" t="str">
            <v>DELIBERAZIONE EGATO 29 19/12/2018</v>
          </cell>
        </row>
        <row r="76">
          <cell r="D76" t="str">
            <v>C308632</v>
          </cell>
          <cell r="E76">
            <v>46113</v>
          </cell>
          <cell r="F76">
            <v>46477</v>
          </cell>
          <cell r="G76">
            <v>46149</v>
          </cell>
          <cell r="H76">
            <v>46149</v>
          </cell>
          <cell r="J76" t="str">
            <v>004078</v>
          </cell>
          <cell r="K76">
            <v>-70.16</v>
          </cell>
          <cell r="L76">
            <v>-70.16</v>
          </cell>
          <cell r="M76">
            <v>-70.16</v>
          </cell>
          <cell r="N76" t="str">
            <v>indiretto</v>
          </cell>
          <cell r="O76">
            <v>2</v>
          </cell>
          <cell r="P76" t="str">
            <v>0.970423</v>
          </cell>
          <cell r="Q76" t="str">
            <v>0.680389</v>
          </cell>
          <cell r="R76" t="str">
            <v>0.271253</v>
          </cell>
          <cell r="S76" t="str">
            <v>NO</v>
          </cell>
          <cell r="T76" t="str">
            <v>DELIBERAZIONE EGATO 29 19/12/2018</v>
          </cell>
        </row>
        <row r="77">
          <cell r="D77" t="str">
            <v>C310297</v>
          </cell>
          <cell r="E77">
            <v>46113</v>
          </cell>
          <cell r="F77">
            <v>46477</v>
          </cell>
          <cell r="G77">
            <v>46149</v>
          </cell>
          <cell r="H77">
            <v>46149</v>
          </cell>
          <cell r="J77" t="str">
            <v>004078</v>
          </cell>
          <cell r="K77">
            <v>-140.31</v>
          </cell>
          <cell r="L77">
            <v>-140.31</v>
          </cell>
          <cell r="M77">
            <v>-140.31</v>
          </cell>
          <cell r="N77" t="str">
            <v>indiretto</v>
          </cell>
          <cell r="O77">
            <v>4</v>
          </cell>
          <cell r="P77" t="str">
            <v>0.970423</v>
          </cell>
          <cell r="Q77" t="str">
            <v>0.680389</v>
          </cell>
          <cell r="R77" t="str">
            <v>0.271253</v>
          </cell>
          <cell r="S77" t="str">
            <v>NO</v>
          </cell>
          <cell r="T77" t="str">
            <v>DELIBERAZIONE EGATO 29 19/12/2018</v>
          </cell>
        </row>
        <row r="78">
          <cell r="D78" t="str">
            <v>C337162</v>
          </cell>
          <cell r="E78">
            <v>46113</v>
          </cell>
          <cell r="F78">
            <v>46477</v>
          </cell>
          <cell r="G78">
            <v>46149</v>
          </cell>
          <cell r="H78">
            <v>46149</v>
          </cell>
          <cell r="J78" t="str">
            <v>004033</v>
          </cell>
          <cell r="K78">
            <v>-76.13</v>
          </cell>
          <cell r="L78">
            <v>-76.13</v>
          </cell>
          <cell r="M78">
            <v>-76.13</v>
          </cell>
          <cell r="N78" t="str">
            <v>indiretto</v>
          </cell>
          <cell r="O78">
            <v>3</v>
          </cell>
          <cell r="P78" t="str">
            <v>0.763729</v>
          </cell>
          <cell r="Q78" t="str">
            <v>0.467552</v>
          </cell>
          <cell r="R78" t="str">
            <v>0.159233</v>
          </cell>
          <cell r="S78" t="str">
            <v>NO</v>
          </cell>
          <cell r="T78" t="str">
            <v>DELIBERAZIONE EGATO 2 04/02/2019</v>
          </cell>
        </row>
        <row r="79">
          <cell r="D79" t="str">
            <v>C343906</v>
          </cell>
          <cell r="E79">
            <v>46113</v>
          </cell>
          <cell r="F79">
            <v>46477</v>
          </cell>
          <cell r="G79">
            <v>46149</v>
          </cell>
          <cell r="H79">
            <v>46149</v>
          </cell>
          <cell r="J79" t="str">
            <v>004179</v>
          </cell>
          <cell r="K79">
            <v>-88.91</v>
          </cell>
          <cell r="L79">
            <v>-88.91</v>
          </cell>
          <cell r="M79">
            <v>-88.91</v>
          </cell>
          <cell r="N79" t="str">
            <v>indiretto</v>
          </cell>
          <cell r="O79">
            <v>3</v>
          </cell>
          <cell r="P79" t="str">
            <v>0.850124</v>
          </cell>
          <cell r="Q79" t="str">
            <v>0.568257</v>
          </cell>
          <cell r="R79" t="str">
            <v>0.205575</v>
          </cell>
          <cell r="S79" t="str">
            <v>NO</v>
          </cell>
          <cell r="T79" t="str">
            <v>DELIBERAZIONE EGATO 11 27/03/2019</v>
          </cell>
        </row>
        <row r="80">
          <cell r="D80" t="str">
            <v>C308226</v>
          </cell>
          <cell r="E80">
            <v>46113</v>
          </cell>
          <cell r="F80">
            <v>46477</v>
          </cell>
          <cell r="G80">
            <v>46149</v>
          </cell>
          <cell r="H80">
            <v>46149</v>
          </cell>
          <cell r="J80" t="str">
            <v>004078</v>
          </cell>
          <cell r="K80">
            <v>-35.08</v>
          </cell>
          <cell r="L80">
            <v>-35.08</v>
          </cell>
          <cell r="M80">
            <v>-35.08</v>
          </cell>
          <cell r="N80" t="str">
            <v>indiretto</v>
          </cell>
          <cell r="O80">
            <v>1</v>
          </cell>
          <cell r="P80" t="str">
            <v>0.970423</v>
          </cell>
          <cell r="Q80" t="str">
            <v>0.680389</v>
          </cell>
          <cell r="R80" t="str">
            <v>0.271253</v>
          </cell>
          <cell r="S80" t="str">
            <v>NO</v>
          </cell>
          <cell r="T80" t="str">
            <v>DELIBERAZIONE EGATO 29 19/12/2018</v>
          </cell>
        </row>
        <row r="81">
          <cell r="D81" t="str">
            <v>C343921</v>
          </cell>
          <cell r="E81">
            <v>46113</v>
          </cell>
          <cell r="F81">
            <v>46477</v>
          </cell>
          <cell r="G81">
            <v>46149</v>
          </cell>
          <cell r="H81">
            <v>46149</v>
          </cell>
          <cell r="J81" t="str">
            <v>004034</v>
          </cell>
          <cell r="K81">
            <v>-140.31</v>
          </cell>
          <cell r="L81">
            <v>-140.31</v>
          </cell>
          <cell r="M81">
            <v>-140.31</v>
          </cell>
          <cell r="N81" t="str">
            <v>indiretto</v>
          </cell>
          <cell r="O81">
            <v>4</v>
          </cell>
          <cell r="P81" t="str">
            <v>0.970423</v>
          </cell>
          <cell r="Q81" t="str">
            <v>0.680389</v>
          </cell>
          <cell r="R81" t="str">
            <v>0.271253</v>
          </cell>
          <cell r="S81" t="str">
            <v>NO</v>
          </cell>
          <cell r="T81" t="str">
            <v>DELIBERAZIONE EGATO 29 19/12/2018</v>
          </cell>
        </row>
        <row r="82">
          <cell r="D82" t="str">
            <v>C311323</v>
          </cell>
          <cell r="E82">
            <v>46113</v>
          </cell>
          <cell r="F82">
            <v>46477</v>
          </cell>
          <cell r="G82">
            <v>46149</v>
          </cell>
          <cell r="H82">
            <v>46149</v>
          </cell>
          <cell r="J82" t="str">
            <v>004078</v>
          </cell>
          <cell r="K82">
            <v>-35.08</v>
          </cell>
          <cell r="L82">
            <v>-35.08</v>
          </cell>
          <cell r="M82">
            <v>-35.08</v>
          </cell>
          <cell r="N82" t="str">
            <v>indiretto</v>
          </cell>
          <cell r="O82">
            <v>1</v>
          </cell>
          <cell r="P82" t="str">
            <v>0.970423</v>
          </cell>
          <cell r="Q82" t="str">
            <v>0.680389</v>
          </cell>
          <cell r="R82" t="str">
            <v>0.271253</v>
          </cell>
          <cell r="S82" t="str">
            <v>NO</v>
          </cell>
          <cell r="T82" t="str">
            <v>DELIBERAZIONE EGATO 29 19/12/2018</v>
          </cell>
        </row>
        <row r="83">
          <cell r="D83" t="str">
            <v>C343902</v>
          </cell>
          <cell r="E83">
            <v>46113</v>
          </cell>
          <cell r="F83">
            <v>46477</v>
          </cell>
          <cell r="G83">
            <v>46149</v>
          </cell>
          <cell r="H83">
            <v>46149</v>
          </cell>
          <cell r="J83" t="str">
            <v>004032</v>
          </cell>
          <cell r="K83">
            <v>-84.19</v>
          </cell>
          <cell r="L83">
            <v>-84.19</v>
          </cell>
          <cell r="M83">
            <v>-84.19</v>
          </cell>
          <cell r="N83" t="str">
            <v>indiretto</v>
          </cell>
          <cell r="O83">
            <v>3</v>
          </cell>
          <cell r="P83" t="str">
            <v>0.776338</v>
          </cell>
          <cell r="Q83" t="str">
            <v>0.544311</v>
          </cell>
          <cell r="R83" t="str">
            <v>0.217002</v>
          </cell>
          <cell r="S83" t="str">
            <v>NO</v>
          </cell>
          <cell r="T83" t="str">
            <v>DELIBERAZIONE EGATO 2 04/02/2019</v>
          </cell>
        </row>
        <row r="84">
          <cell r="D84" t="str">
            <v>C343925</v>
          </cell>
          <cell r="E84">
            <v>46113</v>
          </cell>
          <cell r="F84">
            <v>46477</v>
          </cell>
          <cell r="G84">
            <v>46149</v>
          </cell>
          <cell r="H84">
            <v>46149</v>
          </cell>
          <cell r="J84" t="str">
            <v>004025</v>
          </cell>
          <cell r="K84">
            <v>-175.39</v>
          </cell>
          <cell r="L84">
            <v>-175.39</v>
          </cell>
          <cell r="M84">
            <v>-175.39</v>
          </cell>
          <cell r="N84" t="str">
            <v>indiretto</v>
          </cell>
          <cell r="O84">
            <v>5</v>
          </cell>
          <cell r="P84" t="str">
            <v>0.970423</v>
          </cell>
          <cell r="Q84" t="str">
            <v>0.680389</v>
          </cell>
          <cell r="R84" t="str">
            <v>0.271253</v>
          </cell>
          <cell r="S84" t="str">
            <v>NO</v>
          </cell>
          <cell r="T84" t="str">
            <v>DELIBERAZIONE EGATO 29 19/12/2018</v>
          </cell>
        </row>
        <row r="85">
          <cell r="D85" t="str">
            <v>C343916</v>
          </cell>
          <cell r="E85">
            <v>46113</v>
          </cell>
          <cell r="F85">
            <v>46477</v>
          </cell>
          <cell r="G85">
            <v>46149</v>
          </cell>
          <cell r="H85">
            <v>46149</v>
          </cell>
          <cell r="J85" t="str">
            <v>004078</v>
          </cell>
          <cell r="K85">
            <v>-35.08</v>
          </cell>
          <cell r="L85">
            <v>-35.08</v>
          </cell>
          <cell r="M85">
            <v>-35.08</v>
          </cell>
          <cell r="N85" t="str">
            <v>indiretto</v>
          </cell>
          <cell r="O85">
            <v>1</v>
          </cell>
          <cell r="P85" t="str">
            <v>0.970423</v>
          </cell>
          <cell r="Q85" t="str">
            <v>0.680389</v>
          </cell>
          <cell r="R85" t="str">
            <v>0.271253</v>
          </cell>
          <cell r="S85" t="str">
            <v>NO</v>
          </cell>
          <cell r="T85" t="str">
            <v>DELIBERAZIONE EGATO 29 19/12/2018</v>
          </cell>
        </row>
        <row r="86">
          <cell r="D86" t="str">
            <v>C124340</v>
          </cell>
          <cell r="E86">
            <v>46113</v>
          </cell>
          <cell r="F86">
            <v>46477</v>
          </cell>
          <cell r="G86">
            <v>46149</v>
          </cell>
          <cell r="H86">
            <v>46149</v>
          </cell>
          <cell r="J86" t="str">
            <v>004092</v>
          </cell>
          <cell r="K86">
            <v>-76.13</v>
          </cell>
          <cell r="L86">
            <v>-76.13</v>
          </cell>
          <cell r="M86">
            <v>-76.13</v>
          </cell>
          <cell r="N86" t="str">
            <v>indiretto</v>
          </cell>
          <cell r="O86">
            <v>3</v>
          </cell>
          <cell r="P86" t="str">
            <v>0.763729</v>
          </cell>
          <cell r="Q86" t="str">
            <v>0.467552</v>
          </cell>
          <cell r="R86" t="str">
            <v>0.159233</v>
          </cell>
          <cell r="S86" t="str">
            <v>NO</v>
          </cell>
          <cell r="T86" t="str">
            <v>DELIBERAZIONE EGATO 2 04/02/2019</v>
          </cell>
        </row>
        <row r="87">
          <cell r="D87" t="str">
            <v>C337144</v>
          </cell>
          <cell r="E87">
            <v>46113</v>
          </cell>
          <cell r="F87">
            <v>46477</v>
          </cell>
          <cell r="G87">
            <v>46149</v>
          </cell>
          <cell r="H87">
            <v>46149</v>
          </cell>
          <cell r="J87" t="str">
            <v>004078</v>
          </cell>
          <cell r="K87">
            <v>-175.39</v>
          </cell>
          <cell r="L87">
            <v>-175.39</v>
          </cell>
          <cell r="M87">
            <v>-175.39</v>
          </cell>
          <cell r="N87" t="str">
            <v>indiretto</v>
          </cell>
          <cell r="O87">
            <v>5</v>
          </cell>
          <cell r="P87" t="str">
            <v>0.970423</v>
          </cell>
          <cell r="Q87" t="str">
            <v>0.680389</v>
          </cell>
          <cell r="R87" t="str">
            <v>0.271253</v>
          </cell>
          <cell r="S87" t="str">
            <v>NO</v>
          </cell>
          <cell r="T87" t="str">
            <v>DELIBERAZIONE EGATO 29 19/12/2018</v>
          </cell>
        </row>
        <row r="88">
          <cell r="D88" t="str">
            <v>C337151</v>
          </cell>
          <cell r="E88">
            <v>46113</v>
          </cell>
          <cell r="F88">
            <v>46477</v>
          </cell>
          <cell r="G88">
            <v>46149</v>
          </cell>
          <cell r="H88">
            <v>46149</v>
          </cell>
          <cell r="J88" t="str">
            <v>004078</v>
          </cell>
          <cell r="K88">
            <v>-70.16</v>
          </cell>
          <cell r="L88">
            <v>-70.16</v>
          </cell>
          <cell r="M88">
            <v>-70.16</v>
          </cell>
          <cell r="N88" t="str">
            <v>indiretto</v>
          </cell>
          <cell r="O88">
            <v>2</v>
          </cell>
          <cell r="P88" t="str">
            <v>0.970423</v>
          </cell>
          <cell r="Q88" t="str">
            <v>0.680389</v>
          </cell>
          <cell r="R88" t="str">
            <v>0.271253</v>
          </cell>
          <cell r="S88" t="str">
            <v>NO</v>
          </cell>
          <cell r="T88" t="str">
            <v>DELIBERAZIONE EGATO 29 19/12/2018</v>
          </cell>
        </row>
        <row r="89">
          <cell r="D89" t="str">
            <v>C337147</v>
          </cell>
          <cell r="E89">
            <v>46113</v>
          </cell>
          <cell r="F89">
            <v>46477</v>
          </cell>
          <cell r="G89">
            <v>46149</v>
          </cell>
          <cell r="H89">
            <v>46149</v>
          </cell>
          <cell r="J89" t="str">
            <v>004085</v>
          </cell>
          <cell r="K89">
            <v>-94.71</v>
          </cell>
          <cell r="L89">
            <v>-94.71</v>
          </cell>
          <cell r="M89">
            <v>-94.71</v>
          </cell>
          <cell r="N89" t="str">
            <v>indiretto</v>
          </cell>
          <cell r="O89">
            <v>3</v>
          </cell>
          <cell r="P89" t="str">
            <v>0.873381</v>
          </cell>
          <cell r="Q89" t="str">
            <v>0.612350</v>
          </cell>
          <cell r="R89" t="str">
            <v>0.244127</v>
          </cell>
          <cell r="S89" t="str">
            <v>NO</v>
          </cell>
          <cell r="T89" t="str">
            <v>DELIBERAZIONE EGATO 29 19/12/2018</v>
          </cell>
        </row>
        <row r="90">
          <cell r="D90" t="str">
            <v>C343924</v>
          </cell>
          <cell r="E90">
            <v>46113</v>
          </cell>
          <cell r="F90">
            <v>46477</v>
          </cell>
          <cell r="G90">
            <v>46149</v>
          </cell>
          <cell r="H90">
            <v>46149</v>
          </cell>
          <cell r="J90" t="str">
            <v>004022</v>
          </cell>
          <cell r="K90">
            <v>-175.39</v>
          </cell>
          <cell r="L90">
            <v>-175.39</v>
          </cell>
          <cell r="M90">
            <v>-175.39</v>
          </cell>
          <cell r="N90" t="str">
            <v>indiretto</v>
          </cell>
          <cell r="O90">
            <v>5</v>
          </cell>
          <cell r="P90" t="str">
            <v>0.970423</v>
          </cell>
          <cell r="Q90" t="str">
            <v>0.680389</v>
          </cell>
          <cell r="R90" t="str">
            <v>0.271253</v>
          </cell>
          <cell r="S90" t="str">
            <v>NO</v>
          </cell>
          <cell r="T90" t="str">
            <v>DELIBERAZIONE EGATO 29 19/12/2018</v>
          </cell>
        </row>
        <row r="91">
          <cell r="D91" t="str">
            <v>C343885</v>
          </cell>
          <cell r="E91">
            <v>46113</v>
          </cell>
          <cell r="F91">
            <v>46477</v>
          </cell>
          <cell r="G91">
            <v>46149</v>
          </cell>
          <cell r="H91">
            <v>46149</v>
          </cell>
          <cell r="J91" t="str">
            <v>004066</v>
          </cell>
          <cell r="K91">
            <v>-140.31</v>
          </cell>
          <cell r="L91">
            <v>-140.31</v>
          </cell>
          <cell r="M91">
            <v>-140.31</v>
          </cell>
          <cell r="N91" t="str">
            <v>indiretto</v>
          </cell>
          <cell r="O91">
            <v>4</v>
          </cell>
          <cell r="P91" t="str">
            <v>0.970423</v>
          </cell>
          <cell r="Q91" t="str">
            <v>0.680389</v>
          </cell>
          <cell r="R91" t="str">
            <v>0.271253</v>
          </cell>
          <cell r="S91" t="str">
            <v>NO</v>
          </cell>
          <cell r="T91" t="str">
            <v>DELIBERAZIONE EGATO 29 19/12/2018</v>
          </cell>
        </row>
        <row r="92">
          <cell r="D92" t="str">
            <v>C317131</v>
          </cell>
          <cell r="E92">
            <v>46113</v>
          </cell>
          <cell r="F92">
            <v>46477</v>
          </cell>
          <cell r="G92">
            <v>46149</v>
          </cell>
          <cell r="H92">
            <v>46149</v>
          </cell>
          <cell r="J92" t="str">
            <v>004022</v>
          </cell>
          <cell r="K92">
            <v>-35.08</v>
          </cell>
          <cell r="L92">
            <v>-35.08</v>
          </cell>
          <cell r="M92">
            <v>-35.08</v>
          </cell>
          <cell r="N92" t="str">
            <v>indiretto</v>
          </cell>
          <cell r="O92">
            <v>1</v>
          </cell>
          <cell r="P92" t="str">
            <v>0.970423</v>
          </cell>
          <cell r="Q92" t="str">
            <v>0.680389</v>
          </cell>
          <cell r="R92" t="str">
            <v>0.271253</v>
          </cell>
          <cell r="S92" t="str">
            <v>NO</v>
          </cell>
          <cell r="T92" t="str">
            <v>DELIBERAZIONE EGATO 29 19/12/2018</v>
          </cell>
        </row>
        <row r="93">
          <cell r="D93" t="str">
            <v>C313549</v>
          </cell>
          <cell r="E93">
            <v>46113</v>
          </cell>
          <cell r="F93">
            <v>46477</v>
          </cell>
          <cell r="G93">
            <v>46149</v>
          </cell>
          <cell r="H93">
            <v>46149</v>
          </cell>
          <cell r="J93" t="str">
            <v>004078</v>
          </cell>
          <cell r="K93">
            <v>-35.08</v>
          </cell>
          <cell r="L93">
            <v>-35.08</v>
          </cell>
          <cell r="M93">
            <v>-35.08</v>
          </cell>
          <cell r="N93" t="str">
            <v>indiretto</v>
          </cell>
          <cell r="O93">
            <v>1</v>
          </cell>
          <cell r="P93" t="str">
            <v>0.970423</v>
          </cell>
          <cell r="Q93" t="str">
            <v>0.680389</v>
          </cell>
          <cell r="R93" t="str">
            <v>0.271253</v>
          </cell>
          <cell r="S93" t="str">
            <v>NO</v>
          </cell>
          <cell r="T93" t="str">
            <v>DELIBERAZIONE EGATO 29 19/12/2018</v>
          </cell>
        </row>
        <row r="94">
          <cell r="D94" t="str">
            <v>C308930</v>
          </cell>
          <cell r="E94">
            <v>46113</v>
          </cell>
          <cell r="F94">
            <v>46477</v>
          </cell>
          <cell r="G94">
            <v>46149</v>
          </cell>
          <cell r="H94">
            <v>46149</v>
          </cell>
          <cell r="J94" t="str">
            <v>004066</v>
          </cell>
          <cell r="K94">
            <v>-140.31</v>
          </cell>
          <cell r="L94">
            <v>-140.31</v>
          </cell>
          <cell r="M94">
            <v>-140.31</v>
          </cell>
          <cell r="N94" t="str">
            <v>indiretto</v>
          </cell>
          <cell r="O94">
            <v>4</v>
          </cell>
          <cell r="P94" t="str">
            <v>0.970423</v>
          </cell>
          <cell r="Q94" t="str">
            <v>0.680389</v>
          </cell>
          <cell r="R94" t="str">
            <v>0.271253</v>
          </cell>
          <cell r="S94" t="str">
            <v>NO</v>
          </cell>
          <cell r="T94" t="str">
            <v>DELIBERAZIONE EGATO 29 19/12/2018</v>
          </cell>
        </row>
        <row r="95">
          <cell r="D95" t="str">
            <v>C343900</v>
          </cell>
          <cell r="E95">
            <v>46113</v>
          </cell>
          <cell r="F95">
            <v>46477</v>
          </cell>
          <cell r="G95">
            <v>46149</v>
          </cell>
          <cell r="H95">
            <v>46149</v>
          </cell>
          <cell r="J95" t="str">
            <v>004082</v>
          </cell>
          <cell r="K95">
            <v>-35.08</v>
          </cell>
          <cell r="L95">
            <v>-35.08</v>
          </cell>
          <cell r="M95">
            <v>-35.08</v>
          </cell>
          <cell r="N95" t="str">
            <v>indiretto</v>
          </cell>
          <cell r="O95">
            <v>1</v>
          </cell>
          <cell r="P95" t="str">
            <v>0.970423</v>
          </cell>
          <cell r="Q95" t="str">
            <v>0.680389</v>
          </cell>
          <cell r="R95" t="str">
            <v>0.271253</v>
          </cell>
          <cell r="S95" t="str">
            <v>NO</v>
          </cell>
          <cell r="T95" t="str">
            <v>DELIBERAZIONE EGATO 29 19/12/2018</v>
          </cell>
        </row>
        <row r="96">
          <cell r="D96" t="str">
            <v>C320227</v>
          </cell>
          <cell r="E96">
            <v>46113</v>
          </cell>
          <cell r="F96">
            <v>46477</v>
          </cell>
          <cell r="G96">
            <v>46149</v>
          </cell>
          <cell r="H96">
            <v>46149</v>
          </cell>
          <cell r="J96" t="str">
            <v>004012</v>
          </cell>
          <cell r="K96">
            <v>-104.27</v>
          </cell>
          <cell r="L96">
            <v>-104.27</v>
          </cell>
          <cell r="M96">
            <v>-104.27</v>
          </cell>
          <cell r="N96" t="str">
            <v>indiretto</v>
          </cell>
          <cell r="O96">
            <v>4</v>
          </cell>
          <cell r="P96" t="str">
            <v>0.759077</v>
          </cell>
          <cell r="Q96" t="str">
            <v>0.490285</v>
          </cell>
          <cell r="R96" t="str">
            <v>0.179000</v>
          </cell>
          <cell r="S96" t="str">
            <v>NO</v>
          </cell>
          <cell r="T96" t="str">
            <v>DELIBERAZIONE EGATO 2 04/02/2019</v>
          </cell>
        </row>
        <row r="97">
          <cell r="D97" t="str">
            <v>C343891</v>
          </cell>
          <cell r="E97">
            <v>46113</v>
          </cell>
          <cell r="F97">
            <v>46477</v>
          </cell>
          <cell r="G97">
            <v>46149</v>
          </cell>
          <cell r="H97">
            <v>46149</v>
          </cell>
          <cell r="J97" t="str">
            <v>004130</v>
          </cell>
          <cell r="K97">
            <v>-83.41</v>
          </cell>
          <cell r="L97">
            <v>-83.41</v>
          </cell>
          <cell r="M97">
            <v>-83.41</v>
          </cell>
          <cell r="N97" t="str">
            <v>indiretto</v>
          </cell>
          <cell r="O97">
            <v>3</v>
          </cell>
          <cell r="P97" t="str">
            <v>0.577221</v>
          </cell>
          <cell r="Q97" t="str">
            <v>0.647377</v>
          </cell>
          <cell r="R97" t="str">
            <v>0.298792</v>
          </cell>
          <cell r="S97" t="str">
            <v>NO</v>
          </cell>
          <cell r="T97" t="str">
            <v>DELIBERA EGATO N.29 DEL 19/12/2018</v>
          </cell>
        </row>
        <row r="98">
          <cell r="D98" t="str">
            <v>C307742</v>
          </cell>
          <cell r="E98">
            <v>46113</v>
          </cell>
          <cell r="F98">
            <v>46477</v>
          </cell>
          <cell r="G98">
            <v>46149</v>
          </cell>
          <cell r="H98">
            <v>46149</v>
          </cell>
          <cell r="J98" t="str">
            <v>004078</v>
          </cell>
          <cell r="K98">
            <v>-35.08</v>
          </cell>
          <cell r="L98">
            <v>-35.08</v>
          </cell>
          <cell r="M98">
            <v>-35.08</v>
          </cell>
          <cell r="N98" t="str">
            <v>indiretto</v>
          </cell>
          <cell r="O98">
            <v>1</v>
          </cell>
          <cell r="P98" t="str">
            <v>0.970423</v>
          </cell>
          <cell r="Q98" t="str">
            <v>0.680389</v>
          </cell>
          <cell r="R98" t="str">
            <v>0.271253</v>
          </cell>
          <cell r="S98" t="str">
            <v>NO</v>
          </cell>
          <cell r="T98" t="str">
            <v>DELIBERAZIONE EGATO 29 19/12/2018</v>
          </cell>
        </row>
        <row r="99">
          <cell r="D99" t="str">
            <v>C343886</v>
          </cell>
          <cell r="E99">
            <v>46113</v>
          </cell>
          <cell r="F99">
            <v>46477</v>
          </cell>
          <cell r="G99">
            <v>46149</v>
          </cell>
          <cell r="H99">
            <v>46149</v>
          </cell>
          <cell r="J99" t="str">
            <v>004130</v>
          </cell>
          <cell r="K99">
            <v>-27.8</v>
          </cell>
          <cell r="L99">
            <v>-27.8</v>
          </cell>
          <cell r="M99">
            <v>-27.8</v>
          </cell>
          <cell r="N99" t="str">
            <v>indiretto</v>
          </cell>
          <cell r="O99">
            <v>1</v>
          </cell>
          <cell r="P99" t="str">
            <v>0.577221</v>
          </cell>
          <cell r="Q99" t="str">
            <v>0.647377</v>
          </cell>
          <cell r="R99" t="str">
            <v>0.298792</v>
          </cell>
          <cell r="S99" t="str">
            <v>NO</v>
          </cell>
          <cell r="T99" t="str">
            <v>DELIBERA EGATO N.29 DEL 19/12/2018</v>
          </cell>
        </row>
        <row r="100">
          <cell r="D100" t="str">
            <v>C343890</v>
          </cell>
          <cell r="E100">
            <v>46113</v>
          </cell>
          <cell r="F100">
            <v>46477</v>
          </cell>
          <cell r="G100">
            <v>46149</v>
          </cell>
          <cell r="H100">
            <v>46149</v>
          </cell>
          <cell r="J100" t="str">
            <v>004078</v>
          </cell>
          <cell r="K100">
            <v>-105.23</v>
          </cell>
          <cell r="L100">
            <v>-105.23</v>
          </cell>
          <cell r="M100">
            <v>-105.23</v>
          </cell>
          <cell r="N100" t="str">
            <v>indiretto</v>
          </cell>
          <cell r="O100">
            <v>3</v>
          </cell>
          <cell r="P100" t="str">
            <v>0.970423</v>
          </cell>
          <cell r="Q100" t="str">
            <v>0.680389</v>
          </cell>
          <cell r="R100" t="str">
            <v>0.271253</v>
          </cell>
          <cell r="S100" t="str">
            <v>NO</v>
          </cell>
          <cell r="T100" t="str">
            <v>DELIBERAZIONE EGATO 29 19/12/2018</v>
          </cell>
        </row>
        <row r="101">
          <cell r="D101" t="str">
            <v>C343901</v>
          </cell>
          <cell r="E101">
            <v>46113</v>
          </cell>
          <cell r="F101">
            <v>46477</v>
          </cell>
          <cell r="G101">
            <v>46149</v>
          </cell>
          <cell r="H101">
            <v>46149</v>
          </cell>
          <cell r="J101" t="str">
            <v>004025</v>
          </cell>
          <cell r="K101">
            <v>-105.23</v>
          </cell>
          <cell r="L101">
            <v>-105.23</v>
          </cell>
          <cell r="M101">
            <v>-105.23</v>
          </cell>
          <cell r="N101" t="str">
            <v>indiretto</v>
          </cell>
          <cell r="O101">
            <v>3</v>
          </cell>
          <cell r="P101" t="str">
            <v>0.970423</v>
          </cell>
          <cell r="Q101" t="str">
            <v>0.680389</v>
          </cell>
          <cell r="R101" t="str">
            <v>0.271253</v>
          </cell>
          <cell r="S101" t="str">
            <v>NO</v>
          </cell>
          <cell r="T101" t="str">
            <v>DELIBERAZIONE EGATO 29 19/12/2018</v>
          </cell>
        </row>
        <row r="102">
          <cell r="D102" t="str">
            <v>C320210</v>
          </cell>
          <cell r="E102">
            <v>46113</v>
          </cell>
          <cell r="F102">
            <v>46477</v>
          </cell>
          <cell r="G102">
            <v>46149</v>
          </cell>
          <cell r="H102">
            <v>46149</v>
          </cell>
          <cell r="J102" t="str">
            <v>004078</v>
          </cell>
          <cell r="K102">
            <v>-35.08</v>
          </cell>
          <cell r="L102">
            <v>-35.08</v>
          </cell>
          <cell r="M102">
            <v>-35.08</v>
          </cell>
          <cell r="N102" t="str">
            <v>indiretto</v>
          </cell>
          <cell r="O102">
            <v>1</v>
          </cell>
          <cell r="P102" t="str">
            <v>0.970423</v>
          </cell>
          <cell r="Q102" t="str">
            <v>0.680389</v>
          </cell>
          <cell r="R102" t="str">
            <v>0.271253</v>
          </cell>
          <cell r="S102" t="str">
            <v>NO</v>
          </cell>
          <cell r="T102" t="str">
            <v>DELIBERAZIONE EGATO 29 19/12/2018</v>
          </cell>
        </row>
        <row r="103">
          <cell r="D103" t="str">
            <v>C343912</v>
          </cell>
          <cell r="E103">
            <v>46113</v>
          </cell>
          <cell r="F103">
            <v>46477</v>
          </cell>
          <cell r="G103">
            <v>46149</v>
          </cell>
          <cell r="H103">
            <v>46149</v>
          </cell>
          <cell r="J103" t="str">
            <v>004110</v>
          </cell>
          <cell r="K103">
            <v>-35.08</v>
          </cell>
          <cell r="L103">
            <v>-35.08</v>
          </cell>
          <cell r="M103">
            <v>-35.08</v>
          </cell>
          <cell r="N103" t="str">
            <v>indiretto</v>
          </cell>
          <cell r="O103">
            <v>1</v>
          </cell>
          <cell r="P103" t="str">
            <v>0.970423</v>
          </cell>
          <cell r="Q103" t="str">
            <v>0.680389</v>
          </cell>
          <cell r="R103" t="str">
            <v>0.271253</v>
          </cell>
          <cell r="S103" t="str">
            <v>NO</v>
          </cell>
          <cell r="T103" t="str">
            <v>DELIBERAZIONE EGATO 29 19/12/2018</v>
          </cell>
        </row>
        <row r="104">
          <cell r="D104" t="str">
            <v>C343920</v>
          </cell>
          <cell r="E104">
            <v>46113</v>
          </cell>
          <cell r="F104">
            <v>46477</v>
          </cell>
          <cell r="G104">
            <v>46149</v>
          </cell>
          <cell r="H104">
            <v>46149</v>
          </cell>
          <cell r="J104" t="str">
            <v>004130</v>
          </cell>
          <cell r="K104">
            <v>-27.8</v>
          </cell>
          <cell r="L104">
            <v>-27.8</v>
          </cell>
          <cell r="M104">
            <v>-27.8</v>
          </cell>
          <cell r="N104" t="str">
            <v>indiretto</v>
          </cell>
          <cell r="O104">
            <v>1</v>
          </cell>
          <cell r="P104" t="str">
            <v>0.577221</v>
          </cell>
          <cell r="Q104" t="str">
            <v>0.647377</v>
          </cell>
          <cell r="R104" t="str">
            <v>0.298792</v>
          </cell>
          <cell r="S104" t="str">
            <v>NO</v>
          </cell>
          <cell r="T104" t="str">
            <v>DELIBERA EGATO N.29 DEL 19/12/2018</v>
          </cell>
        </row>
        <row r="105">
          <cell r="D105" t="str">
            <v>C343899</v>
          </cell>
          <cell r="E105">
            <v>46113</v>
          </cell>
          <cell r="F105">
            <v>46477</v>
          </cell>
          <cell r="G105">
            <v>46149</v>
          </cell>
          <cell r="H105">
            <v>46149</v>
          </cell>
          <cell r="J105" t="str">
            <v>004078</v>
          </cell>
          <cell r="K105">
            <v>-105.23</v>
          </cell>
          <cell r="L105">
            <v>-105.23</v>
          </cell>
          <cell r="M105">
            <v>-105.23</v>
          </cell>
          <cell r="N105" t="str">
            <v>indiretto</v>
          </cell>
          <cell r="O105">
            <v>3</v>
          </cell>
          <cell r="P105" t="str">
            <v>0.970423</v>
          </cell>
          <cell r="Q105" t="str">
            <v>0.680389</v>
          </cell>
          <cell r="R105" t="str">
            <v>0.271253</v>
          </cell>
          <cell r="S105" t="str">
            <v>NO</v>
          </cell>
          <cell r="T105" t="str">
            <v>DELIBERAZIONE EGATO 29 19/12/2018</v>
          </cell>
        </row>
        <row r="106">
          <cell r="D106" t="str">
            <v>C343907</v>
          </cell>
          <cell r="E106">
            <v>46113</v>
          </cell>
          <cell r="F106">
            <v>46477</v>
          </cell>
          <cell r="G106">
            <v>46149</v>
          </cell>
          <cell r="H106">
            <v>46149</v>
          </cell>
          <cell r="J106" t="str">
            <v>004079</v>
          </cell>
          <cell r="K106">
            <v>-157.85</v>
          </cell>
          <cell r="L106">
            <v>-157.85</v>
          </cell>
          <cell r="M106">
            <v>-157.85</v>
          </cell>
          <cell r="N106" t="str">
            <v>indiretto</v>
          </cell>
          <cell r="O106">
            <v>5</v>
          </cell>
          <cell r="P106" t="str">
            <v>0.873381</v>
          </cell>
          <cell r="Q106" t="str">
            <v>0.612350</v>
          </cell>
          <cell r="R106" t="str">
            <v>0.244127</v>
          </cell>
          <cell r="S106" t="str">
            <v>NO</v>
          </cell>
          <cell r="T106" t="str">
            <v>DELIBERAZIONE EGATO 29 19/12/2018</v>
          </cell>
        </row>
        <row r="107">
          <cell r="D107" t="str">
            <v>C337146</v>
          </cell>
          <cell r="E107">
            <v>46113</v>
          </cell>
          <cell r="F107">
            <v>46477</v>
          </cell>
          <cell r="G107">
            <v>46149</v>
          </cell>
          <cell r="H107">
            <v>46149</v>
          </cell>
          <cell r="J107" t="str">
            <v>004061</v>
          </cell>
          <cell r="K107">
            <v>-35.08</v>
          </cell>
          <cell r="L107">
            <v>-35.08</v>
          </cell>
          <cell r="M107">
            <v>-35.08</v>
          </cell>
          <cell r="N107" t="str">
            <v>indiretto</v>
          </cell>
          <cell r="O107">
            <v>1</v>
          </cell>
          <cell r="P107" t="str">
            <v>0.970423</v>
          </cell>
          <cell r="Q107" t="str">
            <v>0.680389</v>
          </cell>
          <cell r="R107" t="str">
            <v>0.271253</v>
          </cell>
          <cell r="S107" t="str">
            <v>NO</v>
          </cell>
          <cell r="T107" t="str">
            <v>DELIBERAZIONE EGATO 29 19/12/2018</v>
          </cell>
        </row>
        <row r="108">
          <cell r="D108" t="str">
            <v>C337156</v>
          </cell>
          <cell r="E108">
            <v>46113</v>
          </cell>
          <cell r="F108">
            <v>46477</v>
          </cell>
          <cell r="G108">
            <v>46149</v>
          </cell>
          <cell r="H108">
            <v>46149</v>
          </cell>
          <cell r="J108" t="str">
            <v>004078</v>
          </cell>
          <cell r="K108">
            <v>-105.23</v>
          </cell>
          <cell r="L108">
            <v>-105.23</v>
          </cell>
          <cell r="M108">
            <v>-105.23</v>
          </cell>
          <cell r="N108" t="str">
            <v>indiretto</v>
          </cell>
          <cell r="O108">
            <v>3</v>
          </cell>
          <cell r="P108" t="str">
            <v>0.970423</v>
          </cell>
          <cell r="Q108" t="str">
            <v>0.680389</v>
          </cell>
          <cell r="R108" t="str">
            <v>0.271253</v>
          </cell>
          <cell r="S108" t="str">
            <v>NO</v>
          </cell>
          <cell r="T108" t="str">
            <v>DELIBERAZIONE EGATO 29 19/12/2018</v>
          </cell>
        </row>
        <row r="109">
          <cell r="D109" t="str">
            <v>C314416</v>
          </cell>
          <cell r="E109">
            <v>46113</v>
          </cell>
          <cell r="F109">
            <v>46477</v>
          </cell>
          <cell r="G109">
            <v>46149</v>
          </cell>
          <cell r="H109">
            <v>46149</v>
          </cell>
          <cell r="J109" t="str">
            <v>004078</v>
          </cell>
          <cell r="K109">
            <v>-35.08</v>
          </cell>
          <cell r="L109">
            <v>-35.08</v>
          </cell>
          <cell r="M109">
            <v>-35.08</v>
          </cell>
          <cell r="N109" t="str">
            <v>indiretto</v>
          </cell>
          <cell r="O109">
            <v>1</v>
          </cell>
          <cell r="P109" t="str">
            <v>0.970423</v>
          </cell>
          <cell r="Q109" t="str">
            <v>0.680389</v>
          </cell>
          <cell r="R109" t="str">
            <v>0.271253</v>
          </cell>
          <cell r="S109" t="str">
            <v>NO</v>
          </cell>
          <cell r="T109" t="str">
            <v>DELIBERAZIONE EGATO 29 19/12/2018</v>
          </cell>
        </row>
        <row r="110">
          <cell r="D110" t="str">
            <v>C343884</v>
          </cell>
          <cell r="E110">
            <v>46113</v>
          </cell>
          <cell r="F110">
            <v>46477</v>
          </cell>
          <cell r="G110">
            <v>46149</v>
          </cell>
          <cell r="H110">
            <v>46149</v>
          </cell>
          <cell r="J110" t="str">
            <v>004157</v>
          </cell>
          <cell r="K110">
            <v>-35.08</v>
          </cell>
          <cell r="L110">
            <v>-35.08</v>
          </cell>
          <cell r="M110">
            <v>-35.08</v>
          </cell>
          <cell r="N110" t="str">
            <v>indiretto</v>
          </cell>
          <cell r="O110">
            <v>1</v>
          </cell>
          <cell r="P110" t="str">
            <v>0.970423</v>
          </cell>
          <cell r="Q110" t="str">
            <v>0.680389</v>
          </cell>
          <cell r="R110" t="str">
            <v>0.271253</v>
          </cell>
          <cell r="S110" t="str">
            <v>NO</v>
          </cell>
          <cell r="T110" t="str">
            <v>DELIBERAZIONE EGATO 29 19/12/2018</v>
          </cell>
        </row>
        <row r="111">
          <cell r="D111" t="str">
            <v>C308147</v>
          </cell>
          <cell r="E111">
            <v>46113</v>
          </cell>
          <cell r="F111">
            <v>46477</v>
          </cell>
          <cell r="G111">
            <v>46149</v>
          </cell>
          <cell r="H111">
            <v>46149</v>
          </cell>
          <cell r="J111" t="str">
            <v>004061</v>
          </cell>
          <cell r="K111">
            <v>-35.08</v>
          </cell>
          <cell r="L111">
            <v>-35.08</v>
          </cell>
          <cell r="M111">
            <v>-35.08</v>
          </cell>
          <cell r="N111" t="str">
            <v>indiretto</v>
          </cell>
          <cell r="O111">
            <v>1</v>
          </cell>
          <cell r="P111" t="str">
            <v>0.970423</v>
          </cell>
          <cell r="Q111" t="str">
            <v>0.680389</v>
          </cell>
          <cell r="R111" t="str">
            <v>0.271253</v>
          </cell>
          <cell r="S111" t="str">
            <v>NO</v>
          </cell>
          <cell r="T111" t="str">
            <v>DELIBERAZIONE EGATO 29 19/12/2018</v>
          </cell>
        </row>
        <row r="112">
          <cell r="D112" t="str">
            <v>C343898</v>
          </cell>
          <cell r="E112">
            <v>46113</v>
          </cell>
          <cell r="F112">
            <v>46477</v>
          </cell>
          <cell r="G112">
            <v>46149</v>
          </cell>
          <cell r="H112">
            <v>46149</v>
          </cell>
          <cell r="J112" t="str">
            <v>004190</v>
          </cell>
          <cell r="K112">
            <v>-83.41</v>
          </cell>
          <cell r="L112">
            <v>-83.41</v>
          </cell>
          <cell r="M112">
            <v>-83.41</v>
          </cell>
          <cell r="N112" t="str">
            <v>indiretto</v>
          </cell>
          <cell r="O112">
            <v>3</v>
          </cell>
          <cell r="P112" t="str">
            <v>0.577221</v>
          </cell>
          <cell r="Q112" t="str">
            <v>0.647377</v>
          </cell>
          <cell r="R112" t="str">
            <v>0.298792</v>
          </cell>
          <cell r="S112" t="str">
            <v>NO</v>
          </cell>
          <cell r="T112" t="str">
            <v>DELIBERA EGATO N.29 DEL 19/12/2018</v>
          </cell>
        </row>
        <row r="113">
          <cell r="D113" t="str">
            <v>C308391</v>
          </cell>
          <cell r="E113">
            <v>46113</v>
          </cell>
          <cell r="F113">
            <v>46477</v>
          </cell>
          <cell r="G113">
            <v>46149</v>
          </cell>
          <cell r="H113">
            <v>46149</v>
          </cell>
          <cell r="J113" t="str">
            <v>004131</v>
          </cell>
          <cell r="K113">
            <v>-25.72</v>
          </cell>
          <cell r="L113">
            <v>-25.72</v>
          </cell>
          <cell r="M113">
            <v>-25.72</v>
          </cell>
          <cell r="N113" t="str">
            <v>indiretto</v>
          </cell>
          <cell r="O113">
            <v>1</v>
          </cell>
          <cell r="P113" t="str">
            <v>0.869600</v>
          </cell>
          <cell r="Q113" t="str">
            <v>0.402562</v>
          </cell>
          <cell r="R113" t="str">
            <v>0.137151</v>
          </cell>
          <cell r="S113" t="str">
            <v>NO</v>
          </cell>
          <cell r="T113" t="str">
            <v>DELIBERAZIONE EGATO 2 04/02/2019</v>
          </cell>
        </row>
        <row r="114">
          <cell r="D114" t="str">
            <v>C310944</v>
          </cell>
          <cell r="E114">
            <v>46113</v>
          </cell>
          <cell r="F114">
            <v>46477</v>
          </cell>
          <cell r="G114">
            <v>46149</v>
          </cell>
          <cell r="H114">
            <v>46149</v>
          </cell>
          <cell r="J114" t="str">
            <v>004012</v>
          </cell>
          <cell r="K114">
            <v>-156.41</v>
          </cell>
          <cell r="L114">
            <v>-156.41</v>
          </cell>
          <cell r="M114">
            <v>-156.41</v>
          </cell>
          <cell r="N114" t="str">
            <v>indiretto</v>
          </cell>
          <cell r="O114">
            <v>6</v>
          </cell>
          <cell r="P114" t="str">
            <v>0.759077</v>
          </cell>
          <cell r="Q114" t="str">
            <v>0.490285</v>
          </cell>
          <cell r="R114" t="str">
            <v>0.179000</v>
          </cell>
          <cell r="S114" t="str">
            <v>NO</v>
          </cell>
          <cell r="T114" t="str">
            <v>DELIBERAZIONE EGATO 2 04/02/2019</v>
          </cell>
        </row>
        <row r="115">
          <cell r="D115" t="str">
            <v>C313727</v>
          </cell>
          <cell r="E115">
            <v>46113</v>
          </cell>
          <cell r="F115">
            <v>46477</v>
          </cell>
          <cell r="G115">
            <v>46149</v>
          </cell>
          <cell r="H115">
            <v>46149</v>
          </cell>
          <cell r="J115" t="str">
            <v>004008</v>
          </cell>
          <cell r="K115">
            <v>-175.39</v>
          </cell>
          <cell r="L115">
            <v>-175.39</v>
          </cell>
          <cell r="M115">
            <v>-175.39</v>
          </cell>
          <cell r="N115" t="str">
            <v>indiretto</v>
          </cell>
          <cell r="O115">
            <v>5</v>
          </cell>
          <cell r="P115" t="str">
            <v>0.970423</v>
          </cell>
          <cell r="Q115" t="str">
            <v>0.680389</v>
          </cell>
          <cell r="R115" t="str">
            <v>0.271253</v>
          </cell>
          <cell r="S115" t="str">
            <v>NO</v>
          </cell>
          <cell r="T115" t="str">
            <v>DELIBERAZIONE EGATO 29 19/12/2018</v>
          </cell>
        </row>
        <row r="116">
          <cell r="D116" t="str">
            <v>C342162</v>
          </cell>
          <cell r="E116">
            <v>46113</v>
          </cell>
          <cell r="F116">
            <v>46477</v>
          </cell>
          <cell r="G116">
            <v>46149</v>
          </cell>
          <cell r="H116">
            <v>46149</v>
          </cell>
          <cell r="J116" t="str">
            <v>004130</v>
          </cell>
          <cell r="K116">
            <v>-27.8</v>
          </cell>
          <cell r="L116">
            <v>-27.8</v>
          </cell>
          <cell r="M116">
            <v>-27.8</v>
          </cell>
          <cell r="N116" t="str">
            <v>indiretto</v>
          </cell>
          <cell r="O116">
            <v>1</v>
          </cell>
          <cell r="P116" t="str">
            <v>0.577221</v>
          </cell>
          <cell r="Q116" t="str">
            <v>0.647377</v>
          </cell>
          <cell r="R116" t="str">
            <v>0.298792</v>
          </cell>
          <cell r="S116" t="str">
            <v>NO</v>
          </cell>
          <cell r="T116" t="str">
            <v>DELIBERA EGATO N.29 DEL 19/12/2018</v>
          </cell>
        </row>
        <row r="117">
          <cell r="D117" t="str">
            <v>C309462</v>
          </cell>
          <cell r="E117">
            <v>46113</v>
          </cell>
          <cell r="F117">
            <v>46477</v>
          </cell>
          <cell r="G117">
            <v>46149</v>
          </cell>
          <cell r="H117">
            <v>46149</v>
          </cell>
          <cell r="J117" t="str">
            <v>004009</v>
          </cell>
          <cell r="K117">
            <v>-26.07</v>
          </cell>
          <cell r="L117">
            <v>-26.07</v>
          </cell>
          <cell r="M117">
            <v>-26.07</v>
          </cell>
          <cell r="N117" t="str">
            <v>indiretto</v>
          </cell>
          <cell r="O117">
            <v>1</v>
          </cell>
          <cell r="P117" t="str">
            <v>0.759077</v>
          </cell>
          <cell r="Q117" t="str">
            <v>0.490285</v>
          </cell>
          <cell r="R117" t="str">
            <v>0.179000</v>
          </cell>
          <cell r="S117" t="str">
            <v>NO</v>
          </cell>
          <cell r="T117" t="str">
            <v>DELIBERAZIONE EGATO 2 04/02/2019</v>
          </cell>
        </row>
        <row r="118">
          <cell r="D118" t="str">
            <v>C337150</v>
          </cell>
          <cell r="E118">
            <v>46113</v>
          </cell>
          <cell r="F118">
            <v>46477</v>
          </cell>
          <cell r="G118">
            <v>46149</v>
          </cell>
          <cell r="H118">
            <v>46149</v>
          </cell>
          <cell r="J118" t="str">
            <v>004068</v>
          </cell>
          <cell r="K118">
            <v>-175.39</v>
          </cell>
          <cell r="L118">
            <v>-175.39</v>
          </cell>
          <cell r="M118">
            <v>-175.39</v>
          </cell>
          <cell r="N118" t="str">
            <v>indiretto</v>
          </cell>
          <cell r="O118">
            <v>5</v>
          </cell>
          <cell r="P118" t="str">
            <v>0.970423</v>
          </cell>
          <cell r="Q118" t="str">
            <v>0.680389</v>
          </cell>
          <cell r="R118" t="str">
            <v>0.271253</v>
          </cell>
          <cell r="S118" t="str">
            <v>NO</v>
          </cell>
          <cell r="T118" t="str">
            <v>DELIBERAZIONE EGATO 29 19/12/2018</v>
          </cell>
        </row>
        <row r="119">
          <cell r="D119" t="str">
            <v>C312760</v>
          </cell>
          <cell r="E119">
            <v>46113</v>
          </cell>
          <cell r="F119">
            <v>46477</v>
          </cell>
          <cell r="G119">
            <v>46149</v>
          </cell>
          <cell r="H119">
            <v>46149</v>
          </cell>
          <cell r="J119" t="str">
            <v>004012</v>
          </cell>
          <cell r="K119">
            <v>-78.2</v>
          </cell>
          <cell r="L119">
            <v>-78.2</v>
          </cell>
          <cell r="M119">
            <v>-78.2</v>
          </cell>
          <cell r="N119" t="str">
            <v>indiretto</v>
          </cell>
          <cell r="O119">
            <v>3</v>
          </cell>
          <cell r="P119" t="str">
            <v>0.759077</v>
          </cell>
          <cell r="Q119" t="str">
            <v>0.490285</v>
          </cell>
          <cell r="R119" t="str">
            <v>0.179000</v>
          </cell>
          <cell r="S119" t="str">
            <v>NO</v>
          </cell>
          <cell r="T119" t="str">
            <v>DELIBERAZIONE EGATO 2 04/02/2019</v>
          </cell>
        </row>
        <row r="120">
          <cell r="D120" t="str">
            <v>C337142</v>
          </cell>
          <cell r="E120">
            <v>46113</v>
          </cell>
          <cell r="F120">
            <v>46477</v>
          </cell>
          <cell r="G120">
            <v>46149</v>
          </cell>
          <cell r="H120">
            <v>46149</v>
          </cell>
          <cell r="J120" t="str">
            <v>004166</v>
          </cell>
          <cell r="K120">
            <v>-50.75</v>
          </cell>
          <cell r="L120">
            <v>-50.75</v>
          </cell>
          <cell r="M120">
            <v>-50.75</v>
          </cell>
          <cell r="N120" t="str">
            <v>indiretto</v>
          </cell>
          <cell r="O120">
            <v>2</v>
          </cell>
          <cell r="P120" t="str">
            <v>0.763729</v>
          </cell>
          <cell r="Q120" t="str">
            <v>0.467552</v>
          </cell>
          <cell r="R120" t="str">
            <v>0.159233</v>
          </cell>
          <cell r="S120" t="str">
            <v>NO</v>
          </cell>
          <cell r="T120" t="str">
            <v>DELIBERAZIONE EGATO 2 04/02/2019</v>
          </cell>
        </row>
        <row r="121">
          <cell r="D121" t="str">
            <v>C343883</v>
          </cell>
          <cell r="E121">
            <v>46113</v>
          </cell>
          <cell r="F121">
            <v>46477</v>
          </cell>
          <cell r="G121">
            <v>46149</v>
          </cell>
          <cell r="H121">
            <v>46149</v>
          </cell>
          <cell r="J121" t="str">
            <v>004074</v>
          </cell>
          <cell r="K121">
            <v>-95.39</v>
          </cell>
          <cell r="L121">
            <v>-95.39</v>
          </cell>
          <cell r="M121">
            <v>-95.39</v>
          </cell>
          <cell r="N121" t="str">
            <v>indiretto</v>
          </cell>
          <cell r="O121">
            <v>3</v>
          </cell>
          <cell r="P121" t="str">
            <v>0.676412</v>
          </cell>
          <cell r="Q121" t="str">
            <v>0.790874</v>
          </cell>
          <cell r="R121" t="str">
            <v>0.275088</v>
          </cell>
          <cell r="S121" t="str">
            <v>NO</v>
          </cell>
          <cell r="T121" t="str">
            <v xml:space="preserve">DELIBERA EGATO/4 N. 29 DEL 19/12/2018  </v>
          </cell>
        </row>
        <row r="122">
          <cell r="D122" t="str">
            <v>C343908</v>
          </cell>
          <cell r="E122">
            <v>46113</v>
          </cell>
          <cell r="F122">
            <v>46477</v>
          </cell>
          <cell r="G122">
            <v>46149</v>
          </cell>
          <cell r="H122">
            <v>46149</v>
          </cell>
          <cell r="J122" t="str">
            <v>004078</v>
          </cell>
          <cell r="K122">
            <v>-35.08</v>
          </cell>
          <cell r="L122">
            <v>-35.08</v>
          </cell>
          <cell r="M122">
            <v>-35.08</v>
          </cell>
          <cell r="N122" t="str">
            <v>indiretto</v>
          </cell>
          <cell r="O122">
            <v>1</v>
          </cell>
          <cell r="P122" t="str">
            <v>0.970423</v>
          </cell>
          <cell r="Q122" t="str">
            <v>0.680389</v>
          </cell>
          <cell r="R122" t="str">
            <v>0.271253</v>
          </cell>
          <cell r="S122" t="str">
            <v>NO</v>
          </cell>
          <cell r="T122" t="str">
            <v>DELIBERAZIONE EGATO 29 19/12/2018</v>
          </cell>
        </row>
        <row r="123">
          <cell r="D123" t="str">
            <v>C337152</v>
          </cell>
          <cell r="E123">
            <v>46113</v>
          </cell>
          <cell r="F123">
            <v>46477</v>
          </cell>
          <cell r="G123">
            <v>46149</v>
          </cell>
          <cell r="H123">
            <v>46149</v>
          </cell>
          <cell r="J123" t="str">
            <v>004156</v>
          </cell>
          <cell r="K123">
            <v>-84.19</v>
          </cell>
          <cell r="L123">
            <v>-84.19</v>
          </cell>
          <cell r="M123">
            <v>-84.19</v>
          </cell>
          <cell r="N123" t="str">
            <v>indiretto</v>
          </cell>
          <cell r="O123">
            <v>3</v>
          </cell>
          <cell r="P123" t="str">
            <v>0.776338</v>
          </cell>
          <cell r="Q123" t="str">
            <v>0.544311</v>
          </cell>
          <cell r="R123" t="str">
            <v>0.217002</v>
          </cell>
          <cell r="S123" t="str">
            <v>NO</v>
          </cell>
          <cell r="T123" t="str">
            <v>DELIBERAZIONE EGATO 2 04/02/2019</v>
          </cell>
        </row>
        <row r="124">
          <cell r="D124" t="str">
            <v>C337159</v>
          </cell>
          <cell r="E124">
            <v>46113</v>
          </cell>
          <cell r="F124">
            <v>46477</v>
          </cell>
          <cell r="G124">
            <v>46149</v>
          </cell>
          <cell r="H124">
            <v>46149</v>
          </cell>
          <cell r="J124" t="str">
            <v>004022</v>
          </cell>
          <cell r="K124">
            <v>-105.23</v>
          </cell>
          <cell r="L124">
            <v>-105.23</v>
          </cell>
          <cell r="M124">
            <v>-105.23</v>
          </cell>
          <cell r="N124" t="str">
            <v>indiretto</v>
          </cell>
          <cell r="O124">
            <v>3</v>
          </cell>
          <cell r="P124" t="str">
            <v>0.970423</v>
          </cell>
          <cell r="Q124" t="str">
            <v>0.680389</v>
          </cell>
          <cell r="R124" t="str">
            <v>0.271253</v>
          </cell>
          <cell r="S124" t="str">
            <v>NO</v>
          </cell>
          <cell r="T124" t="str">
            <v>DELIBERAZIONE EGATO 29 19/12/2018</v>
          </cell>
        </row>
        <row r="125">
          <cell r="D125" t="str">
            <v>C343917</v>
          </cell>
          <cell r="E125">
            <v>46113</v>
          </cell>
          <cell r="F125">
            <v>46477</v>
          </cell>
          <cell r="G125">
            <v>46149</v>
          </cell>
          <cell r="H125">
            <v>46149</v>
          </cell>
          <cell r="J125" t="str">
            <v>004130</v>
          </cell>
          <cell r="K125">
            <v>-83.41</v>
          </cell>
          <cell r="L125">
            <v>-83.41</v>
          </cell>
          <cell r="M125">
            <v>-83.41</v>
          </cell>
          <cell r="N125" t="str">
            <v>indiretto</v>
          </cell>
          <cell r="O125">
            <v>3</v>
          </cell>
          <cell r="P125" t="str">
            <v>0.577221</v>
          </cell>
          <cell r="Q125" t="str">
            <v>0.647377</v>
          </cell>
          <cell r="R125" t="str">
            <v>0.298792</v>
          </cell>
          <cell r="S125" t="str">
            <v>NO</v>
          </cell>
          <cell r="T125" t="str">
            <v>DELIBERA EGATO N.29 DEL 19/12/2018</v>
          </cell>
        </row>
        <row r="126">
          <cell r="D126" t="str">
            <v>C314744</v>
          </cell>
          <cell r="E126">
            <v>46113</v>
          </cell>
          <cell r="F126">
            <v>46477</v>
          </cell>
          <cell r="G126">
            <v>46149</v>
          </cell>
          <cell r="H126">
            <v>46149</v>
          </cell>
          <cell r="J126" t="str">
            <v>004078</v>
          </cell>
          <cell r="K126">
            <v>-35.08</v>
          </cell>
          <cell r="L126">
            <v>-35.08</v>
          </cell>
          <cell r="M126">
            <v>-35.08</v>
          </cell>
          <cell r="N126" t="str">
            <v>indiretto</v>
          </cell>
          <cell r="O126">
            <v>1</v>
          </cell>
          <cell r="P126" t="str">
            <v>0.970423</v>
          </cell>
          <cell r="Q126" t="str">
            <v>0.680389</v>
          </cell>
          <cell r="R126" t="str">
            <v>0.271253</v>
          </cell>
          <cell r="S126" t="str">
            <v>NO</v>
          </cell>
          <cell r="T126" t="str">
            <v>DELIBERAZIONE EGATO 29 19/12/2018</v>
          </cell>
        </row>
        <row r="127">
          <cell r="D127" t="str">
            <v>C311042</v>
          </cell>
          <cell r="E127">
            <v>46113</v>
          </cell>
          <cell r="F127">
            <v>46477</v>
          </cell>
          <cell r="G127">
            <v>46149</v>
          </cell>
          <cell r="H127">
            <v>46149</v>
          </cell>
          <cell r="J127" t="str">
            <v>004078</v>
          </cell>
          <cell r="K127">
            <v>-175.39</v>
          </cell>
          <cell r="L127">
            <v>-175.39</v>
          </cell>
          <cell r="M127">
            <v>-175.39</v>
          </cell>
          <cell r="N127" t="str">
            <v>indiretto</v>
          </cell>
          <cell r="O127">
            <v>5</v>
          </cell>
          <cell r="P127" t="str">
            <v>0.970423</v>
          </cell>
          <cell r="Q127" t="str">
            <v>0.680389</v>
          </cell>
          <cell r="R127" t="str">
            <v>0.271253</v>
          </cell>
          <cell r="S127" t="str">
            <v>NO</v>
          </cell>
          <cell r="T127" t="str">
            <v>DELIBERAZIONE EGATO 29 19/12/2018</v>
          </cell>
        </row>
        <row r="128">
          <cell r="D128" t="str">
            <v>C312993</v>
          </cell>
          <cell r="E128">
            <v>46113</v>
          </cell>
          <cell r="F128">
            <v>46477</v>
          </cell>
          <cell r="G128">
            <v>46149</v>
          </cell>
          <cell r="H128">
            <v>46149</v>
          </cell>
          <cell r="J128" t="str">
            <v>004196</v>
          </cell>
          <cell r="K128">
            <v>-158.44999999999999</v>
          </cell>
          <cell r="L128">
            <v>-158.44999999999999</v>
          </cell>
          <cell r="M128">
            <v>-158.44999999999999</v>
          </cell>
          <cell r="N128" t="str">
            <v>indiretto</v>
          </cell>
          <cell r="O128">
            <v>5</v>
          </cell>
          <cell r="P128" t="str">
            <v>0.670523</v>
          </cell>
          <cell r="Q128" t="str">
            <v>0.790874</v>
          </cell>
          <cell r="R128" t="str">
            <v>0.275088</v>
          </cell>
          <cell r="S128" t="str">
            <v>NO</v>
          </cell>
          <cell r="T128" t="str">
            <v>DELIBERA EGATO 12 22/04/21</v>
          </cell>
        </row>
        <row r="129">
          <cell r="D129" t="str">
            <v>C343909</v>
          </cell>
          <cell r="E129">
            <v>46113</v>
          </cell>
          <cell r="F129">
            <v>46477</v>
          </cell>
          <cell r="G129">
            <v>46149</v>
          </cell>
          <cell r="H129">
            <v>46149</v>
          </cell>
          <cell r="J129" t="str">
            <v>004209</v>
          </cell>
          <cell r="K129">
            <v>-94.71</v>
          </cell>
          <cell r="L129">
            <v>-94.71</v>
          </cell>
          <cell r="M129">
            <v>-94.71</v>
          </cell>
          <cell r="N129" t="str">
            <v>indiretto</v>
          </cell>
          <cell r="O129">
            <v>3</v>
          </cell>
          <cell r="P129" t="str">
            <v>0.873381</v>
          </cell>
          <cell r="Q129" t="str">
            <v>0.612350</v>
          </cell>
          <cell r="R129" t="str">
            <v>0.244127</v>
          </cell>
          <cell r="S129" t="str">
            <v>NO</v>
          </cell>
          <cell r="T129" t="str">
            <v>DELIBERAZIONE EGATO 29 19/12/2018</v>
          </cell>
        </row>
        <row r="130">
          <cell r="D130" t="str">
            <v>C343904</v>
          </cell>
          <cell r="E130">
            <v>46113</v>
          </cell>
          <cell r="F130">
            <v>46477</v>
          </cell>
          <cell r="G130">
            <v>46149</v>
          </cell>
          <cell r="H130">
            <v>46149</v>
          </cell>
          <cell r="J130" t="str">
            <v>004130</v>
          </cell>
          <cell r="K130">
            <v>-55.6</v>
          </cell>
          <cell r="L130">
            <v>-55.6</v>
          </cell>
          <cell r="M130">
            <v>-55.6</v>
          </cell>
          <cell r="N130" t="str">
            <v>indiretto</v>
          </cell>
          <cell r="O130">
            <v>2</v>
          </cell>
          <cell r="P130" t="str">
            <v>0.577221</v>
          </cell>
          <cell r="Q130" t="str">
            <v>0.647377</v>
          </cell>
          <cell r="R130" t="str">
            <v>0.298792</v>
          </cell>
          <cell r="S130" t="str">
            <v>NO</v>
          </cell>
          <cell r="T130" t="str">
            <v>DELIBERA EGATO N.29 DEL 19/12/2018</v>
          </cell>
        </row>
        <row r="131">
          <cell r="D131" t="str">
            <v>C320208</v>
          </cell>
          <cell r="E131">
            <v>46113</v>
          </cell>
          <cell r="F131">
            <v>46477</v>
          </cell>
          <cell r="G131">
            <v>46149</v>
          </cell>
          <cell r="H131">
            <v>46149</v>
          </cell>
          <cell r="J131" t="str">
            <v>004064</v>
          </cell>
          <cell r="K131">
            <v>-105.23</v>
          </cell>
          <cell r="L131">
            <v>-105.23</v>
          </cell>
          <cell r="M131">
            <v>-105.23</v>
          </cell>
          <cell r="N131" t="str">
            <v>indiretto</v>
          </cell>
          <cell r="O131">
            <v>3</v>
          </cell>
          <cell r="P131" t="str">
            <v>0.970423</v>
          </cell>
          <cell r="Q131" t="str">
            <v>0.680389</v>
          </cell>
          <cell r="R131" t="str">
            <v>0.271253</v>
          </cell>
          <cell r="S131" t="str">
            <v>NO</v>
          </cell>
          <cell r="T131" t="str">
            <v>DELIBERAZIONE EGATO 29 19/12/2018</v>
          </cell>
        </row>
        <row r="132">
          <cell r="D132" t="str">
            <v>C343128</v>
          </cell>
          <cell r="E132">
            <v>46113</v>
          </cell>
          <cell r="F132">
            <v>46477</v>
          </cell>
          <cell r="G132">
            <v>46149</v>
          </cell>
          <cell r="H132">
            <v>46149</v>
          </cell>
          <cell r="J132" t="str">
            <v>004095</v>
          </cell>
          <cell r="K132">
            <v>-31.57</v>
          </cell>
          <cell r="L132">
            <v>-31.57</v>
          </cell>
          <cell r="M132">
            <v>-31.57</v>
          </cell>
          <cell r="N132" t="str">
            <v>indiretto</v>
          </cell>
          <cell r="O132">
            <v>1</v>
          </cell>
          <cell r="P132" t="str">
            <v>0.873381</v>
          </cell>
          <cell r="Q132" t="str">
            <v>0.612350</v>
          </cell>
          <cell r="R132" t="str">
            <v>0.244127</v>
          </cell>
          <cell r="S132" t="str">
            <v>NO</v>
          </cell>
          <cell r="T132" t="str">
            <v>DELIBERAZIONE EGATO 29 19/12/2018</v>
          </cell>
        </row>
        <row r="133">
          <cell r="D133" t="str">
            <v>C337666</v>
          </cell>
          <cell r="E133">
            <v>46143</v>
          </cell>
          <cell r="F133">
            <v>46507</v>
          </cell>
          <cell r="G133">
            <v>46179</v>
          </cell>
          <cell r="H133">
            <v>46179</v>
          </cell>
          <cell r="J133" t="str">
            <v>004082</v>
          </cell>
          <cell r="K133">
            <v>-99.39</v>
          </cell>
          <cell r="L133">
            <v>-99.39</v>
          </cell>
          <cell r="M133">
            <v>-99.39</v>
          </cell>
          <cell r="N133" t="str">
            <v>indiretto</v>
          </cell>
          <cell r="O133">
            <v>3</v>
          </cell>
          <cell r="P133" t="str">
            <v>0.916558</v>
          </cell>
          <cell r="Q133" t="str">
            <v>0.642623</v>
          </cell>
          <cell r="R133" t="str">
            <v>0.256196</v>
          </cell>
          <cell r="S133" t="str">
            <v>NO</v>
          </cell>
          <cell r="T133" t="str">
            <v>DELIBERAZIONE EGATO 29 19/12/2018</v>
          </cell>
        </row>
        <row r="134">
          <cell r="D134" t="str">
            <v>C344248</v>
          </cell>
          <cell r="E134">
            <v>46143</v>
          </cell>
          <cell r="F134">
            <v>46507</v>
          </cell>
          <cell r="G134">
            <v>46179</v>
          </cell>
          <cell r="H134">
            <v>46179</v>
          </cell>
          <cell r="J134" t="str">
            <v>004130</v>
          </cell>
          <cell r="K134">
            <v>-131.29</v>
          </cell>
          <cell r="L134">
            <v>-131.29</v>
          </cell>
          <cell r="M134">
            <v>-131.29</v>
          </cell>
          <cell r="N134" t="str">
            <v>indiretto</v>
          </cell>
          <cell r="O134">
            <v>5</v>
          </cell>
          <cell r="P134" t="str">
            <v>0.545182</v>
          </cell>
          <cell r="Q134" t="str">
            <v>0.611443</v>
          </cell>
          <cell r="R134" t="str">
            <v>0.282207</v>
          </cell>
          <cell r="S134" t="str">
            <v>NO</v>
          </cell>
          <cell r="T134" t="str">
            <v>DELIBERA EGATO N.29 DEL 19/12/2018</v>
          </cell>
        </row>
        <row r="135">
          <cell r="D135" t="str">
            <v>C319959</v>
          </cell>
          <cell r="E135">
            <v>46143</v>
          </cell>
          <cell r="F135">
            <v>46507</v>
          </cell>
          <cell r="G135">
            <v>46179</v>
          </cell>
          <cell r="H135">
            <v>46179</v>
          </cell>
          <cell r="J135" t="str">
            <v>004163</v>
          </cell>
          <cell r="K135">
            <v>-165.65</v>
          </cell>
          <cell r="L135">
            <v>-165.65</v>
          </cell>
          <cell r="M135">
            <v>-165.65</v>
          </cell>
          <cell r="N135" t="str">
            <v>indiretto</v>
          </cell>
          <cell r="O135">
            <v>5</v>
          </cell>
          <cell r="P135" t="str">
            <v>0.916558</v>
          </cell>
          <cell r="Q135" t="str">
            <v>0.642623</v>
          </cell>
          <cell r="R135" t="str">
            <v>0.256196</v>
          </cell>
          <cell r="S135" t="str">
            <v>NO</v>
          </cell>
          <cell r="T135" t="str">
            <v>DELIBERAZIONE EGATO 29 19/12/2018</v>
          </cell>
        </row>
        <row r="136">
          <cell r="D136" t="str">
            <v>C317546</v>
          </cell>
          <cell r="E136">
            <v>46143</v>
          </cell>
          <cell r="F136">
            <v>46507</v>
          </cell>
          <cell r="G136">
            <v>46179</v>
          </cell>
          <cell r="H136">
            <v>46179</v>
          </cell>
          <cell r="J136" t="str">
            <v>004062</v>
          </cell>
          <cell r="K136">
            <v>-137.87</v>
          </cell>
          <cell r="L136">
            <v>-137.87</v>
          </cell>
          <cell r="M136">
            <v>-137.87</v>
          </cell>
          <cell r="N136" t="str">
            <v>indiretto</v>
          </cell>
          <cell r="O136">
            <v>4</v>
          </cell>
          <cell r="P136">
            <v>1157763</v>
          </cell>
          <cell r="Q136" t="str">
            <v>0.545393</v>
          </cell>
          <cell r="R136" t="str">
            <v>0.185433</v>
          </cell>
          <cell r="S136" t="str">
            <v>NO</v>
          </cell>
          <cell r="T136" t="str">
            <v>DELIBERAZIONE EGATO 11 27/03/2019</v>
          </cell>
        </row>
        <row r="137">
          <cell r="D137" t="str">
            <v>C344178</v>
          </cell>
          <cell r="E137">
            <v>46143</v>
          </cell>
          <cell r="F137">
            <v>46507</v>
          </cell>
          <cell r="G137">
            <v>46179</v>
          </cell>
          <cell r="H137">
            <v>46179</v>
          </cell>
          <cell r="J137" t="str">
            <v>004081</v>
          </cell>
          <cell r="K137">
            <v>-37.950000000000003</v>
          </cell>
          <cell r="L137">
            <v>-37.950000000000003</v>
          </cell>
          <cell r="M137">
            <v>-37.950000000000003</v>
          </cell>
          <cell r="N137" t="str">
            <v>indiretto</v>
          </cell>
          <cell r="O137">
            <v>1</v>
          </cell>
          <cell r="P137">
            <v>1091278</v>
          </cell>
          <cell r="Q137" t="str">
            <v>0.691798</v>
          </cell>
          <cell r="R137" t="str">
            <v>0.296264</v>
          </cell>
          <cell r="S137" t="str">
            <v>NO</v>
          </cell>
          <cell r="T137" t="str">
            <v>DELIBERAZIONE EGATO 2 04/02/2019</v>
          </cell>
        </row>
        <row r="138">
          <cell r="D138" t="str">
            <v>C317813</v>
          </cell>
          <cell r="E138">
            <v>46143</v>
          </cell>
          <cell r="F138">
            <v>46507</v>
          </cell>
          <cell r="G138">
            <v>46179</v>
          </cell>
          <cell r="H138">
            <v>46179</v>
          </cell>
          <cell r="J138" t="str">
            <v>004116</v>
          </cell>
          <cell r="K138">
            <v>-23.97</v>
          </cell>
          <cell r="L138">
            <v>-23.97</v>
          </cell>
          <cell r="M138">
            <v>-23.97</v>
          </cell>
          <cell r="N138" t="str">
            <v>indiretto</v>
          </cell>
          <cell r="O138">
            <v>1</v>
          </cell>
          <cell r="P138" t="str">
            <v>0.721337</v>
          </cell>
          <cell r="Q138" t="str">
            <v>0.441600</v>
          </cell>
          <cell r="R138" t="str">
            <v>0.150394</v>
          </cell>
          <cell r="S138" t="str">
            <v>NO</v>
          </cell>
          <cell r="T138" t="str">
            <v>DELIBERAZIONE EGATO 2 04/02/2019</v>
          </cell>
        </row>
        <row r="139">
          <cell r="D139" t="str">
            <v>C310819</v>
          </cell>
          <cell r="E139">
            <v>46143</v>
          </cell>
          <cell r="F139">
            <v>46507</v>
          </cell>
          <cell r="G139">
            <v>46179</v>
          </cell>
          <cell r="H139">
            <v>46179</v>
          </cell>
          <cell r="J139" t="str">
            <v>004066</v>
          </cell>
          <cell r="K139">
            <v>-132.52000000000001</v>
          </cell>
          <cell r="L139">
            <v>-132.52000000000001</v>
          </cell>
          <cell r="M139">
            <v>-132.52000000000001</v>
          </cell>
          <cell r="N139" t="str">
            <v>indiretto</v>
          </cell>
          <cell r="O139">
            <v>4</v>
          </cell>
          <cell r="P139" t="str">
            <v>0.916558</v>
          </cell>
          <cell r="Q139" t="str">
            <v>0.642623</v>
          </cell>
          <cell r="R139" t="str">
            <v>0.256196</v>
          </cell>
          <cell r="S139" t="str">
            <v>NO</v>
          </cell>
          <cell r="T139" t="str">
            <v>DELIBERAZIONE EGATO 29 19/12/2018</v>
          </cell>
        </row>
        <row r="140">
          <cell r="D140" t="str">
            <v>C337598</v>
          </cell>
          <cell r="E140">
            <v>46143</v>
          </cell>
          <cell r="F140">
            <v>46507</v>
          </cell>
          <cell r="G140">
            <v>46179</v>
          </cell>
          <cell r="H140">
            <v>46179</v>
          </cell>
          <cell r="J140" t="str">
            <v>004066</v>
          </cell>
          <cell r="K140">
            <v>-165.65</v>
          </cell>
          <cell r="L140">
            <v>-165.65</v>
          </cell>
          <cell r="M140">
            <v>-165.65</v>
          </cell>
          <cell r="N140" t="str">
            <v>indiretto</v>
          </cell>
          <cell r="O140">
            <v>5</v>
          </cell>
          <cell r="P140" t="str">
            <v>0.916558</v>
          </cell>
          <cell r="Q140" t="str">
            <v>0.642623</v>
          </cell>
          <cell r="R140" t="str">
            <v>0.256196</v>
          </cell>
          <cell r="S140" t="str">
            <v>NO</v>
          </cell>
          <cell r="T140" t="str">
            <v>DELIBERAZIONE EGATO 29 19/12/2018</v>
          </cell>
        </row>
        <row r="141">
          <cell r="D141" t="str">
            <v>C308856</v>
          </cell>
          <cell r="E141">
            <v>46143</v>
          </cell>
          <cell r="F141">
            <v>46507</v>
          </cell>
          <cell r="G141">
            <v>46179</v>
          </cell>
          <cell r="H141">
            <v>46179</v>
          </cell>
          <cell r="J141" t="str">
            <v>004225</v>
          </cell>
          <cell r="K141">
            <v>-132.52000000000001</v>
          </cell>
          <cell r="L141">
            <v>-132.52000000000001</v>
          </cell>
          <cell r="M141">
            <v>-132.52000000000001</v>
          </cell>
          <cell r="N141" t="str">
            <v>indiretto</v>
          </cell>
          <cell r="O141">
            <v>4</v>
          </cell>
          <cell r="P141" t="str">
            <v>0.916558</v>
          </cell>
          <cell r="Q141" t="str">
            <v>0.642623</v>
          </cell>
          <cell r="R141" t="str">
            <v>0.256196</v>
          </cell>
          <cell r="S141" t="str">
            <v>NO</v>
          </cell>
          <cell r="T141" t="str">
            <v>DELIBERAZIONE EGATO 29 19/12/2018</v>
          </cell>
        </row>
        <row r="142">
          <cell r="D142" t="str">
            <v>C344267</v>
          </cell>
          <cell r="E142">
            <v>46143</v>
          </cell>
          <cell r="F142">
            <v>46507</v>
          </cell>
          <cell r="G142">
            <v>46179</v>
          </cell>
          <cell r="H142">
            <v>46179</v>
          </cell>
          <cell r="J142" t="str">
            <v>004207</v>
          </cell>
          <cell r="K142">
            <v>-42.73</v>
          </cell>
          <cell r="L142">
            <v>-42.73</v>
          </cell>
          <cell r="M142">
            <v>-42.73</v>
          </cell>
          <cell r="N142" t="str">
            <v>indiretto</v>
          </cell>
          <cell r="O142">
            <v>2</v>
          </cell>
          <cell r="P142" t="str">
            <v>0.509947</v>
          </cell>
          <cell r="Q142" t="str">
            <v>0.493155</v>
          </cell>
          <cell r="R142" t="str">
            <v>0.167631</v>
          </cell>
          <cell r="S142" t="str">
            <v>NO</v>
          </cell>
          <cell r="T142" t="str">
            <v>DELIBERAZIONE EGATO 2 04/02/2019</v>
          </cell>
        </row>
        <row r="143">
          <cell r="D143" t="str">
            <v>C307876</v>
          </cell>
          <cell r="E143">
            <v>46143</v>
          </cell>
          <cell r="F143">
            <v>46507</v>
          </cell>
          <cell r="G143">
            <v>46179</v>
          </cell>
          <cell r="H143">
            <v>46179</v>
          </cell>
          <cell r="J143" t="str">
            <v>004025</v>
          </cell>
          <cell r="K143">
            <v>-99.39</v>
          </cell>
          <cell r="L143">
            <v>-99.39</v>
          </cell>
          <cell r="M143">
            <v>-99.39</v>
          </cell>
          <cell r="N143" t="str">
            <v>indiretto</v>
          </cell>
          <cell r="O143">
            <v>3</v>
          </cell>
          <cell r="P143" t="str">
            <v>0.916558</v>
          </cell>
          <cell r="Q143" t="str">
            <v>0.642623</v>
          </cell>
          <cell r="R143" t="str">
            <v>0.256196</v>
          </cell>
          <cell r="S143" t="str">
            <v>NO</v>
          </cell>
          <cell r="T143" t="str">
            <v>DELIBERAZIONE EGATO 29 19/12/2018</v>
          </cell>
        </row>
        <row r="144">
          <cell r="D144" t="str">
            <v>C337651</v>
          </cell>
          <cell r="E144">
            <v>46143</v>
          </cell>
          <cell r="F144">
            <v>46507</v>
          </cell>
          <cell r="G144">
            <v>46179</v>
          </cell>
          <cell r="H144">
            <v>46179</v>
          </cell>
          <cell r="J144" t="str">
            <v>004078</v>
          </cell>
          <cell r="K144">
            <v>-33.130000000000003</v>
          </cell>
          <cell r="L144">
            <v>-33.130000000000003</v>
          </cell>
          <cell r="M144">
            <v>-33.130000000000003</v>
          </cell>
          <cell r="N144" t="str">
            <v>indiretto</v>
          </cell>
          <cell r="O144">
            <v>1</v>
          </cell>
          <cell r="P144" t="str">
            <v>0.916558</v>
          </cell>
          <cell r="Q144" t="str">
            <v>0.642623</v>
          </cell>
          <cell r="R144" t="str">
            <v>0.256196</v>
          </cell>
          <cell r="S144" t="str">
            <v>NO</v>
          </cell>
          <cell r="T144" t="str">
            <v>DELIBERAZIONE EGATO 29 19/12/2018</v>
          </cell>
        </row>
        <row r="145">
          <cell r="D145" t="str">
            <v>C315649</v>
          </cell>
          <cell r="E145">
            <v>46143</v>
          </cell>
          <cell r="F145">
            <v>46507</v>
          </cell>
          <cell r="G145">
            <v>46179</v>
          </cell>
          <cell r="H145">
            <v>46179</v>
          </cell>
          <cell r="J145" t="str">
            <v>004075</v>
          </cell>
          <cell r="K145">
            <v>-32.369999999999997</v>
          </cell>
          <cell r="L145">
            <v>-32.369999999999997</v>
          </cell>
          <cell r="M145">
            <v>-32.369999999999997</v>
          </cell>
          <cell r="N145" t="str">
            <v>indiretto</v>
          </cell>
          <cell r="O145">
            <v>1</v>
          </cell>
          <cell r="P145" t="str">
            <v>0.874880</v>
          </cell>
          <cell r="Q145" t="str">
            <v>0.642623</v>
          </cell>
          <cell r="R145" t="str">
            <v>0.256196</v>
          </cell>
          <cell r="S145" t="str">
            <v>NO</v>
          </cell>
          <cell r="T145" t="str">
            <v>DELIBERAZIONE EGATO 11 27/03/2019</v>
          </cell>
        </row>
        <row r="146">
          <cell r="D146" t="str">
            <v>C309498</v>
          </cell>
          <cell r="E146">
            <v>46143</v>
          </cell>
          <cell r="F146">
            <v>46507</v>
          </cell>
          <cell r="G146">
            <v>46179</v>
          </cell>
          <cell r="H146">
            <v>46179</v>
          </cell>
          <cell r="J146" t="str">
            <v>004040</v>
          </cell>
          <cell r="K146">
            <v>-99.39</v>
          </cell>
          <cell r="L146">
            <v>-99.39</v>
          </cell>
          <cell r="M146">
            <v>-99.39</v>
          </cell>
          <cell r="N146" t="str">
            <v>indiretto</v>
          </cell>
          <cell r="O146">
            <v>3</v>
          </cell>
          <cell r="P146" t="str">
            <v>0.916558</v>
          </cell>
          <cell r="Q146" t="str">
            <v>0.642623</v>
          </cell>
          <cell r="R146" t="str">
            <v>0.256196</v>
          </cell>
          <cell r="S146" t="str">
            <v>NO</v>
          </cell>
          <cell r="T146" t="str">
            <v>DELIBERAZIONE EGATO 29 19/12/2018</v>
          </cell>
        </row>
        <row r="147">
          <cell r="D147" t="str">
            <v>C311889</v>
          </cell>
          <cell r="E147">
            <v>46143</v>
          </cell>
          <cell r="F147">
            <v>46507</v>
          </cell>
          <cell r="G147">
            <v>46179</v>
          </cell>
          <cell r="H147">
            <v>46179</v>
          </cell>
          <cell r="J147" t="str">
            <v>004028</v>
          </cell>
          <cell r="K147">
            <v>-99.39</v>
          </cell>
          <cell r="L147">
            <v>-99.39</v>
          </cell>
          <cell r="M147">
            <v>-99.39</v>
          </cell>
          <cell r="N147" t="str">
            <v>indiretto</v>
          </cell>
          <cell r="O147">
            <v>3</v>
          </cell>
          <cell r="P147" t="str">
            <v>0.916558</v>
          </cell>
          <cell r="Q147" t="str">
            <v>0.642623</v>
          </cell>
          <cell r="R147" t="str">
            <v>0.256196</v>
          </cell>
          <cell r="S147" t="str">
            <v>NO</v>
          </cell>
          <cell r="T147" t="str">
            <v>DELIBERAZIONE EGATO 29 19/12/2018</v>
          </cell>
        </row>
        <row r="148">
          <cell r="D148" t="str">
            <v>C344254</v>
          </cell>
          <cell r="E148">
            <v>46143</v>
          </cell>
          <cell r="F148">
            <v>46507</v>
          </cell>
          <cell r="G148">
            <v>46179</v>
          </cell>
          <cell r="H148">
            <v>46179</v>
          </cell>
          <cell r="J148" t="str">
            <v>004192</v>
          </cell>
          <cell r="K148">
            <v>-66.260000000000005</v>
          </cell>
          <cell r="L148">
            <v>-66.260000000000005</v>
          </cell>
          <cell r="M148">
            <v>-66.260000000000005</v>
          </cell>
          <cell r="N148" t="str">
            <v>indiretto</v>
          </cell>
          <cell r="O148">
            <v>2</v>
          </cell>
          <cell r="P148" t="str">
            <v>0.916558</v>
          </cell>
          <cell r="Q148" t="str">
            <v>0.642623</v>
          </cell>
          <cell r="R148" t="str">
            <v>0.256196</v>
          </cell>
          <cell r="S148" t="str">
            <v>NO</v>
          </cell>
          <cell r="T148" t="str">
            <v>DELIBERAZIONE EGATO 29 19/12/2018</v>
          </cell>
        </row>
        <row r="149">
          <cell r="D149" t="str">
            <v>C344170</v>
          </cell>
          <cell r="E149">
            <v>46143</v>
          </cell>
          <cell r="F149">
            <v>46507</v>
          </cell>
          <cell r="G149">
            <v>46179</v>
          </cell>
          <cell r="H149">
            <v>46179</v>
          </cell>
          <cell r="J149" t="str">
            <v>004075</v>
          </cell>
          <cell r="K149">
            <v>-64.739999999999995</v>
          </cell>
          <cell r="L149">
            <v>-64.739999999999995</v>
          </cell>
          <cell r="M149">
            <v>-64.739999999999995</v>
          </cell>
          <cell r="N149" t="str">
            <v>indiretto</v>
          </cell>
          <cell r="O149">
            <v>2</v>
          </cell>
          <cell r="P149" t="str">
            <v>0.874880</v>
          </cell>
          <cell r="Q149" t="str">
            <v>0.642623</v>
          </cell>
          <cell r="R149" t="str">
            <v>0.256196</v>
          </cell>
          <cell r="S149" t="str">
            <v>NO</v>
          </cell>
          <cell r="T149" t="str">
            <v>DELIBERAZIONE EGATO 11 27/03/2019</v>
          </cell>
        </row>
        <row r="150">
          <cell r="D150" t="str">
            <v>C321378</v>
          </cell>
          <cell r="E150">
            <v>46143</v>
          </cell>
          <cell r="F150">
            <v>46507</v>
          </cell>
          <cell r="G150">
            <v>46179</v>
          </cell>
          <cell r="H150">
            <v>46179</v>
          </cell>
          <cell r="J150" t="str">
            <v>004028</v>
          </cell>
          <cell r="K150">
            <v>-33.130000000000003</v>
          </cell>
          <cell r="L150">
            <v>-33.130000000000003</v>
          </cell>
          <cell r="M150">
            <v>-33.130000000000003</v>
          </cell>
          <cell r="N150" t="str">
            <v>indiretto</v>
          </cell>
          <cell r="O150">
            <v>1</v>
          </cell>
          <cell r="P150" t="str">
            <v>0.916558</v>
          </cell>
          <cell r="Q150" t="str">
            <v>0.642623</v>
          </cell>
          <cell r="R150" t="str">
            <v>0.256196</v>
          </cell>
          <cell r="S150" t="str">
            <v>NO</v>
          </cell>
          <cell r="T150" t="str">
            <v>DELIBERAZIONE EGATO 29 19/12/2018</v>
          </cell>
        </row>
        <row r="151">
          <cell r="D151" t="str">
            <v>C091341</v>
          </cell>
          <cell r="E151">
            <v>46143</v>
          </cell>
          <cell r="F151">
            <v>46507</v>
          </cell>
          <cell r="G151">
            <v>46179</v>
          </cell>
          <cell r="H151">
            <v>46179</v>
          </cell>
          <cell r="J151" t="str">
            <v>004192</v>
          </cell>
          <cell r="K151">
            <v>-33.130000000000003</v>
          </cell>
          <cell r="L151">
            <v>-33.130000000000003</v>
          </cell>
          <cell r="M151">
            <v>-33.130000000000003</v>
          </cell>
          <cell r="N151" t="str">
            <v>indiretto</v>
          </cell>
          <cell r="O151">
            <v>1</v>
          </cell>
          <cell r="P151" t="str">
            <v>0.916558</v>
          </cell>
          <cell r="Q151" t="str">
            <v>0.642623</v>
          </cell>
          <cell r="R151" t="str">
            <v>0.256196</v>
          </cell>
          <cell r="S151" t="str">
            <v>NO</v>
          </cell>
          <cell r="T151" t="str">
            <v>DELIBERAZIONE EGATO 29 19/12/2018</v>
          </cell>
        </row>
        <row r="152">
          <cell r="D152" t="str">
            <v>C344235</v>
          </cell>
          <cell r="E152">
            <v>46143</v>
          </cell>
          <cell r="F152">
            <v>46507</v>
          </cell>
          <cell r="G152">
            <v>46179</v>
          </cell>
          <cell r="H152">
            <v>46179</v>
          </cell>
          <cell r="J152" t="str">
            <v>004130</v>
          </cell>
          <cell r="K152">
            <v>-52.52</v>
          </cell>
          <cell r="L152">
            <v>-52.52</v>
          </cell>
          <cell r="M152">
            <v>-52.52</v>
          </cell>
          <cell r="N152" t="str">
            <v>indiretto</v>
          </cell>
          <cell r="O152">
            <v>2</v>
          </cell>
          <cell r="P152" t="str">
            <v>0.545182</v>
          </cell>
          <cell r="Q152" t="str">
            <v>0.611443</v>
          </cell>
          <cell r="R152" t="str">
            <v>0.282207</v>
          </cell>
          <cell r="S152" t="str">
            <v>NO</v>
          </cell>
          <cell r="T152" t="str">
            <v>DELIBERA EGATO N.29 DEL 19/12/2018</v>
          </cell>
        </row>
        <row r="153">
          <cell r="D153" t="str">
            <v>C310223</v>
          </cell>
          <cell r="E153">
            <v>46143</v>
          </cell>
          <cell r="F153">
            <v>46507</v>
          </cell>
          <cell r="G153">
            <v>46179</v>
          </cell>
          <cell r="H153">
            <v>46179</v>
          </cell>
          <cell r="J153" t="str">
            <v>004171</v>
          </cell>
          <cell r="K153">
            <v>-108.96</v>
          </cell>
          <cell r="L153">
            <v>-108.96</v>
          </cell>
          <cell r="M153">
            <v>-108.96</v>
          </cell>
          <cell r="N153" t="str">
            <v>indiretto</v>
          </cell>
          <cell r="O153">
            <v>6</v>
          </cell>
          <cell r="P153" t="str">
            <v>0.483220</v>
          </cell>
          <cell r="Q153" t="str">
            <v>0.350215</v>
          </cell>
          <cell r="R153" t="str">
            <v>0.161638</v>
          </cell>
          <cell r="S153" t="str">
            <v>NO</v>
          </cell>
          <cell r="T153" t="str">
            <v>DELIBERAZIONE EGATO 23 16/11/2020</v>
          </cell>
        </row>
        <row r="154">
          <cell r="D154" t="str">
            <v>C337724</v>
          </cell>
          <cell r="E154">
            <v>46143</v>
          </cell>
          <cell r="F154">
            <v>46507</v>
          </cell>
          <cell r="G154">
            <v>46179</v>
          </cell>
          <cell r="H154">
            <v>46179</v>
          </cell>
          <cell r="J154" t="str">
            <v>004074</v>
          </cell>
          <cell r="K154">
            <v>-30.03</v>
          </cell>
          <cell r="L154">
            <v>-30.03</v>
          </cell>
          <cell r="M154">
            <v>-30.03</v>
          </cell>
          <cell r="N154" t="str">
            <v>indiretto</v>
          </cell>
          <cell r="O154">
            <v>1</v>
          </cell>
          <cell r="P154" t="str">
            <v>0.638867</v>
          </cell>
          <cell r="Q154" t="str">
            <v>0.746975</v>
          </cell>
          <cell r="R154" t="str">
            <v>0.259818</v>
          </cell>
          <cell r="S154" t="str">
            <v>NO</v>
          </cell>
          <cell r="T154" t="str">
            <v xml:space="preserve">DELIBERA EGATO/4 N. 29 DEL 19/12/2018  </v>
          </cell>
        </row>
        <row r="155">
          <cell r="D155" t="str">
            <v>C344234</v>
          </cell>
          <cell r="E155">
            <v>46143</v>
          </cell>
          <cell r="F155">
            <v>46507</v>
          </cell>
          <cell r="G155">
            <v>46179</v>
          </cell>
          <cell r="H155">
            <v>46179</v>
          </cell>
          <cell r="J155" t="str">
            <v>004151</v>
          </cell>
          <cell r="K155">
            <v>-193.3</v>
          </cell>
          <cell r="L155">
            <v>-193.3</v>
          </cell>
          <cell r="M155">
            <v>-193.3</v>
          </cell>
          <cell r="N155" t="str">
            <v>indiretto</v>
          </cell>
          <cell r="O155">
            <v>5</v>
          </cell>
          <cell r="P155">
            <v>1091278</v>
          </cell>
          <cell r="Q155" t="str">
            <v>0.730790</v>
          </cell>
          <cell r="R155" t="str">
            <v>0.296264</v>
          </cell>
          <cell r="S155" t="str">
            <v>NO</v>
          </cell>
          <cell r="T155" t="str">
            <v>DELIBERAZIONE EGATO 2 04/02/2019</v>
          </cell>
        </row>
        <row r="156">
          <cell r="D156" t="str">
            <v>C310840</v>
          </cell>
          <cell r="E156">
            <v>46143</v>
          </cell>
          <cell r="F156">
            <v>46507</v>
          </cell>
          <cell r="G156">
            <v>46179</v>
          </cell>
          <cell r="H156">
            <v>46179</v>
          </cell>
          <cell r="J156" t="str">
            <v>004163</v>
          </cell>
          <cell r="K156">
            <v>-99.39</v>
          </cell>
          <cell r="L156">
            <v>-99.39</v>
          </cell>
          <cell r="M156">
            <v>-99.39</v>
          </cell>
          <cell r="N156" t="str">
            <v>indiretto</v>
          </cell>
          <cell r="O156">
            <v>3</v>
          </cell>
          <cell r="P156" t="str">
            <v>0.916558</v>
          </cell>
          <cell r="Q156" t="str">
            <v>0.642623</v>
          </cell>
          <cell r="R156" t="str">
            <v>0.256196</v>
          </cell>
          <cell r="S156" t="str">
            <v>NO</v>
          </cell>
          <cell r="T156" t="str">
            <v>DELIBERAZIONE EGATO 29 19/12/2018</v>
          </cell>
        </row>
        <row r="157">
          <cell r="D157" t="str">
            <v>C337585</v>
          </cell>
          <cell r="E157">
            <v>46143</v>
          </cell>
          <cell r="F157">
            <v>46507</v>
          </cell>
          <cell r="G157">
            <v>46179</v>
          </cell>
          <cell r="H157">
            <v>46179</v>
          </cell>
          <cell r="J157" t="str">
            <v>004249</v>
          </cell>
          <cell r="K157">
            <v>-13.29</v>
          </cell>
          <cell r="L157">
            <v>-13.29</v>
          </cell>
          <cell r="M157">
            <v>-13.29</v>
          </cell>
          <cell r="N157" t="str">
            <v>indiretto</v>
          </cell>
          <cell r="O157">
            <v>1</v>
          </cell>
          <cell r="P157" t="str">
            <v>0.222532</v>
          </cell>
          <cell r="Q157" t="str">
            <v>0.366671</v>
          </cell>
          <cell r="R157" t="str">
            <v>0.139082</v>
          </cell>
          <cell r="S157" t="str">
            <v>NO</v>
          </cell>
          <cell r="T157" t="str">
            <v>DELIBERAZIONE EGATO 4 23/02/2023</v>
          </cell>
        </row>
        <row r="158">
          <cell r="D158" t="str">
            <v>C337513</v>
          </cell>
          <cell r="E158">
            <v>46143</v>
          </cell>
          <cell r="F158">
            <v>46507</v>
          </cell>
          <cell r="G158">
            <v>46179</v>
          </cell>
          <cell r="H158">
            <v>46179</v>
          </cell>
          <cell r="J158" t="str">
            <v>004025</v>
          </cell>
          <cell r="K158">
            <v>-165.65</v>
          </cell>
          <cell r="L158">
            <v>-165.65</v>
          </cell>
          <cell r="M158">
            <v>-165.65</v>
          </cell>
          <cell r="N158" t="str">
            <v>indiretto</v>
          </cell>
          <cell r="O158">
            <v>5</v>
          </cell>
          <cell r="P158" t="str">
            <v>0.916558</v>
          </cell>
          <cell r="Q158" t="str">
            <v>0.642623</v>
          </cell>
          <cell r="R158" t="str">
            <v>0.256196</v>
          </cell>
          <cell r="S158" t="str">
            <v>NO</v>
          </cell>
          <cell r="T158" t="str">
            <v>DELIBERAZIONE EGATO 29 19/12/2018</v>
          </cell>
        </row>
        <row r="159">
          <cell r="D159" t="str">
            <v>C344133</v>
          </cell>
          <cell r="E159">
            <v>46143</v>
          </cell>
          <cell r="F159">
            <v>46507</v>
          </cell>
          <cell r="G159">
            <v>46179</v>
          </cell>
          <cell r="H159">
            <v>46179</v>
          </cell>
          <cell r="J159" t="str">
            <v>004116</v>
          </cell>
          <cell r="K159">
            <v>-23.97</v>
          </cell>
          <cell r="L159">
            <v>-23.97</v>
          </cell>
          <cell r="M159">
            <v>-23.97</v>
          </cell>
          <cell r="N159" t="str">
            <v>indiretto</v>
          </cell>
          <cell r="O159">
            <v>1</v>
          </cell>
          <cell r="P159" t="str">
            <v>0.721337</v>
          </cell>
          <cell r="Q159" t="str">
            <v>0.441600</v>
          </cell>
          <cell r="R159" t="str">
            <v>0.150394</v>
          </cell>
          <cell r="S159" t="str">
            <v>NO</v>
          </cell>
          <cell r="T159" t="str">
            <v>DELIBERAZIONE EGATO 2 04/02/2019</v>
          </cell>
        </row>
        <row r="160">
          <cell r="D160" t="str">
            <v>C310622</v>
          </cell>
          <cell r="E160">
            <v>46143</v>
          </cell>
          <cell r="F160">
            <v>46507</v>
          </cell>
          <cell r="G160">
            <v>46179</v>
          </cell>
          <cell r="H160">
            <v>46179</v>
          </cell>
          <cell r="J160" t="str">
            <v>004078</v>
          </cell>
          <cell r="K160">
            <v>-165.65</v>
          </cell>
          <cell r="L160">
            <v>-165.65</v>
          </cell>
          <cell r="M160">
            <v>-165.65</v>
          </cell>
          <cell r="N160" t="str">
            <v>indiretto</v>
          </cell>
          <cell r="O160">
            <v>5</v>
          </cell>
          <cell r="P160" t="str">
            <v>0.916558</v>
          </cell>
          <cell r="Q160" t="str">
            <v>0.642623</v>
          </cell>
          <cell r="R160" t="str">
            <v>0.256196</v>
          </cell>
          <cell r="S160" t="str">
            <v>NO</v>
          </cell>
          <cell r="T160" t="str">
            <v>DELIBERAZIONE EGATO 29 19/12/2018</v>
          </cell>
        </row>
        <row r="161">
          <cell r="D161" t="str">
            <v>C344266</v>
          </cell>
          <cell r="E161">
            <v>46143</v>
          </cell>
          <cell r="F161">
            <v>46507</v>
          </cell>
          <cell r="G161">
            <v>46179</v>
          </cell>
          <cell r="H161">
            <v>46179</v>
          </cell>
          <cell r="J161" t="str">
            <v>004095</v>
          </cell>
          <cell r="K161">
            <v>-119.27</v>
          </cell>
          <cell r="L161">
            <v>-119.27</v>
          </cell>
          <cell r="M161">
            <v>-119.27</v>
          </cell>
          <cell r="N161" t="str">
            <v>indiretto</v>
          </cell>
          <cell r="O161">
            <v>4</v>
          </cell>
          <cell r="P161" t="str">
            <v>0.824903</v>
          </cell>
          <cell r="Q161" t="str">
            <v>0.578360</v>
          </cell>
          <cell r="R161" t="str">
            <v>0.230576</v>
          </cell>
          <cell r="S161" t="str">
            <v>NO</v>
          </cell>
          <cell r="T161" t="str">
            <v>DELIBERAZIONE EGATO 29 19/12/2018</v>
          </cell>
        </row>
        <row r="162">
          <cell r="D162" t="str">
            <v>C344169</v>
          </cell>
          <cell r="E162">
            <v>46143</v>
          </cell>
          <cell r="F162">
            <v>46507</v>
          </cell>
          <cell r="G162">
            <v>46179</v>
          </cell>
          <cell r="H162">
            <v>46179</v>
          </cell>
          <cell r="J162" t="str">
            <v>004130</v>
          </cell>
          <cell r="K162">
            <v>-52.52</v>
          </cell>
          <cell r="L162">
            <v>-52.52</v>
          </cell>
          <cell r="M162">
            <v>-52.52</v>
          </cell>
          <cell r="N162" t="str">
            <v>indiretto</v>
          </cell>
          <cell r="O162">
            <v>2</v>
          </cell>
          <cell r="P162" t="str">
            <v>0.545182</v>
          </cell>
          <cell r="Q162" t="str">
            <v>0.611443</v>
          </cell>
          <cell r="R162" t="str">
            <v>0.282207</v>
          </cell>
          <cell r="S162" t="str">
            <v>NO</v>
          </cell>
          <cell r="T162" t="str">
            <v>DELIBERA EGATO N.29 DEL 19/12/2018</v>
          </cell>
        </row>
        <row r="163">
          <cell r="D163" t="str">
            <v>C314617</v>
          </cell>
          <cell r="E163">
            <v>46143</v>
          </cell>
          <cell r="F163">
            <v>46507</v>
          </cell>
          <cell r="G163">
            <v>46179</v>
          </cell>
          <cell r="H163">
            <v>46179</v>
          </cell>
          <cell r="J163" t="str">
            <v>004243</v>
          </cell>
          <cell r="K163">
            <v>-66.260000000000005</v>
          </cell>
          <cell r="L163">
            <v>-66.260000000000005</v>
          </cell>
          <cell r="M163">
            <v>-66.260000000000005</v>
          </cell>
          <cell r="N163" t="str">
            <v>indiretto</v>
          </cell>
          <cell r="O163">
            <v>2</v>
          </cell>
          <cell r="P163" t="str">
            <v>0.916558</v>
          </cell>
          <cell r="Q163" t="str">
            <v>0.642623</v>
          </cell>
          <cell r="R163" t="str">
            <v>0.256196</v>
          </cell>
          <cell r="S163" t="str">
            <v>NO</v>
          </cell>
          <cell r="T163" t="str">
            <v>DELIBERAZIONE EGATO 29 19/12/2018</v>
          </cell>
        </row>
        <row r="164">
          <cell r="D164" t="str">
            <v>C309193</v>
          </cell>
          <cell r="E164">
            <v>46143</v>
          </cell>
          <cell r="F164">
            <v>46507</v>
          </cell>
          <cell r="G164">
            <v>46179</v>
          </cell>
          <cell r="H164">
            <v>46179</v>
          </cell>
          <cell r="J164" t="str">
            <v>004064</v>
          </cell>
          <cell r="K164">
            <v>-99.39</v>
          </cell>
          <cell r="L164">
            <v>-99.39</v>
          </cell>
          <cell r="M164">
            <v>-99.39</v>
          </cell>
          <cell r="N164" t="str">
            <v>indiretto</v>
          </cell>
          <cell r="O164">
            <v>3</v>
          </cell>
          <cell r="P164" t="str">
            <v>0.916558</v>
          </cell>
          <cell r="Q164" t="str">
            <v>0.642623</v>
          </cell>
          <cell r="R164" t="str">
            <v>0.256196</v>
          </cell>
          <cell r="S164" t="str">
            <v>NO</v>
          </cell>
          <cell r="T164" t="str">
            <v>DELIBERAZIONE EGATO 29 19/12/2018</v>
          </cell>
        </row>
        <row r="165">
          <cell r="D165" t="str">
            <v>C344106</v>
          </cell>
          <cell r="E165">
            <v>46143</v>
          </cell>
          <cell r="F165">
            <v>46507</v>
          </cell>
          <cell r="G165">
            <v>46179</v>
          </cell>
          <cell r="H165">
            <v>46179</v>
          </cell>
          <cell r="J165" t="str">
            <v>004064</v>
          </cell>
          <cell r="K165">
            <v>-132.52000000000001</v>
          </cell>
          <cell r="L165">
            <v>-132.52000000000001</v>
          </cell>
          <cell r="M165">
            <v>-132.52000000000001</v>
          </cell>
          <cell r="N165" t="str">
            <v>indiretto</v>
          </cell>
          <cell r="O165">
            <v>4</v>
          </cell>
          <cell r="P165" t="str">
            <v>0.916558</v>
          </cell>
          <cell r="Q165" t="str">
            <v>0.642623</v>
          </cell>
          <cell r="R165" t="str">
            <v>0.256196</v>
          </cell>
          <cell r="S165" t="str">
            <v>NO</v>
          </cell>
          <cell r="T165" t="str">
            <v>DELIBERAZIONE EGATO 29 19/12/2018</v>
          </cell>
        </row>
        <row r="166">
          <cell r="D166" t="str">
            <v>C344123</v>
          </cell>
          <cell r="E166">
            <v>46143</v>
          </cell>
          <cell r="F166">
            <v>46507</v>
          </cell>
          <cell r="G166">
            <v>46179</v>
          </cell>
          <cell r="H166">
            <v>46179</v>
          </cell>
          <cell r="J166" t="str">
            <v>004192</v>
          </cell>
          <cell r="K166">
            <v>-33.130000000000003</v>
          </cell>
          <cell r="L166">
            <v>-33.130000000000003</v>
          </cell>
          <cell r="M166">
            <v>-33.130000000000003</v>
          </cell>
          <cell r="N166" t="str">
            <v>indiretto</v>
          </cell>
          <cell r="O166">
            <v>1</v>
          </cell>
          <cell r="P166" t="str">
            <v>0.916558</v>
          </cell>
          <cell r="Q166" t="str">
            <v>0.642623</v>
          </cell>
          <cell r="R166" t="str">
            <v>0.256196</v>
          </cell>
          <cell r="S166" t="str">
            <v>NO</v>
          </cell>
          <cell r="T166" t="str">
            <v>DELIBERAZIONE EGATO 29 19/12/2018</v>
          </cell>
        </row>
        <row r="167">
          <cell r="D167" t="str">
            <v>C344124</v>
          </cell>
          <cell r="E167">
            <v>46143</v>
          </cell>
          <cell r="F167">
            <v>46507</v>
          </cell>
          <cell r="G167">
            <v>46179</v>
          </cell>
          <cell r="H167">
            <v>46179</v>
          </cell>
          <cell r="J167" t="str">
            <v>004078</v>
          </cell>
          <cell r="K167">
            <v>-99.39</v>
          </cell>
          <cell r="L167">
            <v>-99.39</v>
          </cell>
          <cell r="M167">
            <v>-99.39</v>
          </cell>
          <cell r="N167" t="str">
            <v>indiretto</v>
          </cell>
          <cell r="O167">
            <v>3</v>
          </cell>
          <cell r="P167" t="str">
            <v>0.916558</v>
          </cell>
          <cell r="Q167" t="str">
            <v>0.642623</v>
          </cell>
          <cell r="R167" t="str">
            <v>0.256196</v>
          </cell>
          <cell r="S167" t="str">
            <v>NO</v>
          </cell>
          <cell r="T167" t="str">
            <v>DELIBERAZIONE EGATO 29 19/12/2018</v>
          </cell>
        </row>
        <row r="168">
          <cell r="D168" t="str">
            <v>C311509</v>
          </cell>
          <cell r="E168">
            <v>46143</v>
          </cell>
          <cell r="F168">
            <v>46507</v>
          </cell>
          <cell r="G168">
            <v>46179</v>
          </cell>
          <cell r="H168">
            <v>46179</v>
          </cell>
          <cell r="J168" t="str">
            <v>004078</v>
          </cell>
          <cell r="K168">
            <v>-198.78</v>
          </cell>
          <cell r="L168">
            <v>-198.78</v>
          </cell>
          <cell r="M168">
            <v>-198.78</v>
          </cell>
          <cell r="N168" t="str">
            <v>indiretto</v>
          </cell>
          <cell r="O168">
            <v>6</v>
          </cell>
          <cell r="P168" t="str">
            <v>0.916558</v>
          </cell>
          <cell r="Q168" t="str">
            <v>0.642623</v>
          </cell>
          <cell r="R168" t="str">
            <v>0.256196</v>
          </cell>
          <cell r="S168" t="str">
            <v>NO</v>
          </cell>
          <cell r="T168" t="str">
            <v>DELIBERAZIONE EGATO 29 19/12/2018</v>
          </cell>
        </row>
        <row r="169">
          <cell r="D169" t="str">
            <v>C337695</v>
          </cell>
          <cell r="E169">
            <v>46143</v>
          </cell>
          <cell r="F169">
            <v>46507</v>
          </cell>
          <cell r="G169">
            <v>46179</v>
          </cell>
          <cell r="H169">
            <v>46179</v>
          </cell>
          <cell r="J169" t="str">
            <v>004081</v>
          </cell>
          <cell r="K169">
            <v>-227.69</v>
          </cell>
          <cell r="L169">
            <v>-227.69</v>
          </cell>
          <cell r="M169">
            <v>-227.69</v>
          </cell>
          <cell r="N169" t="str">
            <v>indiretto</v>
          </cell>
          <cell r="O169">
            <v>6</v>
          </cell>
          <cell r="P169">
            <v>1091278</v>
          </cell>
          <cell r="Q169" t="str">
            <v>0.691798</v>
          </cell>
          <cell r="R169" t="str">
            <v>0.296264</v>
          </cell>
          <cell r="S169" t="str">
            <v>NO</v>
          </cell>
          <cell r="T169" t="str">
            <v>DELIBERAZIONE EGATO 2 04/02/2019</v>
          </cell>
        </row>
        <row r="170">
          <cell r="D170" t="str">
            <v>C106550</v>
          </cell>
          <cell r="E170">
            <v>46143</v>
          </cell>
          <cell r="F170">
            <v>46507</v>
          </cell>
          <cell r="G170">
            <v>46179</v>
          </cell>
          <cell r="H170">
            <v>46179</v>
          </cell>
          <cell r="J170" t="str">
            <v>004095</v>
          </cell>
          <cell r="K170">
            <v>-89.45</v>
          </cell>
          <cell r="L170">
            <v>-89.45</v>
          </cell>
          <cell r="M170">
            <v>-89.45</v>
          </cell>
          <cell r="N170" t="str">
            <v>indiretto</v>
          </cell>
          <cell r="O170">
            <v>3</v>
          </cell>
          <cell r="P170" t="str">
            <v>0.824903</v>
          </cell>
          <cell r="Q170" t="str">
            <v>0.578360</v>
          </cell>
          <cell r="R170" t="str">
            <v>0.230576</v>
          </cell>
          <cell r="S170" t="str">
            <v>NO</v>
          </cell>
          <cell r="T170" t="str">
            <v>DELIBERAZIONE EGATO 29 19/12/2018</v>
          </cell>
        </row>
        <row r="171">
          <cell r="D171" t="str">
            <v>C320087</v>
          </cell>
          <cell r="E171">
            <v>46143</v>
          </cell>
          <cell r="F171">
            <v>46507</v>
          </cell>
          <cell r="G171">
            <v>46179</v>
          </cell>
          <cell r="H171">
            <v>46179</v>
          </cell>
          <cell r="J171" t="str">
            <v>004009</v>
          </cell>
          <cell r="K171">
            <v>-123.1</v>
          </cell>
          <cell r="L171">
            <v>-123.1</v>
          </cell>
          <cell r="M171">
            <v>-123.1</v>
          </cell>
          <cell r="N171" t="str">
            <v>indiretto</v>
          </cell>
          <cell r="O171">
            <v>5</v>
          </cell>
          <cell r="P171" t="str">
            <v>0.716943</v>
          </cell>
          <cell r="Q171" t="str">
            <v>0.463071</v>
          </cell>
          <cell r="R171" t="str">
            <v>0.169064</v>
          </cell>
          <cell r="S171" t="str">
            <v>NO</v>
          </cell>
          <cell r="T171" t="str">
            <v>DELIBERAZIONE EGATO 2 04/02/2019</v>
          </cell>
        </row>
        <row r="172">
          <cell r="D172" t="str">
            <v>C097948</v>
          </cell>
          <cell r="E172">
            <v>46143</v>
          </cell>
          <cell r="F172">
            <v>46507</v>
          </cell>
          <cell r="G172">
            <v>46179</v>
          </cell>
          <cell r="H172">
            <v>46179</v>
          </cell>
          <cell r="J172" t="str">
            <v>004180</v>
          </cell>
          <cell r="K172">
            <v>-23.97</v>
          </cell>
          <cell r="L172">
            <v>-23.97</v>
          </cell>
          <cell r="M172">
            <v>-23.97</v>
          </cell>
          <cell r="N172" t="str">
            <v>indiretto</v>
          </cell>
          <cell r="O172">
            <v>1</v>
          </cell>
          <cell r="P172" t="str">
            <v>0.721337</v>
          </cell>
          <cell r="Q172" t="str">
            <v>0.441600</v>
          </cell>
          <cell r="R172" t="str">
            <v>0.150394</v>
          </cell>
          <cell r="S172" t="str">
            <v>NO</v>
          </cell>
          <cell r="T172" t="str">
            <v>DELIBERAZIONE EGATO 2 04/02/2019</v>
          </cell>
        </row>
        <row r="173">
          <cell r="D173" t="str">
            <v>C344122</v>
          </cell>
          <cell r="E173">
            <v>46143</v>
          </cell>
          <cell r="F173">
            <v>46507</v>
          </cell>
          <cell r="G173">
            <v>46179</v>
          </cell>
          <cell r="H173">
            <v>46179</v>
          </cell>
          <cell r="J173" t="str">
            <v>004157</v>
          </cell>
          <cell r="K173">
            <v>-132.52000000000001</v>
          </cell>
          <cell r="L173">
            <v>-132.52000000000001</v>
          </cell>
          <cell r="M173">
            <v>-132.52000000000001</v>
          </cell>
          <cell r="N173" t="str">
            <v>indiretto</v>
          </cell>
          <cell r="O173">
            <v>4</v>
          </cell>
          <cell r="P173" t="str">
            <v>0.916558</v>
          </cell>
          <cell r="Q173" t="str">
            <v>0.642623</v>
          </cell>
          <cell r="R173" t="str">
            <v>0.256196</v>
          </cell>
          <cell r="S173" t="str">
            <v>NO</v>
          </cell>
          <cell r="T173" t="str">
            <v>DELIBERAZIONE EGATO 29 19/12/2018</v>
          </cell>
        </row>
        <row r="174">
          <cell r="D174" t="str">
            <v>C344253</v>
          </cell>
          <cell r="E174">
            <v>46143</v>
          </cell>
          <cell r="F174">
            <v>46507</v>
          </cell>
          <cell r="G174">
            <v>46179</v>
          </cell>
          <cell r="H174">
            <v>46179</v>
          </cell>
          <cell r="J174" t="str">
            <v>004130</v>
          </cell>
          <cell r="K174">
            <v>-26.26</v>
          </cell>
          <cell r="L174">
            <v>-26.26</v>
          </cell>
          <cell r="M174">
            <v>-26.26</v>
          </cell>
          <cell r="N174" t="str">
            <v>indiretto</v>
          </cell>
          <cell r="O174">
            <v>1</v>
          </cell>
          <cell r="P174" t="str">
            <v>0.545182</v>
          </cell>
          <cell r="Q174" t="str">
            <v>0.611443</v>
          </cell>
          <cell r="R174" t="str">
            <v>0.282207</v>
          </cell>
          <cell r="S174" t="str">
            <v>NO</v>
          </cell>
          <cell r="T174" t="str">
            <v>DELIBERA EGATO N.29 DEL 19/12/2018</v>
          </cell>
        </row>
        <row r="175">
          <cell r="D175" t="str">
            <v>C117744</v>
          </cell>
          <cell r="E175">
            <v>46143</v>
          </cell>
          <cell r="F175">
            <v>46507</v>
          </cell>
          <cell r="G175">
            <v>46179</v>
          </cell>
          <cell r="H175">
            <v>46179</v>
          </cell>
          <cell r="J175" t="str">
            <v>004078</v>
          </cell>
          <cell r="K175">
            <v>-231.91</v>
          </cell>
          <cell r="L175">
            <v>-231.91</v>
          </cell>
          <cell r="M175">
            <v>-231.91</v>
          </cell>
          <cell r="N175" t="str">
            <v>indiretto</v>
          </cell>
          <cell r="O175">
            <v>7</v>
          </cell>
          <cell r="P175" t="str">
            <v>0.916558</v>
          </cell>
          <cell r="Q175" t="str">
            <v>0.642623</v>
          </cell>
          <cell r="R175" t="str">
            <v>0.256196</v>
          </cell>
          <cell r="S175" t="str">
            <v>NO</v>
          </cell>
          <cell r="T175" t="str">
            <v>DELIBERAZIONE EGATO 29 19/12/2018</v>
          </cell>
        </row>
        <row r="176">
          <cell r="D176" t="str">
            <v>C344180</v>
          </cell>
          <cell r="E176">
            <v>46143</v>
          </cell>
          <cell r="F176">
            <v>46507</v>
          </cell>
          <cell r="G176">
            <v>46179</v>
          </cell>
          <cell r="H176">
            <v>46179</v>
          </cell>
          <cell r="J176" t="str">
            <v>004237</v>
          </cell>
          <cell r="K176">
            <v>-23.97</v>
          </cell>
          <cell r="L176">
            <v>-23.97</v>
          </cell>
          <cell r="M176">
            <v>-23.97</v>
          </cell>
          <cell r="N176" t="str">
            <v>indiretto</v>
          </cell>
          <cell r="O176">
            <v>1</v>
          </cell>
          <cell r="P176" t="str">
            <v>0.721337</v>
          </cell>
          <cell r="Q176" t="str">
            <v>0.441600</v>
          </cell>
          <cell r="R176" t="str">
            <v>0.150394</v>
          </cell>
          <cell r="S176" t="str">
            <v>NO</v>
          </cell>
          <cell r="T176" t="str">
            <v>DELIBERAZIONE EGATO 2 04/02/2019</v>
          </cell>
        </row>
        <row r="177">
          <cell r="D177" t="str">
            <v>C342903</v>
          </cell>
          <cell r="E177">
            <v>46143</v>
          </cell>
          <cell r="F177">
            <v>46507</v>
          </cell>
          <cell r="G177">
            <v>46179</v>
          </cell>
          <cell r="H177">
            <v>46179</v>
          </cell>
          <cell r="J177" t="str">
            <v>004075</v>
          </cell>
          <cell r="K177">
            <v>-161.85</v>
          </cell>
          <cell r="L177">
            <v>-161.85</v>
          </cell>
          <cell r="M177">
            <v>-161.85</v>
          </cell>
          <cell r="N177" t="str">
            <v>indiretto</v>
          </cell>
          <cell r="O177">
            <v>5</v>
          </cell>
          <cell r="P177" t="str">
            <v>0.874880</v>
          </cell>
          <cell r="Q177" t="str">
            <v>0.642623</v>
          </cell>
          <cell r="R177" t="str">
            <v>0.256196</v>
          </cell>
          <cell r="S177" t="str">
            <v>NO</v>
          </cell>
          <cell r="T177" t="str">
            <v>DELIBERAZIONE EGATO 11 27/03/2019</v>
          </cell>
        </row>
        <row r="178">
          <cell r="D178" t="str">
            <v>C344107</v>
          </cell>
          <cell r="E178">
            <v>46143</v>
          </cell>
          <cell r="F178">
            <v>46507</v>
          </cell>
          <cell r="G178">
            <v>46179</v>
          </cell>
          <cell r="H178">
            <v>46179</v>
          </cell>
          <cell r="J178" t="str">
            <v>004078</v>
          </cell>
          <cell r="K178">
            <v>-33.130000000000003</v>
          </cell>
          <cell r="L178">
            <v>-33.130000000000003</v>
          </cell>
          <cell r="M178">
            <v>-33.130000000000003</v>
          </cell>
          <cell r="N178" t="str">
            <v>indiretto</v>
          </cell>
          <cell r="O178">
            <v>1</v>
          </cell>
          <cell r="P178" t="str">
            <v>0.916558</v>
          </cell>
          <cell r="Q178" t="str">
            <v>0.642623</v>
          </cell>
          <cell r="R178" t="str">
            <v>0.256196</v>
          </cell>
          <cell r="S178" t="str">
            <v>NO</v>
          </cell>
          <cell r="T178" t="str">
            <v>DELIBERAZIONE EGATO 29 19/12/2018</v>
          </cell>
        </row>
        <row r="179">
          <cell r="D179" t="str">
            <v>C340449</v>
          </cell>
          <cell r="E179">
            <v>46143</v>
          </cell>
          <cell r="F179">
            <v>46507</v>
          </cell>
          <cell r="G179">
            <v>46179</v>
          </cell>
          <cell r="H179">
            <v>46179</v>
          </cell>
          <cell r="J179" t="str">
            <v>004028</v>
          </cell>
          <cell r="K179">
            <v>-132.52000000000001</v>
          </cell>
          <cell r="L179">
            <v>-132.52000000000001</v>
          </cell>
          <cell r="M179">
            <v>-132.52000000000001</v>
          </cell>
          <cell r="N179" t="str">
            <v>indiretto</v>
          </cell>
          <cell r="O179">
            <v>4</v>
          </cell>
          <cell r="P179" t="str">
            <v>0.916558</v>
          </cell>
          <cell r="Q179" t="str">
            <v>0.642623</v>
          </cell>
          <cell r="R179" t="str">
            <v>0.256196</v>
          </cell>
          <cell r="S179" t="str">
            <v>NO</v>
          </cell>
          <cell r="T179" t="str">
            <v>DELIBERAZIONE EGATO 29 19/12/2018</v>
          </cell>
        </row>
        <row r="180">
          <cell r="D180" t="str">
            <v>C344158</v>
          </cell>
          <cell r="E180">
            <v>46143</v>
          </cell>
          <cell r="F180">
            <v>46507</v>
          </cell>
          <cell r="G180">
            <v>46179</v>
          </cell>
          <cell r="H180">
            <v>46179</v>
          </cell>
          <cell r="J180" t="str">
            <v>004078</v>
          </cell>
          <cell r="K180">
            <v>-66.260000000000005</v>
          </cell>
          <cell r="L180">
            <v>-66.260000000000005</v>
          </cell>
          <cell r="M180">
            <v>-66.260000000000005</v>
          </cell>
          <cell r="N180" t="str">
            <v>indiretto</v>
          </cell>
          <cell r="O180">
            <v>2</v>
          </cell>
          <cell r="P180" t="str">
            <v>0.916558</v>
          </cell>
          <cell r="Q180" t="str">
            <v>0.642623</v>
          </cell>
          <cell r="R180" t="str">
            <v>0.256196</v>
          </cell>
          <cell r="S180" t="str">
            <v>NO</v>
          </cell>
          <cell r="T180" t="str">
            <v>DELIBERAZIONE EGATO 29 19/12/2018</v>
          </cell>
        </row>
        <row r="181">
          <cell r="D181" t="str">
            <v>C344120</v>
          </cell>
          <cell r="E181">
            <v>46143</v>
          </cell>
          <cell r="F181">
            <v>46507</v>
          </cell>
          <cell r="G181">
            <v>46179</v>
          </cell>
          <cell r="H181">
            <v>46179</v>
          </cell>
          <cell r="J181" t="str">
            <v>004130</v>
          </cell>
          <cell r="K181">
            <v>-26.26</v>
          </cell>
          <cell r="L181">
            <v>-26.26</v>
          </cell>
          <cell r="M181">
            <v>-26.26</v>
          </cell>
          <cell r="N181" t="str">
            <v>indiretto</v>
          </cell>
          <cell r="O181">
            <v>1</v>
          </cell>
          <cell r="P181" t="str">
            <v>0.545182</v>
          </cell>
          <cell r="Q181" t="str">
            <v>0.611443</v>
          </cell>
          <cell r="R181" t="str">
            <v>0.282207</v>
          </cell>
          <cell r="S181" t="str">
            <v>NO</v>
          </cell>
          <cell r="T181" t="str">
            <v>DELIBERA EGATO N.29 DEL 19/12/2018</v>
          </cell>
        </row>
        <row r="182">
          <cell r="D182" t="str">
            <v>C337553</v>
          </cell>
          <cell r="E182">
            <v>46143</v>
          </cell>
          <cell r="F182">
            <v>46507</v>
          </cell>
          <cell r="G182">
            <v>46179</v>
          </cell>
          <cell r="H182">
            <v>46179</v>
          </cell>
          <cell r="J182" t="str">
            <v>004034</v>
          </cell>
          <cell r="K182">
            <v>-198.78</v>
          </cell>
          <cell r="L182">
            <v>-198.78</v>
          </cell>
          <cell r="M182">
            <v>-198.78</v>
          </cell>
          <cell r="N182" t="str">
            <v>indiretto</v>
          </cell>
          <cell r="O182">
            <v>6</v>
          </cell>
          <cell r="P182" t="str">
            <v>0.916558</v>
          </cell>
          <cell r="Q182" t="str">
            <v>0.642623</v>
          </cell>
          <cell r="R182" t="str">
            <v>0.256196</v>
          </cell>
          <cell r="S182" t="str">
            <v>NO</v>
          </cell>
          <cell r="T182" t="str">
            <v>DELIBERAZIONE EGATO 29 19/12/2018</v>
          </cell>
        </row>
        <row r="183">
          <cell r="D183" t="str">
            <v>C344309</v>
          </cell>
          <cell r="E183">
            <v>46143</v>
          </cell>
          <cell r="F183">
            <v>46507</v>
          </cell>
          <cell r="G183">
            <v>46179</v>
          </cell>
          <cell r="H183">
            <v>46179</v>
          </cell>
          <cell r="J183" t="str">
            <v>004185</v>
          </cell>
          <cell r="K183">
            <v>-33.130000000000003</v>
          </cell>
          <cell r="L183">
            <v>-33.130000000000003</v>
          </cell>
          <cell r="M183">
            <v>-33.130000000000003</v>
          </cell>
          <cell r="N183" t="str">
            <v>indiretto</v>
          </cell>
          <cell r="O183">
            <v>1</v>
          </cell>
          <cell r="P183" t="str">
            <v>0.916558</v>
          </cell>
          <cell r="Q183" t="str">
            <v>0.642623</v>
          </cell>
          <cell r="R183" t="str">
            <v>0.256196</v>
          </cell>
          <cell r="S183" t="str">
            <v>NO</v>
          </cell>
          <cell r="T183" t="str">
            <v>DELIBERAZIONE EGATO 29 19/12/2018</v>
          </cell>
        </row>
        <row r="184">
          <cell r="D184" t="str">
            <v>C313553</v>
          </cell>
          <cell r="E184">
            <v>46143</v>
          </cell>
          <cell r="F184">
            <v>46507</v>
          </cell>
          <cell r="G184">
            <v>46179</v>
          </cell>
          <cell r="H184">
            <v>46179</v>
          </cell>
          <cell r="J184" t="str">
            <v>004043</v>
          </cell>
          <cell r="K184">
            <v>-154.63999999999999</v>
          </cell>
          <cell r="L184">
            <v>-154.63999999999999</v>
          </cell>
          <cell r="M184">
            <v>-154.63999999999999</v>
          </cell>
          <cell r="N184" t="str">
            <v>indiretto</v>
          </cell>
          <cell r="O184">
            <v>4</v>
          </cell>
          <cell r="P184">
            <v>1091278</v>
          </cell>
          <cell r="Q184" t="str">
            <v>0.730790</v>
          </cell>
          <cell r="R184" t="str">
            <v>0.296264</v>
          </cell>
          <cell r="S184" t="str">
            <v>NO</v>
          </cell>
          <cell r="T184" t="str">
            <v>DELIBERAZIONE EGATO 2 04/02/2019</v>
          </cell>
        </row>
        <row r="185">
          <cell r="D185" t="str">
            <v>C316556</v>
          </cell>
          <cell r="E185">
            <v>46143</v>
          </cell>
          <cell r="F185">
            <v>46507</v>
          </cell>
          <cell r="G185">
            <v>46179</v>
          </cell>
          <cell r="H185">
            <v>46179</v>
          </cell>
          <cell r="J185" t="str">
            <v>004034</v>
          </cell>
          <cell r="K185">
            <v>-66.260000000000005</v>
          </cell>
          <cell r="L185">
            <v>-66.260000000000005</v>
          </cell>
          <cell r="M185">
            <v>-66.260000000000005</v>
          </cell>
          <cell r="N185" t="str">
            <v>indiretto</v>
          </cell>
          <cell r="O185">
            <v>2</v>
          </cell>
          <cell r="P185" t="str">
            <v>0.916558</v>
          </cell>
          <cell r="Q185" t="str">
            <v>0.642623</v>
          </cell>
          <cell r="R185" t="str">
            <v>0.256196</v>
          </cell>
          <cell r="S185" t="str">
            <v>NO</v>
          </cell>
          <cell r="T185" t="str">
            <v>DELIBERAZIONE EGATO 29 19/12/2018</v>
          </cell>
        </row>
        <row r="186">
          <cell r="D186" t="str">
            <v>C313419</v>
          </cell>
          <cell r="E186">
            <v>46143</v>
          </cell>
          <cell r="F186">
            <v>46507</v>
          </cell>
          <cell r="G186">
            <v>46179</v>
          </cell>
          <cell r="H186">
            <v>46179</v>
          </cell>
          <cell r="J186" t="str">
            <v>004078</v>
          </cell>
          <cell r="K186">
            <v>-66.260000000000005</v>
          </cell>
          <cell r="L186">
            <v>-66.260000000000005</v>
          </cell>
          <cell r="M186">
            <v>-66.260000000000005</v>
          </cell>
          <cell r="N186" t="str">
            <v>indiretto</v>
          </cell>
          <cell r="O186">
            <v>2</v>
          </cell>
          <cell r="P186" t="str">
            <v>0.916558</v>
          </cell>
          <cell r="Q186" t="str">
            <v>0.642623</v>
          </cell>
          <cell r="R186" t="str">
            <v>0.256196</v>
          </cell>
          <cell r="S186" t="str">
            <v>NO</v>
          </cell>
          <cell r="T186" t="str">
            <v>DELIBERAZIONE EGATO 29 19/12/2018</v>
          </cell>
        </row>
        <row r="187">
          <cell r="D187" t="str">
            <v>C344217</v>
          </cell>
          <cell r="E187">
            <v>46143</v>
          </cell>
          <cell r="F187">
            <v>46507</v>
          </cell>
          <cell r="G187">
            <v>46179</v>
          </cell>
          <cell r="H187">
            <v>46179</v>
          </cell>
          <cell r="J187" t="str">
            <v>004130</v>
          </cell>
          <cell r="K187">
            <v>-131.29</v>
          </cell>
          <cell r="L187">
            <v>-131.29</v>
          </cell>
          <cell r="M187">
            <v>-131.29</v>
          </cell>
          <cell r="N187" t="str">
            <v>indiretto</v>
          </cell>
          <cell r="O187">
            <v>5</v>
          </cell>
          <cell r="P187" t="str">
            <v>0.545182</v>
          </cell>
          <cell r="Q187" t="str">
            <v>0.611443</v>
          </cell>
          <cell r="R187" t="str">
            <v>0.282207</v>
          </cell>
          <cell r="S187" t="str">
            <v>NO</v>
          </cell>
          <cell r="T187" t="str">
            <v>DELIBERA EGATO N.29 DEL 19/12/2018</v>
          </cell>
        </row>
        <row r="188">
          <cell r="D188" t="str">
            <v>C344250</v>
          </cell>
          <cell r="E188">
            <v>46143</v>
          </cell>
          <cell r="F188">
            <v>46507</v>
          </cell>
          <cell r="G188">
            <v>46179</v>
          </cell>
          <cell r="H188">
            <v>46179</v>
          </cell>
          <cell r="J188" t="str">
            <v>004078</v>
          </cell>
          <cell r="K188">
            <v>-33.130000000000003</v>
          </cell>
          <cell r="L188">
            <v>-33.130000000000003</v>
          </cell>
          <cell r="M188">
            <v>-33.130000000000003</v>
          </cell>
          <cell r="N188" t="str">
            <v>indiretto</v>
          </cell>
          <cell r="O188">
            <v>1</v>
          </cell>
          <cell r="P188" t="str">
            <v>0.916558</v>
          </cell>
          <cell r="Q188" t="str">
            <v>0.642623</v>
          </cell>
          <cell r="R188" t="str">
            <v>0.256196</v>
          </cell>
          <cell r="S188" t="str">
            <v>NO</v>
          </cell>
          <cell r="T188" t="str">
            <v>DELIBERAZIONE EGATO 29 19/12/2018</v>
          </cell>
        </row>
        <row r="189">
          <cell r="D189" t="str">
            <v>C090909</v>
          </cell>
          <cell r="E189">
            <v>46143</v>
          </cell>
          <cell r="F189">
            <v>46507</v>
          </cell>
          <cell r="G189">
            <v>46179</v>
          </cell>
          <cell r="H189">
            <v>46179</v>
          </cell>
          <cell r="J189" t="str">
            <v>004239</v>
          </cell>
          <cell r="K189">
            <v>-178.91</v>
          </cell>
          <cell r="L189">
            <v>-178.91</v>
          </cell>
          <cell r="M189">
            <v>-178.91</v>
          </cell>
          <cell r="N189" t="str">
            <v>indiretto</v>
          </cell>
          <cell r="O189">
            <v>6</v>
          </cell>
          <cell r="P189" t="str">
            <v>0.824903</v>
          </cell>
          <cell r="Q189" t="str">
            <v>0.578360</v>
          </cell>
          <cell r="R189" t="str">
            <v>0.230576</v>
          </cell>
          <cell r="S189" t="str">
            <v>NO</v>
          </cell>
          <cell r="T189" t="str">
            <v>DELIBERAZIONE EGATO 29 19/12/2018</v>
          </cell>
        </row>
        <row r="190">
          <cell r="D190" t="str">
            <v>C344179</v>
          </cell>
          <cell r="E190">
            <v>46143</v>
          </cell>
          <cell r="F190">
            <v>46507</v>
          </cell>
          <cell r="G190">
            <v>46179</v>
          </cell>
          <cell r="H190">
            <v>46179</v>
          </cell>
          <cell r="J190" t="str">
            <v>004130</v>
          </cell>
          <cell r="K190">
            <v>-26.26</v>
          </cell>
          <cell r="L190">
            <v>-26.26</v>
          </cell>
          <cell r="M190">
            <v>-26.26</v>
          </cell>
          <cell r="N190" t="str">
            <v>indiretto</v>
          </cell>
          <cell r="O190">
            <v>1</v>
          </cell>
          <cell r="P190" t="str">
            <v>0.545182</v>
          </cell>
          <cell r="Q190" t="str">
            <v>0.611443</v>
          </cell>
          <cell r="R190" t="str">
            <v>0.282207</v>
          </cell>
          <cell r="S190" t="str">
            <v>NO</v>
          </cell>
          <cell r="T190" t="str">
            <v>DELIBERA EGATO N.29 DEL 19/12/2018</v>
          </cell>
        </row>
        <row r="191">
          <cell r="D191" t="str">
            <v>C344157</v>
          </cell>
          <cell r="E191">
            <v>46143</v>
          </cell>
          <cell r="F191">
            <v>46507</v>
          </cell>
          <cell r="G191">
            <v>46179</v>
          </cell>
          <cell r="H191">
            <v>46179</v>
          </cell>
          <cell r="J191" t="str">
            <v>004130</v>
          </cell>
          <cell r="K191">
            <v>-26.26</v>
          </cell>
          <cell r="L191">
            <v>-26.26</v>
          </cell>
          <cell r="M191">
            <v>-26.26</v>
          </cell>
          <cell r="N191" t="str">
            <v>indiretto</v>
          </cell>
          <cell r="O191">
            <v>1</v>
          </cell>
          <cell r="P191" t="str">
            <v>0.545182</v>
          </cell>
          <cell r="Q191" t="str">
            <v>0.611443</v>
          </cell>
          <cell r="R191" t="str">
            <v>0.282207</v>
          </cell>
          <cell r="S191" t="str">
            <v>NO</v>
          </cell>
          <cell r="T191" t="str">
            <v>DELIBERA EGATO N.29 DEL 19/12/2018</v>
          </cell>
        </row>
        <row r="192">
          <cell r="D192" t="str">
            <v>C320293</v>
          </cell>
          <cell r="E192">
            <v>46143</v>
          </cell>
          <cell r="F192">
            <v>46507</v>
          </cell>
          <cell r="G192">
            <v>46179</v>
          </cell>
          <cell r="H192">
            <v>46179</v>
          </cell>
          <cell r="J192" t="str">
            <v>004134</v>
          </cell>
          <cell r="K192">
            <v>-53.01</v>
          </cell>
          <cell r="L192">
            <v>-53.01</v>
          </cell>
          <cell r="M192">
            <v>-53.01</v>
          </cell>
          <cell r="N192" t="str">
            <v>indiretto</v>
          </cell>
          <cell r="O192">
            <v>2</v>
          </cell>
          <cell r="P192" t="str">
            <v>0.733246</v>
          </cell>
          <cell r="Q192" t="str">
            <v>0.514098</v>
          </cell>
          <cell r="R192" t="str">
            <v>0.204957</v>
          </cell>
          <cell r="S192" t="str">
            <v>NO</v>
          </cell>
          <cell r="T192" t="str">
            <v>DELIBERAZIONE EGATO 2 04/02/2019</v>
          </cell>
        </row>
        <row r="193">
          <cell r="D193" t="str">
            <v>C313009</v>
          </cell>
          <cell r="E193">
            <v>46143</v>
          </cell>
          <cell r="F193">
            <v>46507</v>
          </cell>
          <cell r="G193">
            <v>46179</v>
          </cell>
          <cell r="H193">
            <v>46179</v>
          </cell>
          <cell r="J193" t="str">
            <v>004043</v>
          </cell>
          <cell r="K193">
            <v>-154.63999999999999</v>
          </cell>
          <cell r="L193">
            <v>-154.63999999999999</v>
          </cell>
          <cell r="M193">
            <v>-154.63999999999999</v>
          </cell>
          <cell r="N193" t="str">
            <v>indiretto</v>
          </cell>
          <cell r="O193">
            <v>4</v>
          </cell>
          <cell r="P193">
            <v>1091278</v>
          </cell>
          <cell r="Q193" t="str">
            <v>0.730790</v>
          </cell>
          <cell r="R193" t="str">
            <v>0.296264</v>
          </cell>
          <cell r="S193" t="str">
            <v>NO</v>
          </cell>
          <cell r="T193" t="str">
            <v>DELIBERAZIONE EGATO 2 04/02/2019</v>
          </cell>
        </row>
        <row r="194">
          <cell r="D194" t="str">
            <v>C344249</v>
          </cell>
          <cell r="E194">
            <v>46143</v>
          </cell>
          <cell r="F194">
            <v>46507</v>
          </cell>
          <cell r="G194">
            <v>46179</v>
          </cell>
          <cell r="H194">
            <v>46179</v>
          </cell>
          <cell r="J194" t="str">
            <v>004025</v>
          </cell>
          <cell r="K194">
            <v>-66.260000000000005</v>
          </cell>
          <cell r="L194">
            <v>-66.260000000000005</v>
          </cell>
          <cell r="M194">
            <v>-66.260000000000005</v>
          </cell>
          <cell r="N194" t="str">
            <v>indiretto</v>
          </cell>
          <cell r="O194">
            <v>2</v>
          </cell>
          <cell r="P194" t="str">
            <v>0.916558</v>
          </cell>
          <cell r="Q194" t="str">
            <v>0.642623</v>
          </cell>
          <cell r="R194" t="str">
            <v>0.256196</v>
          </cell>
          <cell r="S194" t="str">
            <v>NO</v>
          </cell>
          <cell r="T194" t="str">
            <v>DELIBERAZIONE EGATO 29 19/12/2018</v>
          </cell>
        </row>
        <row r="195">
          <cell r="D195" t="str">
            <v>C121014</v>
          </cell>
          <cell r="E195">
            <v>46143</v>
          </cell>
          <cell r="F195">
            <v>46507</v>
          </cell>
          <cell r="G195">
            <v>46179</v>
          </cell>
          <cell r="H195">
            <v>46179</v>
          </cell>
          <cell r="J195" t="str">
            <v>004078</v>
          </cell>
          <cell r="K195">
            <v>-198.78</v>
          </cell>
          <cell r="L195">
            <v>-198.78</v>
          </cell>
          <cell r="M195">
            <v>-198.78</v>
          </cell>
          <cell r="N195" t="str">
            <v>indiretto</v>
          </cell>
          <cell r="O195">
            <v>6</v>
          </cell>
          <cell r="P195" t="str">
            <v>0.916558</v>
          </cell>
          <cell r="Q195" t="str">
            <v>0.642623</v>
          </cell>
          <cell r="R195" t="str">
            <v>0.256196</v>
          </cell>
          <cell r="S195" t="str">
            <v>NO</v>
          </cell>
          <cell r="T195" t="str">
            <v>DELIBERAZIONE EGATO 29 19/12/2018</v>
          </cell>
        </row>
        <row r="196">
          <cell r="D196" t="str">
            <v>C342277</v>
          </cell>
          <cell r="E196">
            <v>46143</v>
          </cell>
          <cell r="F196">
            <v>46507</v>
          </cell>
          <cell r="G196">
            <v>46179</v>
          </cell>
          <cell r="H196">
            <v>46179</v>
          </cell>
          <cell r="J196" t="str">
            <v>004130</v>
          </cell>
          <cell r="K196">
            <v>-105.03</v>
          </cell>
          <cell r="L196">
            <v>-105.03</v>
          </cell>
          <cell r="M196">
            <v>-105.03</v>
          </cell>
          <cell r="N196" t="str">
            <v>indiretto</v>
          </cell>
          <cell r="O196">
            <v>4</v>
          </cell>
          <cell r="P196" t="str">
            <v>0.545182</v>
          </cell>
          <cell r="Q196" t="str">
            <v>0.611443</v>
          </cell>
          <cell r="R196" t="str">
            <v>0.282207</v>
          </cell>
          <cell r="S196" t="str">
            <v>NO</v>
          </cell>
          <cell r="T196" t="str">
            <v>DELIBERA EGATO N.29 DEL 19/12/2018</v>
          </cell>
        </row>
        <row r="197">
          <cell r="D197" t="str">
            <v>C344308</v>
          </cell>
          <cell r="E197">
            <v>46143</v>
          </cell>
          <cell r="F197">
            <v>46507</v>
          </cell>
          <cell r="G197">
            <v>46179</v>
          </cell>
          <cell r="H197">
            <v>46179</v>
          </cell>
          <cell r="J197" t="str">
            <v>004130</v>
          </cell>
          <cell r="K197">
            <v>-131.29</v>
          </cell>
          <cell r="L197">
            <v>-131.29</v>
          </cell>
          <cell r="M197">
            <v>-131.29</v>
          </cell>
          <cell r="N197" t="str">
            <v>indiretto</v>
          </cell>
          <cell r="O197">
            <v>5</v>
          </cell>
          <cell r="P197" t="str">
            <v>0.545182</v>
          </cell>
          <cell r="Q197" t="str">
            <v>0.611443</v>
          </cell>
          <cell r="R197" t="str">
            <v>0.282207</v>
          </cell>
          <cell r="S197" t="str">
            <v>NO</v>
          </cell>
          <cell r="T197" t="str">
            <v>DELIBERA EGATO N.29 DEL 19/12/2018</v>
          </cell>
        </row>
        <row r="198">
          <cell r="D198" t="str">
            <v>C309987</v>
          </cell>
          <cell r="E198">
            <v>46143</v>
          </cell>
          <cell r="F198">
            <v>46507</v>
          </cell>
          <cell r="G198">
            <v>46179</v>
          </cell>
          <cell r="H198">
            <v>46179</v>
          </cell>
          <cell r="J198" t="str">
            <v>004171</v>
          </cell>
          <cell r="K198">
            <v>-54.48</v>
          </cell>
          <cell r="L198">
            <v>-54.48</v>
          </cell>
          <cell r="M198">
            <v>-54.48</v>
          </cell>
          <cell r="N198" t="str">
            <v>indiretto</v>
          </cell>
          <cell r="O198">
            <v>3</v>
          </cell>
          <cell r="P198" t="str">
            <v>0.483220</v>
          </cell>
          <cell r="Q198" t="str">
            <v>0.350215</v>
          </cell>
          <cell r="R198" t="str">
            <v>0.161638</v>
          </cell>
          <cell r="S198" t="str">
            <v>NO</v>
          </cell>
          <cell r="T198" t="str">
            <v>DELIBERAZIONE EGATO 23 16/11/2020</v>
          </cell>
        </row>
        <row r="199">
          <cell r="D199" t="str">
            <v>C319981</v>
          </cell>
          <cell r="E199">
            <v>46143</v>
          </cell>
          <cell r="F199">
            <v>46507</v>
          </cell>
          <cell r="G199">
            <v>46179</v>
          </cell>
          <cell r="H199">
            <v>46179</v>
          </cell>
          <cell r="J199" t="str">
            <v>004034</v>
          </cell>
          <cell r="K199">
            <v>-33.130000000000003</v>
          </cell>
          <cell r="L199">
            <v>-33.130000000000003</v>
          </cell>
          <cell r="M199">
            <v>-33.130000000000003</v>
          </cell>
          <cell r="N199" t="str">
            <v>indiretto</v>
          </cell>
          <cell r="O199">
            <v>1</v>
          </cell>
          <cell r="P199" t="str">
            <v>0.916558</v>
          </cell>
          <cell r="Q199" t="str">
            <v>0.642623</v>
          </cell>
          <cell r="R199" t="str">
            <v>0.256196</v>
          </cell>
          <cell r="S199" t="str">
            <v>NO</v>
          </cell>
          <cell r="T199" t="str">
            <v>DELIBERAZIONE EGATO 29 19/12/2018</v>
          </cell>
        </row>
        <row r="200">
          <cell r="D200" t="str">
            <v>C344197</v>
          </cell>
          <cell r="E200">
            <v>46143</v>
          </cell>
          <cell r="F200">
            <v>46507</v>
          </cell>
          <cell r="G200">
            <v>46179</v>
          </cell>
          <cell r="H200">
            <v>46179</v>
          </cell>
          <cell r="J200" t="str">
            <v>004014</v>
          </cell>
          <cell r="K200">
            <v>-231.96</v>
          </cell>
          <cell r="L200">
            <v>-231.96</v>
          </cell>
          <cell r="M200">
            <v>-231.96</v>
          </cell>
          <cell r="N200" t="str">
            <v>indiretto</v>
          </cell>
          <cell r="O200">
            <v>6</v>
          </cell>
          <cell r="P200">
            <v>1091278</v>
          </cell>
          <cell r="Q200" t="str">
            <v>0.730790</v>
          </cell>
          <cell r="R200" t="str">
            <v>0.296264</v>
          </cell>
          <cell r="S200" t="str">
            <v>NO</v>
          </cell>
          <cell r="T200" t="str">
            <v>DELIBERAZIONE EGATO 2 04/02/2019</v>
          </cell>
        </row>
        <row r="201">
          <cell r="D201" t="str">
            <v>C311536</v>
          </cell>
          <cell r="E201">
            <v>46143</v>
          </cell>
          <cell r="F201">
            <v>46507</v>
          </cell>
          <cell r="G201">
            <v>46179</v>
          </cell>
          <cell r="H201">
            <v>46179</v>
          </cell>
          <cell r="J201" t="str">
            <v>004025</v>
          </cell>
          <cell r="K201">
            <v>-33.130000000000003</v>
          </cell>
          <cell r="L201">
            <v>-33.130000000000003</v>
          </cell>
          <cell r="M201">
            <v>-33.130000000000003</v>
          </cell>
          <cell r="N201" t="str">
            <v>indiretto</v>
          </cell>
          <cell r="O201">
            <v>1</v>
          </cell>
          <cell r="P201" t="str">
            <v>0.916558</v>
          </cell>
          <cell r="Q201" t="str">
            <v>0.642623</v>
          </cell>
          <cell r="R201" t="str">
            <v>0.256196</v>
          </cell>
          <cell r="S201" t="str">
            <v>NO</v>
          </cell>
          <cell r="T201" t="str">
            <v>DELIBERAZIONE EGATO 29 19/12/2018</v>
          </cell>
        </row>
        <row r="202">
          <cell r="D202" t="str">
            <v>C344347</v>
          </cell>
          <cell r="E202">
            <v>46143</v>
          </cell>
          <cell r="F202">
            <v>46507</v>
          </cell>
          <cell r="G202">
            <v>46179</v>
          </cell>
          <cell r="H202">
            <v>46179</v>
          </cell>
          <cell r="J202" t="str">
            <v>004213</v>
          </cell>
          <cell r="K202">
            <v>-59.86</v>
          </cell>
          <cell r="L202">
            <v>-59.86</v>
          </cell>
          <cell r="M202">
            <v>-59.86</v>
          </cell>
          <cell r="N202" t="str">
            <v>indiretto</v>
          </cell>
          <cell r="O202">
            <v>2</v>
          </cell>
          <cell r="P202" t="str">
            <v>0.633304</v>
          </cell>
          <cell r="Q202" t="str">
            <v>0.746975</v>
          </cell>
          <cell r="R202" t="str">
            <v>0.259818</v>
          </cell>
          <cell r="S202" t="str">
            <v>NO</v>
          </cell>
          <cell r="T202" t="str">
            <v>DELIBERA EGATO 12 22/04/21</v>
          </cell>
        </row>
        <row r="203">
          <cell r="D203" t="str">
            <v>C344224</v>
          </cell>
          <cell r="E203">
            <v>46143</v>
          </cell>
          <cell r="F203">
            <v>46507</v>
          </cell>
          <cell r="G203">
            <v>46179</v>
          </cell>
          <cell r="H203">
            <v>46179</v>
          </cell>
          <cell r="J203" t="str">
            <v>004008</v>
          </cell>
          <cell r="K203">
            <v>-99.39</v>
          </cell>
          <cell r="L203">
            <v>-99.39</v>
          </cell>
          <cell r="M203">
            <v>-99.39</v>
          </cell>
          <cell r="N203" t="str">
            <v>indiretto</v>
          </cell>
          <cell r="O203">
            <v>3</v>
          </cell>
          <cell r="P203" t="str">
            <v>0.916558</v>
          </cell>
          <cell r="Q203" t="str">
            <v>0.642623</v>
          </cell>
          <cell r="R203" t="str">
            <v>0.256196</v>
          </cell>
          <cell r="S203" t="str">
            <v>NO</v>
          </cell>
          <cell r="T203" t="str">
            <v>DELIBERAZIONE EGATO 29 19/12/2018</v>
          </cell>
        </row>
        <row r="204">
          <cell r="D204" t="str">
            <v>C344104</v>
          </cell>
          <cell r="E204">
            <v>46143</v>
          </cell>
          <cell r="F204">
            <v>46507</v>
          </cell>
          <cell r="G204">
            <v>46179</v>
          </cell>
          <cell r="H204">
            <v>46179</v>
          </cell>
          <cell r="J204" t="str">
            <v>004130</v>
          </cell>
          <cell r="K204">
            <v>-52.52</v>
          </cell>
          <cell r="L204">
            <v>-52.52</v>
          </cell>
          <cell r="M204">
            <v>-52.52</v>
          </cell>
          <cell r="N204" t="str">
            <v>indiretto</v>
          </cell>
          <cell r="O204">
            <v>2</v>
          </cell>
          <cell r="P204" t="str">
            <v>0.545182</v>
          </cell>
          <cell r="Q204" t="str">
            <v>0.611443</v>
          </cell>
          <cell r="R204" t="str">
            <v>0.282207</v>
          </cell>
          <cell r="S204" t="str">
            <v>NO</v>
          </cell>
          <cell r="T204" t="str">
            <v>DELIBERA EGATO N.29 DEL 19/12/2018</v>
          </cell>
        </row>
        <row r="205">
          <cell r="D205" t="str">
            <v>C307157</v>
          </cell>
          <cell r="E205">
            <v>46143</v>
          </cell>
          <cell r="F205">
            <v>46507</v>
          </cell>
          <cell r="G205">
            <v>46179</v>
          </cell>
          <cell r="H205">
            <v>46179</v>
          </cell>
          <cell r="J205" t="str">
            <v>004180</v>
          </cell>
          <cell r="K205">
            <v>-71.900000000000006</v>
          </cell>
          <cell r="L205">
            <v>-71.900000000000006</v>
          </cell>
          <cell r="M205">
            <v>-71.900000000000006</v>
          </cell>
          <cell r="N205" t="str">
            <v>indiretto</v>
          </cell>
          <cell r="O205">
            <v>3</v>
          </cell>
          <cell r="P205" t="str">
            <v>0.721337</v>
          </cell>
          <cell r="Q205" t="str">
            <v>0.441600</v>
          </cell>
          <cell r="R205" t="str">
            <v>0.150394</v>
          </cell>
          <cell r="S205" t="str">
            <v>NO</v>
          </cell>
          <cell r="T205" t="str">
            <v>DELIBERAZIONE EGATO 2 04/02/2019</v>
          </cell>
        </row>
        <row r="206">
          <cell r="D206" t="str">
            <v>C315995</v>
          </cell>
          <cell r="E206">
            <v>46143</v>
          </cell>
          <cell r="F206">
            <v>46507</v>
          </cell>
          <cell r="G206">
            <v>46179</v>
          </cell>
          <cell r="H206">
            <v>46179</v>
          </cell>
          <cell r="J206" t="str">
            <v>004075</v>
          </cell>
          <cell r="K206">
            <v>-64.739999999999995</v>
          </cell>
          <cell r="L206">
            <v>-64.739999999999995</v>
          </cell>
          <cell r="M206">
            <v>-64.739999999999995</v>
          </cell>
          <cell r="N206" t="str">
            <v>indiretto</v>
          </cell>
          <cell r="O206">
            <v>2</v>
          </cell>
          <cell r="P206" t="str">
            <v>0.874880</v>
          </cell>
          <cell r="Q206" t="str">
            <v>0.642623</v>
          </cell>
          <cell r="R206" t="str">
            <v>0.256196</v>
          </cell>
          <cell r="S206" t="str">
            <v>NO</v>
          </cell>
          <cell r="T206" t="str">
            <v>DELIBERAZIONE EGATO 11 27/03/2019</v>
          </cell>
        </row>
        <row r="207">
          <cell r="D207" t="str">
            <v>C313852</v>
          </cell>
          <cell r="E207">
            <v>46143</v>
          </cell>
          <cell r="F207">
            <v>46507</v>
          </cell>
          <cell r="G207">
            <v>46179</v>
          </cell>
          <cell r="H207">
            <v>46179</v>
          </cell>
          <cell r="J207" t="str">
            <v>004078</v>
          </cell>
          <cell r="K207">
            <v>-132.52000000000001</v>
          </cell>
          <cell r="L207">
            <v>-132.52000000000001</v>
          </cell>
          <cell r="M207">
            <v>-132.52000000000001</v>
          </cell>
          <cell r="N207" t="str">
            <v>indiretto</v>
          </cell>
          <cell r="O207">
            <v>4</v>
          </cell>
          <cell r="P207" t="str">
            <v>0.916558</v>
          </cell>
          <cell r="Q207" t="str">
            <v>0.642623</v>
          </cell>
          <cell r="R207" t="str">
            <v>0.256196</v>
          </cell>
          <cell r="S207" t="str">
            <v>NO</v>
          </cell>
          <cell r="T207" t="str">
            <v>DELIBERAZIONE EGATO 29 19/12/2018</v>
          </cell>
        </row>
        <row r="208">
          <cell r="D208" t="str">
            <v>C128693</v>
          </cell>
          <cell r="E208">
            <v>46143</v>
          </cell>
          <cell r="F208">
            <v>46507</v>
          </cell>
          <cell r="G208">
            <v>46179</v>
          </cell>
          <cell r="H208">
            <v>46179</v>
          </cell>
          <cell r="J208" t="str">
            <v>004197</v>
          </cell>
          <cell r="K208">
            <v>-119.84</v>
          </cell>
          <cell r="L208">
            <v>-119.84</v>
          </cell>
          <cell r="M208">
            <v>-119.84</v>
          </cell>
          <cell r="N208" t="str">
            <v>indiretto</v>
          </cell>
          <cell r="O208">
            <v>5</v>
          </cell>
          <cell r="P208" t="str">
            <v>0.721337</v>
          </cell>
          <cell r="Q208" t="str">
            <v>0.441600</v>
          </cell>
          <cell r="R208" t="str">
            <v>0.150394</v>
          </cell>
          <cell r="S208" t="str">
            <v>NO</v>
          </cell>
          <cell r="T208" t="str">
            <v>DELIBERAZIONE EGATO 2 04/02/2019</v>
          </cell>
        </row>
        <row r="209">
          <cell r="D209" t="str">
            <v>C319990</v>
          </cell>
          <cell r="E209">
            <v>46143</v>
          </cell>
          <cell r="F209">
            <v>46507</v>
          </cell>
          <cell r="G209">
            <v>46179</v>
          </cell>
          <cell r="H209">
            <v>46179</v>
          </cell>
          <cell r="J209" t="str">
            <v>004078</v>
          </cell>
          <cell r="K209">
            <v>-99.39</v>
          </cell>
          <cell r="L209">
            <v>-99.39</v>
          </cell>
          <cell r="M209">
            <v>-99.39</v>
          </cell>
          <cell r="N209" t="str">
            <v>indiretto</v>
          </cell>
          <cell r="O209">
            <v>3</v>
          </cell>
          <cell r="P209" t="str">
            <v>0.916558</v>
          </cell>
          <cell r="Q209" t="str">
            <v>0.642623</v>
          </cell>
          <cell r="R209" t="str">
            <v>0.256196</v>
          </cell>
          <cell r="S209" t="str">
            <v>NO</v>
          </cell>
          <cell r="T209" t="str">
            <v>DELIBERAZIONE EGATO 29 19/12/2018</v>
          </cell>
        </row>
        <row r="210">
          <cell r="D210" t="str">
            <v>C313872</v>
          </cell>
          <cell r="E210">
            <v>46143</v>
          </cell>
          <cell r="F210">
            <v>46507</v>
          </cell>
          <cell r="G210">
            <v>46179</v>
          </cell>
          <cell r="H210">
            <v>46179</v>
          </cell>
          <cell r="J210" t="str">
            <v>004197</v>
          </cell>
          <cell r="K210">
            <v>-47.94</v>
          </cell>
          <cell r="L210">
            <v>-47.94</v>
          </cell>
          <cell r="M210">
            <v>-47.94</v>
          </cell>
          <cell r="N210" t="str">
            <v>indiretto</v>
          </cell>
          <cell r="O210">
            <v>2</v>
          </cell>
          <cell r="P210" t="str">
            <v>0.721337</v>
          </cell>
          <cell r="Q210" t="str">
            <v>0.441600</v>
          </cell>
          <cell r="R210" t="str">
            <v>0.150394</v>
          </cell>
          <cell r="S210" t="str">
            <v>NO</v>
          </cell>
          <cell r="T210" t="str">
            <v>DELIBERAZIONE EGATO 2 04/02/2019</v>
          </cell>
        </row>
        <row r="211">
          <cell r="D211" t="str">
            <v>C311511</v>
          </cell>
          <cell r="E211">
            <v>46143</v>
          </cell>
          <cell r="F211">
            <v>46507</v>
          </cell>
          <cell r="G211">
            <v>46179</v>
          </cell>
          <cell r="H211">
            <v>46179</v>
          </cell>
          <cell r="J211" t="str">
            <v>004078</v>
          </cell>
          <cell r="K211">
            <v>-33.130000000000003</v>
          </cell>
          <cell r="L211">
            <v>-33.130000000000003</v>
          </cell>
          <cell r="M211">
            <v>-33.130000000000003</v>
          </cell>
          <cell r="N211" t="str">
            <v>indiretto</v>
          </cell>
          <cell r="O211">
            <v>1</v>
          </cell>
          <cell r="P211" t="str">
            <v>0.916558</v>
          </cell>
          <cell r="Q211" t="str">
            <v>0.642623</v>
          </cell>
          <cell r="R211" t="str">
            <v>0.256196</v>
          </cell>
          <cell r="S211" t="str">
            <v>NO</v>
          </cell>
          <cell r="T211" t="str">
            <v>DELIBERAZIONE EGATO 29 19/12/2018</v>
          </cell>
        </row>
        <row r="212">
          <cell r="D212" t="str">
            <v>C320310</v>
          </cell>
          <cell r="E212">
            <v>46143</v>
          </cell>
          <cell r="F212">
            <v>46507</v>
          </cell>
          <cell r="G212">
            <v>46179</v>
          </cell>
          <cell r="H212">
            <v>46179</v>
          </cell>
          <cell r="J212" t="str">
            <v>004078</v>
          </cell>
          <cell r="K212">
            <v>-165.65</v>
          </cell>
          <cell r="L212">
            <v>-165.65</v>
          </cell>
          <cell r="M212">
            <v>-165.65</v>
          </cell>
          <cell r="N212" t="str">
            <v>indiretto</v>
          </cell>
          <cell r="O212">
            <v>5</v>
          </cell>
          <cell r="P212" t="str">
            <v>0.916558</v>
          </cell>
          <cell r="Q212" t="str">
            <v>0.642623</v>
          </cell>
          <cell r="R212" t="str">
            <v>0.256196</v>
          </cell>
          <cell r="S212" t="str">
            <v>NO</v>
          </cell>
          <cell r="T212" t="str">
            <v>DELIBERAZIONE EGATO 29 19/12/2018</v>
          </cell>
        </row>
        <row r="213">
          <cell r="D213" t="str">
            <v>C344283</v>
          </cell>
          <cell r="E213">
            <v>46143</v>
          </cell>
          <cell r="F213">
            <v>46507</v>
          </cell>
          <cell r="G213">
            <v>46179</v>
          </cell>
          <cell r="H213">
            <v>46179</v>
          </cell>
          <cell r="J213" t="str">
            <v>004192</v>
          </cell>
          <cell r="K213">
            <v>-33.130000000000003</v>
          </cell>
          <cell r="L213">
            <v>-33.130000000000003</v>
          </cell>
          <cell r="M213">
            <v>-33.130000000000003</v>
          </cell>
          <cell r="N213" t="str">
            <v>indiretto</v>
          </cell>
          <cell r="O213">
            <v>1</v>
          </cell>
          <cell r="P213" t="str">
            <v>0.916558</v>
          </cell>
          <cell r="Q213" t="str">
            <v>0.642623</v>
          </cell>
          <cell r="R213" t="str">
            <v>0.256196</v>
          </cell>
          <cell r="S213" t="str">
            <v>NO</v>
          </cell>
          <cell r="T213" t="str">
            <v>DELIBERAZIONE EGATO 29 19/12/2018</v>
          </cell>
        </row>
        <row r="214">
          <cell r="D214" t="str">
            <v>C307468</v>
          </cell>
          <cell r="E214">
            <v>46143</v>
          </cell>
          <cell r="F214">
            <v>46507</v>
          </cell>
          <cell r="G214">
            <v>46179</v>
          </cell>
          <cell r="H214">
            <v>46179</v>
          </cell>
          <cell r="J214" t="str">
            <v>004043</v>
          </cell>
          <cell r="K214">
            <v>-38.659999999999997</v>
          </cell>
          <cell r="L214">
            <v>-38.659999999999997</v>
          </cell>
          <cell r="M214">
            <v>-38.659999999999997</v>
          </cell>
          <cell r="N214" t="str">
            <v>indiretto</v>
          </cell>
          <cell r="O214">
            <v>1</v>
          </cell>
          <cell r="P214">
            <v>1091278</v>
          </cell>
          <cell r="Q214" t="str">
            <v>0.730790</v>
          </cell>
          <cell r="R214" t="str">
            <v>0.296264</v>
          </cell>
          <cell r="S214" t="str">
            <v>NO</v>
          </cell>
          <cell r="T214" t="str">
            <v>DELIBERAZIONE EGATO 2 04/02/2019</v>
          </cell>
        </row>
        <row r="215">
          <cell r="D215" t="str">
            <v>C344144</v>
          </cell>
          <cell r="E215">
            <v>46143</v>
          </cell>
          <cell r="F215">
            <v>46507</v>
          </cell>
          <cell r="G215">
            <v>46179</v>
          </cell>
          <cell r="H215">
            <v>46179</v>
          </cell>
          <cell r="J215" t="str">
            <v>004066</v>
          </cell>
          <cell r="K215">
            <v>-231.91</v>
          </cell>
          <cell r="L215">
            <v>-231.91</v>
          </cell>
          <cell r="M215">
            <v>-231.91</v>
          </cell>
          <cell r="N215" t="str">
            <v>indiretto</v>
          </cell>
          <cell r="O215">
            <v>7</v>
          </cell>
          <cell r="P215" t="str">
            <v>0.916558</v>
          </cell>
          <cell r="Q215" t="str">
            <v>0.642623</v>
          </cell>
          <cell r="R215" t="str">
            <v>0.256196</v>
          </cell>
          <cell r="S215" t="str">
            <v>NO</v>
          </cell>
          <cell r="T215" t="str">
            <v>DELIBERAZIONE EGATO 29 19/12/2018</v>
          </cell>
        </row>
        <row r="216">
          <cell r="D216" t="str">
            <v>C344245</v>
          </cell>
          <cell r="E216">
            <v>46143</v>
          </cell>
          <cell r="F216">
            <v>46507</v>
          </cell>
          <cell r="G216">
            <v>46179</v>
          </cell>
          <cell r="H216">
            <v>46179</v>
          </cell>
          <cell r="J216" t="str">
            <v>004078</v>
          </cell>
          <cell r="K216">
            <v>-165.65</v>
          </cell>
          <cell r="L216">
            <v>-165.65</v>
          </cell>
          <cell r="M216">
            <v>-165.65</v>
          </cell>
          <cell r="N216" t="str">
            <v>indiretto</v>
          </cell>
          <cell r="O216">
            <v>5</v>
          </cell>
          <cell r="P216" t="str">
            <v>0.916558</v>
          </cell>
          <cell r="Q216" t="str">
            <v>0.642623</v>
          </cell>
          <cell r="R216" t="str">
            <v>0.256196</v>
          </cell>
          <cell r="S216" t="str">
            <v>NO</v>
          </cell>
          <cell r="T216" t="str">
            <v>DELIBERAZIONE EGATO 29 19/12/2018</v>
          </cell>
        </row>
        <row r="217">
          <cell r="D217" t="str">
            <v>C117784</v>
          </cell>
          <cell r="E217">
            <v>46143</v>
          </cell>
          <cell r="F217">
            <v>46507</v>
          </cell>
          <cell r="G217">
            <v>46179</v>
          </cell>
          <cell r="H217">
            <v>46179</v>
          </cell>
          <cell r="J217" t="str">
            <v>004082</v>
          </cell>
          <cell r="K217">
            <v>-165.65</v>
          </cell>
          <cell r="L217">
            <v>-165.65</v>
          </cell>
          <cell r="M217">
            <v>-165.65</v>
          </cell>
          <cell r="N217" t="str">
            <v>indiretto</v>
          </cell>
          <cell r="O217">
            <v>5</v>
          </cell>
          <cell r="P217" t="str">
            <v>0.916558</v>
          </cell>
          <cell r="Q217" t="str">
            <v>0.642623</v>
          </cell>
          <cell r="R217" t="str">
            <v>0.256196</v>
          </cell>
          <cell r="S217" t="str">
            <v>NO</v>
          </cell>
          <cell r="T217" t="str">
            <v>DELIBERAZIONE EGATO 29 19/12/2018</v>
          </cell>
        </row>
        <row r="218">
          <cell r="D218" t="str">
            <v>C344195</v>
          </cell>
          <cell r="E218">
            <v>46143</v>
          </cell>
          <cell r="F218">
            <v>46507</v>
          </cell>
          <cell r="G218">
            <v>46179</v>
          </cell>
          <cell r="H218">
            <v>46179</v>
          </cell>
          <cell r="J218" t="str">
            <v>004130</v>
          </cell>
          <cell r="K218">
            <v>-131.29</v>
          </cell>
          <cell r="L218">
            <v>-131.29</v>
          </cell>
          <cell r="M218">
            <v>-131.29</v>
          </cell>
          <cell r="N218" t="str">
            <v>indiretto</v>
          </cell>
          <cell r="O218">
            <v>5</v>
          </cell>
          <cell r="P218" t="str">
            <v>0.545182</v>
          </cell>
          <cell r="Q218" t="str">
            <v>0.611443</v>
          </cell>
          <cell r="R218" t="str">
            <v>0.282207</v>
          </cell>
          <cell r="S218" t="str">
            <v>NO</v>
          </cell>
          <cell r="T218" t="str">
            <v>DELIBERA EGATO N.29 DEL 19/12/2018</v>
          </cell>
        </row>
        <row r="219">
          <cell r="D219" t="str">
            <v>C309505</v>
          </cell>
          <cell r="E219">
            <v>46143</v>
          </cell>
          <cell r="F219">
            <v>46507</v>
          </cell>
          <cell r="G219">
            <v>46179</v>
          </cell>
          <cell r="H219">
            <v>46179</v>
          </cell>
          <cell r="J219" t="str">
            <v>004081</v>
          </cell>
          <cell r="K219">
            <v>-37.950000000000003</v>
          </cell>
          <cell r="L219">
            <v>-37.950000000000003</v>
          </cell>
          <cell r="M219">
            <v>-37.950000000000003</v>
          </cell>
          <cell r="N219" t="str">
            <v>indiretto</v>
          </cell>
          <cell r="O219">
            <v>1</v>
          </cell>
          <cell r="P219">
            <v>1091278</v>
          </cell>
          <cell r="Q219" t="str">
            <v>0.691798</v>
          </cell>
          <cell r="R219" t="str">
            <v>0.296264</v>
          </cell>
          <cell r="S219" t="str">
            <v>NO</v>
          </cell>
          <cell r="T219" t="str">
            <v>DELIBERAZIONE EGATO 2 04/02/2019</v>
          </cell>
        </row>
        <row r="220">
          <cell r="D220" t="str">
            <v>C311065</v>
          </cell>
          <cell r="E220">
            <v>46143</v>
          </cell>
          <cell r="F220">
            <v>46507</v>
          </cell>
          <cell r="G220">
            <v>46179</v>
          </cell>
          <cell r="H220">
            <v>46179</v>
          </cell>
          <cell r="J220" t="str">
            <v>004041</v>
          </cell>
          <cell r="K220">
            <v>-165.65</v>
          </cell>
          <cell r="L220">
            <v>-165.65</v>
          </cell>
          <cell r="M220">
            <v>-165.65</v>
          </cell>
          <cell r="N220" t="str">
            <v>indiretto</v>
          </cell>
          <cell r="O220">
            <v>5</v>
          </cell>
          <cell r="P220" t="str">
            <v>0.916558</v>
          </cell>
          <cell r="Q220" t="str">
            <v>0.642623</v>
          </cell>
          <cell r="R220" t="str">
            <v>0.256196</v>
          </cell>
          <cell r="S220" t="str">
            <v>NO</v>
          </cell>
          <cell r="T220" t="str">
            <v>DELIBERAZIONE EGATO 29 19/12/2018</v>
          </cell>
        </row>
        <row r="221">
          <cell r="D221" t="str">
            <v>C314452</v>
          </cell>
          <cell r="E221">
            <v>46143</v>
          </cell>
          <cell r="F221">
            <v>46507</v>
          </cell>
          <cell r="G221">
            <v>46179</v>
          </cell>
          <cell r="H221">
            <v>46179</v>
          </cell>
          <cell r="J221" t="str">
            <v>004025</v>
          </cell>
          <cell r="K221">
            <v>-132.52000000000001</v>
          </cell>
          <cell r="L221">
            <v>-132.52000000000001</v>
          </cell>
          <cell r="M221">
            <v>-132.52000000000001</v>
          </cell>
          <cell r="N221" t="str">
            <v>indiretto</v>
          </cell>
          <cell r="O221">
            <v>4</v>
          </cell>
          <cell r="P221" t="str">
            <v>0.916558</v>
          </cell>
          <cell r="Q221" t="str">
            <v>0.642623</v>
          </cell>
          <cell r="R221" t="str">
            <v>0.256196</v>
          </cell>
          <cell r="S221" t="str">
            <v>NO</v>
          </cell>
          <cell r="T221" t="str">
            <v>DELIBERAZIONE EGATO 29 19/12/2018</v>
          </cell>
        </row>
        <row r="222">
          <cell r="D222" t="str">
            <v>C344263</v>
          </cell>
          <cell r="E222">
            <v>46143</v>
          </cell>
          <cell r="F222">
            <v>46507</v>
          </cell>
          <cell r="G222">
            <v>46179</v>
          </cell>
          <cell r="H222">
            <v>46179</v>
          </cell>
          <cell r="J222" t="str">
            <v>004180</v>
          </cell>
          <cell r="K222">
            <v>-23.97</v>
          </cell>
          <cell r="L222">
            <v>-23.97</v>
          </cell>
          <cell r="M222">
            <v>-23.97</v>
          </cell>
          <cell r="N222" t="str">
            <v>indiretto</v>
          </cell>
          <cell r="O222">
            <v>1</v>
          </cell>
          <cell r="P222" t="str">
            <v>0.721337</v>
          </cell>
          <cell r="Q222" t="str">
            <v>0.441600</v>
          </cell>
          <cell r="R222" t="str">
            <v>0.150394</v>
          </cell>
          <cell r="S222" t="str">
            <v>NO</v>
          </cell>
          <cell r="T222" t="str">
            <v>DELIBERAZIONE EGATO 2 04/02/2019</v>
          </cell>
        </row>
        <row r="223">
          <cell r="D223" t="str">
            <v>C344159</v>
          </cell>
          <cell r="E223">
            <v>46143</v>
          </cell>
          <cell r="F223">
            <v>46507</v>
          </cell>
          <cell r="G223">
            <v>46179</v>
          </cell>
          <cell r="H223">
            <v>46179</v>
          </cell>
          <cell r="J223" t="str">
            <v>004078</v>
          </cell>
          <cell r="K223">
            <v>-66.260000000000005</v>
          </cell>
          <cell r="L223">
            <v>-66.260000000000005</v>
          </cell>
          <cell r="M223">
            <v>-66.260000000000005</v>
          </cell>
          <cell r="N223" t="str">
            <v>indiretto</v>
          </cell>
          <cell r="O223">
            <v>2</v>
          </cell>
          <cell r="P223" t="str">
            <v>0.916558</v>
          </cell>
          <cell r="Q223" t="str">
            <v>0.642623</v>
          </cell>
          <cell r="R223" t="str">
            <v>0.256196</v>
          </cell>
          <cell r="S223" t="str">
            <v>NO</v>
          </cell>
          <cell r="T223" t="str">
            <v>DELIBERAZIONE EGATO 29 19/12/2018</v>
          </cell>
        </row>
        <row r="224">
          <cell r="D224" t="str">
            <v>C009367</v>
          </cell>
          <cell r="E224">
            <v>46143</v>
          </cell>
          <cell r="F224">
            <v>46507</v>
          </cell>
          <cell r="G224">
            <v>46179</v>
          </cell>
          <cell r="H224">
            <v>46179</v>
          </cell>
          <cell r="J224" t="str">
            <v>004066</v>
          </cell>
          <cell r="K224">
            <v>-165.65</v>
          </cell>
          <cell r="L224">
            <v>-165.65</v>
          </cell>
          <cell r="M224">
            <v>-165.65</v>
          </cell>
          <cell r="N224" t="str">
            <v>indiretto</v>
          </cell>
          <cell r="O224">
            <v>5</v>
          </cell>
          <cell r="P224" t="str">
            <v>0.916558</v>
          </cell>
          <cell r="Q224" t="str">
            <v>0.642623</v>
          </cell>
          <cell r="R224" t="str">
            <v>0.256196</v>
          </cell>
          <cell r="S224" t="str">
            <v>NO</v>
          </cell>
          <cell r="T224" t="str">
            <v>DELIBERAZIONE EGATO 29 19/12/2018</v>
          </cell>
        </row>
        <row r="225">
          <cell r="D225" t="str">
            <v>C344128</v>
          </cell>
          <cell r="E225">
            <v>46143</v>
          </cell>
          <cell r="F225">
            <v>46507</v>
          </cell>
          <cell r="G225">
            <v>46179</v>
          </cell>
          <cell r="H225">
            <v>46179</v>
          </cell>
          <cell r="J225" t="str">
            <v>004171</v>
          </cell>
          <cell r="K225">
            <v>-72.64</v>
          </cell>
          <cell r="L225">
            <v>-72.64</v>
          </cell>
          <cell r="M225">
            <v>-72.64</v>
          </cell>
          <cell r="N225" t="str">
            <v>indiretto</v>
          </cell>
          <cell r="O225">
            <v>4</v>
          </cell>
          <cell r="P225" t="str">
            <v>0.483220</v>
          </cell>
          <cell r="Q225" t="str">
            <v>0.350215</v>
          </cell>
          <cell r="R225" t="str">
            <v>0.161638</v>
          </cell>
          <cell r="S225" t="str">
            <v>NO</v>
          </cell>
          <cell r="T225" t="str">
            <v>DELIBERAZIONE EGATO 23 16/11/2020</v>
          </cell>
        </row>
        <row r="226">
          <cell r="D226" t="str">
            <v>C310804</v>
          </cell>
          <cell r="E226">
            <v>46143</v>
          </cell>
          <cell r="F226">
            <v>46507</v>
          </cell>
          <cell r="G226">
            <v>46179</v>
          </cell>
          <cell r="H226">
            <v>46179</v>
          </cell>
          <cell r="J226" t="str">
            <v>004082</v>
          </cell>
          <cell r="K226">
            <v>-198.78</v>
          </cell>
          <cell r="L226">
            <v>-198.78</v>
          </cell>
          <cell r="M226">
            <v>-198.78</v>
          </cell>
          <cell r="N226" t="str">
            <v>indiretto</v>
          </cell>
          <cell r="O226">
            <v>6</v>
          </cell>
          <cell r="P226" t="str">
            <v>0.916558</v>
          </cell>
          <cell r="Q226" t="str">
            <v>0.642623</v>
          </cell>
          <cell r="R226" t="str">
            <v>0.256196</v>
          </cell>
          <cell r="S226" t="str">
            <v>NO</v>
          </cell>
          <cell r="T226" t="str">
            <v>DELIBERAZIONE EGATO 29 19/12/2018</v>
          </cell>
        </row>
        <row r="227">
          <cell r="D227" t="str">
            <v>C344203</v>
          </cell>
          <cell r="E227">
            <v>46143</v>
          </cell>
          <cell r="F227">
            <v>46507</v>
          </cell>
          <cell r="G227">
            <v>46179</v>
          </cell>
          <cell r="H227">
            <v>46179</v>
          </cell>
          <cell r="J227" t="str">
            <v>004145</v>
          </cell>
          <cell r="K227">
            <v>-38.659999999999997</v>
          </cell>
          <cell r="L227">
            <v>-38.659999999999997</v>
          </cell>
          <cell r="M227">
            <v>-38.659999999999997</v>
          </cell>
          <cell r="N227" t="str">
            <v>indiretto</v>
          </cell>
          <cell r="O227">
            <v>1</v>
          </cell>
          <cell r="P227">
            <v>1091278</v>
          </cell>
          <cell r="Q227" t="str">
            <v>0.730790</v>
          </cell>
          <cell r="R227" t="str">
            <v>0.296264</v>
          </cell>
          <cell r="S227" t="str">
            <v>NO</v>
          </cell>
          <cell r="T227" t="str">
            <v>DELIBERAZIONE EGATO 2 04/02/2019</v>
          </cell>
        </row>
        <row r="228">
          <cell r="D228" t="str">
            <v>C344214</v>
          </cell>
          <cell r="E228">
            <v>46143</v>
          </cell>
          <cell r="F228">
            <v>46507</v>
          </cell>
          <cell r="G228">
            <v>46179</v>
          </cell>
          <cell r="H228">
            <v>46179</v>
          </cell>
          <cell r="J228" t="str">
            <v>004078</v>
          </cell>
          <cell r="K228">
            <v>-33.130000000000003</v>
          </cell>
          <cell r="L228">
            <v>-33.130000000000003</v>
          </cell>
          <cell r="M228">
            <v>-33.130000000000003</v>
          </cell>
          <cell r="N228" t="str">
            <v>indiretto</v>
          </cell>
          <cell r="O228">
            <v>1</v>
          </cell>
          <cell r="P228" t="str">
            <v>0.916558</v>
          </cell>
          <cell r="Q228" t="str">
            <v>0.642623</v>
          </cell>
          <cell r="R228" t="str">
            <v>0.256196</v>
          </cell>
          <cell r="S228" t="str">
            <v>NO</v>
          </cell>
          <cell r="T228" t="str">
            <v>DELIBERAZIONE EGATO 29 19/12/2018</v>
          </cell>
        </row>
        <row r="229">
          <cell r="D229" t="str">
            <v>C337608</v>
          </cell>
          <cell r="E229">
            <v>46143</v>
          </cell>
          <cell r="F229">
            <v>46507</v>
          </cell>
          <cell r="G229">
            <v>46179</v>
          </cell>
          <cell r="H229">
            <v>46179</v>
          </cell>
          <cell r="J229" t="str">
            <v>004078</v>
          </cell>
          <cell r="K229">
            <v>-99.39</v>
          </cell>
          <cell r="L229">
            <v>-99.39</v>
          </cell>
          <cell r="M229">
            <v>-99.39</v>
          </cell>
          <cell r="N229" t="str">
            <v>indiretto</v>
          </cell>
          <cell r="O229">
            <v>3</v>
          </cell>
          <cell r="P229" t="str">
            <v>0.916558</v>
          </cell>
          <cell r="Q229" t="str">
            <v>0.642623</v>
          </cell>
          <cell r="R229" t="str">
            <v>0.256196</v>
          </cell>
          <cell r="S229" t="str">
            <v>NO</v>
          </cell>
          <cell r="T229" t="str">
            <v>DELIBERAZIONE EGATO 29 19/12/2018</v>
          </cell>
        </row>
        <row r="230">
          <cell r="D230" t="str">
            <v>C312189</v>
          </cell>
          <cell r="E230">
            <v>46143</v>
          </cell>
          <cell r="F230">
            <v>46507</v>
          </cell>
          <cell r="G230">
            <v>46179</v>
          </cell>
          <cell r="H230">
            <v>46179</v>
          </cell>
          <cell r="J230" t="str">
            <v>004040</v>
          </cell>
          <cell r="K230">
            <v>-132.52000000000001</v>
          </cell>
          <cell r="L230">
            <v>-132.52000000000001</v>
          </cell>
          <cell r="M230">
            <v>-132.52000000000001</v>
          </cell>
          <cell r="N230" t="str">
            <v>indiretto</v>
          </cell>
          <cell r="O230">
            <v>4</v>
          </cell>
          <cell r="P230" t="str">
            <v>0.916558</v>
          </cell>
          <cell r="Q230" t="str">
            <v>0.642623</v>
          </cell>
          <cell r="R230" t="str">
            <v>0.256196</v>
          </cell>
          <cell r="S230" t="str">
            <v>NO</v>
          </cell>
          <cell r="T230" t="str">
            <v>DELIBERAZIONE EGATO 29 19/12/2018</v>
          </cell>
        </row>
        <row r="231">
          <cell r="D231" t="str">
            <v>C337682</v>
          </cell>
          <cell r="E231">
            <v>46143</v>
          </cell>
          <cell r="F231">
            <v>46507</v>
          </cell>
          <cell r="G231">
            <v>46179</v>
          </cell>
          <cell r="H231">
            <v>46179</v>
          </cell>
          <cell r="J231" t="str">
            <v>004068</v>
          </cell>
          <cell r="K231">
            <v>-165.65</v>
          </cell>
          <cell r="L231">
            <v>-165.65</v>
          </cell>
          <cell r="M231">
            <v>-165.65</v>
          </cell>
          <cell r="N231" t="str">
            <v>indiretto</v>
          </cell>
          <cell r="O231">
            <v>5</v>
          </cell>
          <cell r="P231" t="str">
            <v>0.916558</v>
          </cell>
          <cell r="Q231" t="str">
            <v>0.642623</v>
          </cell>
          <cell r="R231" t="str">
            <v>0.256196</v>
          </cell>
          <cell r="S231" t="str">
            <v>NO</v>
          </cell>
          <cell r="T231" t="str">
            <v>DELIBERAZIONE EGATO 29 19/12/2018</v>
          </cell>
        </row>
        <row r="232">
          <cell r="D232" t="str">
            <v>C344302</v>
          </cell>
          <cell r="E232">
            <v>46143</v>
          </cell>
          <cell r="F232">
            <v>46507</v>
          </cell>
          <cell r="G232">
            <v>46179</v>
          </cell>
          <cell r="H232">
            <v>46179</v>
          </cell>
          <cell r="J232" t="str">
            <v>004179</v>
          </cell>
          <cell r="K232">
            <v>-86.33</v>
          </cell>
          <cell r="L232">
            <v>-86.33</v>
          </cell>
          <cell r="M232">
            <v>-86.33</v>
          </cell>
          <cell r="N232" t="str">
            <v>indiretto</v>
          </cell>
          <cell r="O232">
            <v>3</v>
          </cell>
          <cell r="P232" t="str">
            <v>0.802937</v>
          </cell>
          <cell r="Q232" t="str">
            <v>0.568257</v>
          </cell>
          <cell r="R232" t="str">
            <v>0.205575</v>
          </cell>
          <cell r="S232" t="str">
            <v>NO</v>
          </cell>
          <cell r="T232" t="str">
            <v>DELIBERAZIONE EGATO 11 27/03/2019</v>
          </cell>
        </row>
        <row r="233">
          <cell r="D233" t="str">
            <v>C344129</v>
          </cell>
          <cell r="E233">
            <v>46143</v>
          </cell>
          <cell r="F233">
            <v>46507</v>
          </cell>
          <cell r="G233">
            <v>46179</v>
          </cell>
          <cell r="H233">
            <v>46179</v>
          </cell>
          <cell r="J233" t="str">
            <v>004239</v>
          </cell>
          <cell r="K233">
            <v>-89.45</v>
          </cell>
          <cell r="L233">
            <v>-89.45</v>
          </cell>
          <cell r="M233">
            <v>-89.45</v>
          </cell>
          <cell r="N233" t="str">
            <v>indiretto</v>
          </cell>
          <cell r="O233">
            <v>3</v>
          </cell>
          <cell r="P233" t="str">
            <v>0.824903</v>
          </cell>
          <cell r="Q233" t="str">
            <v>0.578360</v>
          </cell>
          <cell r="R233" t="str">
            <v>0.230576</v>
          </cell>
          <cell r="S233" t="str">
            <v>NO</v>
          </cell>
          <cell r="T233" t="str">
            <v>DELIBERAZIONE EGATO 29 19/12/2018</v>
          </cell>
        </row>
        <row r="234">
          <cell r="D234" t="str">
            <v>C312142</v>
          </cell>
          <cell r="E234">
            <v>46143</v>
          </cell>
          <cell r="F234">
            <v>46507</v>
          </cell>
          <cell r="G234">
            <v>46179</v>
          </cell>
          <cell r="H234">
            <v>46179</v>
          </cell>
          <cell r="J234" t="str">
            <v>004078</v>
          </cell>
          <cell r="K234">
            <v>-165.65</v>
          </cell>
          <cell r="L234">
            <v>-165.65</v>
          </cell>
          <cell r="M234">
            <v>-165.65</v>
          </cell>
          <cell r="N234" t="str">
            <v>indiretto</v>
          </cell>
          <cell r="O234">
            <v>5</v>
          </cell>
          <cell r="P234" t="str">
            <v>0.916558</v>
          </cell>
          <cell r="Q234" t="str">
            <v>0.642623</v>
          </cell>
          <cell r="R234" t="str">
            <v>0.256196</v>
          </cell>
          <cell r="S234" t="str">
            <v>NO</v>
          </cell>
          <cell r="T234" t="str">
            <v>DELIBERAZIONE EGATO 29 19/12/2018</v>
          </cell>
        </row>
        <row r="235">
          <cell r="D235" t="str">
            <v>C309635</v>
          </cell>
          <cell r="E235">
            <v>46143</v>
          </cell>
          <cell r="F235">
            <v>46507</v>
          </cell>
          <cell r="G235">
            <v>46179</v>
          </cell>
          <cell r="H235">
            <v>46179</v>
          </cell>
          <cell r="J235" t="str">
            <v>004040</v>
          </cell>
          <cell r="K235">
            <v>-33.130000000000003</v>
          </cell>
          <cell r="L235">
            <v>-33.130000000000003</v>
          </cell>
          <cell r="M235">
            <v>-33.130000000000003</v>
          </cell>
          <cell r="N235" t="str">
            <v>indiretto</v>
          </cell>
          <cell r="O235">
            <v>1</v>
          </cell>
          <cell r="P235" t="str">
            <v>0.916558</v>
          </cell>
          <cell r="Q235" t="str">
            <v>0.642623</v>
          </cell>
          <cell r="R235" t="str">
            <v>0.256196</v>
          </cell>
          <cell r="S235" t="str">
            <v>NO</v>
          </cell>
          <cell r="T235" t="str">
            <v>DELIBERAZIONE EGATO 29 19/12/2018</v>
          </cell>
        </row>
        <row r="236">
          <cell r="D236" t="str">
            <v>C315061</v>
          </cell>
          <cell r="E236">
            <v>46143</v>
          </cell>
          <cell r="F236">
            <v>46507</v>
          </cell>
          <cell r="G236">
            <v>46179</v>
          </cell>
          <cell r="H236">
            <v>46179</v>
          </cell>
          <cell r="J236" t="str">
            <v>004078</v>
          </cell>
          <cell r="K236">
            <v>-165.65</v>
          </cell>
          <cell r="L236">
            <v>-165.65</v>
          </cell>
          <cell r="M236">
            <v>-165.65</v>
          </cell>
          <cell r="N236" t="str">
            <v>indiretto</v>
          </cell>
          <cell r="O236">
            <v>5</v>
          </cell>
          <cell r="P236" t="str">
            <v>0.916558</v>
          </cell>
          <cell r="Q236" t="str">
            <v>0.642623</v>
          </cell>
          <cell r="R236" t="str">
            <v>0.256196</v>
          </cell>
          <cell r="S236" t="str">
            <v>NO</v>
          </cell>
          <cell r="T236" t="str">
            <v>DELIBERAZIONE EGATO 29 19/12/2018</v>
          </cell>
        </row>
        <row r="237">
          <cell r="D237" t="str">
            <v>C311263</v>
          </cell>
          <cell r="E237">
            <v>46143</v>
          </cell>
          <cell r="F237">
            <v>46507</v>
          </cell>
          <cell r="G237">
            <v>46179</v>
          </cell>
          <cell r="H237">
            <v>46179</v>
          </cell>
          <cell r="J237" t="str">
            <v>004171</v>
          </cell>
          <cell r="K237">
            <v>-18.16</v>
          </cell>
          <cell r="L237">
            <v>-18.16</v>
          </cell>
          <cell r="M237">
            <v>-18.16</v>
          </cell>
          <cell r="N237" t="str">
            <v>indiretto</v>
          </cell>
          <cell r="O237">
            <v>1</v>
          </cell>
          <cell r="P237" t="str">
            <v>0.483220</v>
          </cell>
          <cell r="Q237" t="str">
            <v>0.350215</v>
          </cell>
          <cell r="R237" t="str">
            <v>0.161638</v>
          </cell>
          <cell r="S237" t="str">
            <v>NO</v>
          </cell>
          <cell r="T237" t="str">
            <v>DELIBERAZIONE EGATO 23 16/11/2020</v>
          </cell>
        </row>
        <row r="238">
          <cell r="D238" t="str">
            <v>C301000</v>
          </cell>
          <cell r="E238">
            <v>46143</v>
          </cell>
          <cell r="F238">
            <v>46507</v>
          </cell>
          <cell r="G238">
            <v>46179</v>
          </cell>
          <cell r="H238">
            <v>46179</v>
          </cell>
          <cell r="J238" t="str">
            <v>004197</v>
          </cell>
          <cell r="K238">
            <v>-95.87</v>
          </cell>
          <cell r="L238">
            <v>-95.87</v>
          </cell>
          <cell r="M238">
            <v>-95.87</v>
          </cell>
          <cell r="N238" t="str">
            <v>indiretto</v>
          </cell>
          <cell r="O238">
            <v>4</v>
          </cell>
          <cell r="P238" t="str">
            <v>0.721337</v>
          </cell>
          <cell r="Q238" t="str">
            <v>0.441600</v>
          </cell>
          <cell r="R238" t="str">
            <v>0.150394</v>
          </cell>
          <cell r="S238" t="str">
            <v>NO</v>
          </cell>
          <cell r="T238" t="str">
            <v>DELIBERAZIONE EGATO 2 04/02/2019</v>
          </cell>
        </row>
        <row r="239">
          <cell r="D239" t="str">
            <v>C320294</v>
          </cell>
          <cell r="E239">
            <v>46143</v>
          </cell>
          <cell r="F239">
            <v>46507</v>
          </cell>
          <cell r="G239">
            <v>46179</v>
          </cell>
          <cell r="H239">
            <v>46179</v>
          </cell>
          <cell r="J239" t="str">
            <v>004078</v>
          </cell>
          <cell r="K239">
            <v>-132.52000000000001</v>
          </cell>
          <cell r="L239">
            <v>-132.52000000000001</v>
          </cell>
          <cell r="M239">
            <v>-132.52000000000001</v>
          </cell>
          <cell r="N239" t="str">
            <v>indiretto</v>
          </cell>
          <cell r="O239">
            <v>4</v>
          </cell>
          <cell r="P239" t="str">
            <v>0.916558</v>
          </cell>
          <cell r="Q239" t="str">
            <v>0.642623</v>
          </cell>
          <cell r="R239" t="str">
            <v>0.256196</v>
          </cell>
          <cell r="S239" t="str">
            <v>NO</v>
          </cell>
          <cell r="T239" t="str">
            <v>DELIBERAZIONE EGATO 29 19/12/2018</v>
          </cell>
        </row>
        <row r="240">
          <cell r="D240" t="str">
            <v>C312230</v>
          </cell>
          <cell r="E240">
            <v>46143</v>
          </cell>
          <cell r="F240">
            <v>46507</v>
          </cell>
          <cell r="G240">
            <v>46179</v>
          </cell>
          <cell r="H240">
            <v>46179</v>
          </cell>
          <cell r="J240" t="str">
            <v>004068</v>
          </cell>
          <cell r="K240">
            <v>-66.260000000000005</v>
          </cell>
          <cell r="L240">
            <v>-66.260000000000005</v>
          </cell>
          <cell r="M240">
            <v>-66.260000000000005</v>
          </cell>
          <cell r="N240" t="str">
            <v>indiretto</v>
          </cell>
          <cell r="O240">
            <v>2</v>
          </cell>
          <cell r="P240" t="str">
            <v>0.916558</v>
          </cell>
          <cell r="Q240" t="str">
            <v>0.642623</v>
          </cell>
          <cell r="R240" t="str">
            <v>0.256196</v>
          </cell>
          <cell r="S240" t="str">
            <v>NO</v>
          </cell>
          <cell r="T240" t="str">
            <v>DELIBERAZIONE EGATO 29 19/12/2018</v>
          </cell>
        </row>
        <row r="241">
          <cell r="D241" t="str">
            <v>C300414</v>
          </cell>
          <cell r="E241">
            <v>46143</v>
          </cell>
          <cell r="F241">
            <v>46507</v>
          </cell>
          <cell r="G241">
            <v>46179</v>
          </cell>
          <cell r="H241">
            <v>46179</v>
          </cell>
          <cell r="J241" t="str">
            <v>004185</v>
          </cell>
          <cell r="K241">
            <v>-33.130000000000003</v>
          </cell>
          <cell r="L241">
            <v>-33.130000000000003</v>
          </cell>
          <cell r="M241">
            <v>-33.130000000000003</v>
          </cell>
          <cell r="N241" t="str">
            <v>indiretto</v>
          </cell>
          <cell r="O241">
            <v>1</v>
          </cell>
          <cell r="P241" t="str">
            <v>0.916558</v>
          </cell>
          <cell r="Q241" t="str">
            <v>0.642623</v>
          </cell>
          <cell r="R241" t="str">
            <v>0.256196</v>
          </cell>
          <cell r="S241" t="str">
            <v>NO</v>
          </cell>
          <cell r="T241" t="str">
            <v>DELIBERAZIONE EGATO 29 19/12/2018</v>
          </cell>
        </row>
        <row r="242">
          <cell r="D242" t="str">
            <v>C344257</v>
          </cell>
          <cell r="E242">
            <v>46143</v>
          </cell>
          <cell r="F242">
            <v>46507</v>
          </cell>
          <cell r="G242">
            <v>46179</v>
          </cell>
          <cell r="H242">
            <v>46179</v>
          </cell>
          <cell r="J242" t="str">
            <v>004190</v>
          </cell>
          <cell r="K242">
            <v>-131.29</v>
          </cell>
          <cell r="L242">
            <v>-131.29</v>
          </cell>
          <cell r="M242">
            <v>-131.29</v>
          </cell>
          <cell r="N242" t="str">
            <v>indiretto</v>
          </cell>
          <cell r="O242">
            <v>5</v>
          </cell>
          <cell r="P242" t="str">
            <v>0.545182</v>
          </cell>
          <cell r="Q242" t="str">
            <v>0.611443</v>
          </cell>
          <cell r="R242" t="str">
            <v>0.282207</v>
          </cell>
          <cell r="S242" t="str">
            <v>NO</v>
          </cell>
          <cell r="T242" t="str">
            <v>DELIBERA EGATO N.29 DEL 19/12/2018</v>
          </cell>
        </row>
        <row r="243">
          <cell r="D243" t="str">
            <v>C344259</v>
          </cell>
          <cell r="E243">
            <v>46143</v>
          </cell>
          <cell r="F243">
            <v>46507</v>
          </cell>
          <cell r="G243">
            <v>46179</v>
          </cell>
          <cell r="H243">
            <v>46179</v>
          </cell>
          <cell r="J243" t="str">
            <v>004064</v>
          </cell>
          <cell r="K243">
            <v>-33.130000000000003</v>
          </cell>
          <cell r="L243">
            <v>-33.130000000000003</v>
          </cell>
          <cell r="M243">
            <v>-33.130000000000003</v>
          </cell>
          <cell r="N243" t="str">
            <v>indiretto</v>
          </cell>
          <cell r="O243">
            <v>1</v>
          </cell>
          <cell r="P243" t="str">
            <v>0.916558</v>
          </cell>
          <cell r="Q243" t="str">
            <v>0.642623</v>
          </cell>
          <cell r="R243" t="str">
            <v>0.256196</v>
          </cell>
          <cell r="S243" t="str">
            <v>NO</v>
          </cell>
          <cell r="T243" t="str">
            <v>DELIBERAZIONE EGATO 29 19/12/2018</v>
          </cell>
        </row>
        <row r="244">
          <cell r="D244" t="str">
            <v>C344278</v>
          </cell>
          <cell r="E244">
            <v>46143</v>
          </cell>
          <cell r="F244">
            <v>46507</v>
          </cell>
          <cell r="G244">
            <v>46179</v>
          </cell>
          <cell r="H244">
            <v>46179</v>
          </cell>
          <cell r="J244" t="str">
            <v>004165</v>
          </cell>
          <cell r="K244">
            <v>-99.39</v>
          </cell>
          <cell r="L244">
            <v>-99.39</v>
          </cell>
          <cell r="M244">
            <v>-99.39</v>
          </cell>
          <cell r="N244" t="str">
            <v>indiretto</v>
          </cell>
          <cell r="O244">
            <v>3</v>
          </cell>
          <cell r="P244" t="str">
            <v>0.916558</v>
          </cell>
          <cell r="Q244" t="str">
            <v>0.642623</v>
          </cell>
          <cell r="R244" t="str">
            <v>0.256196</v>
          </cell>
          <cell r="S244" t="str">
            <v>NO</v>
          </cell>
          <cell r="T244" t="str">
            <v>DELIBERAZIONE EGATO 29 19/12/2018</v>
          </cell>
        </row>
        <row r="245">
          <cell r="D245" t="str">
            <v>C314038</v>
          </cell>
          <cell r="E245">
            <v>46143</v>
          </cell>
          <cell r="F245">
            <v>46507</v>
          </cell>
          <cell r="G245">
            <v>46179</v>
          </cell>
          <cell r="H245">
            <v>46179</v>
          </cell>
          <cell r="J245" t="str">
            <v>004033</v>
          </cell>
          <cell r="K245">
            <v>-23.97</v>
          </cell>
          <cell r="L245">
            <v>-23.97</v>
          </cell>
          <cell r="M245">
            <v>-23.97</v>
          </cell>
          <cell r="N245" t="str">
            <v>indiretto</v>
          </cell>
          <cell r="O245">
            <v>1</v>
          </cell>
          <cell r="P245" t="str">
            <v>0.721337</v>
          </cell>
          <cell r="Q245" t="str">
            <v>0.441600</v>
          </cell>
          <cell r="R245" t="str">
            <v>0.150394</v>
          </cell>
          <cell r="S245" t="str">
            <v>NO</v>
          </cell>
          <cell r="T245" t="str">
            <v>DELIBERAZIONE EGATO 2 04/02/2019</v>
          </cell>
        </row>
        <row r="246">
          <cell r="D246" t="str">
            <v>C344171</v>
          </cell>
          <cell r="E246">
            <v>46143</v>
          </cell>
          <cell r="F246">
            <v>46507</v>
          </cell>
          <cell r="G246">
            <v>46179</v>
          </cell>
          <cell r="H246">
            <v>46179</v>
          </cell>
          <cell r="J246" t="str">
            <v>004163</v>
          </cell>
          <cell r="K246">
            <v>-99.39</v>
          </cell>
          <cell r="L246">
            <v>-99.39</v>
          </cell>
          <cell r="M246">
            <v>-99.39</v>
          </cell>
          <cell r="N246" t="str">
            <v>indiretto</v>
          </cell>
          <cell r="O246">
            <v>3</v>
          </cell>
          <cell r="P246" t="str">
            <v>0.916558</v>
          </cell>
          <cell r="Q246" t="str">
            <v>0.642623</v>
          </cell>
          <cell r="R246" t="str">
            <v>0.256196</v>
          </cell>
          <cell r="S246" t="str">
            <v>NO</v>
          </cell>
          <cell r="T246" t="str">
            <v>DELIBERAZIONE EGATO 29 19/12/2018</v>
          </cell>
        </row>
        <row r="247">
          <cell r="D247" t="str">
            <v>C319974</v>
          </cell>
          <cell r="E247">
            <v>46143</v>
          </cell>
          <cell r="F247">
            <v>46507</v>
          </cell>
          <cell r="G247">
            <v>46179</v>
          </cell>
          <cell r="H247">
            <v>46179</v>
          </cell>
          <cell r="J247" t="str">
            <v>004066</v>
          </cell>
          <cell r="K247">
            <v>-66.260000000000005</v>
          </cell>
          <cell r="L247">
            <v>-66.260000000000005</v>
          </cell>
          <cell r="M247">
            <v>-66.260000000000005</v>
          </cell>
          <cell r="N247" t="str">
            <v>indiretto</v>
          </cell>
          <cell r="O247">
            <v>2</v>
          </cell>
          <cell r="P247" t="str">
            <v>0.916558</v>
          </cell>
          <cell r="Q247" t="str">
            <v>0.642623</v>
          </cell>
          <cell r="R247" t="str">
            <v>0.256196</v>
          </cell>
          <cell r="S247" t="str">
            <v>NO</v>
          </cell>
          <cell r="T247" t="str">
            <v>DELIBERAZIONE EGATO 29 19/12/2018</v>
          </cell>
        </row>
        <row r="248">
          <cell r="D248" t="str">
            <v>C344258</v>
          </cell>
          <cell r="E248">
            <v>46143</v>
          </cell>
          <cell r="F248">
            <v>46507</v>
          </cell>
          <cell r="G248">
            <v>46179</v>
          </cell>
          <cell r="H248">
            <v>46179</v>
          </cell>
          <cell r="J248" t="str">
            <v>004165</v>
          </cell>
          <cell r="K248">
            <v>-132.52000000000001</v>
          </cell>
          <cell r="L248">
            <v>-132.52000000000001</v>
          </cell>
          <cell r="M248">
            <v>-132.52000000000001</v>
          </cell>
          <cell r="N248" t="str">
            <v>indiretto</v>
          </cell>
          <cell r="O248">
            <v>4</v>
          </cell>
          <cell r="P248" t="str">
            <v>0.916558</v>
          </cell>
          <cell r="Q248" t="str">
            <v>0.642623</v>
          </cell>
          <cell r="R248" t="str">
            <v>0.256196</v>
          </cell>
          <cell r="S248" t="str">
            <v>NO</v>
          </cell>
          <cell r="T248" t="str">
            <v>DELIBERAZIONE EGATO 29 19/12/2018</v>
          </cell>
        </row>
        <row r="249">
          <cell r="D249" t="str">
            <v>C337721</v>
          </cell>
          <cell r="E249">
            <v>46143</v>
          </cell>
          <cell r="F249">
            <v>46507</v>
          </cell>
          <cell r="G249">
            <v>46179</v>
          </cell>
          <cell r="H249">
            <v>46179</v>
          </cell>
          <cell r="J249" t="str">
            <v>004078</v>
          </cell>
          <cell r="K249">
            <v>-99.39</v>
          </cell>
          <cell r="L249">
            <v>-99.39</v>
          </cell>
          <cell r="M249">
            <v>-99.39</v>
          </cell>
          <cell r="N249" t="str">
            <v>indiretto</v>
          </cell>
          <cell r="O249">
            <v>3</v>
          </cell>
          <cell r="P249" t="str">
            <v>0.916558</v>
          </cell>
          <cell r="Q249" t="str">
            <v>0.642623</v>
          </cell>
          <cell r="R249" t="str">
            <v>0.256196</v>
          </cell>
          <cell r="S249" t="str">
            <v>NO</v>
          </cell>
          <cell r="T249" t="str">
            <v>DELIBERAZIONE EGATO 29 19/12/2018</v>
          </cell>
        </row>
        <row r="250">
          <cell r="D250" t="str">
            <v>C337549</v>
          </cell>
          <cell r="E250">
            <v>46143</v>
          </cell>
          <cell r="F250">
            <v>46507</v>
          </cell>
          <cell r="G250">
            <v>46179</v>
          </cell>
          <cell r="H250">
            <v>46179</v>
          </cell>
          <cell r="J250" t="str">
            <v>004078</v>
          </cell>
          <cell r="K250">
            <v>-33.130000000000003</v>
          </cell>
          <cell r="L250">
            <v>-33.130000000000003</v>
          </cell>
          <cell r="M250">
            <v>-33.130000000000003</v>
          </cell>
          <cell r="N250" t="str">
            <v>indiretto</v>
          </cell>
          <cell r="O250">
            <v>1</v>
          </cell>
          <cell r="P250" t="str">
            <v>0.916558</v>
          </cell>
          <cell r="Q250" t="str">
            <v>0.642623</v>
          </cell>
          <cell r="R250" t="str">
            <v>0.256196</v>
          </cell>
          <cell r="S250" t="str">
            <v>NO</v>
          </cell>
          <cell r="T250" t="str">
            <v>DELIBERAZIONE EGATO 29 19/12/2018</v>
          </cell>
        </row>
        <row r="251">
          <cell r="D251" t="str">
            <v>C344228</v>
          </cell>
          <cell r="E251">
            <v>46143</v>
          </cell>
          <cell r="F251">
            <v>46507</v>
          </cell>
          <cell r="G251">
            <v>46179</v>
          </cell>
          <cell r="H251">
            <v>46179</v>
          </cell>
          <cell r="J251" t="str">
            <v>004130</v>
          </cell>
          <cell r="K251">
            <v>-131.29</v>
          </cell>
          <cell r="L251">
            <v>-131.29</v>
          </cell>
          <cell r="M251">
            <v>-131.29</v>
          </cell>
          <cell r="N251" t="str">
            <v>indiretto</v>
          </cell>
          <cell r="O251">
            <v>5</v>
          </cell>
          <cell r="P251" t="str">
            <v>0.545182</v>
          </cell>
          <cell r="Q251" t="str">
            <v>0.611443</v>
          </cell>
          <cell r="R251" t="str">
            <v>0.282207</v>
          </cell>
          <cell r="S251" t="str">
            <v>NO</v>
          </cell>
          <cell r="T251" t="str">
            <v>DELIBERA EGATO N.29 DEL 19/12/2018</v>
          </cell>
        </row>
        <row r="252">
          <cell r="D252" t="str">
            <v>C344208</v>
          </cell>
          <cell r="E252">
            <v>46143</v>
          </cell>
          <cell r="F252">
            <v>46507</v>
          </cell>
          <cell r="G252">
            <v>46179</v>
          </cell>
          <cell r="H252">
            <v>46179</v>
          </cell>
          <cell r="J252" t="str">
            <v>004078</v>
          </cell>
          <cell r="K252">
            <v>-165.65</v>
          </cell>
          <cell r="L252">
            <v>-165.65</v>
          </cell>
          <cell r="M252">
            <v>-165.65</v>
          </cell>
          <cell r="N252" t="str">
            <v>indiretto</v>
          </cell>
          <cell r="O252">
            <v>5</v>
          </cell>
          <cell r="P252" t="str">
            <v>0.916558</v>
          </cell>
          <cell r="Q252" t="str">
            <v>0.642623</v>
          </cell>
          <cell r="R252" t="str">
            <v>0.256196</v>
          </cell>
          <cell r="S252" t="str">
            <v>NO</v>
          </cell>
          <cell r="T252" t="str">
            <v>DELIBERAZIONE EGATO 29 19/12/2018</v>
          </cell>
        </row>
        <row r="253">
          <cell r="D253" t="str">
            <v>C344132</v>
          </cell>
          <cell r="E253">
            <v>46143</v>
          </cell>
          <cell r="F253">
            <v>46507</v>
          </cell>
          <cell r="G253">
            <v>46179</v>
          </cell>
          <cell r="H253">
            <v>46179</v>
          </cell>
          <cell r="J253" t="str">
            <v>004045</v>
          </cell>
          <cell r="K253">
            <v>-36.32</v>
          </cell>
          <cell r="L253">
            <v>-36.32</v>
          </cell>
          <cell r="M253">
            <v>-36.32</v>
          </cell>
          <cell r="N253" t="str">
            <v>indiretto</v>
          </cell>
          <cell r="O253">
            <v>2</v>
          </cell>
          <cell r="P253" t="str">
            <v>0.483220</v>
          </cell>
          <cell r="Q253" t="str">
            <v>0.350215</v>
          </cell>
          <cell r="R253" t="str">
            <v>0.161638</v>
          </cell>
          <cell r="S253" t="str">
            <v>NO</v>
          </cell>
          <cell r="T253" t="str">
            <v>DELIBERAZIONE EGATO 23 16/11/2020</v>
          </cell>
        </row>
        <row r="254">
          <cell r="D254" t="str">
            <v>C337670</v>
          </cell>
          <cell r="E254">
            <v>46143</v>
          </cell>
          <cell r="F254">
            <v>46507</v>
          </cell>
          <cell r="G254">
            <v>46179</v>
          </cell>
          <cell r="H254">
            <v>46179</v>
          </cell>
          <cell r="J254" t="str">
            <v>004043</v>
          </cell>
          <cell r="K254">
            <v>-38.659999999999997</v>
          </cell>
          <cell r="L254">
            <v>-38.659999999999997</v>
          </cell>
          <cell r="M254">
            <v>-38.659999999999997</v>
          </cell>
          <cell r="N254" t="str">
            <v>indiretto</v>
          </cell>
          <cell r="O254">
            <v>1</v>
          </cell>
          <cell r="P254">
            <v>1091278</v>
          </cell>
          <cell r="Q254" t="str">
            <v>0.730790</v>
          </cell>
          <cell r="R254" t="str">
            <v>0.296264</v>
          </cell>
          <cell r="S254" t="str">
            <v>NO</v>
          </cell>
          <cell r="T254" t="str">
            <v>DELIBERAZIONE EGATO 2 04/02/2019</v>
          </cell>
        </row>
        <row r="255">
          <cell r="D255" t="str">
            <v>C317783</v>
          </cell>
          <cell r="E255">
            <v>46143</v>
          </cell>
          <cell r="F255">
            <v>46507</v>
          </cell>
          <cell r="G255">
            <v>46179</v>
          </cell>
          <cell r="H255">
            <v>46179</v>
          </cell>
          <cell r="J255" t="str">
            <v>004012</v>
          </cell>
          <cell r="K255">
            <v>-73.86</v>
          </cell>
          <cell r="L255">
            <v>-73.86</v>
          </cell>
          <cell r="M255">
            <v>-73.86</v>
          </cell>
          <cell r="N255" t="str">
            <v>indiretto</v>
          </cell>
          <cell r="O255">
            <v>3</v>
          </cell>
          <cell r="P255" t="str">
            <v>0.716943</v>
          </cell>
          <cell r="Q255" t="str">
            <v>0.463071</v>
          </cell>
          <cell r="R255" t="str">
            <v>0.169064</v>
          </cell>
          <cell r="S255" t="str">
            <v>NO</v>
          </cell>
          <cell r="T255" t="str">
            <v>DELIBERAZIONE EGATO 2 04/02/2019</v>
          </cell>
        </row>
        <row r="256">
          <cell r="D256" t="str">
            <v>C309637</v>
          </cell>
          <cell r="E256">
            <v>46143</v>
          </cell>
          <cell r="F256">
            <v>46507</v>
          </cell>
          <cell r="G256">
            <v>46179</v>
          </cell>
          <cell r="H256">
            <v>46179</v>
          </cell>
          <cell r="J256" t="str">
            <v>004078</v>
          </cell>
          <cell r="K256">
            <v>-99.39</v>
          </cell>
          <cell r="L256">
            <v>-99.39</v>
          </cell>
          <cell r="M256">
            <v>-99.39</v>
          </cell>
          <cell r="N256" t="str">
            <v>indiretto</v>
          </cell>
          <cell r="O256">
            <v>3</v>
          </cell>
          <cell r="P256" t="str">
            <v>0.916558</v>
          </cell>
          <cell r="Q256" t="str">
            <v>0.642623</v>
          </cell>
          <cell r="R256" t="str">
            <v>0.256196</v>
          </cell>
          <cell r="S256" t="str">
            <v>NO</v>
          </cell>
          <cell r="T256" t="str">
            <v>DELIBERAZIONE EGATO 29 19/12/2018</v>
          </cell>
        </row>
        <row r="257">
          <cell r="D257" t="str">
            <v>C314210</v>
          </cell>
          <cell r="E257">
            <v>46143</v>
          </cell>
          <cell r="F257">
            <v>46507</v>
          </cell>
          <cell r="G257">
            <v>46179</v>
          </cell>
          <cell r="H257">
            <v>46179</v>
          </cell>
          <cell r="J257" t="str">
            <v>004095</v>
          </cell>
          <cell r="K257">
            <v>-29.82</v>
          </cell>
          <cell r="L257">
            <v>-29.82</v>
          </cell>
          <cell r="M257">
            <v>-29.82</v>
          </cell>
          <cell r="N257" t="str">
            <v>indiretto</v>
          </cell>
          <cell r="O257">
            <v>1</v>
          </cell>
          <cell r="P257" t="str">
            <v>0.824903</v>
          </cell>
          <cell r="Q257" t="str">
            <v>0.578360</v>
          </cell>
          <cell r="R257" t="str">
            <v>0.230576</v>
          </cell>
          <cell r="S257" t="str">
            <v>NO</v>
          </cell>
          <cell r="T257" t="str">
            <v>DELIBERAZIONE EGATO 29 19/12/2018</v>
          </cell>
        </row>
        <row r="258">
          <cell r="D258" t="str">
            <v>C344277</v>
          </cell>
          <cell r="E258">
            <v>46143</v>
          </cell>
          <cell r="F258">
            <v>46507</v>
          </cell>
          <cell r="G258">
            <v>46179</v>
          </cell>
          <cell r="H258">
            <v>46179</v>
          </cell>
          <cell r="J258" t="str">
            <v>004225</v>
          </cell>
          <cell r="K258">
            <v>-33.130000000000003</v>
          </cell>
          <cell r="L258">
            <v>-33.130000000000003</v>
          </cell>
          <cell r="M258">
            <v>-33.130000000000003</v>
          </cell>
          <cell r="N258" t="str">
            <v>indiretto</v>
          </cell>
          <cell r="O258">
            <v>1</v>
          </cell>
          <cell r="P258" t="str">
            <v>0.916558</v>
          </cell>
          <cell r="Q258" t="str">
            <v>0.642623</v>
          </cell>
          <cell r="R258" t="str">
            <v>0.256196</v>
          </cell>
          <cell r="S258" t="str">
            <v>NO</v>
          </cell>
          <cell r="T258" t="str">
            <v>DELIBERAZIONE EGATO 29 19/12/2018</v>
          </cell>
        </row>
        <row r="259">
          <cell r="D259" t="str">
            <v>C320282</v>
          </cell>
          <cell r="E259">
            <v>46143</v>
          </cell>
          <cell r="F259">
            <v>46507</v>
          </cell>
          <cell r="G259">
            <v>46179</v>
          </cell>
          <cell r="H259">
            <v>46179</v>
          </cell>
          <cell r="J259" t="str">
            <v>004068</v>
          </cell>
          <cell r="K259">
            <v>-66.260000000000005</v>
          </cell>
          <cell r="L259">
            <v>-66.260000000000005</v>
          </cell>
          <cell r="M259">
            <v>-66.260000000000005</v>
          </cell>
          <cell r="N259" t="str">
            <v>indiretto</v>
          </cell>
          <cell r="O259">
            <v>2</v>
          </cell>
          <cell r="P259" t="str">
            <v>0.916558</v>
          </cell>
          <cell r="Q259" t="str">
            <v>0.642623</v>
          </cell>
          <cell r="R259" t="str">
            <v>0.256196</v>
          </cell>
          <cell r="S259" t="str">
            <v>NO</v>
          </cell>
          <cell r="T259" t="str">
            <v>DELIBERAZIONE EGATO 29 19/12/2018</v>
          </cell>
        </row>
        <row r="260">
          <cell r="D260" t="str">
            <v>C337545</v>
          </cell>
          <cell r="E260">
            <v>46143</v>
          </cell>
          <cell r="F260">
            <v>46507</v>
          </cell>
          <cell r="G260">
            <v>46179</v>
          </cell>
          <cell r="H260">
            <v>46179</v>
          </cell>
          <cell r="J260" t="str">
            <v>004078</v>
          </cell>
          <cell r="K260">
            <v>-33.130000000000003</v>
          </cell>
          <cell r="L260">
            <v>-33.130000000000003</v>
          </cell>
          <cell r="M260">
            <v>-33.130000000000003</v>
          </cell>
          <cell r="N260" t="str">
            <v>indiretto</v>
          </cell>
          <cell r="O260">
            <v>1</v>
          </cell>
          <cell r="P260" t="str">
            <v>0.916558</v>
          </cell>
          <cell r="Q260" t="str">
            <v>0.642623</v>
          </cell>
          <cell r="R260" t="str">
            <v>0.256196</v>
          </cell>
          <cell r="S260" t="str">
            <v>NO</v>
          </cell>
          <cell r="T260" t="str">
            <v>DELIBERAZIONE EGATO 29 19/12/2018</v>
          </cell>
        </row>
        <row r="261">
          <cell r="D261" t="str">
            <v>C344172</v>
          </cell>
          <cell r="E261">
            <v>46143</v>
          </cell>
          <cell r="F261">
            <v>46507</v>
          </cell>
          <cell r="G261">
            <v>46179</v>
          </cell>
          <cell r="H261">
            <v>46179</v>
          </cell>
          <cell r="J261" t="str">
            <v>004082</v>
          </cell>
          <cell r="K261">
            <v>-165.65</v>
          </cell>
          <cell r="L261">
            <v>-165.65</v>
          </cell>
          <cell r="M261">
            <v>-165.65</v>
          </cell>
          <cell r="N261" t="str">
            <v>indiretto</v>
          </cell>
          <cell r="O261">
            <v>5</v>
          </cell>
          <cell r="P261" t="str">
            <v>0.916558</v>
          </cell>
          <cell r="Q261" t="str">
            <v>0.642623</v>
          </cell>
          <cell r="R261" t="str">
            <v>0.256196</v>
          </cell>
          <cell r="S261" t="str">
            <v>NO</v>
          </cell>
          <cell r="T261" t="str">
            <v>DELIBERAZIONE EGATO 29 19/12/2018</v>
          </cell>
        </row>
        <row r="262">
          <cell r="D262" t="str">
            <v>C337528</v>
          </cell>
          <cell r="E262">
            <v>46143</v>
          </cell>
          <cell r="F262">
            <v>46507</v>
          </cell>
          <cell r="G262">
            <v>46179</v>
          </cell>
          <cell r="H262">
            <v>46179</v>
          </cell>
          <cell r="J262" t="str">
            <v>004163</v>
          </cell>
          <cell r="K262">
            <v>-132.52000000000001</v>
          </cell>
          <cell r="L262">
            <v>-132.52000000000001</v>
          </cell>
          <cell r="M262">
            <v>-132.52000000000001</v>
          </cell>
          <cell r="N262" t="str">
            <v>indiretto</v>
          </cell>
          <cell r="O262">
            <v>4</v>
          </cell>
          <cell r="P262" t="str">
            <v>0.916558</v>
          </cell>
          <cell r="Q262" t="str">
            <v>0.642623</v>
          </cell>
          <cell r="R262" t="str">
            <v>0.256196</v>
          </cell>
          <cell r="S262" t="str">
            <v>NO</v>
          </cell>
          <cell r="T262" t="str">
            <v>DELIBERAZIONE EGATO 29 19/12/2018</v>
          </cell>
        </row>
        <row r="263">
          <cell r="D263" t="str">
            <v>C344220</v>
          </cell>
          <cell r="E263">
            <v>46143</v>
          </cell>
          <cell r="F263">
            <v>46507</v>
          </cell>
          <cell r="G263">
            <v>46179</v>
          </cell>
          <cell r="H263">
            <v>46179</v>
          </cell>
          <cell r="J263" t="str">
            <v>004130</v>
          </cell>
          <cell r="K263">
            <v>-78.78</v>
          </cell>
          <cell r="L263">
            <v>-78.78</v>
          </cell>
          <cell r="M263">
            <v>-78.78</v>
          </cell>
          <cell r="N263" t="str">
            <v>indiretto</v>
          </cell>
          <cell r="O263">
            <v>3</v>
          </cell>
          <cell r="P263" t="str">
            <v>0.545182</v>
          </cell>
          <cell r="Q263" t="str">
            <v>0.611443</v>
          </cell>
          <cell r="R263" t="str">
            <v>0.282207</v>
          </cell>
          <cell r="S263" t="str">
            <v>NO</v>
          </cell>
          <cell r="T263" t="str">
            <v>DELIBERA EGATO N.29 DEL 19/12/2018</v>
          </cell>
        </row>
        <row r="264">
          <cell r="D264" t="str">
            <v>C317779</v>
          </cell>
          <cell r="E264">
            <v>46143</v>
          </cell>
          <cell r="F264">
            <v>46507</v>
          </cell>
          <cell r="G264">
            <v>46179</v>
          </cell>
          <cell r="H264">
            <v>46179</v>
          </cell>
          <cell r="J264" t="str">
            <v>004061</v>
          </cell>
          <cell r="K264">
            <v>-165.65</v>
          </cell>
          <cell r="L264">
            <v>-165.65</v>
          </cell>
          <cell r="M264">
            <v>-165.65</v>
          </cell>
          <cell r="N264" t="str">
            <v>indiretto</v>
          </cell>
          <cell r="O264">
            <v>5</v>
          </cell>
          <cell r="P264" t="str">
            <v>0.916558</v>
          </cell>
          <cell r="Q264" t="str">
            <v>0.642623</v>
          </cell>
          <cell r="R264" t="str">
            <v>0.256196</v>
          </cell>
          <cell r="S264" t="str">
            <v>NO</v>
          </cell>
          <cell r="T264" t="str">
            <v>DELIBERAZIONE EGATO 29 19/12/2018</v>
          </cell>
        </row>
        <row r="265">
          <cell r="D265" t="str">
            <v>C320322</v>
          </cell>
          <cell r="E265">
            <v>46143</v>
          </cell>
          <cell r="F265">
            <v>46507</v>
          </cell>
          <cell r="G265">
            <v>46179</v>
          </cell>
          <cell r="H265">
            <v>46179</v>
          </cell>
          <cell r="J265" t="str">
            <v>004082</v>
          </cell>
          <cell r="K265">
            <v>-33.130000000000003</v>
          </cell>
          <cell r="L265">
            <v>-33.130000000000003</v>
          </cell>
          <cell r="M265">
            <v>-33.130000000000003</v>
          </cell>
          <cell r="N265" t="str">
            <v>indiretto</v>
          </cell>
          <cell r="O265">
            <v>1</v>
          </cell>
          <cell r="P265" t="str">
            <v>0.916558</v>
          </cell>
          <cell r="Q265" t="str">
            <v>0.642623</v>
          </cell>
          <cell r="R265" t="str">
            <v>0.256196</v>
          </cell>
          <cell r="S265" t="str">
            <v>NO</v>
          </cell>
          <cell r="T265" t="str">
            <v>DELIBERAZIONE EGATO 29 19/12/2018</v>
          </cell>
        </row>
        <row r="266">
          <cell r="D266" t="str">
            <v>C344279</v>
          </cell>
          <cell r="E266">
            <v>46143</v>
          </cell>
          <cell r="F266">
            <v>46507</v>
          </cell>
          <cell r="G266">
            <v>46179</v>
          </cell>
          <cell r="H266">
            <v>46179</v>
          </cell>
          <cell r="J266" t="str">
            <v>004249</v>
          </cell>
          <cell r="K266">
            <v>-13.29</v>
          </cell>
          <cell r="L266">
            <v>-13.29</v>
          </cell>
          <cell r="M266">
            <v>-13.29</v>
          </cell>
          <cell r="N266" t="str">
            <v>indiretto</v>
          </cell>
          <cell r="O266">
            <v>1</v>
          </cell>
          <cell r="P266" t="str">
            <v>0.222532</v>
          </cell>
          <cell r="Q266" t="str">
            <v>0.366671</v>
          </cell>
          <cell r="R266" t="str">
            <v>0.139082</v>
          </cell>
          <cell r="S266" t="str">
            <v>NO</v>
          </cell>
          <cell r="T266" t="str">
            <v>DELIBERAZIONE EGATO 4 23/02/2023</v>
          </cell>
        </row>
        <row r="267">
          <cell r="D267" t="str">
            <v>C344261</v>
          </cell>
          <cell r="E267">
            <v>46143</v>
          </cell>
          <cell r="F267">
            <v>46507</v>
          </cell>
          <cell r="G267">
            <v>46179</v>
          </cell>
          <cell r="H267">
            <v>46179</v>
          </cell>
          <cell r="J267" t="str">
            <v>004012</v>
          </cell>
          <cell r="K267">
            <v>-73.86</v>
          </cell>
          <cell r="L267">
            <v>-73.86</v>
          </cell>
          <cell r="M267">
            <v>-73.86</v>
          </cell>
          <cell r="N267" t="str">
            <v>indiretto</v>
          </cell>
          <cell r="O267">
            <v>3</v>
          </cell>
          <cell r="P267" t="str">
            <v>0.716943</v>
          </cell>
          <cell r="Q267" t="str">
            <v>0.463071</v>
          </cell>
          <cell r="R267" t="str">
            <v>0.169064</v>
          </cell>
          <cell r="S267" t="str">
            <v>NO</v>
          </cell>
          <cell r="T267" t="str">
            <v>DELIBERAZIONE EGATO 2 04/02/2019</v>
          </cell>
        </row>
        <row r="268">
          <cell r="D268" t="str">
            <v>C344272</v>
          </cell>
          <cell r="E268">
            <v>46143</v>
          </cell>
          <cell r="F268">
            <v>46507</v>
          </cell>
          <cell r="G268">
            <v>46179</v>
          </cell>
          <cell r="H268">
            <v>46179</v>
          </cell>
          <cell r="J268" t="str">
            <v>004130</v>
          </cell>
          <cell r="K268">
            <v>-52.52</v>
          </cell>
          <cell r="L268">
            <v>-52.52</v>
          </cell>
          <cell r="M268">
            <v>-52.52</v>
          </cell>
          <cell r="N268" t="str">
            <v>indiretto</v>
          </cell>
          <cell r="O268">
            <v>2</v>
          </cell>
          <cell r="P268" t="str">
            <v>0.545182</v>
          </cell>
          <cell r="Q268" t="str">
            <v>0.611443</v>
          </cell>
          <cell r="R268" t="str">
            <v>0.282207</v>
          </cell>
          <cell r="S268" t="str">
            <v>NO</v>
          </cell>
          <cell r="T268" t="str">
            <v>DELIBERA EGATO N.29 DEL 19/12/2018</v>
          </cell>
        </row>
        <row r="269">
          <cell r="D269" t="str">
            <v>C344174</v>
          </cell>
          <cell r="E269">
            <v>46143</v>
          </cell>
          <cell r="F269">
            <v>46507</v>
          </cell>
          <cell r="G269">
            <v>46179</v>
          </cell>
          <cell r="H269">
            <v>46179</v>
          </cell>
          <cell r="J269" t="str">
            <v>004028</v>
          </cell>
          <cell r="K269">
            <v>-66.260000000000005</v>
          </cell>
          <cell r="L269">
            <v>-66.260000000000005</v>
          </cell>
          <cell r="M269">
            <v>-66.260000000000005</v>
          </cell>
          <cell r="N269" t="str">
            <v>indiretto</v>
          </cell>
          <cell r="O269">
            <v>2</v>
          </cell>
          <cell r="P269" t="str">
            <v>0.916558</v>
          </cell>
          <cell r="Q269" t="str">
            <v>0.642623</v>
          </cell>
          <cell r="R269" t="str">
            <v>0.256196</v>
          </cell>
          <cell r="S269" t="str">
            <v>NO</v>
          </cell>
          <cell r="T269" t="str">
            <v>DELIBERAZIONE EGATO 29 19/12/2018</v>
          </cell>
        </row>
        <row r="270">
          <cell r="D270" t="str">
            <v>C312889</v>
          </cell>
          <cell r="E270">
            <v>46143</v>
          </cell>
          <cell r="F270">
            <v>46507</v>
          </cell>
          <cell r="G270">
            <v>46179</v>
          </cell>
          <cell r="H270">
            <v>46179</v>
          </cell>
          <cell r="J270" t="str">
            <v>004192</v>
          </cell>
          <cell r="K270">
            <v>-66.260000000000005</v>
          </cell>
          <cell r="L270">
            <v>-66.260000000000005</v>
          </cell>
          <cell r="M270">
            <v>-66.260000000000005</v>
          </cell>
          <cell r="N270" t="str">
            <v>indiretto</v>
          </cell>
          <cell r="O270">
            <v>2</v>
          </cell>
          <cell r="P270" t="str">
            <v>0.916558</v>
          </cell>
          <cell r="Q270" t="str">
            <v>0.642623</v>
          </cell>
          <cell r="R270" t="str">
            <v>0.256196</v>
          </cell>
          <cell r="S270" t="str">
            <v>NO</v>
          </cell>
          <cell r="T270" t="str">
            <v>DELIBERAZIONE EGATO 29 19/12/2018</v>
          </cell>
        </row>
        <row r="271">
          <cell r="D271" t="str">
            <v>C344260</v>
          </cell>
          <cell r="E271">
            <v>46143</v>
          </cell>
          <cell r="F271">
            <v>46507</v>
          </cell>
          <cell r="G271">
            <v>46179</v>
          </cell>
          <cell r="H271">
            <v>46179</v>
          </cell>
          <cell r="J271" t="str">
            <v>004107</v>
          </cell>
          <cell r="K271">
            <v>-115.98</v>
          </cell>
          <cell r="L271">
            <v>-115.98</v>
          </cell>
          <cell r="M271">
            <v>-115.98</v>
          </cell>
          <cell r="N271" t="str">
            <v>indiretto</v>
          </cell>
          <cell r="O271">
            <v>3</v>
          </cell>
          <cell r="P271">
            <v>1091278</v>
          </cell>
          <cell r="Q271" t="str">
            <v>0.730790</v>
          </cell>
          <cell r="R271" t="str">
            <v>0.296264</v>
          </cell>
          <cell r="S271" t="str">
            <v>NO</v>
          </cell>
          <cell r="T271" t="str">
            <v>DELIBERAZIONE EGATO 2 04/02/2019</v>
          </cell>
        </row>
        <row r="272">
          <cell r="D272" t="str">
            <v>C313061</v>
          </cell>
          <cell r="E272">
            <v>46143</v>
          </cell>
          <cell r="F272">
            <v>46507</v>
          </cell>
          <cell r="G272">
            <v>46179</v>
          </cell>
          <cell r="H272">
            <v>46179</v>
          </cell>
          <cell r="J272" t="str">
            <v>004012</v>
          </cell>
          <cell r="K272">
            <v>-123.1</v>
          </cell>
          <cell r="L272">
            <v>-123.1</v>
          </cell>
          <cell r="M272">
            <v>-123.1</v>
          </cell>
          <cell r="N272" t="str">
            <v>indiretto</v>
          </cell>
          <cell r="O272">
            <v>5</v>
          </cell>
          <cell r="P272" t="str">
            <v>0.716943</v>
          </cell>
          <cell r="Q272" t="str">
            <v>0.463071</v>
          </cell>
          <cell r="R272" t="str">
            <v>0.169064</v>
          </cell>
          <cell r="S272" t="str">
            <v>NO</v>
          </cell>
          <cell r="T272" t="str">
            <v>DELIBERAZIONE EGATO 2 04/02/2019</v>
          </cell>
        </row>
        <row r="273">
          <cell r="D273" t="str">
            <v>C344280</v>
          </cell>
          <cell r="E273">
            <v>46143</v>
          </cell>
          <cell r="F273">
            <v>46507</v>
          </cell>
          <cell r="G273">
            <v>46179</v>
          </cell>
          <cell r="H273">
            <v>46179</v>
          </cell>
          <cell r="J273" t="str">
            <v>004243</v>
          </cell>
          <cell r="K273">
            <v>-66.260000000000005</v>
          </cell>
          <cell r="L273">
            <v>-66.260000000000005</v>
          </cell>
          <cell r="M273">
            <v>-66.260000000000005</v>
          </cell>
          <cell r="N273" t="str">
            <v>indiretto</v>
          </cell>
          <cell r="O273">
            <v>2</v>
          </cell>
          <cell r="P273" t="str">
            <v>0.916558</v>
          </cell>
          <cell r="Q273" t="str">
            <v>0.642623</v>
          </cell>
          <cell r="R273" t="str">
            <v>0.256196</v>
          </cell>
          <cell r="S273" t="str">
            <v>NO</v>
          </cell>
          <cell r="T273" t="str">
            <v>DELIBERAZIONE EGATO 29 19/12/2018</v>
          </cell>
        </row>
        <row r="274">
          <cell r="D274" t="str">
            <v>C310090</v>
          </cell>
          <cell r="E274">
            <v>46143</v>
          </cell>
          <cell r="F274">
            <v>46507</v>
          </cell>
          <cell r="G274">
            <v>46179</v>
          </cell>
          <cell r="H274">
            <v>46179</v>
          </cell>
          <cell r="J274" t="str">
            <v>004078</v>
          </cell>
          <cell r="K274">
            <v>-66.260000000000005</v>
          </cell>
          <cell r="L274">
            <v>-66.260000000000005</v>
          </cell>
          <cell r="M274">
            <v>-66.260000000000005</v>
          </cell>
          <cell r="N274" t="str">
            <v>indiretto</v>
          </cell>
          <cell r="O274">
            <v>2</v>
          </cell>
          <cell r="P274" t="str">
            <v>0.916558</v>
          </cell>
          <cell r="Q274" t="str">
            <v>0.642623</v>
          </cell>
          <cell r="R274" t="str">
            <v>0.256196</v>
          </cell>
          <cell r="S274" t="str">
            <v>NO</v>
          </cell>
          <cell r="T274" t="str">
            <v>DELIBERAZIONE EGATO 29 19/12/2018</v>
          </cell>
        </row>
        <row r="275">
          <cell r="D275" t="str">
            <v>C320317</v>
          </cell>
          <cell r="E275">
            <v>46143</v>
          </cell>
          <cell r="F275">
            <v>46507</v>
          </cell>
          <cell r="G275">
            <v>46179</v>
          </cell>
          <cell r="H275">
            <v>46179</v>
          </cell>
          <cell r="J275" t="str">
            <v>004180</v>
          </cell>
          <cell r="K275">
            <v>-23.97</v>
          </cell>
          <cell r="L275">
            <v>-23.97</v>
          </cell>
          <cell r="M275">
            <v>-23.97</v>
          </cell>
          <cell r="N275" t="str">
            <v>indiretto</v>
          </cell>
          <cell r="O275">
            <v>1</v>
          </cell>
          <cell r="P275" t="str">
            <v>0.721337</v>
          </cell>
          <cell r="Q275" t="str">
            <v>0.441600</v>
          </cell>
          <cell r="R275" t="str">
            <v>0.150394</v>
          </cell>
          <cell r="S275" t="str">
            <v>NO</v>
          </cell>
          <cell r="T275" t="str">
            <v>DELIBERAZIONE EGATO 2 04/02/2019</v>
          </cell>
        </row>
        <row r="276">
          <cell r="D276" t="str">
            <v>C344173</v>
          </cell>
          <cell r="E276">
            <v>46143</v>
          </cell>
          <cell r="F276">
            <v>46507</v>
          </cell>
          <cell r="G276">
            <v>46179</v>
          </cell>
          <cell r="H276">
            <v>46179</v>
          </cell>
          <cell r="J276" t="str">
            <v>004132</v>
          </cell>
          <cell r="K276">
            <v>-76.58</v>
          </cell>
          <cell r="L276">
            <v>-76.58</v>
          </cell>
          <cell r="M276">
            <v>-76.58</v>
          </cell>
          <cell r="N276" t="str">
            <v>indiretto</v>
          </cell>
          <cell r="O276">
            <v>2</v>
          </cell>
          <cell r="P276">
            <v>1091278</v>
          </cell>
          <cell r="Q276" t="str">
            <v>0.746975</v>
          </cell>
          <cell r="R276" t="str">
            <v>0.259818</v>
          </cell>
          <cell r="S276" t="str">
            <v>NO</v>
          </cell>
          <cell r="T276" t="str">
            <v>DELIBERAZIONE EGATO 2 04/02/2019</v>
          </cell>
        </row>
        <row r="277">
          <cell r="D277" t="str">
            <v>C344230</v>
          </cell>
          <cell r="E277">
            <v>46143</v>
          </cell>
          <cell r="F277">
            <v>46507</v>
          </cell>
          <cell r="G277">
            <v>46179</v>
          </cell>
          <cell r="H277">
            <v>46179</v>
          </cell>
          <cell r="J277" t="str">
            <v>004130</v>
          </cell>
          <cell r="K277">
            <v>-26.26</v>
          </cell>
          <cell r="L277">
            <v>-26.26</v>
          </cell>
          <cell r="M277">
            <v>-26.26</v>
          </cell>
          <cell r="N277" t="str">
            <v>indiretto</v>
          </cell>
          <cell r="O277">
            <v>1</v>
          </cell>
          <cell r="P277" t="str">
            <v>0.545182</v>
          </cell>
          <cell r="Q277" t="str">
            <v>0.611443</v>
          </cell>
          <cell r="R277" t="str">
            <v>0.282207</v>
          </cell>
          <cell r="S277" t="str">
            <v>NO</v>
          </cell>
          <cell r="T277" t="str">
            <v>DELIBERA EGATO N.29 DEL 19/12/2018</v>
          </cell>
        </row>
        <row r="278">
          <cell r="D278" t="str">
            <v>C344221</v>
          </cell>
          <cell r="E278">
            <v>46143</v>
          </cell>
          <cell r="F278">
            <v>46507</v>
          </cell>
          <cell r="G278">
            <v>46179</v>
          </cell>
          <cell r="H278">
            <v>46179</v>
          </cell>
          <cell r="J278" t="str">
            <v>004040</v>
          </cell>
          <cell r="K278">
            <v>-33.130000000000003</v>
          </cell>
          <cell r="L278">
            <v>-33.130000000000003</v>
          </cell>
          <cell r="M278">
            <v>-33.130000000000003</v>
          </cell>
          <cell r="N278" t="str">
            <v>indiretto</v>
          </cell>
          <cell r="O278">
            <v>1</v>
          </cell>
          <cell r="P278" t="str">
            <v>0.916558</v>
          </cell>
          <cell r="Q278" t="str">
            <v>0.642623</v>
          </cell>
          <cell r="R278" t="str">
            <v>0.256196</v>
          </cell>
          <cell r="S278" t="str">
            <v>NO</v>
          </cell>
          <cell r="T278" t="str">
            <v>DELIBERAZIONE EGATO 29 19/12/2018</v>
          </cell>
        </row>
        <row r="279">
          <cell r="D279" t="str">
            <v>C344222</v>
          </cell>
          <cell r="E279">
            <v>46143</v>
          </cell>
          <cell r="F279">
            <v>46507</v>
          </cell>
          <cell r="G279">
            <v>46179</v>
          </cell>
          <cell r="H279">
            <v>46179</v>
          </cell>
          <cell r="J279" t="str">
            <v>004081</v>
          </cell>
          <cell r="K279">
            <v>-151.79</v>
          </cell>
          <cell r="L279">
            <v>-151.79</v>
          </cell>
          <cell r="M279">
            <v>-151.79</v>
          </cell>
          <cell r="N279" t="str">
            <v>indiretto</v>
          </cell>
          <cell r="O279">
            <v>4</v>
          </cell>
          <cell r="P279">
            <v>1091278</v>
          </cell>
          <cell r="Q279" t="str">
            <v>0.691798</v>
          </cell>
          <cell r="R279" t="str">
            <v>0.296264</v>
          </cell>
          <cell r="S279" t="str">
            <v>NO</v>
          </cell>
          <cell r="T279" t="str">
            <v>DELIBERAZIONE EGATO 2 04/02/2019</v>
          </cell>
        </row>
        <row r="280">
          <cell r="D280" t="str">
            <v>C311085</v>
          </cell>
          <cell r="E280">
            <v>46143</v>
          </cell>
          <cell r="F280">
            <v>46507</v>
          </cell>
          <cell r="G280">
            <v>46179</v>
          </cell>
          <cell r="H280">
            <v>46179</v>
          </cell>
          <cell r="J280" t="str">
            <v>004028</v>
          </cell>
          <cell r="K280">
            <v>-66.260000000000005</v>
          </cell>
          <cell r="L280">
            <v>-66.260000000000005</v>
          </cell>
          <cell r="M280">
            <v>-66.260000000000005</v>
          </cell>
          <cell r="N280" t="str">
            <v>indiretto</v>
          </cell>
          <cell r="O280">
            <v>2</v>
          </cell>
          <cell r="P280" t="str">
            <v>0.916558</v>
          </cell>
          <cell r="Q280" t="str">
            <v>0.642623</v>
          </cell>
          <cell r="R280" t="str">
            <v>0.256196</v>
          </cell>
          <cell r="S280" t="str">
            <v>NO</v>
          </cell>
          <cell r="T280" t="str">
            <v>DELIBERAZIONE EGATO 29 19/12/2018</v>
          </cell>
        </row>
        <row r="281">
          <cell r="D281" t="str">
            <v>C320296</v>
          </cell>
          <cell r="E281">
            <v>46143</v>
          </cell>
          <cell r="F281">
            <v>46507</v>
          </cell>
          <cell r="G281">
            <v>46179</v>
          </cell>
          <cell r="H281">
            <v>46179</v>
          </cell>
          <cell r="J281" t="str">
            <v>004163</v>
          </cell>
          <cell r="K281">
            <v>-198.78</v>
          </cell>
          <cell r="L281">
            <v>-198.78</v>
          </cell>
          <cell r="M281">
            <v>-198.78</v>
          </cell>
          <cell r="N281" t="str">
            <v>indiretto</v>
          </cell>
          <cell r="O281">
            <v>6</v>
          </cell>
          <cell r="P281" t="str">
            <v>0.916558</v>
          </cell>
          <cell r="Q281" t="str">
            <v>0.642623</v>
          </cell>
          <cell r="R281" t="str">
            <v>0.256196</v>
          </cell>
          <cell r="S281" t="str">
            <v>NO</v>
          </cell>
          <cell r="T281" t="str">
            <v>DELIBERAZIONE EGATO 29 19/12/2018</v>
          </cell>
        </row>
        <row r="282">
          <cell r="D282" t="str">
            <v>C344229</v>
          </cell>
          <cell r="E282">
            <v>46143</v>
          </cell>
          <cell r="F282">
            <v>46507</v>
          </cell>
          <cell r="G282">
            <v>46179</v>
          </cell>
          <cell r="H282">
            <v>46179</v>
          </cell>
          <cell r="J282" t="str">
            <v>004078</v>
          </cell>
          <cell r="K282">
            <v>-33.130000000000003</v>
          </cell>
          <cell r="L282">
            <v>-33.130000000000003</v>
          </cell>
          <cell r="M282">
            <v>-33.130000000000003</v>
          </cell>
          <cell r="N282" t="str">
            <v>indiretto</v>
          </cell>
          <cell r="O282">
            <v>1</v>
          </cell>
          <cell r="P282" t="str">
            <v>0.916558</v>
          </cell>
          <cell r="Q282" t="str">
            <v>0.642623</v>
          </cell>
          <cell r="R282" t="str">
            <v>0.256196</v>
          </cell>
          <cell r="S282" t="str">
            <v>NO</v>
          </cell>
          <cell r="T282" t="str">
            <v>DELIBERAZIONE EGATO 29 19/12/2018</v>
          </cell>
        </row>
        <row r="283">
          <cell r="D283" t="str">
            <v>C344307</v>
          </cell>
          <cell r="E283">
            <v>46143</v>
          </cell>
          <cell r="F283">
            <v>46507</v>
          </cell>
          <cell r="G283">
            <v>46179</v>
          </cell>
          <cell r="H283">
            <v>46179</v>
          </cell>
          <cell r="J283" t="str">
            <v>004078</v>
          </cell>
          <cell r="K283">
            <v>-33.130000000000003</v>
          </cell>
          <cell r="L283">
            <v>-33.130000000000003</v>
          </cell>
          <cell r="M283">
            <v>-33.130000000000003</v>
          </cell>
          <cell r="N283" t="str">
            <v>indiretto</v>
          </cell>
          <cell r="O283">
            <v>1</v>
          </cell>
          <cell r="P283" t="str">
            <v>0.916558</v>
          </cell>
          <cell r="Q283" t="str">
            <v>0.642623</v>
          </cell>
          <cell r="R283" t="str">
            <v>0.256196</v>
          </cell>
          <cell r="S283" t="str">
            <v>NO</v>
          </cell>
          <cell r="T283" t="str">
            <v>DELIBERAZIONE EGATO 29 19/12/2018</v>
          </cell>
        </row>
        <row r="284">
          <cell r="D284" t="str">
            <v>C320041</v>
          </cell>
          <cell r="E284">
            <v>46143</v>
          </cell>
          <cell r="F284">
            <v>46507</v>
          </cell>
          <cell r="G284">
            <v>46179</v>
          </cell>
          <cell r="H284">
            <v>46179</v>
          </cell>
          <cell r="J284" t="str">
            <v>004078</v>
          </cell>
          <cell r="K284">
            <v>-33.130000000000003</v>
          </cell>
          <cell r="L284">
            <v>-33.130000000000003</v>
          </cell>
          <cell r="M284">
            <v>-33.130000000000003</v>
          </cell>
          <cell r="N284" t="str">
            <v>indiretto</v>
          </cell>
          <cell r="O284">
            <v>1</v>
          </cell>
          <cell r="P284" t="str">
            <v>0.916558</v>
          </cell>
          <cell r="Q284" t="str">
            <v>0.642623</v>
          </cell>
          <cell r="R284" t="str">
            <v>0.256196</v>
          </cell>
          <cell r="S284" t="str">
            <v>NO</v>
          </cell>
          <cell r="T284" t="str">
            <v>DELIBERAZIONE EGATO 29 19/12/2018</v>
          </cell>
        </row>
        <row r="285">
          <cell r="D285" t="str">
            <v>C319970</v>
          </cell>
          <cell r="E285">
            <v>46143</v>
          </cell>
          <cell r="F285">
            <v>46507</v>
          </cell>
          <cell r="G285">
            <v>46179</v>
          </cell>
          <cell r="H285">
            <v>46179</v>
          </cell>
          <cell r="J285" t="str">
            <v>004064</v>
          </cell>
          <cell r="K285">
            <v>-99.39</v>
          </cell>
          <cell r="L285">
            <v>-99.39</v>
          </cell>
          <cell r="M285">
            <v>-99.39</v>
          </cell>
          <cell r="N285" t="str">
            <v>indiretto</v>
          </cell>
          <cell r="O285">
            <v>3</v>
          </cell>
          <cell r="P285" t="str">
            <v>0.916558</v>
          </cell>
          <cell r="Q285" t="str">
            <v>0.642623</v>
          </cell>
          <cell r="R285" t="str">
            <v>0.256196</v>
          </cell>
          <cell r="S285" t="str">
            <v>NO</v>
          </cell>
          <cell r="T285" t="str">
            <v>DELIBERAZIONE EGATO 29 19/12/2018</v>
          </cell>
        </row>
        <row r="286">
          <cell r="D286" t="str">
            <v>C344305</v>
          </cell>
          <cell r="E286">
            <v>46143</v>
          </cell>
          <cell r="F286">
            <v>46507</v>
          </cell>
          <cell r="G286">
            <v>46179</v>
          </cell>
          <cell r="H286">
            <v>46179</v>
          </cell>
          <cell r="J286" t="str">
            <v>004208</v>
          </cell>
          <cell r="K286">
            <v>-105.33</v>
          </cell>
          <cell r="L286">
            <v>-105.33</v>
          </cell>
          <cell r="M286">
            <v>-105.33</v>
          </cell>
          <cell r="N286" t="str">
            <v>indiretto</v>
          </cell>
          <cell r="O286">
            <v>3</v>
          </cell>
          <cell r="P286">
            <v>1193061</v>
          </cell>
          <cell r="Q286" t="str">
            <v>0.545393</v>
          </cell>
          <cell r="R286" t="str">
            <v>0.185433</v>
          </cell>
          <cell r="S286" t="str">
            <v>NO</v>
          </cell>
          <cell r="T286" t="str">
            <v>DELIBERAZIONE EGATO 11 27/03/2019</v>
          </cell>
        </row>
        <row r="287">
          <cell r="D287" t="str">
            <v>C119725</v>
          </cell>
          <cell r="E287">
            <v>46143</v>
          </cell>
          <cell r="F287">
            <v>46507</v>
          </cell>
          <cell r="G287">
            <v>46179</v>
          </cell>
          <cell r="H287">
            <v>46179</v>
          </cell>
          <cell r="J287" t="str">
            <v>004078</v>
          </cell>
          <cell r="K287">
            <v>-33.130000000000003</v>
          </cell>
          <cell r="L287">
            <v>-33.130000000000003</v>
          </cell>
          <cell r="M287">
            <v>-33.130000000000003</v>
          </cell>
          <cell r="N287" t="str">
            <v>indiretto</v>
          </cell>
          <cell r="O287">
            <v>1</v>
          </cell>
          <cell r="P287" t="str">
            <v>0.916558</v>
          </cell>
          <cell r="Q287" t="str">
            <v>0.642623</v>
          </cell>
          <cell r="R287" t="str">
            <v>0.256196</v>
          </cell>
          <cell r="S287" t="str">
            <v>NO</v>
          </cell>
          <cell r="T287" t="str">
            <v>DELIBERAZIONE EGATO 29 19/12/2018</v>
          </cell>
        </row>
        <row r="288">
          <cell r="D288" t="str">
            <v>C089131</v>
          </cell>
          <cell r="E288">
            <v>46143</v>
          </cell>
          <cell r="F288">
            <v>46507</v>
          </cell>
          <cell r="G288">
            <v>46179</v>
          </cell>
          <cell r="H288">
            <v>46179</v>
          </cell>
          <cell r="J288" t="str">
            <v>004078</v>
          </cell>
          <cell r="K288">
            <v>-231.91</v>
          </cell>
          <cell r="L288">
            <v>-231.91</v>
          </cell>
          <cell r="M288">
            <v>-231.91</v>
          </cell>
          <cell r="N288" t="str">
            <v>indiretto</v>
          </cell>
          <cell r="O288">
            <v>7</v>
          </cell>
          <cell r="P288" t="str">
            <v>0.916558</v>
          </cell>
          <cell r="Q288" t="str">
            <v>0.642623</v>
          </cell>
          <cell r="R288" t="str">
            <v>0.256196</v>
          </cell>
          <cell r="S288" t="str">
            <v>NO</v>
          </cell>
          <cell r="T288" t="str">
            <v>DELIBERAZIONE EGATO 29 19/12/2018</v>
          </cell>
        </row>
        <row r="289">
          <cell r="D289" t="str">
            <v>C313983</v>
          </cell>
          <cell r="E289">
            <v>46143</v>
          </cell>
          <cell r="F289">
            <v>46507</v>
          </cell>
          <cell r="G289">
            <v>46179</v>
          </cell>
          <cell r="H289">
            <v>46179</v>
          </cell>
          <cell r="J289" t="str">
            <v>004061</v>
          </cell>
          <cell r="K289">
            <v>-165.65</v>
          </cell>
          <cell r="L289">
            <v>-165.65</v>
          </cell>
          <cell r="M289">
            <v>-165.65</v>
          </cell>
          <cell r="N289" t="str">
            <v>indiretto</v>
          </cell>
          <cell r="O289">
            <v>5</v>
          </cell>
          <cell r="P289" t="str">
            <v>0.916558</v>
          </cell>
          <cell r="Q289" t="str">
            <v>0.642623</v>
          </cell>
          <cell r="R289" t="str">
            <v>0.256196</v>
          </cell>
          <cell r="S289" t="str">
            <v>NO</v>
          </cell>
          <cell r="T289" t="str">
            <v>DELIBERAZIONE EGATO 29 19/12/2018</v>
          </cell>
        </row>
        <row r="290">
          <cell r="D290" t="str">
            <v>C314347</v>
          </cell>
          <cell r="E290">
            <v>46143</v>
          </cell>
          <cell r="F290">
            <v>46507</v>
          </cell>
          <cell r="G290">
            <v>46179</v>
          </cell>
          <cell r="H290">
            <v>46179</v>
          </cell>
          <cell r="J290" t="str">
            <v>004078</v>
          </cell>
          <cell r="K290">
            <v>-99.39</v>
          </cell>
          <cell r="L290">
            <v>-99.39</v>
          </cell>
          <cell r="M290">
            <v>-99.39</v>
          </cell>
          <cell r="N290" t="str">
            <v>indiretto</v>
          </cell>
          <cell r="O290">
            <v>3</v>
          </cell>
          <cell r="P290" t="str">
            <v>0.916558</v>
          </cell>
          <cell r="Q290" t="str">
            <v>0.642623</v>
          </cell>
          <cell r="R290" t="str">
            <v>0.256196</v>
          </cell>
          <cell r="S290" t="str">
            <v>NO</v>
          </cell>
          <cell r="T290" t="str">
            <v>DELIBERAZIONE EGATO 29 19/12/2018</v>
          </cell>
        </row>
        <row r="291">
          <cell r="D291" t="str">
            <v>C344196</v>
          </cell>
          <cell r="E291">
            <v>46143</v>
          </cell>
          <cell r="F291">
            <v>46507</v>
          </cell>
          <cell r="G291">
            <v>46179</v>
          </cell>
          <cell r="H291">
            <v>46179</v>
          </cell>
          <cell r="J291" t="str">
            <v>004104</v>
          </cell>
          <cell r="K291">
            <v>-23.97</v>
          </cell>
          <cell r="L291">
            <v>-23.97</v>
          </cell>
          <cell r="M291">
            <v>-23.97</v>
          </cell>
          <cell r="N291" t="str">
            <v>indiretto</v>
          </cell>
          <cell r="O291">
            <v>1</v>
          </cell>
          <cell r="P291" t="str">
            <v>0.721337</v>
          </cell>
          <cell r="Q291" t="str">
            <v>0.441600</v>
          </cell>
          <cell r="R291" t="str">
            <v>0.150394</v>
          </cell>
          <cell r="S291" t="str">
            <v>NO</v>
          </cell>
          <cell r="T291" t="str">
            <v>DELIBERAZIONE EGATO 2 04/02/2019</v>
          </cell>
        </row>
        <row r="292">
          <cell r="D292" t="str">
            <v>C320518</v>
          </cell>
          <cell r="E292">
            <v>46143</v>
          </cell>
          <cell r="F292">
            <v>46507</v>
          </cell>
          <cell r="G292">
            <v>46179</v>
          </cell>
          <cell r="H292">
            <v>46179</v>
          </cell>
          <cell r="J292" t="str">
            <v>004040</v>
          </cell>
          <cell r="K292">
            <v>-132.52000000000001</v>
          </cell>
          <cell r="L292">
            <v>-132.52000000000001</v>
          </cell>
          <cell r="M292">
            <v>-132.52000000000001</v>
          </cell>
          <cell r="N292" t="str">
            <v>indiretto</v>
          </cell>
          <cell r="O292">
            <v>4</v>
          </cell>
          <cell r="P292" t="str">
            <v>0.916558</v>
          </cell>
          <cell r="Q292" t="str">
            <v>0.642623</v>
          </cell>
          <cell r="R292" t="str">
            <v>0.256196</v>
          </cell>
          <cell r="S292" t="str">
            <v>NO</v>
          </cell>
          <cell r="T292" t="str">
            <v>DELIBERAZIONE EGATO 29 19/12/2018</v>
          </cell>
        </row>
        <row r="293">
          <cell r="D293" t="str">
            <v>C307110</v>
          </cell>
          <cell r="E293">
            <v>46143</v>
          </cell>
          <cell r="F293">
            <v>46507</v>
          </cell>
          <cell r="G293">
            <v>46179</v>
          </cell>
          <cell r="H293">
            <v>46179</v>
          </cell>
          <cell r="J293" t="str">
            <v>004197</v>
          </cell>
          <cell r="K293">
            <v>-71.900000000000006</v>
          </cell>
          <cell r="L293">
            <v>-71.900000000000006</v>
          </cell>
          <cell r="M293">
            <v>-71.900000000000006</v>
          </cell>
          <cell r="N293" t="str">
            <v>indiretto</v>
          </cell>
          <cell r="O293">
            <v>3</v>
          </cell>
          <cell r="P293" t="str">
            <v>0.721337</v>
          </cell>
          <cell r="Q293" t="str">
            <v>0.441600</v>
          </cell>
          <cell r="R293" t="str">
            <v>0.150394</v>
          </cell>
          <cell r="S293" t="str">
            <v>NO</v>
          </cell>
          <cell r="T293" t="str">
            <v>DELIBERAZIONE EGATO 2 04/02/2019</v>
          </cell>
        </row>
        <row r="294">
          <cell r="D294" t="str">
            <v>C344306</v>
          </cell>
          <cell r="E294">
            <v>46143</v>
          </cell>
          <cell r="F294">
            <v>46507</v>
          </cell>
          <cell r="G294">
            <v>46179</v>
          </cell>
          <cell r="H294">
            <v>46179</v>
          </cell>
          <cell r="J294" t="str">
            <v>004123</v>
          </cell>
          <cell r="K294">
            <v>-53.01</v>
          </cell>
          <cell r="L294">
            <v>-53.01</v>
          </cell>
          <cell r="M294">
            <v>-53.01</v>
          </cell>
          <cell r="N294" t="str">
            <v>indiretto</v>
          </cell>
          <cell r="O294">
            <v>2</v>
          </cell>
          <cell r="P294" t="str">
            <v>0.733246</v>
          </cell>
          <cell r="Q294" t="str">
            <v>0.514098</v>
          </cell>
          <cell r="R294" t="str">
            <v>0.204957</v>
          </cell>
          <cell r="S294" t="str">
            <v>NO</v>
          </cell>
          <cell r="T294" t="str">
            <v>DELIBERAZIONE EGATO 2 04/02/2019</v>
          </cell>
        </row>
        <row r="295">
          <cell r="D295" t="str">
            <v>C344099</v>
          </cell>
          <cell r="E295">
            <v>46143</v>
          </cell>
          <cell r="F295">
            <v>46507</v>
          </cell>
          <cell r="G295">
            <v>46179</v>
          </cell>
          <cell r="H295">
            <v>46179</v>
          </cell>
          <cell r="J295" t="str">
            <v>004157</v>
          </cell>
          <cell r="K295">
            <v>-66.260000000000005</v>
          </cell>
          <cell r="L295">
            <v>-66.260000000000005</v>
          </cell>
          <cell r="M295">
            <v>-66.260000000000005</v>
          </cell>
          <cell r="N295" t="str">
            <v>indiretto</v>
          </cell>
          <cell r="O295">
            <v>2</v>
          </cell>
          <cell r="P295" t="str">
            <v>0.916558</v>
          </cell>
          <cell r="Q295" t="str">
            <v>0.642623</v>
          </cell>
          <cell r="R295" t="str">
            <v>0.256196</v>
          </cell>
          <cell r="S295" t="str">
            <v>NO</v>
          </cell>
          <cell r="T295" t="str">
            <v>DELIBERAZIONE EGATO 29 19/12/2018</v>
          </cell>
        </row>
        <row r="296">
          <cell r="D296" t="str">
            <v>C321195</v>
          </cell>
          <cell r="E296">
            <v>46143</v>
          </cell>
          <cell r="F296">
            <v>46507</v>
          </cell>
          <cell r="G296">
            <v>46179</v>
          </cell>
          <cell r="H296">
            <v>46179</v>
          </cell>
          <cell r="J296" t="str">
            <v>004066</v>
          </cell>
          <cell r="K296">
            <v>-132.52000000000001</v>
          </cell>
          <cell r="L296">
            <v>-132.52000000000001</v>
          </cell>
          <cell r="M296">
            <v>-132.52000000000001</v>
          </cell>
          <cell r="N296" t="str">
            <v>indiretto</v>
          </cell>
          <cell r="O296">
            <v>4</v>
          </cell>
          <cell r="P296" t="str">
            <v>0.916558</v>
          </cell>
          <cell r="Q296" t="str">
            <v>0.642623</v>
          </cell>
          <cell r="R296" t="str">
            <v>0.256196</v>
          </cell>
          <cell r="S296" t="str">
            <v>NO</v>
          </cell>
          <cell r="T296" t="str">
            <v>DELIBERAZIONE EGATO 29 19/12/2018</v>
          </cell>
        </row>
        <row r="297">
          <cell r="D297" t="str">
            <v>C344156</v>
          </cell>
          <cell r="E297">
            <v>46143</v>
          </cell>
          <cell r="F297">
            <v>46507</v>
          </cell>
          <cell r="G297">
            <v>46179</v>
          </cell>
          <cell r="H297">
            <v>46179</v>
          </cell>
          <cell r="J297" t="str">
            <v>004033</v>
          </cell>
          <cell r="K297">
            <v>-71.900000000000006</v>
          </cell>
          <cell r="L297">
            <v>-71.900000000000006</v>
          </cell>
          <cell r="M297">
            <v>-71.900000000000006</v>
          </cell>
          <cell r="N297" t="str">
            <v>indiretto</v>
          </cell>
          <cell r="O297">
            <v>3</v>
          </cell>
          <cell r="P297" t="str">
            <v>0.721337</v>
          </cell>
          <cell r="Q297" t="str">
            <v>0.441600</v>
          </cell>
          <cell r="R297" t="str">
            <v>0.150394</v>
          </cell>
          <cell r="S297" t="str">
            <v>NO</v>
          </cell>
          <cell r="T297" t="str">
            <v>DELIBERAZIONE EGATO 2 04/02/2019</v>
          </cell>
        </row>
        <row r="298">
          <cell r="D298" t="str">
            <v>C320252</v>
          </cell>
          <cell r="E298">
            <v>46143</v>
          </cell>
          <cell r="F298">
            <v>46507</v>
          </cell>
          <cell r="G298">
            <v>46179</v>
          </cell>
          <cell r="H298">
            <v>46179</v>
          </cell>
          <cell r="J298" t="str">
            <v>004078</v>
          </cell>
          <cell r="K298">
            <v>-99.39</v>
          </cell>
          <cell r="L298">
            <v>-99.39</v>
          </cell>
          <cell r="M298">
            <v>-99.39</v>
          </cell>
          <cell r="N298" t="str">
            <v>indiretto</v>
          </cell>
          <cell r="O298">
            <v>3</v>
          </cell>
          <cell r="P298" t="str">
            <v>0.916558</v>
          </cell>
          <cell r="Q298" t="str">
            <v>0.642623</v>
          </cell>
          <cell r="R298" t="str">
            <v>0.256196</v>
          </cell>
          <cell r="S298" t="str">
            <v>NO</v>
          </cell>
          <cell r="T298" t="str">
            <v>DELIBERAZIONE EGATO 29 19/12/2018</v>
          </cell>
        </row>
        <row r="299">
          <cell r="D299" t="str">
            <v>C337522</v>
          </cell>
          <cell r="E299">
            <v>46143</v>
          </cell>
          <cell r="F299">
            <v>46507</v>
          </cell>
          <cell r="G299">
            <v>46179</v>
          </cell>
          <cell r="H299">
            <v>46179</v>
          </cell>
          <cell r="J299" t="str">
            <v>004078</v>
          </cell>
          <cell r="K299">
            <v>-33.130000000000003</v>
          </cell>
          <cell r="L299">
            <v>-33.130000000000003</v>
          </cell>
          <cell r="M299">
            <v>-33.130000000000003</v>
          </cell>
          <cell r="N299" t="str">
            <v>indiretto</v>
          </cell>
          <cell r="O299">
            <v>1</v>
          </cell>
          <cell r="P299" t="str">
            <v>0.916558</v>
          </cell>
          <cell r="Q299" t="str">
            <v>0.642623</v>
          </cell>
          <cell r="R299" t="str">
            <v>0.256196</v>
          </cell>
          <cell r="S299" t="str">
            <v>NO</v>
          </cell>
          <cell r="T299" t="str">
            <v>DELIBERAZIONE EGATO 29 19/12/2018</v>
          </cell>
        </row>
        <row r="300">
          <cell r="D300" t="str">
            <v>C309902</v>
          </cell>
          <cell r="E300">
            <v>46143</v>
          </cell>
          <cell r="F300">
            <v>46507</v>
          </cell>
          <cell r="G300">
            <v>46179</v>
          </cell>
          <cell r="H300">
            <v>46179</v>
          </cell>
          <cell r="J300" t="str">
            <v>004078</v>
          </cell>
          <cell r="K300">
            <v>-66.260000000000005</v>
          </cell>
          <cell r="L300">
            <v>-66.260000000000005</v>
          </cell>
          <cell r="M300">
            <v>-66.260000000000005</v>
          </cell>
          <cell r="N300" t="str">
            <v>indiretto</v>
          </cell>
          <cell r="O300">
            <v>2</v>
          </cell>
          <cell r="P300" t="str">
            <v>0.916558</v>
          </cell>
          <cell r="Q300" t="str">
            <v>0.642623</v>
          </cell>
          <cell r="R300" t="str">
            <v>0.256196</v>
          </cell>
          <cell r="S300" t="str">
            <v>NO</v>
          </cell>
          <cell r="T300" t="str">
            <v>DELIBERAZIONE EGATO 29 19/12/2018</v>
          </cell>
        </row>
        <row r="301">
          <cell r="D301" t="str">
            <v>C344239</v>
          </cell>
          <cell r="E301">
            <v>46143</v>
          </cell>
          <cell r="F301">
            <v>46507</v>
          </cell>
          <cell r="G301">
            <v>46179</v>
          </cell>
          <cell r="H301">
            <v>46179</v>
          </cell>
          <cell r="J301" t="str">
            <v>004116</v>
          </cell>
          <cell r="K301">
            <v>-71.900000000000006</v>
          </cell>
          <cell r="L301">
            <v>-71.900000000000006</v>
          </cell>
          <cell r="M301">
            <v>-71.900000000000006</v>
          </cell>
          <cell r="N301" t="str">
            <v>indiretto</v>
          </cell>
          <cell r="O301">
            <v>3</v>
          </cell>
          <cell r="P301" t="str">
            <v>0.721337</v>
          </cell>
          <cell r="Q301" t="str">
            <v>0.441600</v>
          </cell>
          <cell r="R301" t="str">
            <v>0.150394</v>
          </cell>
          <cell r="S301" t="str">
            <v>NO</v>
          </cell>
          <cell r="T301" t="str">
            <v>DELIBERAZIONE EGATO 2 04/02/2019</v>
          </cell>
        </row>
        <row r="302">
          <cell r="D302" t="str">
            <v>C117844</v>
          </cell>
          <cell r="E302">
            <v>46143</v>
          </cell>
          <cell r="F302">
            <v>46507</v>
          </cell>
          <cell r="G302">
            <v>46179</v>
          </cell>
          <cell r="H302">
            <v>46179</v>
          </cell>
          <cell r="J302" t="str">
            <v>004016</v>
          </cell>
          <cell r="K302">
            <v>-165.65</v>
          </cell>
          <cell r="L302">
            <v>-165.65</v>
          </cell>
          <cell r="M302">
            <v>-165.65</v>
          </cell>
          <cell r="N302" t="str">
            <v>indiretto</v>
          </cell>
          <cell r="O302">
            <v>5</v>
          </cell>
          <cell r="P302" t="str">
            <v>0.916558</v>
          </cell>
          <cell r="Q302" t="str">
            <v>0.642623</v>
          </cell>
          <cell r="R302" t="str">
            <v>0.256196</v>
          </cell>
          <cell r="S302" t="str">
            <v>NO</v>
          </cell>
          <cell r="T302" t="str">
            <v>DELIBERAZIONE EGATO 29 19/12/2018</v>
          </cell>
        </row>
        <row r="303">
          <cell r="D303" t="str">
            <v>C344131</v>
          </cell>
          <cell r="E303">
            <v>46143</v>
          </cell>
          <cell r="F303">
            <v>46507</v>
          </cell>
          <cell r="G303">
            <v>46179</v>
          </cell>
          <cell r="H303">
            <v>46179</v>
          </cell>
          <cell r="J303" t="str">
            <v>004078</v>
          </cell>
          <cell r="K303">
            <v>-99.39</v>
          </cell>
          <cell r="L303">
            <v>-99.39</v>
          </cell>
          <cell r="M303">
            <v>-99.39</v>
          </cell>
          <cell r="N303" t="str">
            <v>indiretto</v>
          </cell>
          <cell r="O303">
            <v>3</v>
          </cell>
          <cell r="P303" t="str">
            <v>0.916558</v>
          </cell>
          <cell r="Q303" t="str">
            <v>0.642623</v>
          </cell>
          <cell r="R303" t="str">
            <v>0.256196</v>
          </cell>
          <cell r="S303" t="str">
            <v>NO</v>
          </cell>
          <cell r="T303" t="str">
            <v>DELIBERAZIONE EGATO 29 19/12/2018</v>
          </cell>
        </row>
        <row r="304">
          <cell r="D304" t="str">
            <v>C344215</v>
          </cell>
          <cell r="E304">
            <v>46143</v>
          </cell>
          <cell r="F304">
            <v>46507</v>
          </cell>
          <cell r="G304">
            <v>46179</v>
          </cell>
          <cell r="H304">
            <v>46179</v>
          </cell>
          <cell r="J304" t="str">
            <v>004130</v>
          </cell>
          <cell r="K304">
            <v>-52.52</v>
          </cell>
          <cell r="L304">
            <v>-52.52</v>
          </cell>
          <cell r="M304">
            <v>-52.52</v>
          </cell>
          <cell r="N304" t="str">
            <v>indiretto</v>
          </cell>
          <cell r="O304">
            <v>2</v>
          </cell>
          <cell r="P304" t="str">
            <v>0.545182</v>
          </cell>
          <cell r="Q304" t="str">
            <v>0.611443</v>
          </cell>
          <cell r="R304" t="str">
            <v>0.282207</v>
          </cell>
          <cell r="S304" t="str">
            <v>NO</v>
          </cell>
          <cell r="T304" t="str">
            <v>DELIBERA EGATO N.29 DEL 19/12/2018</v>
          </cell>
        </row>
        <row r="305">
          <cell r="D305" t="str">
            <v>C124130</v>
          </cell>
          <cell r="E305">
            <v>46143</v>
          </cell>
          <cell r="F305">
            <v>46507</v>
          </cell>
          <cell r="G305">
            <v>46179</v>
          </cell>
          <cell r="H305">
            <v>46179</v>
          </cell>
          <cell r="J305" t="str">
            <v>004040</v>
          </cell>
          <cell r="K305">
            <v>-66.260000000000005</v>
          </cell>
          <cell r="L305">
            <v>-66.260000000000005</v>
          </cell>
          <cell r="M305">
            <v>-66.260000000000005</v>
          </cell>
          <cell r="N305" t="str">
            <v>indiretto</v>
          </cell>
          <cell r="O305">
            <v>2</v>
          </cell>
          <cell r="P305" t="str">
            <v>0.916558</v>
          </cell>
          <cell r="Q305" t="str">
            <v>0.642623</v>
          </cell>
          <cell r="R305" t="str">
            <v>0.256196</v>
          </cell>
          <cell r="S305" t="str">
            <v>NO</v>
          </cell>
          <cell r="T305" t="str">
            <v>DELIBERAZIONE EGATO 29 19/12/2018</v>
          </cell>
        </row>
        <row r="306">
          <cell r="D306" t="str">
            <v>C307796</v>
          </cell>
          <cell r="E306">
            <v>46143</v>
          </cell>
          <cell r="F306">
            <v>46507</v>
          </cell>
          <cell r="G306">
            <v>46179</v>
          </cell>
          <cell r="H306">
            <v>46179</v>
          </cell>
          <cell r="J306" t="str">
            <v>004082</v>
          </cell>
          <cell r="K306">
            <v>-66.260000000000005</v>
          </cell>
          <cell r="L306">
            <v>-66.260000000000005</v>
          </cell>
          <cell r="M306">
            <v>-66.260000000000005</v>
          </cell>
          <cell r="N306" t="str">
            <v>indiretto</v>
          </cell>
          <cell r="O306">
            <v>2</v>
          </cell>
          <cell r="P306" t="str">
            <v>0.916558</v>
          </cell>
          <cell r="Q306" t="str">
            <v>0.642623</v>
          </cell>
          <cell r="R306" t="str">
            <v>0.256196</v>
          </cell>
          <cell r="S306" t="str">
            <v>NO</v>
          </cell>
          <cell r="T306" t="str">
            <v>DELIBERAZIONE EGATO 29 19/12/2018</v>
          </cell>
        </row>
        <row r="307">
          <cell r="D307" t="str">
            <v>C344207</v>
          </cell>
          <cell r="E307">
            <v>46143</v>
          </cell>
          <cell r="F307">
            <v>46507</v>
          </cell>
          <cell r="G307">
            <v>46179</v>
          </cell>
          <cell r="H307">
            <v>46179</v>
          </cell>
          <cell r="J307" t="str">
            <v>004074</v>
          </cell>
          <cell r="K307">
            <v>-60.07</v>
          </cell>
          <cell r="L307">
            <v>-60.07</v>
          </cell>
          <cell r="M307">
            <v>-60.07</v>
          </cell>
          <cell r="N307" t="str">
            <v>indiretto</v>
          </cell>
          <cell r="O307">
            <v>2</v>
          </cell>
          <cell r="P307" t="str">
            <v>0.638867</v>
          </cell>
          <cell r="Q307" t="str">
            <v>0.746975</v>
          </cell>
          <cell r="R307" t="str">
            <v>0.259818</v>
          </cell>
          <cell r="S307" t="str">
            <v>NO</v>
          </cell>
          <cell r="T307" t="str">
            <v xml:space="preserve">DELIBERA EGATO/4 N. 29 DEL 19/12/2018  </v>
          </cell>
        </row>
        <row r="308">
          <cell r="D308" t="str">
            <v>C312458</v>
          </cell>
          <cell r="E308">
            <v>46143</v>
          </cell>
          <cell r="F308">
            <v>46507</v>
          </cell>
          <cell r="G308">
            <v>46179</v>
          </cell>
          <cell r="H308">
            <v>46179</v>
          </cell>
          <cell r="J308" t="str">
            <v>004078</v>
          </cell>
          <cell r="K308">
            <v>-99.39</v>
          </cell>
          <cell r="L308">
            <v>-99.39</v>
          </cell>
          <cell r="M308">
            <v>-99.39</v>
          </cell>
          <cell r="N308" t="str">
            <v>indiretto</v>
          </cell>
          <cell r="O308">
            <v>3</v>
          </cell>
          <cell r="P308" t="str">
            <v>0.916558</v>
          </cell>
          <cell r="Q308" t="str">
            <v>0.642623</v>
          </cell>
          <cell r="R308" t="str">
            <v>0.256196</v>
          </cell>
          <cell r="S308" t="str">
            <v>NO</v>
          </cell>
          <cell r="T308" t="str">
            <v>DELIBERAZIONE EGATO 29 19/12/2018</v>
          </cell>
        </row>
        <row r="309">
          <cell r="D309" t="str">
            <v>C344206</v>
          </cell>
          <cell r="E309">
            <v>46143</v>
          </cell>
          <cell r="F309">
            <v>46507</v>
          </cell>
          <cell r="G309">
            <v>46179</v>
          </cell>
          <cell r="H309">
            <v>46179</v>
          </cell>
          <cell r="J309" t="str">
            <v>004009</v>
          </cell>
          <cell r="K309">
            <v>-49.24</v>
          </cell>
          <cell r="L309">
            <v>-49.24</v>
          </cell>
          <cell r="M309">
            <v>-49.24</v>
          </cell>
          <cell r="N309" t="str">
            <v>indiretto</v>
          </cell>
          <cell r="O309">
            <v>2</v>
          </cell>
          <cell r="P309" t="str">
            <v>0.716943</v>
          </cell>
          <cell r="Q309" t="str">
            <v>0.463071</v>
          </cell>
          <cell r="R309" t="str">
            <v>0.169064</v>
          </cell>
          <cell r="S309" t="str">
            <v>NO</v>
          </cell>
          <cell r="T309" t="str">
            <v>DELIBERAZIONE EGATO 2 04/02/2019</v>
          </cell>
        </row>
        <row r="310">
          <cell r="D310" t="str">
            <v>C344162</v>
          </cell>
          <cell r="E310">
            <v>46143</v>
          </cell>
          <cell r="F310">
            <v>46507</v>
          </cell>
          <cell r="G310">
            <v>46179</v>
          </cell>
          <cell r="H310">
            <v>46179</v>
          </cell>
          <cell r="J310" t="str">
            <v>004034</v>
          </cell>
          <cell r="K310">
            <v>-33.130000000000003</v>
          </cell>
          <cell r="L310">
            <v>-33.130000000000003</v>
          </cell>
          <cell r="M310">
            <v>-33.130000000000003</v>
          </cell>
          <cell r="N310" t="str">
            <v>indiretto</v>
          </cell>
          <cell r="O310">
            <v>1</v>
          </cell>
          <cell r="P310" t="str">
            <v>0.916558</v>
          </cell>
          <cell r="Q310" t="str">
            <v>0.642623</v>
          </cell>
          <cell r="R310" t="str">
            <v>0.256196</v>
          </cell>
          <cell r="S310" t="str">
            <v>NO</v>
          </cell>
          <cell r="T310" t="str">
            <v>DELIBERAZIONE EGATO 29 19/12/2018</v>
          </cell>
        </row>
        <row r="311">
          <cell r="D311" t="str">
            <v>C320246</v>
          </cell>
          <cell r="E311">
            <v>46143</v>
          </cell>
          <cell r="F311">
            <v>46507</v>
          </cell>
          <cell r="G311">
            <v>46179</v>
          </cell>
          <cell r="H311">
            <v>46179</v>
          </cell>
          <cell r="J311" t="str">
            <v>004078</v>
          </cell>
          <cell r="K311">
            <v>-198.78</v>
          </cell>
          <cell r="L311">
            <v>-198.78</v>
          </cell>
          <cell r="M311">
            <v>-198.78</v>
          </cell>
          <cell r="N311" t="str">
            <v>indiretto</v>
          </cell>
          <cell r="O311">
            <v>6</v>
          </cell>
          <cell r="P311" t="str">
            <v>0.916558</v>
          </cell>
          <cell r="Q311" t="str">
            <v>0.642623</v>
          </cell>
          <cell r="R311" t="str">
            <v>0.256196</v>
          </cell>
          <cell r="S311" t="str">
            <v>NO</v>
          </cell>
          <cell r="T311" t="str">
            <v>DELIBERAZIONE EGATO 29 19/12/2018</v>
          </cell>
        </row>
        <row r="312">
          <cell r="D312" t="str">
            <v>C313812</v>
          </cell>
          <cell r="E312">
            <v>46143</v>
          </cell>
          <cell r="F312">
            <v>46507</v>
          </cell>
          <cell r="G312">
            <v>46179</v>
          </cell>
          <cell r="H312">
            <v>46179</v>
          </cell>
          <cell r="J312" t="str">
            <v>004225</v>
          </cell>
          <cell r="K312">
            <v>-33.130000000000003</v>
          </cell>
          <cell r="L312">
            <v>-33.130000000000003</v>
          </cell>
          <cell r="M312">
            <v>-33.130000000000003</v>
          </cell>
          <cell r="N312" t="str">
            <v>indiretto</v>
          </cell>
          <cell r="O312">
            <v>1</v>
          </cell>
          <cell r="P312" t="str">
            <v>0.916558</v>
          </cell>
          <cell r="Q312" t="str">
            <v>0.642623</v>
          </cell>
          <cell r="R312" t="str">
            <v>0.256196</v>
          </cell>
          <cell r="S312" t="str">
            <v>NO</v>
          </cell>
          <cell r="T312" t="str">
            <v>DELIBERAZIONE EGATO 29 19/12/2018</v>
          </cell>
        </row>
        <row r="313">
          <cell r="D313" t="str">
            <v>C344256</v>
          </cell>
          <cell r="E313">
            <v>46143</v>
          </cell>
          <cell r="F313">
            <v>46507</v>
          </cell>
          <cell r="G313">
            <v>46179</v>
          </cell>
          <cell r="H313">
            <v>46179</v>
          </cell>
          <cell r="J313" t="str">
            <v>004130</v>
          </cell>
          <cell r="K313">
            <v>-52.52</v>
          </cell>
          <cell r="L313">
            <v>-52.52</v>
          </cell>
          <cell r="M313">
            <v>-52.52</v>
          </cell>
          <cell r="N313" t="str">
            <v>indiretto</v>
          </cell>
          <cell r="O313">
            <v>2</v>
          </cell>
          <cell r="P313" t="str">
            <v>0.545182</v>
          </cell>
          <cell r="Q313" t="str">
            <v>0.611443</v>
          </cell>
          <cell r="R313" t="str">
            <v>0.282207</v>
          </cell>
          <cell r="S313" t="str">
            <v>NO</v>
          </cell>
          <cell r="T313" t="str">
            <v>DELIBERA EGATO N.29 DEL 19/12/2018</v>
          </cell>
        </row>
        <row r="314">
          <cell r="D314" t="str">
            <v>C312348</v>
          </cell>
          <cell r="E314">
            <v>46143</v>
          </cell>
          <cell r="F314">
            <v>46507</v>
          </cell>
          <cell r="G314">
            <v>46179</v>
          </cell>
          <cell r="H314">
            <v>46179</v>
          </cell>
          <cell r="J314" t="str">
            <v>004082</v>
          </cell>
          <cell r="K314">
            <v>-132.52000000000001</v>
          </cell>
          <cell r="L314">
            <v>-132.52000000000001</v>
          </cell>
          <cell r="M314">
            <v>-132.52000000000001</v>
          </cell>
          <cell r="N314" t="str">
            <v>indiretto</v>
          </cell>
          <cell r="O314">
            <v>4</v>
          </cell>
          <cell r="P314" t="str">
            <v>0.916558</v>
          </cell>
          <cell r="Q314" t="str">
            <v>0.642623</v>
          </cell>
          <cell r="R314" t="str">
            <v>0.256196</v>
          </cell>
          <cell r="S314" t="str">
            <v>NO</v>
          </cell>
          <cell r="T314" t="str">
            <v>DELIBERAZIONE EGATO 29 19/12/2018</v>
          </cell>
        </row>
        <row r="315">
          <cell r="D315" t="str">
            <v>C337605</v>
          </cell>
          <cell r="E315">
            <v>46143</v>
          </cell>
          <cell r="F315">
            <v>46507</v>
          </cell>
          <cell r="G315">
            <v>46179</v>
          </cell>
          <cell r="H315">
            <v>46179</v>
          </cell>
          <cell r="J315" t="str">
            <v>004116</v>
          </cell>
          <cell r="K315">
            <v>-71.900000000000006</v>
          </cell>
          <cell r="L315">
            <v>-71.900000000000006</v>
          </cell>
          <cell r="M315">
            <v>-71.900000000000006</v>
          </cell>
          <cell r="N315" t="str">
            <v>indiretto</v>
          </cell>
          <cell r="O315">
            <v>3</v>
          </cell>
          <cell r="P315" t="str">
            <v>0.721337</v>
          </cell>
          <cell r="Q315" t="str">
            <v>0.441600</v>
          </cell>
          <cell r="R315" t="str">
            <v>0.150394</v>
          </cell>
          <cell r="S315" t="str">
            <v>NO</v>
          </cell>
          <cell r="T315" t="str">
            <v>DELIBERAZIONE EGATO 2 04/02/2019</v>
          </cell>
        </row>
        <row r="316">
          <cell r="D316" t="str">
            <v>C310317</v>
          </cell>
          <cell r="E316">
            <v>46143</v>
          </cell>
          <cell r="F316">
            <v>46507</v>
          </cell>
          <cell r="G316">
            <v>46179</v>
          </cell>
          <cell r="H316">
            <v>46179</v>
          </cell>
          <cell r="J316" t="str">
            <v>004012</v>
          </cell>
          <cell r="K316">
            <v>-98.48</v>
          </cell>
          <cell r="L316">
            <v>-98.48</v>
          </cell>
          <cell r="M316">
            <v>-98.48</v>
          </cell>
          <cell r="N316" t="str">
            <v>indiretto</v>
          </cell>
          <cell r="O316">
            <v>4</v>
          </cell>
          <cell r="P316" t="str">
            <v>0.716943</v>
          </cell>
          <cell r="Q316" t="str">
            <v>0.463071</v>
          </cell>
          <cell r="R316" t="str">
            <v>0.169064</v>
          </cell>
          <cell r="S316" t="str">
            <v>NO</v>
          </cell>
          <cell r="T316" t="str">
            <v>DELIBERAZIONE EGATO 2 04/02/2019</v>
          </cell>
        </row>
        <row r="317">
          <cell r="D317" t="str">
            <v>C344265</v>
          </cell>
          <cell r="E317">
            <v>46143</v>
          </cell>
          <cell r="F317">
            <v>46507</v>
          </cell>
          <cell r="G317">
            <v>46179</v>
          </cell>
          <cell r="H317">
            <v>46179</v>
          </cell>
          <cell r="J317" t="str">
            <v>004074</v>
          </cell>
          <cell r="K317">
            <v>-150.16999999999999</v>
          </cell>
          <cell r="L317">
            <v>-150.16999999999999</v>
          </cell>
          <cell r="M317">
            <v>-150.16999999999999</v>
          </cell>
          <cell r="N317" t="str">
            <v>indiretto</v>
          </cell>
          <cell r="O317">
            <v>5</v>
          </cell>
          <cell r="P317" t="str">
            <v>0.638867</v>
          </cell>
          <cell r="Q317" t="str">
            <v>0.746975</v>
          </cell>
          <cell r="R317" t="str">
            <v>0.259818</v>
          </cell>
          <cell r="S317" t="str">
            <v>NO</v>
          </cell>
          <cell r="T317" t="str">
            <v xml:space="preserve">DELIBERA EGATO/4 N. 29 DEL 19/12/2018  </v>
          </cell>
        </row>
        <row r="318">
          <cell r="D318" t="str">
            <v>C320271</v>
          </cell>
          <cell r="E318">
            <v>46143</v>
          </cell>
          <cell r="F318">
            <v>46507</v>
          </cell>
          <cell r="G318">
            <v>46179</v>
          </cell>
          <cell r="H318">
            <v>46179</v>
          </cell>
          <cell r="J318" t="str">
            <v>004163</v>
          </cell>
          <cell r="K318">
            <v>-198.78</v>
          </cell>
          <cell r="L318">
            <v>-198.78</v>
          </cell>
          <cell r="M318">
            <v>-198.78</v>
          </cell>
          <cell r="N318" t="str">
            <v>indiretto</v>
          </cell>
          <cell r="O318">
            <v>6</v>
          </cell>
          <cell r="P318" t="str">
            <v>0.916558</v>
          </cell>
          <cell r="Q318" t="str">
            <v>0.642623</v>
          </cell>
          <cell r="R318" t="str">
            <v>0.256196</v>
          </cell>
          <cell r="S318" t="str">
            <v>NO</v>
          </cell>
          <cell r="T318" t="str">
            <v>DELIBERAZIONE EGATO 29 19/12/2018</v>
          </cell>
        </row>
        <row r="319">
          <cell r="D319" t="str">
            <v>C307882</v>
          </cell>
          <cell r="E319">
            <v>46143</v>
          </cell>
          <cell r="F319">
            <v>46507</v>
          </cell>
          <cell r="G319">
            <v>46179</v>
          </cell>
          <cell r="H319">
            <v>46179</v>
          </cell>
          <cell r="J319" t="str">
            <v>004107</v>
          </cell>
          <cell r="K319">
            <v>-154.63999999999999</v>
          </cell>
          <cell r="L319">
            <v>-154.63999999999999</v>
          </cell>
          <cell r="M319">
            <v>-154.63999999999999</v>
          </cell>
          <cell r="N319" t="str">
            <v>indiretto</v>
          </cell>
          <cell r="O319">
            <v>4</v>
          </cell>
          <cell r="P319">
            <v>1091278</v>
          </cell>
          <cell r="Q319" t="str">
            <v>0.730790</v>
          </cell>
          <cell r="R319" t="str">
            <v>0.296264</v>
          </cell>
          <cell r="S319" t="str">
            <v>NO</v>
          </cell>
          <cell r="T319" t="str">
            <v>DELIBERAZIONE EGATO 2 04/02/2019</v>
          </cell>
        </row>
        <row r="320">
          <cell r="D320" t="str">
            <v>C344130</v>
          </cell>
          <cell r="E320">
            <v>46143</v>
          </cell>
          <cell r="F320">
            <v>46507</v>
          </cell>
          <cell r="G320">
            <v>46179</v>
          </cell>
          <cell r="H320">
            <v>46179</v>
          </cell>
          <cell r="J320" t="str">
            <v>004078</v>
          </cell>
          <cell r="K320">
            <v>-99.39</v>
          </cell>
          <cell r="L320">
            <v>-99.39</v>
          </cell>
          <cell r="M320">
            <v>-99.39</v>
          </cell>
          <cell r="N320" t="str">
            <v>indiretto</v>
          </cell>
          <cell r="O320">
            <v>3</v>
          </cell>
          <cell r="P320" t="str">
            <v>0.916558</v>
          </cell>
          <cell r="Q320" t="str">
            <v>0.642623</v>
          </cell>
          <cell r="R320" t="str">
            <v>0.256196</v>
          </cell>
          <cell r="S320" t="str">
            <v>NO</v>
          </cell>
          <cell r="T320" t="str">
            <v>DELIBERAZIONE EGATO 29 19/12/2018</v>
          </cell>
        </row>
        <row r="321">
          <cell r="D321" t="str">
            <v>C308271</v>
          </cell>
          <cell r="E321">
            <v>46143</v>
          </cell>
          <cell r="F321">
            <v>46507</v>
          </cell>
          <cell r="G321">
            <v>46179</v>
          </cell>
          <cell r="H321">
            <v>46179</v>
          </cell>
          <cell r="J321" t="str">
            <v>004179</v>
          </cell>
          <cell r="K321">
            <v>-86.33</v>
          </cell>
          <cell r="L321">
            <v>-86.33</v>
          </cell>
          <cell r="M321">
            <v>-86.33</v>
          </cell>
          <cell r="N321" t="str">
            <v>indiretto</v>
          </cell>
          <cell r="O321">
            <v>3</v>
          </cell>
          <cell r="P321" t="str">
            <v>0.802937</v>
          </cell>
          <cell r="Q321" t="str">
            <v>0.568257</v>
          </cell>
          <cell r="R321" t="str">
            <v>0.205575</v>
          </cell>
          <cell r="S321" t="str">
            <v>NO</v>
          </cell>
          <cell r="T321" t="str">
            <v>DELIBERAZIONE EGATO 11 27/03/2019</v>
          </cell>
        </row>
        <row r="322">
          <cell r="D322" t="str">
            <v>C344216</v>
          </cell>
          <cell r="E322">
            <v>46143</v>
          </cell>
          <cell r="F322">
            <v>46507</v>
          </cell>
          <cell r="G322">
            <v>46179</v>
          </cell>
          <cell r="H322">
            <v>46179</v>
          </cell>
          <cell r="J322" t="str">
            <v>004012</v>
          </cell>
          <cell r="K322">
            <v>-49.24</v>
          </cell>
          <cell r="L322">
            <v>-49.24</v>
          </cell>
          <cell r="M322">
            <v>-49.24</v>
          </cell>
          <cell r="N322" t="str">
            <v>indiretto</v>
          </cell>
          <cell r="O322">
            <v>2</v>
          </cell>
          <cell r="P322" t="str">
            <v>0.716943</v>
          </cell>
          <cell r="Q322" t="str">
            <v>0.463071</v>
          </cell>
          <cell r="R322" t="str">
            <v>0.169064</v>
          </cell>
          <cell r="S322" t="str">
            <v>NO</v>
          </cell>
          <cell r="T322" t="str">
            <v>DELIBERAZIONE EGATO 2 04/02/2019</v>
          </cell>
        </row>
        <row r="323">
          <cell r="D323" t="str">
            <v>C344303</v>
          </cell>
          <cell r="E323">
            <v>46143</v>
          </cell>
          <cell r="F323">
            <v>46507</v>
          </cell>
          <cell r="G323">
            <v>46179</v>
          </cell>
          <cell r="H323">
            <v>46179</v>
          </cell>
          <cell r="J323" t="str">
            <v>004190</v>
          </cell>
          <cell r="K323">
            <v>-26.26</v>
          </cell>
          <cell r="L323">
            <v>-26.26</v>
          </cell>
          <cell r="M323">
            <v>-26.26</v>
          </cell>
          <cell r="N323" t="str">
            <v>indiretto</v>
          </cell>
          <cell r="O323">
            <v>1</v>
          </cell>
          <cell r="P323" t="str">
            <v>0.545182</v>
          </cell>
          <cell r="Q323" t="str">
            <v>0.611443</v>
          </cell>
          <cell r="R323" t="str">
            <v>0.282207</v>
          </cell>
          <cell r="S323" t="str">
            <v>NO</v>
          </cell>
          <cell r="T323" t="str">
            <v>DELIBERA EGATO N.29 DEL 19/12/2018</v>
          </cell>
        </row>
        <row r="324">
          <cell r="D324" t="str">
            <v>C344304</v>
          </cell>
          <cell r="E324">
            <v>46143</v>
          </cell>
          <cell r="F324">
            <v>46507</v>
          </cell>
          <cell r="G324">
            <v>46179</v>
          </cell>
          <cell r="H324">
            <v>46179</v>
          </cell>
          <cell r="J324" t="str">
            <v>004130</v>
          </cell>
          <cell r="K324">
            <v>-78.78</v>
          </cell>
          <cell r="L324">
            <v>-78.78</v>
          </cell>
          <cell r="M324">
            <v>-78.78</v>
          </cell>
          <cell r="N324" t="str">
            <v>indiretto</v>
          </cell>
          <cell r="O324">
            <v>3</v>
          </cell>
          <cell r="P324" t="str">
            <v>0.545182</v>
          </cell>
          <cell r="Q324" t="str">
            <v>0.611443</v>
          </cell>
          <cell r="R324" t="str">
            <v>0.282207</v>
          </cell>
          <cell r="S324" t="str">
            <v>NO</v>
          </cell>
          <cell r="T324" t="str">
            <v>DELIBERA EGATO N.29 DEL 19/12/2018</v>
          </cell>
        </row>
        <row r="325">
          <cell r="D325" t="str">
            <v>C307242</v>
          </cell>
          <cell r="E325">
            <v>46143</v>
          </cell>
          <cell r="F325">
            <v>46507</v>
          </cell>
          <cell r="G325">
            <v>46179</v>
          </cell>
          <cell r="H325">
            <v>46179</v>
          </cell>
          <cell r="J325" t="str">
            <v>004154</v>
          </cell>
          <cell r="K325">
            <v>-55.54</v>
          </cell>
          <cell r="L325">
            <v>-55.54</v>
          </cell>
          <cell r="M325">
            <v>-55.54</v>
          </cell>
          <cell r="N325" t="str">
            <v>indiretto</v>
          </cell>
          <cell r="O325">
            <v>4</v>
          </cell>
          <cell r="P325" t="str">
            <v>0.265650</v>
          </cell>
          <cell r="Q325" t="str">
            <v>0.369583</v>
          </cell>
          <cell r="R325" t="str">
            <v>0.125657</v>
          </cell>
          <cell r="S325" t="str">
            <v>NO</v>
          </cell>
          <cell r="T325" t="str">
            <v>DELIBERAZIONE EGATO 2 04/02/2019</v>
          </cell>
        </row>
        <row r="326">
          <cell r="D326" t="str">
            <v>C311054</v>
          </cell>
          <cell r="E326">
            <v>46143</v>
          </cell>
          <cell r="F326">
            <v>46507</v>
          </cell>
          <cell r="G326">
            <v>46179</v>
          </cell>
          <cell r="H326">
            <v>46179</v>
          </cell>
          <cell r="J326" t="str">
            <v>004081</v>
          </cell>
          <cell r="K326">
            <v>-189.74</v>
          </cell>
          <cell r="L326">
            <v>-189.74</v>
          </cell>
          <cell r="M326">
            <v>-189.74</v>
          </cell>
          <cell r="N326" t="str">
            <v>indiretto</v>
          </cell>
          <cell r="O326">
            <v>5</v>
          </cell>
          <cell r="P326">
            <v>1091278</v>
          </cell>
          <cell r="Q326" t="str">
            <v>0.691798</v>
          </cell>
          <cell r="R326" t="str">
            <v>0.296264</v>
          </cell>
          <cell r="S326" t="str">
            <v>NO</v>
          </cell>
          <cell r="T326" t="str">
            <v>DELIBERAZIONE EGATO 2 04/02/2019</v>
          </cell>
        </row>
        <row r="327">
          <cell r="D327" t="str">
            <v>C344255</v>
          </cell>
          <cell r="E327">
            <v>46143</v>
          </cell>
          <cell r="F327">
            <v>46507</v>
          </cell>
          <cell r="G327">
            <v>46179</v>
          </cell>
          <cell r="H327">
            <v>46179</v>
          </cell>
          <cell r="J327" t="str">
            <v>004130</v>
          </cell>
          <cell r="K327">
            <v>-105.03</v>
          </cell>
          <cell r="L327">
            <v>-105.03</v>
          </cell>
          <cell r="M327">
            <v>-105.03</v>
          </cell>
          <cell r="N327" t="str">
            <v>indiretto</v>
          </cell>
          <cell r="O327">
            <v>4</v>
          </cell>
          <cell r="P327" t="str">
            <v>0.545182</v>
          </cell>
          <cell r="Q327" t="str">
            <v>0.611443</v>
          </cell>
          <cell r="R327" t="str">
            <v>0.282207</v>
          </cell>
          <cell r="S327" t="str">
            <v>NO</v>
          </cell>
          <cell r="T327" t="str">
            <v>DELIBERA EGATO N.29 DEL 19/12/2018</v>
          </cell>
        </row>
        <row r="328">
          <cell r="D328" t="str">
            <v>C311408</v>
          </cell>
          <cell r="E328">
            <v>46143</v>
          </cell>
          <cell r="F328">
            <v>46507</v>
          </cell>
          <cell r="G328">
            <v>46179</v>
          </cell>
          <cell r="H328">
            <v>46179</v>
          </cell>
          <cell r="J328" t="str">
            <v>004043</v>
          </cell>
          <cell r="K328">
            <v>-154.63999999999999</v>
          </cell>
          <cell r="L328">
            <v>-154.63999999999999</v>
          </cell>
          <cell r="M328">
            <v>-154.63999999999999</v>
          </cell>
          <cell r="N328" t="str">
            <v>indiretto</v>
          </cell>
          <cell r="O328">
            <v>4</v>
          </cell>
          <cell r="P328">
            <v>1091278</v>
          </cell>
          <cell r="Q328" t="str">
            <v>0.730790</v>
          </cell>
          <cell r="R328" t="str">
            <v>0.296264</v>
          </cell>
          <cell r="S328" t="str">
            <v>NO</v>
          </cell>
          <cell r="T328" t="str">
            <v>DELIBERAZIONE EGATO 2 04/02/2019</v>
          </cell>
        </row>
        <row r="329">
          <cell r="D329" t="str">
            <v>C314403</v>
          </cell>
          <cell r="E329">
            <v>46143</v>
          </cell>
          <cell r="F329">
            <v>46507</v>
          </cell>
          <cell r="G329">
            <v>46179</v>
          </cell>
          <cell r="H329">
            <v>46179</v>
          </cell>
          <cell r="J329" t="str">
            <v>004040</v>
          </cell>
          <cell r="K329">
            <v>-165.65</v>
          </cell>
          <cell r="L329">
            <v>-165.65</v>
          </cell>
          <cell r="M329">
            <v>-165.65</v>
          </cell>
          <cell r="N329" t="str">
            <v>indiretto</v>
          </cell>
          <cell r="O329">
            <v>5</v>
          </cell>
          <cell r="P329" t="str">
            <v>0.916558</v>
          </cell>
          <cell r="Q329" t="str">
            <v>0.642623</v>
          </cell>
          <cell r="R329" t="str">
            <v>0.256196</v>
          </cell>
          <cell r="S329" t="str">
            <v>NO</v>
          </cell>
          <cell r="T329" t="str">
            <v>DELIBERAZIONE EGATO 29 19/12/2018</v>
          </cell>
        </row>
        <row r="330">
          <cell r="D330" t="str">
            <v>C344204</v>
          </cell>
          <cell r="E330">
            <v>46143</v>
          </cell>
          <cell r="F330">
            <v>46507</v>
          </cell>
          <cell r="G330">
            <v>46179</v>
          </cell>
          <cell r="H330">
            <v>46179</v>
          </cell>
          <cell r="J330" t="str">
            <v>004082</v>
          </cell>
          <cell r="K330">
            <v>-298.18</v>
          </cell>
          <cell r="L330">
            <v>-298.18</v>
          </cell>
          <cell r="M330">
            <v>-298.18</v>
          </cell>
          <cell r="N330" t="str">
            <v>indiretto</v>
          </cell>
          <cell r="O330">
            <v>9</v>
          </cell>
          <cell r="P330" t="str">
            <v>0.916558</v>
          </cell>
          <cell r="Q330" t="str">
            <v>0.642623</v>
          </cell>
          <cell r="R330" t="str">
            <v>0.256196</v>
          </cell>
          <cell r="S330" t="str">
            <v>NO</v>
          </cell>
          <cell r="T330" t="str">
            <v>DELIBERAZIONE EGATO 29 19/12/2018</v>
          </cell>
        </row>
        <row r="331">
          <cell r="D331" t="str">
            <v>C042232</v>
          </cell>
          <cell r="E331">
            <v>46143</v>
          </cell>
          <cell r="F331">
            <v>46507</v>
          </cell>
          <cell r="G331">
            <v>46179</v>
          </cell>
          <cell r="H331">
            <v>46179</v>
          </cell>
          <cell r="J331" t="str">
            <v>004025</v>
          </cell>
          <cell r="K331">
            <v>-33.130000000000003</v>
          </cell>
          <cell r="L331">
            <v>-33.130000000000003</v>
          </cell>
          <cell r="M331">
            <v>-33.130000000000003</v>
          </cell>
          <cell r="N331" t="str">
            <v>indiretto</v>
          </cell>
          <cell r="O331">
            <v>1</v>
          </cell>
          <cell r="P331" t="str">
            <v>0.916558</v>
          </cell>
          <cell r="Q331" t="str">
            <v>0.642623</v>
          </cell>
          <cell r="R331" t="str">
            <v>0.256196</v>
          </cell>
          <cell r="S331" t="str">
            <v>NO</v>
          </cell>
          <cell r="T331" t="str">
            <v>DELIBERAZIONE EGATO 29 19/12/2018</v>
          </cell>
        </row>
        <row r="332">
          <cell r="D332" t="str">
            <v>C312171</v>
          </cell>
          <cell r="E332">
            <v>46143</v>
          </cell>
          <cell r="F332">
            <v>46507</v>
          </cell>
          <cell r="G332">
            <v>46179</v>
          </cell>
          <cell r="H332">
            <v>46179</v>
          </cell>
          <cell r="J332" t="str">
            <v>004078</v>
          </cell>
          <cell r="K332">
            <v>-132.52000000000001</v>
          </cell>
          <cell r="L332">
            <v>-132.52000000000001</v>
          </cell>
          <cell r="M332">
            <v>-132.52000000000001</v>
          </cell>
          <cell r="N332" t="str">
            <v>indiretto</v>
          </cell>
          <cell r="O332">
            <v>4</v>
          </cell>
          <cell r="P332" t="str">
            <v>0.916558</v>
          </cell>
          <cell r="Q332" t="str">
            <v>0.642623</v>
          </cell>
          <cell r="R332" t="str">
            <v>0.256196</v>
          </cell>
          <cell r="S332" t="str">
            <v>NO</v>
          </cell>
          <cell r="T332" t="str">
            <v>DELIBERAZIONE EGATO 29 19/12/2018</v>
          </cell>
        </row>
        <row r="333">
          <cell r="D333" t="str">
            <v>C344140</v>
          </cell>
          <cell r="E333">
            <v>46143</v>
          </cell>
          <cell r="F333">
            <v>46507</v>
          </cell>
          <cell r="G333">
            <v>46179</v>
          </cell>
          <cell r="H333">
            <v>46179</v>
          </cell>
          <cell r="J333" t="str">
            <v>004208</v>
          </cell>
          <cell r="K333">
            <v>-245.78</v>
          </cell>
          <cell r="L333">
            <v>-245.78</v>
          </cell>
          <cell r="M333">
            <v>-245.78</v>
          </cell>
          <cell r="N333" t="str">
            <v>indiretto</v>
          </cell>
          <cell r="O333">
            <v>7</v>
          </cell>
          <cell r="P333">
            <v>1193061</v>
          </cell>
          <cell r="Q333" t="str">
            <v>0.545393</v>
          </cell>
          <cell r="R333" t="str">
            <v>0.185433</v>
          </cell>
          <cell r="S333" t="str">
            <v>NO</v>
          </cell>
          <cell r="T333" t="str">
            <v>DELIBERAZIONE EGATO 11 27/03/2019</v>
          </cell>
        </row>
        <row r="334">
          <cell r="D334" t="str">
            <v>C313018</v>
          </cell>
          <cell r="E334">
            <v>46143</v>
          </cell>
          <cell r="F334">
            <v>46507</v>
          </cell>
          <cell r="G334">
            <v>46179</v>
          </cell>
          <cell r="H334">
            <v>46179</v>
          </cell>
          <cell r="J334" t="str">
            <v>004078</v>
          </cell>
          <cell r="K334">
            <v>-33.130000000000003</v>
          </cell>
          <cell r="L334">
            <v>-33.130000000000003</v>
          </cell>
          <cell r="M334">
            <v>-33.130000000000003</v>
          </cell>
          <cell r="N334" t="str">
            <v>indiretto</v>
          </cell>
          <cell r="O334">
            <v>1</v>
          </cell>
          <cell r="P334" t="str">
            <v>0.916558</v>
          </cell>
          <cell r="Q334" t="str">
            <v>0.642623</v>
          </cell>
          <cell r="R334" t="str">
            <v>0.256196</v>
          </cell>
          <cell r="S334" t="str">
            <v>NO</v>
          </cell>
          <cell r="T334" t="str">
            <v>DELIBERAZIONE EGATO 29 19/12/2018</v>
          </cell>
        </row>
        <row r="335">
          <cell r="D335" t="str">
            <v>C344205</v>
          </cell>
          <cell r="E335">
            <v>46143</v>
          </cell>
          <cell r="F335">
            <v>46507</v>
          </cell>
          <cell r="G335">
            <v>46179</v>
          </cell>
          <cell r="H335">
            <v>46179</v>
          </cell>
          <cell r="J335" t="str">
            <v>004171</v>
          </cell>
          <cell r="K335">
            <v>-18.16</v>
          </cell>
          <cell r="L335">
            <v>-18.16</v>
          </cell>
          <cell r="M335">
            <v>-18.16</v>
          </cell>
          <cell r="N335" t="str">
            <v>indiretto</v>
          </cell>
          <cell r="O335">
            <v>1</v>
          </cell>
          <cell r="P335" t="str">
            <v>0.483220</v>
          </cell>
          <cell r="Q335" t="str">
            <v>0.350215</v>
          </cell>
          <cell r="R335" t="str">
            <v>0.161638</v>
          </cell>
          <cell r="S335" t="str">
            <v>NO</v>
          </cell>
          <cell r="T335" t="str">
            <v>DELIBERAZIONE EGATO 23 16/11/2020</v>
          </cell>
        </row>
        <row r="336">
          <cell r="D336" t="str">
            <v>C344264</v>
          </cell>
          <cell r="E336">
            <v>46143</v>
          </cell>
          <cell r="F336">
            <v>46507</v>
          </cell>
          <cell r="G336">
            <v>46179</v>
          </cell>
          <cell r="H336">
            <v>46179</v>
          </cell>
          <cell r="J336" t="str">
            <v>004114</v>
          </cell>
          <cell r="K336">
            <v>-165.65</v>
          </cell>
          <cell r="L336">
            <v>-165.65</v>
          </cell>
          <cell r="M336">
            <v>-165.65</v>
          </cell>
          <cell r="N336" t="str">
            <v>indiretto</v>
          </cell>
          <cell r="O336">
            <v>5</v>
          </cell>
          <cell r="P336" t="str">
            <v>0.916558</v>
          </cell>
          <cell r="Q336" t="str">
            <v>0.642623</v>
          </cell>
          <cell r="R336" t="str">
            <v>0.256196</v>
          </cell>
          <cell r="S336" t="str">
            <v>NO</v>
          </cell>
          <cell r="T336" t="str">
            <v>DELIBERAZIONE EGATO 29 19/12/2018</v>
          </cell>
        </row>
        <row r="337">
          <cell r="D337" t="str">
            <v>C337527</v>
          </cell>
          <cell r="E337">
            <v>46143</v>
          </cell>
          <cell r="F337">
            <v>46507</v>
          </cell>
          <cell r="G337">
            <v>46179</v>
          </cell>
          <cell r="H337">
            <v>46179</v>
          </cell>
          <cell r="J337" t="str">
            <v>004192</v>
          </cell>
          <cell r="K337">
            <v>-33.130000000000003</v>
          </cell>
          <cell r="L337">
            <v>-33.130000000000003</v>
          </cell>
          <cell r="M337">
            <v>-33.130000000000003</v>
          </cell>
          <cell r="N337" t="str">
            <v>indiretto</v>
          </cell>
          <cell r="O337">
            <v>1</v>
          </cell>
          <cell r="P337" t="str">
            <v>0.916558</v>
          </cell>
          <cell r="Q337" t="str">
            <v>0.642623</v>
          </cell>
          <cell r="R337" t="str">
            <v>0.256196</v>
          </cell>
          <cell r="S337" t="str">
            <v>NO</v>
          </cell>
          <cell r="T337" t="str">
            <v>DELIBERAZIONE EGATO 29 19/12/2018</v>
          </cell>
        </row>
        <row r="338">
          <cell r="D338" t="str">
            <v>C313730</v>
          </cell>
          <cell r="E338">
            <v>46143</v>
          </cell>
          <cell r="F338">
            <v>46507</v>
          </cell>
          <cell r="G338">
            <v>46179</v>
          </cell>
          <cell r="H338">
            <v>46179</v>
          </cell>
          <cell r="J338" t="str">
            <v>004066</v>
          </cell>
          <cell r="K338">
            <v>-132.52000000000001</v>
          </cell>
          <cell r="L338">
            <v>-132.52000000000001</v>
          </cell>
          <cell r="M338">
            <v>-132.52000000000001</v>
          </cell>
          <cell r="N338" t="str">
            <v>indiretto</v>
          </cell>
          <cell r="O338">
            <v>4</v>
          </cell>
          <cell r="P338" t="str">
            <v>0.916558</v>
          </cell>
          <cell r="Q338" t="str">
            <v>0.642623</v>
          </cell>
          <cell r="R338" t="str">
            <v>0.256196</v>
          </cell>
          <cell r="S338" t="str">
            <v>NO</v>
          </cell>
          <cell r="T338" t="str">
            <v>DELIBERAZIONE EGATO 29 19/12/2018</v>
          </cell>
        </row>
        <row r="339">
          <cell r="D339" t="str">
            <v>C320245</v>
          </cell>
          <cell r="E339">
            <v>46143</v>
          </cell>
          <cell r="F339">
            <v>46507</v>
          </cell>
          <cell r="G339">
            <v>46179</v>
          </cell>
          <cell r="H339">
            <v>46179</v>
          </cell>
          <cell r="J339" t="str">
            <v>004078</v>
          </cell>
          <cell r="K339">
            <v>-33.130000000000003</v>
          </cell>
          <cell r="L339">
            <v>-33.130000000000003</v>
          </cell>
          <cell r="M339">
            <v>-33.130000000000003</v>
          </cell>
          <cell r="N339" t="str">
            <v>indiretto</v>
          </cell>
          <cell r="O339">
            <v>1</v>
          </cell>
          <cell r="P339" t="str">
            <v>0.916558</v>
          </cell>
          <cell r="Q339" t="str">
            <v>0.642623</v>
          </cell>
          <cell r="R339" t="str">
            <v>0.256196</v>
          </cell>
          <cell r="S339" t="str">
            <v>NO</v>
          </cell>
          <cell r="T339" t="str">
            <v>DELIBERAZIONE EGATO 29 19/12/2018</v>
          </cell>
        </row>
        <row r="340">
          <cell r="D340" t="str">
            <v>C307598</v>
          </cell>
          <cell r="E340">
            <v>46143</v>
          </cell>
          <cell r="F340">
            <v>46507</v>
          </cell>
          <cell r="G340">
            <v>46179</v>
          </cell>
          <cell r="H340">
            <v>46179</v>
          </cell>
          <cell r="J340" t="str">
            <v>004040</v>
          </cell>
          <cell r="K340">
            <v>-33.130000000000003</v>
          </cell>
          <cell r="L340">
            <v>-33.130000000000003</v>
          </cell>
          <cell r="M340">
            <v>-33.130000000000003</v>
          </cell>
          <cell r="N340" t="str">
            <v>indiretto</v>
          </cell>
          <cell r="O340">
            <v>1</v>
          </cell>
          <cell r="P340" t="str">
            <v>0.916558</v>
          </cell>
          <cell r="Q340" t="str">
            <v>0.642623</v>
          </cell>
          <cell r="R340" t="str">
            <v>0.256196</v>
          </cell>
          <cell r="S340" t="str">
            <v>NO</v>
          </cell>
          <cell r="T340" t="str">
            <v>DELIBERAZIONE EGATO 29 19/12/2018</v>
          </cell>
        </row>
        <row r="341">
          <cell r="D341" t="str">
            <v>C311884</v>
          </cell>
          <cell r="E341">
            <v>46143</v>
          </cell>
          <cell r="F341">
            <v>46507</v>
          </cell>
          <cell r="G341">
            <v>46179</v>
          </cell>
          <cell r="H341">
            <v>46179</v>
          </cell>
          <cell r="J341" t="str">
            <v>004041</v>
          </cell>
          <cell r="K341">
            <v>-132.52000000000001</v>
          </cell>
          <cell r="L341">
            <v>-132.52000000000001</v>
          </cell>
          <cell r="M341">
            <v>-132.52000000000001</v>
          </cell>
          <cell r="N341" t="str">
            <v>indiretto</v>
          </cell>
          <cell r="O341">
            <v>4</v>
          </cell>
          <cell r="P341" t="str">
            <v>0.916558</v>
          </cell>
          <cell r="Q341" t="str">
            <v>0.642623</v>
          </cell>
          <cell r="R341" t="str">
            <v>0.256196</v>
          </cell>
          <cell r="S341" t="str">
            <v>NO</v>
          </cell>
          <cell r="T341" t="str">
            <v>DELIBERAZIONE EGATO 29 19/12/2018</v>
          </cell>
        </row>
        <row r="342">
          <cell r="D342" t="str">
            <v>C321389</v>
          </cell>
          <cell r="E342">
            <v>46143</v>
          </cell>
          <cell r="F342">
            <v>46507</v>
          </cell>
          <cell r="G342">
            <v>46179</v>
          </cell>
          <cell r="H342">
            <v>46179</v>
          </cell>
          <cell r="J342" t="str">
            <v>004095</v>
          </cell>
          <cell r="K342">
            <v>-89.45</v>
          </cell>
          <cell r="L342">
            <v>-89.45</v>
          </cell>
          <cell r="M342">
            <v>-89.45</v>
          </cell>
          <cell r="N342" t="str">
            <v>indiretto</v>
          </cell>
          <cell r="O342">
            <v>3</v>
          </cell>
          <cell r="P342" t="str">
            <v>0.824903</v>
          </cell>
          <cell r="Q342" t="str">
            <v>0.578360</v>
          </cell>
          <cell r="R342" t="str">
            <v>0.230576</v>
          </cell>
          <cell r="S342" t="str">
            <v>NO</v>
          </cell>
          <cell r="T342" t="str">
            <v>DELIBERAZIONE EGATO 29 19/12/2018</v>
          </cell>
        </row>
        <row r="343">
          <cell r="D343" t="str">
            <v>C122055</v>
          </cell>
          <cell r="E343">
            <v>46143</v>
          </cell>
          <cell r="F343">
            <v>46507</v>
          </cell>
          <cell r="G343">
            <v>46179</v>
          </cell>
          <cell r="H343">
            <v>46179</v>
          </cell>
          <cell r="J343" t="str">
            <v>004085</v>
          </cell>
          <cell r="K343">
            <v>-149.09</v>
          </cell>
          <cell r="L343">
            <v>-149.09</v>
          </cell>
          <cell r="M343">
            <v>-149.09</v>
          </cell>
          <cell r="N343" t="str">
            <v>indiretto</v>
          </cell>
          <cell r="O343">
            <v>5</v>
          </cell>
          <cell r="P343" t="str">
            <v>0.824903</v>
          </cell>
          <cell r="Q343" t="str">
            <v>0.578360</v>
          </cell>
          <cell r="R343" t="str">
            <v>0.230576</v>
          </cell>
          <cell r="S343" t="str">
            <v>NO</v>
          </cell>
          <cell r="T343" t="str">
            <v>DELIBERAZIONE EGATO 29 19/12/2018</v>
          </cell>
        </row>
        <row r="344">
          <cell r="D344" t="str">
            <v>C344160</v>
          </cell>
          <cell r="E344">
            <v>46143</v>
          </cell>
          <cell r="F344">
            <v>46507</v>
          </cell>
          <cell r="G344">
            <v>46179</v>
          </cell>
          <cell r="H344">
            <v>46179</v>
          </cell>
          <cell r="J344" t="str">
            <v>004249</v>
          </cell>
          <cell r="K344">
            <v>-13.29</v>
          </cell>
          <cell r="L344">
            <v>-13.29</v>
          </cell>
          <cell r="M344">
            <v>-13.29</v>
          </cell>
          <cell r="N344" t="str">
            <v>indiretto</v>
          </cell>
          <cell r="O344">
            <v>1</v>
          </cell>
          <cell r="P344" t="str">
            <v>0.222532</v>
          </cell>
          <cell r="Q344" t="str">
            <v>0.366671</v>
          </cell>
          <cell r="R344" t="str">
            <v>0.139082</v>
          </cell>
          <cell r="S344" t="str">
            <v>NO</v>
          </cell>
          <cell r="T344" t="str">
            <v>DELIBERAZIONE EGATO 4 23/02/2023</v>
          </cell>
        </row>
        <row r="345">
          <cell r="D345" t="str">
            <v>C314180</v>
          </cell>
          <cell r="E345">
            <v>46143</v>
          </cell>
          <cell r="F345">
            <v>46507</v>
          </cell>
          <cell r="G345">
            <v>46179</v>
          </cell>
          <cell r="H345">
            <v>46179</v>
          </cell>
          <cell r="J345" t="str">
            <v>004078</v>
          </cell>
          <cell r="K345">
            <v>-33.130000000000003</v>
          </cell>
          <cell r="L345">
            <v>-33.130000000000003</v>
          </cell>
          <cell r="M345">
            <v>-33.130000000000003</v>
          </cell>
          <cell r="N345" t="str">
            <v>indiretto</v>
          </cell>
          <cell r="O345">
            <v>1</v>
          </cell>
          <cell r="P345" t="str">
            <v>0.916558</v>
          </cell>
          <cell r="Q345" t="str">
            <v>0.642623</v>
          </cell>
          <cell r="R345" t="str">
            <v>0.256196</v>
          </cell>
          <cell r="S345" t="str">
            <v>NO</v>
          </cell>
          <cell r="T345" t="str">
            <v>DELIBERAZIONE EGATO 29 19/12/2018</v>
          </cell>
        </row>
        <row r="346">
          <cell r="D346" t="str">
            <v>C312763</v>
          </cell>
          <cell r="E346">
            <v>46143</v>
          </cell>
          <cell r="F346">
            <v>46507</v>
          </cell>
          <cell r="G346">
            <v>46179</v>
          </cell>
          <cell r="H346">
            <v>46179</v>
          </cell>
          <cell r="J346" t="str">
            <v>004009</v>
          </cell>
          <cell r="K346">
            <v>-24.62</v>
          </cell>
          <cell r="L346">
            <v>-24.62</v>
          </cell>
          <cell r="M346">
            <v>-24.62</v>
          </cell>
          <cell r="N346" t="str">
            <v>indiretto</v>
          </cell>
          <cell r="O346">
            <v>1</v>
          </cell>
          <cell r="P346" t="str">
            <v>0.716943</v>
          </cell>
          <cell r="Q346" t="str">
            <v>0.463071</v>
          </cell>
          <cell r="R346" t="str">
            <v>0.169064</v>
          </cell>
          <cell r="S346" t="str">
            <v>NO</v>
          </cell>
          <cell r="T346" t="str">
            <v>DELIBERAZIONE EGATO 2 04/02/2019</v>
          </cell>
        </row>
        <row r="347">
          <cell r="D347" t="str">
            <v>C344161</v>
          </cell>
          <cell r="E347">
            <v>46143</v>
          </cell>
          <cell r="F347">
            <v>46507</v>
          </cell>
          <cell r="G347">
            <v>46179</v>
          </cell>
          <cell r="H347">
            <v>46179</v>
          </cell>
          <cell r="J347" t="str">
            <v>004130</v>
          </cell>
          <cell r="K347">
            <v>-131.29</v>
          </cell>
          <cell r="L347">
            <v>-131.29</v>
          </cell>
          <cell r="M347">
            <v>-131.29</v>
          </cell>
          <cell r="N347" t="str">
            <v>indiretto</v>
          </cell>
          <cell r="O347">
            <v>5</v>
          </cell>
          <cell r="P347" t="str">
            <v>0.545182</v>
          </cell>
          <cell r="Q347" t="str">
            <v>0.611443</v>
          </cell>
          <cell r="R347" t="str">
            <v>0.282207</v>
          </cell>
          <cell r="S347" t="str">
            <v>NO</v>
          </cell>
          <cell r="T347" t="str">
            <v>DELIBERA EGATO N.29 DEL 19/12/2018</v>
          </cell>
        </row>
        <row r="348">
          <cell r="D348" t="str">
            <v>C344141</v>
          </cell>
          <cell r="E348">
            <v>46143</v>
          </cell>
          <cell r="F348">
            <v>46507</v>
          </cell>
          <cell r="G348">
            <v>46179</v>
          </cell>
          <cell r="H348">
            <v>46179</v>
          </cell>
          <cell r="J348" t="str">
            <v>004130</v>
          </cell>
          <cell r="K348">
            <v>-131.29</v>
          </cell>
          <cell r="L348">
            <v>-131.29</v>
          </cell>
          <cell r="M348">
            <v>-131.29</v>
          </cell>
          <cell r="N348" t="str">
            <v>indiretto</v>
          </cell>
          <cell r="O348">
            <v>5</v>
          </cell>
          <cell r="P348" t="str">
            <v>0.545182</v>
          </cell>
          <cell r="Q348" t="str">
            <v>0.611443</v>
          </cell>
          <cell r="R348" t="str">
            <v>0.282207</v>
          </cell>
          <cell r="S348" t="str">
            <v>NO</v>
          </cell>
          <cell r="T348" t="str">
            <v>DELIBERA EGATO N.29 DEL 19/12/2018</v>
          </cell>
        </row>
        <row r="349">
          <cell r="D349" t="str">
            <v>C344102</v>
          </cell>
          <cell r="E349">
            <v>46143</v>
          </cell>
          <cell r="F349">
            <v>46507</v>
          </cell>
          <cell r="G349">
            <v>46179</v>
          </cell>
          <cell r="H349">
            <v>46179</v>
          </cell>
          <cell r="J349" t="str">
            <v>004078</v>
          </cell>
          <cell r="K349">
            <v>-33.130000000000003</v>
          </cell>
          <cell r="L349">
            <v>-33.130000000000003</v>
          </cell>
          <cell r="M349">
            <v>-33.130000000000003</v>
          </cell>
          <cell r="N349" t="str">
            <v>indiretto</v>
          </cell>
          <cell r="O349">
            <v>1</v>
          </cell>
          <cell r="P349" t="str">
            <v>0.916558</v>
          </cell>
          <cell r="Q349" t="str">
            <v>0.642623</v>
          </cell>
          <cell r="R349" t="str">
            <v>0.256196</v>
          </cell>
          <cell r="S349" t="str">
            <v>NO</v>
          </cell>
          <cell r="T349" t="str">
            <v>DELIBERAZIONE EGATO 29 19/12/2018</v>
          </cell>
        </row>
        <row r="350">
          <cell r="D350" t="str">
            <v>C321090</v>
          </cell>
          <cell r="E350">
            <v>46143</v>
          </cell>
          <cell r="F350">
            <v>46507</v>
          </cell>
          <cell r="G350">
            <v>46179</v>
          </cell>
          <cell r="H350">
            <v>46179</v>
          </cell>
          <cell r="J350" t="str">
            <v>004043</v>
          </cell>
          <cell r="K350">
            <v>-77.319999999999993</v>
          </cell>
          <cell r="L350">
            <v>-77.319999999999993</v>
          </cell>
          <cell r="M350">
            <v>-77.319999999999993</v>
          </cell>
          <cell r="N350" t="str">
            <v>indiretto</v>
          </cell>
          <cell r="O350">
            <v>2</v>
          </cell>
          <cell r="P350">
            <v>1091278</v>
          </cell>
          <cell r="Q350" t="str">
            <v>0.730790</v>
          </cell>
          <cell r="R350" t="str">
            <v>0.296264</v>
          </cell>
          <cell r="S350" t="str">
            <v>NO</v>
          </cell>
          <cell r="T350" t="str">
            <v>DELIBERAZIONE EGATO 2 04/02/2019</v>
          </cell>
        </row>
        <row r="351">
          <cell r="D351" t="str">
            <v>C344103</v>
          </cell>
          <cell r="E351">
            <v>46143</v>
          </cell>
          <cell r="F351">
            <v>46507</v>
          </cell>
          <cell r="G351">
            <v>46179</v>
          </cell>
          <cell r="H351">
            <v>46179</v>
          </cell>
          <cell r="J351" t="str">
            <v>004245</v>
          </cell>
          <cell r="K351">
            <v>-26.26</v>
          </cell>
          <cell r="L351">
            <v>-26.26</v>
          </cell>
          <cell r="M351">
            <v>-26.26</v>
          </cell>
          <cell r="N351" t="str">
            <v>indiretto</v>
          </cell>
          <cell r="O351">
            <v>1</v>
          </cell>
          <cell r="P351" t="str">
            <v>0.545182</v>
          </cell>
          <cell r="Q351" t="str">
            <v>0.611443</v>
          </cell>
          <cell r="R351" t="str">
            <v>0.282207</v>
          </cell>
          <cell r="S351" t="str">
            <v>NO</v>
          </cell>
          <cell r="T351" t="str">
            <v>DELIBERA EGATO N.29 DEL 19/12/2018</v>
          </cell>
        </row>
        <row r="352">
          <cell r="D352" t="str">
            <v>C344233</v>
          </cell>
          <cell r="E352">
            <v>46143</v>
          </cell>
          <cell r="F352">
            <v>46507</v>
          </cell>
          <cell r="G352">
            <v>46179</v>
          </cell>
          <cell r="H352">
            <v>46179</v>
          </cell>
          <cell r="J352" t="str">
            <v>004078</v>
          </cell>
          <cell r="K352">
            <v>-66.260000000000005</v>
          </cell>
          <cell r="L352">
            <v>-66.260000000000005</v>
          </cell>
          <cell r="M352">
            <v>-66.260000000000005</v>
          </cell>
          <cell r="N352" t="str">
            <v>indiretto</v>
          </cell>
          <cell r="O352">
            <v>2</v>
          </cell>
          <cell r="P352" t="str">
            <v>0.916558</v>
          </cell>
          <cell r="Q352" t="str">
            <v>0.642623</v>
          </cell>
          <cell r="R352" t="str">
            <v>0.256196</v>
          </cell>
          <cell r="S352" t="str">
            <v>NO</v>
          </cell>
          <cell r="T352" t="str">
            <v>DELIBERAZIONE EGATO 29 19/12/2018</v>
          </cell>
        </row>
        <row r="353">
          <cell r="D353" t="str">
            <v>C121913</v>
          </cell>
          <cell r="E353">
            <v>46143</v>
          </cell>
          <cell r="F353">
            <v>46507</v>
          </cell>
          <cell r="G353">
            <v>46179</v>
          </cell>
          <cell r="H353">
            <v>46179</v>
          </cell>
          <cell r="J353" t="str">
            <v>004034</v>
          </cell>
          <cell r="K353">
            <v>-165.65</v>
          </cell>
          <cell r="L353">
            <v>-165.65</v>
          </cell>
          <cell r="M353">
            <v>-165.65</v>
          </cell>
          <cell r="N353" t="str">
            <v>indiretto</v>
          </cell>
          <cell r="O353">
            <v>5</v>
          </cell>
          <cell r="P353" t="str">
            <v>0.916558</v>
          </cell>
          <cell r="Q353" t="str">
            <v>0.642623</v>
          </cell>
          <cell r="R353" t="str">
            <v>0.256196</v>
          </cell>
          <cell r="S353" t="str">
            <v>NO</v>
          </cell>
          <cell r="T353" t="str">
            <v>DELIBERAZIONE EGATO 29 19/12/2018</v>
          </cell>
        </row>
        <row r="354">
          <cell r="D354" t="str">
            <v>C307596</v>
          </cell>
          <cell r="E354">
            <v>46143</v>
          </cell>
          <cell r="F354">
            <v>46507</v>
          </cell>
          <cell r="G354">
            <v>46179</v>
          </cell>
          <cell r="H354">
            <v>46179</v>
          </cell>
          <cell r="J354" t="str">
            <v>004022</v>
          </cell>
          <cell r="K354">
            <v>-198.78</v>
          </cell>
          <cell r="L354">
            <v>-198.78</v>
          </cell>
          <cell r="M354">
            <v>-198.78</v>
          </cell>
          <cell r="N354" t="str">
            <v>indiretto</v>
          </cell>
          <cell r="O354">
            <v>6</v>
          </cell>
          <cell r="P354" t="str">
            <v>0.916558</v>
          </cell>
          <cell r="Q354" t="str">
            <v>0.642623</v>
          </cell>
          <cell r="R354" t="str">
            <v>0.256196</v>
          </cell>
          <cell r="S354" t="str">
            <v>NO</v>
          </cell>
          <cell r="T354" t="str">
            <v>DELIBERAZIONE EGATO 29 19/12/2018</v>
          </cell>
        </row>
        <row r="355">
          <cell r="D355" t="str">
            <v>C344276</v>
          </cell>
          <cell r="E355">
            <v>46143</v>
          </cell>
          <cell r="F355">
            <v>46507</v>
          </cell>
          <cell r="G355">
            <v>46179</v>
          </cell>
          <cell r="H355">
            <v>46179</v>
          </cell>
          <cell r="J355" t="str">
            <v>004040</v>
          </cell>
          <cell r="K355">
            <v>-132.52000000000001</v>
          </cell>
          <cell r="L355">
            <v>-132.52000000000001</v>
          </cell>
          <cell r="M355">
            <v>-132.52000000000001</v>
          </cell>
          <cell r="N355" t="str">
            <v>indiretto</v>
          </cell>
          <cell r="O355">
            <v>4</v>
          </cell>
          <cell r="P355" t="str">
            <v>0.916558</v>
          </cell>
          <cell r="Q355" t="str">
            <v>0.642623</v>
          </cell>
          <cell r="R355" t="str">
            <v>0.256196</v>
          </cell>
          <cell r="S355" t="str">
            <v>NO</v>
          </cell>
          <cell r="T355" t="str">
            <v>DELIBERAZIONE EGATO 29 19/12/2018</v>
          </cell>
        </row>
        <row r="356">
          <cell r="D356" t="str">
            <v>C344282</v>
          </cell>
          <cell r="E356">
            <v>46143</v>
          </cell>
          <cell r="F356">
            <v>46507</v>
          </cell>
          <cell r="G356">
            <v>46179</v>
          </cell>
          <cell r="H356">
            <v>46179</v>
          </cell>
          <cell r="J356" t="str">
            <v>004130</v>
          </cell>
          <cell r="K356">
            <v>-105.03</v>
          </cell>
          <cell r="L356">
            <v>-105.03</v>
          </cell>
          <cell r="M356">
            <v>-105.03</v>
          </cell>
          <cell r="N356" t="str">
            <v>indiretto</v>
          </cell>
          <cell r="O356">
            <v>4</v>
          </cell>
          <cell r="P356" t="str">
            <v>0.545182</v>
          </cell>
          <cell r="Q356" t="str">
            <v>0.611443</v>
          </cell>
          <cell r="R356" t="str">
            <v>0.282207</v>
          </cell>
          <cell r="S356" t="str">
            <v>NO</v>
          </cell>
          <cell r="T356" t="str">
            <v>DELIBERA EGATO N.29 DEL 19/12/2018</v>
          </cell>
        </row>
        <row r="357">
          <cell r="D357" t="str">
            <v>C309918</v>
          </cell>
          <cell r="E357">
            <v>46143</v>
          </cell>
          <cell r="F357">
            <v>46507</v>
          </cell>
          <cell r="G357">
            <v>46179</v>
          </cell>
          <cell r="H357">
            <v>46179</v>
          </cell>
          <cell r="J357" t="str">
            <v>004034</v>
          </cell>
          <cell r="K357">
            <v>-33.130000000000003</v>
          </cell>
          <cell r="L357">
            <v>-33.130000000000003</v>
          </cell>
          <cell r="M357">
            <v>-33.130000000000003</v>
          </cell>
          <cell r="N357" t="str">
            <v>indiretto</v>
          </cell>
          <cell r="O357">
            <v>1</v>
          </cell>
          <cell r="P357" t="str">
            <v>0.916558</v>
          </cell>
          <cell r="Q357" t="str">
            <v>0.642623</v>
          </cell>
          <cell r="R357" t="str">
            <v>0.256196</v>
          </cell>
          <cell r="S357" t="str">
            <v>NO</v>
          </cell>
          <cell r="T357" t="str">
            <v>DELIBERAZIONE EGATO 29 19/12/2018</v>
          </cell>
        </row>
        <row r="358">
          <cell r="D358" t="str">
            <v>C344101</v>
          </cell>
          <cell r="E358">
            <v>46143</v>
          </cell>
          <cell r="F358">
            <v>46507</v>
          </cell>
          <cell r="G358">
            <v>46179</v>
          </cell>
          <cell r="H358">
            <v>46179</v>
          </cell>
          <cell r="J358" t="str">
            <v>004009</v>
          </cell>
          <cell r="K358">
            <v>-24.62</v>
          </cell>
          <cell r="L358">
            <v>-24.62</v>
          </cell>
          <cell r="M358">
            <v>-24.62</v>
          </cell>
          <cell r="N358" t="str">
            <v>indiretto</v>
          </cell>
          <cell r="O358">
            <v>1</v>
          </cell>
          <cell r="P358" t="str">
            <v>0.716943</v>
          </cell>
          <cell r="Q358" t="str">
            <v>0.463071</v>
          </cell>
          <cell r="R358" t="str">
            <v>0.169064</v>
          </cell>
          <cell r="S358" t="str">
            <v>NO</v>
          </cell>
          <cell r="T358" t="str">
            <v>DELIBERAZIONE EGATO 2 04/02/2019</v>
          </cell>
        </row>
        <row r="359">
          <cell r="D359" t="str">
            <v>C344232</v>
          </cell>
          <cell r="E359">
            <v>46143</v>
          </cell>
          <cell r="F359">
            <v>46507</v>
          </cell>
          <cell r="G359">
            <v>46179</v>
          </cell>
          <cell r="H359">
            <v>46179</v>
          </cell>
          <cell r="J359" t="str">
            <v>004078</v>
          </cell>
          <cell r="K359">
            <v>-99.39</v>
          </cell>
          <cell r="L359">
            <v>-99.39</v>
          </cell>
          <cell r="M359">
            <v>-99.39</v>
          </cell>
          <cell r="N359" t="str">
            <v>indiretto</v>
          </cell>
          <cell r="O359">
            <v>3</v>
          </cell>
          <cell r="P359" t="str">
            <v>0.916558</v>
          </cell>
          <cell r="Q359" t="str">
            <v>0.642623</v>
          </cell>
          <cell r="R359" t="str">
            <v>0.256196</v>
          </cell>
          <cell r="S359" t="str">
            <v>NO</v>
          </cell>
          <cell r="T359" t="str">
            <v>DELIBERAZIONE EGATO 29 19/12/2018</v>
          </cell>
        </row>
        <row r="360">
          <cell r="D360" t="str">
            <v>C121009</v>
          </cell>
          <cell r="E360">
            <v>46143</v>
          </cell>
          <cell r="F360">
            <v>46507</v>
          </cell>
          <cell r="G360">
            <v>46179</v>
          </cell>
          <cell r="H360">
            <v>46179</v>
          </cell>
          <cell r="J360" t="str">
            <v>004078</v>
          </cell>
          <cell r="K360">
            <v>-33.130000000000003</v>
          </cell>
          <cell r="L360">
            <v>-33.130000000000003</v>
          </cell>
          <cell r="M360">
            <v>-33.130000000000003</v>
          </cell>
          <cell r="N360" t="str">
            <v>indiretto</v>
          </cell>
          <cell r="O360">
            <v>1</v>
          </cell>
          <cell r="P360" t="str">
            <v>0.916558</v>
          </cell>
          <cell r="Q360" t="str">
            <v>0.642623</v>
          </cell>
          <cell r="R360" t="str">
            <v>0.256196</v>
          </cell>
          <cell r="S360" t="str">
            <v>NO</v>
          </cell>
          <cell r="T360" t="str">
            <v>DELIBERAZIONE EGATO 29 19/12/2018</v>
          </cell>
        </row>
        <row r="361">
          <cell r="D361" t="str">
            <v>C313188</v>
          </cell>
          <cell r="E361">
            <v>46143</v>
          </cell>
          <cell r="F361">
            <v>46507</v>
          </cell>
          <cell r="G361">
            <v>46179</v>
          </cell>
          <cell r="H361">
            <v>46179</v>
          </cell>
          <cell r="J361" t="str">
            <v>004191</v>
          </cell>
          <cell r="K361">
            <v>-119.27</v>
          </cell>
          <cell r="L361">
            <v>-119.27</v>
          </cell>
          <cell r="M361">
            <v>-119.27</v>
          </cell>
          <cell r="N361" t="str">
            <v>indiretto</v>
          </cell>
          <cell r="O361">
            <v>4</v>
          </cell>
          <cell r="P361" t="str">
            <v>0.824903</v>
          </cell>
          <cell r="Q361" t="str">
            <v>0.578360</v>
          </cell>
          <cell r="R361" t="str">
            <v>0.230576</v>
          </cell>
          <cell r="S361" t="str">
            <v>NO</v>
          </cell>
          <cell r="T361" t="str">
            <v>DELIBERAZIONE EGATO 29 19/12/2018</v>
          </cell>
        </row>
        <row r="362">
          <cell r="D362" t="str">
            <v>C310328</v>
          </cell>
          <cell r="E362">
            <v>46143</v>
          </cell>
          <cell r="F362">
            <v>46507</v>
          </cell>
          <cell r="G362">
            <v>46179</v>
          </cell>
          <cell r="H362">
            <v>46179</v>
          </cell>
          <cell r="J362" t="str">
            <v>004121</v>
          </cell>
          <cell r="K362">
            <v>-50.97</v>
          </cell>
          <cell r="L362">
            <v>-50.97</v>
          </cell>
          <cell r="M362">
            <v>-50.97</v>
          </cell>
          <cell r="N362" t="str">
            <v>indiretto</v>
          </cell>
          <cell r="O362">
            <v>4</v>
          </cell>
          <cell r="P362" t="str">
            <v>0.225322</v>
          </cell>
          <cell r="Q362" t="str">
            <v>0.352946</v>
          </cell>
          <cell r="R362" t="str">
            <v>0.120001</v>
          </cell>
          <cell r="S362" t="str">
            <v>NO</v>
          </cell>
          <cell r="T362" t="str">
            <v>DELIBERAZIONE EGATO 2 04/02/2019</v>
          </cell>
        </row>
        <row r="363">
          <cell r="D363" t="str">
            <v>C344275</v>
          </cell>
          <cell r="E363">
            <v>46143</v>
          </cell>
          <cell r="F363">
            <v>46507</v>
          </cell>
          <cell r="G363">
            <v>46179</v>
          </cell>
          <cell r="H363">
            <v>46179</v>
          </cell>
          <cell r="J363" t="str">
            <v>004009</v>
          </cell>
          <cell r="K363">
            <v>-24.62</v>
          </cell>
          <cell r="L363">
            <v>-24.62</v>
          </cell>
          <cell r="M363">
            <v>-24.62</v>
          </cell>
          <cell r="N363" t="str">
            <v>indiretto</v>
          </cell>
          <cell r="O363">
            <v>1</v>
          </cell>
          <cell r="P363" t="str">
            <v>0.716943</v>
          </cell>
          <cell r="Q363" t="str">
            <v>0.463071</v>
          </cell>
          <cell r="R363" t="str">
            <v>0.169064</v>
          </cell>
          <cell r="S363" t="str">
            <v>NO</v>
          </cell>
          <cell r="T363" t="str">
            <v>DELIBERAZIONE EGATO 2 04/02/2019</v>
          </cell>
        </row>
        <row r="364">
          <cell r="D364" t="str">
            <v>C317294</v>
          </cell>
          <cell r="E364">
            <v>46143</v>
          </cell>
          <cell r="F364">
            <v>46507</v>
          </cell>
          <cell r="G364">
            <v>46179</v>
          </cell>
          <cell r="H364">
            <v>46179</v>
          </cell>
          <cell r="J364" t="str">
            <v>004213</v>
          </cell>
          <cell r="K364">
            <v>-89.8</v>
          </cell>
          <cell r="L364">
            <v>-89.8</v>
          </cell>
          <cell r="M364">
            <v>-89.8</v>
          </cell>
          <cell r="N364" t="str">
            <v>indiretto</v>
          </cell>
          <cell r="O364">
            <v>3</v>
          </cell>
          <cell r="P364" t="str">
            <v>0.633304</v>
          </cell>
          <cell r="Q364" t="str">
            <v>0.746975</v>
          </cell>
          <cell r="R364" t="str">
            <v>0.259818</v>
          </cell>
          <cell r="S364" t="str">
            <v>NO</v>
          </cell>
          <cell r="T364" t="str">
            <v>DELIBERA EGATO 12 22/04/21</v>
          </cell>
        </row>
        <row r="365">
          <cell r="D365" t="str">
            <v>C122498</v>
          </cell>
          <cell r="E365">
            <v>46143</v>
          </cell>
          <cell r="F365">
            <v>46507</v>
          </cell>
          <cell r="G365">
            <v>46179</v>
          </cell>
          <cell r="H365">
            <v>46179</v>
          </cell>
          <cell r="J365" t="str">
            <v>004078</v>
          </cell>
          <cell r="K365">
            <v>-132.52000000000001</v>
          </cell>
          <cell r="L365">
            <v>-132.52000000000001</v>
          </cell>
          <cell r="M365">
            <v>-132.52000000000001</v>
          </cell>
          <cell r="N365" t="str">
            <v>indiretto</v>
          </cell>
          <cell r="O365">
            <v>4</v>
          </cell>
          <cell r="P365" t="str">
            <v>0.916558</v>
          </cell>
          <cell r="Q365" t="str">
            <v>0.642623</v>
          </cell>
          <cell r="R365" t="str">
            <v>0.256196</v>
          </cell>
          <cell r="S365" t="str">
            <v>NO</v>
          </cell>
          <cell r="T365" t="str">
            <v>DELIBERAZIONE EGATO 29 19/12/2018</v>
          </cell>
        </row>
        <row r="366">
          <cell r="D366" t="str">
            <v>C313993</v>
          </cell>
          <cell r="E366">
            <v>46143</v>
          </cell>
          <cell r="F366">
            <v>46507</v>
          </cell>
          <cell r="G366">
            <v>46179</v>
          </cell>
          <cell r="H366">
            <v>46179</v>
          </cell>
          <cell r="J366" t="str">
            <v>004171</v>
          </cell>
          <cell r="K366">
            <v>-90.8</v>
          </cell>
          <cell r="L366">
            <v>-90.8</v>
          </cell>
          <cell r="M366">
            <v>-90.8</v>
          </cell>
          <cell r="N366" t="str">
            <v>indiretto</v>
          </cell>
          <cell r="O366">
            <v>5</v>
          </cell>
          <cell r="P366" t="str">
            <v>0.483220</v>
          </cell>
          <cell r="Q366" t="str">
            <v>0.350215</v>
          </cell>
          <cell r="R366" t="str">
            <v>0.161638</v>
          </cell>
          <cell r="S366" t="str">
            <v>NO</v>
          </cell>
          <cell r="T366" t="str">
            <v>DELIBERAZIONE EGATO 23 16/11/2020</v>
          </cell>
        </row>
        <row r="367">
          <cell r="D367" t="str">
            <v>C344100</v>
          </cell>
          <cell r="E367">
            <v>46143</v>
          </cell>
          <cell r="F367">
            <v>46507</v>
          </cell>
          <cell r="G367">
            <v>46179</v>
          </cell>
          <cell r="H367">
            <v>46179</v>
          </cell>
          <cell r="J367" t="str">
            <v>004130</v>
          </cell>
          <cell r="K367">
            <v>-131.29</v>
          </cell>
          <cell r="L367">
            <v>-131.29</v>
          </cell>
          <cell r="M367">
            <v>-131.29</v>
          </cell>
          <cell r="N367" t="str">
            <v>indiretto</v>
          </cell>
          <cell r="O367">
            <v>5</v>
          </cell>
          <cell r="P367" t="str">
            <v>0.545182</v>
          </cell>
          <cell r="Q367" t="str">
            <v>0.611443</v>
          </cell>
          <cell r="R367" t="str">
            <v>0.282207</v>
          </cell>
          <cell r="S367" t="str">
            <v>NO</v>
          </cell>
          <cell r="T367" t="str">
            <v>DELIBERA EGATO N.29 DEL 19/12/2018</v>
          </cell>
        </row>
        <row r="368">
          <cell r="D368" t="str">
            <v>C344281</v>
          </cell>
          <cell r="E368">
            <v>46143</v>
          </cell>
          <cell r="F368">
            <v>46507</v>
          </cell>
          <cell r="G368">
            <v>46179</v>
          </cell>
          <cell r="H368">
            <v>46179</v>
          </cell>
          <cell r="J368" t="str">
            <v>004025</v>
          </cell>
          <cell r="K368">
            <v>-66.260000000000005</v>
          </cell>
          <cell r="L368">
            <v>-66.260000000000005</v>
          </cell>
          <cell r="M368">
            <v>-66.260000000000005</v>
          </cell>
          <cell r="N368" t="str">
            <v>indiretto</v>
          </cell>
          <cell r="O368">
            <v>2</v>
          </cell>
          <cell r="P368" t="str">
            <v>0.916558</v>
          </cell>
          <cell r="Q368" t="str">
            <v>0.642623</v>
          </cell>
          <cell r="R368" t="str">
            <v>0.256196</v>
          </cell>
          <cell r="S368" t="str">
            <v>NO</v>
          </cell>
          <cell r="T368" t="str">
            <v>DELIBERAZIONE EGATO 29 19/12/2018</v>
          </cell>
        </row>
        <row r="369">
          <cell r="D369" t="str">
            <v>C314324</v>
          </cell>
          <cell r="E369">
            <v>46143</v>
          </cell>
          <cell r="F369">
            <v>46507</v>
          </cell>
          <cell r="G369">
            <v>46179</v>
          </cell>
          <cell r="H369">
            <v>46179</v>
          </cell>
          <cell r="J369" t="str">
            <v>004034</v>
          </cell>
          <cell r="K369">
            <v>-66.260000000000005</v>
          </cell>
          <cell r="L369">
            <v>-66.260000000000005</v>
          </cell>
          <cell r="M369">
            <v>-66.260000000000005</v>
          </cell>
          <cell r="N369" t="str">
            <v>indiretto</v>
          </cell>
          <cell r="O369">
            <v>2</v>
          </cell>
          <cell r="P369" t="str">
            <v>0.916558</v>
          </cell>
          <cell r="Q369" t="str">
            <v>0.642623</v>
          </cell>
          <cell r="R369" t="str">
            <v>0.256196</v>
          </cell>
          <cell r="S369" t="str">
            <v>NO</v>
          </cell>
          <cell r="T369" t="str">
            <v>DELIBERAZIONE EGATO 29 19/12/2018</v>
          </cell>
        </row>
        <row r="370">
          <cell r="D370" t="str">
            <v>C056092</v>
          </cell>
          <cell r="E370">
            <v>46143</v>
          </cell>
          <cell r="F370">
            <v>46507</v>
          </cell>
          <cell r="G370">
            <v>46179</v>
          </cell>
          <cell r="H370">
            <v>46179</v>
          </cell>
          <cell r="J370" t="str">
            <v>004192</v>
          </cell>
          <cell r="K370">
            <v>-33.130000000000003</v>
          </cell>
          <cell r="L370">
            <v>-33.130000000000003</v>
          </cell>
          <cell r="M370">
            <v>-33.130000000000003</v>
          </cell>
          <cell r="N370" t="str">
            <v>indiretto</v>
          </cell>
          <cell r="O370">
            <v>1</v>
          </cell>
          <cell r="P370" t="str">
            <v>0.916558</v>
          </cell>
          <cell r="Q370" t="str">
            <v>0.642623</v>
          </cell>
          <cell r="R370" t="str">
            <v>0.256196</v>
          </cell>
          <cell r="S370" t="str">
            <v>NO</v>
          </cell>
          <cell r="T370" t="str">
            <v>DELIBERAZIONE EGATO 29 19/12/2018</v>
          </cell>
        </row>
        <row r="371">
          <cell r="D371" t="str">
            <v>C344223</v>
          </cell>
          <cell r="E371">
            <v>46143</v>
          </cell>
          <cell r="F371">
            <v>46507</v>
          </cell>
          <cell r="G371">
            <v>46179</v>
          </cell>
          <cell r="H371">
            <v>46179</v>
          </cell>
          <cell r="J371" t="str">
            <v>004078</v>
          </cell>
          <cell r="K371">
            <v>-66.260000000000005</v>
          </cell>
          <cell r="L371">
            <v>-66.260000000000005</v>
          </cell>
          <cell r="M371">
            <v>-66.260000000000005</v>
          </cell>
          <cell r="N371" t="str">
            <v>indiretto</v>
          </cell>
          <cell r="O371">
            <v>2</v>
          </cell>
          <cell r="P371" t="str">
            <v>0.916558</v>
          </cell>
          <cell r="Q371" t="str">
            <v>0.642623</v>
          </cell>
          <cell r="R371" t="str">
            <v>0.256196</v>
          </cell>
          <cell r="S371" t="str">
            <v>NO</v>
          </cell>
          <cell r="T371" t="str">
            <v>DELIBERAZIONE EGATO 29 19/12/2018</v>
          </cell>
        </row>
        <row r="372">
          <cell r="D372" t="str">
            <v>C337711</v>
          </cell>
          <cell r="E372">
            <v>46143</v>
          </cell>
          <cell r="F372">
            <v>46507</v>
          </cell>
          <cell r="G372">
            <v>46179</v>
          </cell>
          <cell r="H372">
            <v>46179</v>
          </cell>
          <cell r="J372" t="str">
            <v>004078</v>
          </cell>
          <cell r="K372">
            <v>-99.39</v>
          </cell>
          <cell r="L372">
            <v>-99.39</v>
          </cell>
          <cell r="M372">
            <v>-99.39</v>
          </cell>
          <cell r="N372" t="str">
            <v>indiretto</v>
          </cell>
          <cell r="O372">
            <v>3</v>
          </cell>
          <cell r="P372" t="str">
            <v>0.916558</v>
          </cell>
          <cell r="Q372" t="str">
            <v>0.642623</v>
          </cell>
          <cell r="R372" t="str">
            <v>0.256196</v>
          </cell>
          <cell r="S372" t="str">
            <v>NO</v>
          </cell>
          <cell r="T372" t="str">
            <v>DELIBERAZIONE EGATO 29 19/12/2018</v>
          </cell>
        </row>
        <row r="373">
          <cell r="D373" t="str">
            <v>C344273</v>
          </cell>
          <cell r="E373">
            <v>46143</v>
          </cell>
          <cell r="F373">
            <v>46507</v>
          </cell>
          <cell r="G373">
            <v>46179</v>
          </cell>
          <cell r="H373">
            <v>46179</v>
          </cell>
          <cell r="J373" t="str">
            <v>004130</v>
          </cell>
          <cell r="K373">
            <v>-52.52</v>
          </cell>
          <cell r="L373">
            <v>-52.52</v>
          </cell>
          <cell r="M373">
            <v>-52.52</v>
          </cell>
          <cell r="N373" t="str">
            <v>indiretto</v>
          </cell>
          <cell r="O373">
            <v>2</v>
          </cell>
          <cell r="P373" t="str">
            <v>0.545182</v>
          </cell>
          <cell r="Q373" t="str">
            <v>0.611443</v>
          </cell>
          <cell r="R373" t="str">
            <v>0.282207</v>
          </cell>
          <cell r="S373" t="str">
            <v>NO</v>
          </cell>
          <cell r="T373" t="str">
            <v>DELIBERA EGATO N.29 DEL 19/12/2018</v>
          </cell>
        </row>
        <row r="374">
          <cell r="D374" t="str">
            <v>C310034</v>
          </cell>
          <cell r="E374">
            <v>46143</v>
          </cell>
          <cell r="F374">
            <v>46507</v>
          </cell>
          <cell r="G374">
            <v>46179</v>
          </cell>
          <cell r="H374">
            <v>46179</v>
          </cell>
          <cell r="J374" t="str">
            <v>004234</v>
          </cell>
          <cell r="K374">
            <v>-85.46</v>
          </cell>
          <cell r="L374">
            <v>-85.46</v>
          </cell>
          <cell r="M374">
            <v>-85.46</v>
          </cell>
          <cell r="N374" t="str">
            <v>indiretto</v>
          </cell>
          <cell r="O374">
            <v>4</v>
          </cell>
          <cell r="P374" t="str">
            <v>0.509947</v>
          </cell>
          <cell r="Q374" t="str">
            <v>0.493155</v>
          </cell>
          <cell r="R374" t="str">
            <v>0.167631</v>
          </cell>
          <cell r="S374" t="str">
            <v>NO</v>
          </cell>
          <cell r="T374" t="str">
            <v>DELIBERAZIONE EGATO 2 04/02/2019</v>
          </cell>
        </row>
        <row r="375">
          <cell r="D375" t="str">
            <v>C117852</v>
          </cell>
          <cell r="E375">
            <v>46143</v>
          </cell>
          <cell r="F375">
            <v>46507</v>
          </cell>
          <cell r="G375">
            <v>46179</v>
          </cell>
          <cell r="H375">
            <v>46179</v>
          </cell>
          <cell r="J375" t="str">
            <v>004078</v>
          </cell>
          <cell r="K375">
            <v>-165.65</v>
          </cell>
          <cell r="L375">
            <v>-165.65</v>
          </cell>
          <cell r="M375">
            <v>-165.65</v>
          </cell>
          <cell r="N375" t="str">
            <v>indiretto</v>
          </cell>
          <cell r="O375">
            <v>5</v>
          </cell>
          <cell r="P375" t="str">
            <v>0.916558</v>
          </cell>
          <cell r="Q375" t="str">
            <v>0.642623</v>
          </cell>
          <cell r="R375" t="str">
            <v>0.256196</v>
          </cell>
          <cell r="S375" t="str">
            <v>NO</v>
          </cell>
          <cell r="T375" t="str">
            <v>DELIBERAZIONE EGATO 29 19/12/2018</v>
          </cell>
        </row>
        <row r="376">
          <cell r="D376" t="str">
            <v>C307354</v>
          </cell>
          <cell r="E376">
            <v>46143</v>
          </cell>
          <cell r="F376">
            <v>46507</v>
          </cell>
          <cell r="G376">
            <v>46179</v>
          </cell>
          <cell r="H376">
            <v>46179</v>
          </cell>
          <cell r="J376" t="str">
            <v>004179</v>
          </cell>
          <cell r="K376">
            <v>-115.1</v>
          </cell>
          <cell r="L376">
            <v>-115.1</v>
          </cell>
          <cell r="M376">
            <v>-115.1</v>
          </cell>
          <cell r="N376" t="str">
            <v>indiretto</v>
          </cell>
          <cell r="O376">
            <v>4</v>
          </cell>
          <cell r="P376" t="str">
            <v>0.802937</v>
          </cell>
          <cell r="Q376" t="str">
            <v>0.568257</v>
          </cell>
          <cell r="R376" t="str">
            <v>0.205575</v>
          </cell>
          <cell r="S376" t="str">
            <v>NO</v>
          </cell>
          <cell r="T376" t="str">
            <v>DELIBERAZIONE EGATO 11 27/03/2019</v>
          </cell>
        </row>
        <row r="377">
          <cell r="D377" t="str">
            <v>C310541</v>
          </cell>
          <cell r="E377">
            <v>46143</v>
          </cell>
          <cell r="F377">
            <v>46507</v>
          </cell>
          <cell r="G377">
            <v>46179</v>
          </cell>
          <cell r="H377">
            <v>46179</v>
          </cell>
          <cell r="J377" t="str">
            <v>004179</v>
          </cell>
          <cell r="K377">
            <v>-86.33</v>
          </cell>
          <cell r="L377">
            <v>-86.33</v>
          </cell>
          <cell r="M377">
            <v>-86.33</v>
          </cell>
          <cell r="N377" t="str">
            <v>indiretto</v>
          </cell>
          <cell r="O377">
            <v>3</v>
          </cell>
          <cell r="P377" t="str">
            <v>0.802937</v>
          </cell>
          <cell r="Q377" t="str">
            <v>0.568257</v>
          </cell>
          <cell r="R377" t="str">
            <v>0.205575</v>
          </cell>
          <cell r="S377" t="str">
            <v>NO</v>
          </cell>
          <cell r="T377" t="str">
            <v>DELIBERAZIONE EGATO 11 27/03/2019</v>
          </cell>
        </row>
        <row r="378">
          <cell r="D378" t="str">
            <v>C016875</v>
          </cell>
          <cell r="E378">
            <v>46143</v>
          </cell>
          <cell r="F378">
            <v>46507</v>
          </cell>
          <cell r="G378">
            <v>46179</v>
          </cell>
          <cell r="H378">
            <v>46179</v>
          </cell>
          <cell r="J378" t="str">
            <v>004082</v>
          </cell>
          <cell r="K378">
            <v>-132.52000000000001</v>
          </cell>
          <cell r="L378">
            <v>-132.52000000000001</v>
          </cell>
          <cell r="M378">
            <v>-132.52000000000001</v>
          </cell>
          <cell r="N378" t="str">
            <v>indiretto</v>
          </cell>
          <cell r="O378">
            <v>4</v>
          </cell>
          <cell r="P378" t="str">
            <v>0.916558</v>
          </cell>
          <cell r="Q378" t="str">
            <v>0.642623</v>
          </cell>
          <cell r="R378" t="str">
            <v>0.256196</v>
          </cell>
          <cell r="S378" t="str">
            <v>NO</v>
          </cell>
          <cell r="T378" t="str">
            <v>DELIBERAZIONE EGATO 29 19/12/2018</v>
          </cell>
        </row>
        <row r="379">
          <cell r="D379" t="str">
            <v>C344176</v>
          </cell>
          <cell r="E379">
            <v>46143</v>
          </cell>
          <cell r="F379">
            <v>46507</v>
          </cell>
          <cell r="G379">
            <v>46179</v>
          </cell>
          <cell r="H379">
            <v>46179</v>
          </cell>
          <cell r="J379" t="str">
            <v>004078</v>
          </cell>
          <cell r="K379">
            <v>-99.39</v>
          </cell>
          <cell r="L379">
            <v>-99.39</v>
          </cell>
          <cell r="M379">
            <v>-99.39</v>
          </cell>
          <cell r="N379" t="str">
            <v>indiretto</v>
          </cell>
          <cell r="O379">
            <v>3</v>
          </cell>
          <cell r="P379" t="str">
            <v>0.916558</v>
          </cell>
          <cell r="Q379" t="str">
            <v>0.642623</v>
          </cell>
          <cell r="R379" t="str">
            <v>0.256196</v>
          </cell>
          <cell r="S379" t="str">
            <v>NO</v>
          </cell>
          <cell r="T379" t="str">
            <v>DELIBERAZIONE EGATO 29 19/12/2018</v>
          </cell>
        </row>
        <row r="380">
          <cell r="D380" t="str">
            <v>C314986</v>
          </cell>
          <cell r="E380">
            <v>46143</v>
          </cell>
          <cell r="F380">
            <v>46507</v>
          </cell>
          <cell r="G380">
            <v>46179</v>
          </cell>
          <cell r="H380">
            <v>46179</v>
          </cell>
          <cell r="J380" t="str">
            <v>004012</v>
          </cell>
          <cell r="K380">
            <v>-98.48</v>
          </cell>
          <cell r="L380">
            <v>-98.48</v>
          </cell>
          <cell r="M380">
            <v>-98.48</v>
          </cell>
          <cell r="N380" t="str">
            <v>indiretto</v>
          </cell>
          <cell r="O380">
            <v>4</v>
          </cell>
          <cell r="P380" t="str">
            <v>0.716943</v>
          </cell>
          <cell r="Q380" t="str">
            <v>0.463071</v>
          </cell>
          <cell r="R380" t="str">
            <v>0.169064</v>
          </cell>
          <cell r="S380" t="str">
            <v>NO</v>
          </cell>
          <cell r="T380" t="str">
            <v>DELIBERAZIONE EGATO 2 04/02/2019</v>
          </cell>
        </row>
        <row r="381">
          <cell r="D381" t="str">
            <v>C344152</v>
          </cell>
          <cell r="E381">
            <v>46143</v>
          </cell>
          <cell r="F381">
            <v>46507</v>
          </cell>
          <cell r="G381">
            <v>46179</v>
          </cell>
          <cell r="H381">
            <v>46179</v>
          </cell>
          <cell r="J381" t="str">
            <v>004066</v>
          </cell>
          <cell r="K381">
            <v>-198.78</v>
          </cell>
          <cell r="L381">
            <v>-198.78</v>
          </cell>
          <cell r="M381">
            <v>-198.78</v>
          </cell>
          <cell r="N381" t="str">
            <v>indiretto</v>
          </cell>
          <cell r="O381">
            <v>6</v>
          </cell>
          <cell r="P381" t="str">
            <v>0.916558</v>
          </cell>
          <cell r="Q381" t="str">
            <v>0.642623</v>
          </cell>
          <cell r="R381" t="str">
            <v>0.256196</v>
          </cell>
          <cell r="S381" t="str">
            <v>NO</v>
          </cell>
          <cell r="T381" t="str">
            <v>DELIBERAZIONE EGATO 29 19/12/2018</v>
          </cell>
        </row>
        <row r="382">
          <cell r="D382" t="str">
            <v>C344274</v>
          </cell>
          <cell r="E382">
            <v>46143</v>
          </cell>
          <cell r="F382">
            <v>46507</v>
          </cell>
          <cell r="G382">
            <v>46179</v>
          </cell>
          <cell r="H382">
            <v>46179</v>
          </cell>
          <cell r="J382" t="str">
            <v>004190</v>
          </cell>
          <cell r="K382">
            <v>-26.26</v>
          </cell>
          <cell r="L382">
            <v>-26.26</v>
          </cell>
          <cell r="M382">
            <v>-26.26</v>
          </cell>
          <cell r="N382" t="str">
            <v>indiretto</v>
          </cell>
          <cell r="O382">
            <v>1</v>
          </cell>
          <cell r="P382" t="str">
            <v>0.545182</v>
          </cell>
          <cell r="Q382" t="str">
            <v>0.611443</v>
          </cell>
          <cell r="R382" t="str">
            <v>0.282207</v>
          </cell>
          <cell r="S382" t="str">
            <v>NO</v>
          </cell>
          <cell r="T382" t="str">
            <v>DELIBERA EGATO N.29 DEL 19/12/2018</v>
          </cell>
        </row>
        <row r="383">
          <cell r="D383" t="str">
            <v>C310575</v>
          </cell>
          <cell r="E383">
            <v>46143</v>
          </cell>
          <cell r="F383">
            <v>46507</v>
          </cell>
          <cell r="G383">
            <v>46179</v>
          </cell>
          <cell r="H383">
            <v>46179</v>
          </cell>
          <cell r="J383" t="str">
            <v>004016</v>
          </cell>
          <cell r="K383">
            <v>-165.65</v>
          </cell>
          <cell r="L383">
            <v>-165.65</v>
          </cell>
          <cell r="M383">
            <v>-165.65</v>
          </cell>
          <cell r="N383" t="str">
            <v>indiretto</v>
          </cell>
          <cell r="O383">
            <v>5</v>
          </cell>
          <cell r="P383" t="str">
            <v>0.916558</v>
          </cell>
          <cell r="Q383" t="str">
            <v>0.642623</v>
          </cell>
          <cell r="R383" t="str">
            <v>0.256196</v>
          </cell>
          <cell r="S383" t="str">
            <v>NO</v>
          </cell>
          <cell r="T383" t="str">
            <v>DELIBERAZIONE EGATO 29 19/12/2018</v>
          </cell>
        </row>
        <row r="384">
          <cell r="D384" t="str">
            <v>C314967</v>
          </cell>
          <cell r="E384">
            <v>46143</v>
          </cell>
          <cell r="F384">
            <v>46507</v>
          </cell>
          <cell r="G384">
            <v>46179</v>
          </cell>
          <cell r="H384">
            <v>46179</v>
          </cell>
          <cell r="J384" t="str">
            <v>004040</v>
          </cell>
          <cell r="K384">
            <v>-99.39</v>
          </cell>
          <cell r="L384">
            <v>-99.39</v>
          </cell>
          <cell r="M384">
            <v>-99.39</v>
          </cell>
          <cell r="N384" t="str">
            <v>indiretto</v>
          </cell>
          <cell r="O384">
            <v>3</v>
          </cell>
          <cell r="P384" t="str">
            <v>0.916558</v>
          </cell>
          <cell r="Q384" t="str">
            <v>0.642623</v>
          </cell>
          <cell r="R384" t="str">
            <v>0.256196</v>
          </cell>
          <cell r="S384" t="str">
            <v>NO</v>
          </cell>
          <cell r="T384" t="str">
            <v>DELIBERAZIONE EGATO 29 19/12/2018</v>
          </cell>
        </row>
        <row r="385">
          <cell r="D385" t="str">
            <v>C344143</v>
          </cell>
          <cell r="E385">
            <v>46143</v>
          </cell>
          <cell r="F385">
            <v>46507</v>
          </cell>
          <cell r="G385">
            <v>46179</v>
          </cell>
          <cell r="H385">
            <v>46179</v>
          </cell>
          <cell r="J385" t="str">
            <v>004180</v>
          </cell>
          <cell r="K385">
            <v>-23.97</v>
          </cell>
          <cell r="L385">
            <v>-23.97</v>
          </cell>
          <cell r="M385">
            <v>-23.97</v>
          </cell>
          <cell r="N385" t="str">
            <v>indiretto</v>
          </cell>
          <cell r="O385">
            <v>1</v>
          </cell>
          <cell r="P385" t="str">
            <v>0.721337</v>
          </cell>
          <cell r="Q385" t="str">
            <v>0.441600</v>
          </cell>
          <cell r="R385" t="str">
            <v>0.150394</v>
          </cell>
          <cell r="S385" t="str">
            <v>NO</v>
          </cell>
          <cell r="T385" t="str">
            <v>DELIBERAZIONE EGATO 2 04/02/2019</v>
          </cell>
        </row>
        <row r="386">
          <cell r="D386" t="str">
            <v>C344177</v>
          </cell>
          <cell r="E386">
            <v>46143</v>
          </cell>
          <cell r="F386">
            <v>46507</v>
          </cell>
          <cell r="G386">
            <v>46179</v>
          </cell>
          <cell r="H386">
            <v>46179</v>
          </cell>
          <cell r="J386" t="str">
            <v>004034</v>
          </cell>
          <cell r="K386">
            <v>-33.130000000000003</v>
          </cell>
          <cell r="L386">
            <v>-33.130000000000003</v>
          </cell>
          <cell r="M386">
            <v>-33.130000000000003</v>
          </cell>
          <cell r="N386" t="str">
            <v>indiretto</v>
          </cell>
          <cell r="O386">
            <v>1</v>
          </cell>
          <cell r="P386" t="str">
            <v>0.916558</v>
          </cell>
          <cell r="Q386" t="str">
            <v>0.642623</v>
          </cell>
          <cell r="R386" t="str">
            <v>0.256196</v>
          </cell>
          <cell r="S386" t="str">
            <v>NO</v>
          </cell>
          <cell r="T386" t="str">
            <v>DELIBERAZIONE EGATO 29 19/12/2018</v>
          </cell>
        </row>
        <row r="387">
          <cell r="D387" t="str">
            <v>C307304</v>
          </cell>
          <cell r="E387">
            <v>46143</v>
          </cell>
          <cell r="F387">
            <v>46507</v>
          </cell>
          <cell r="G387">
            <v>46179</v>
          </cell>
          <cell r="H387">
            <v>46179</v>
          </cell>
          <cell r="J387" t="str">
            <v>004009</v>
          </cell>
          <cell r="K387">
            <v>-49.24</v>
          </cell>
          <cell r="L387">
            <v>-49.24</v>
          </cell>
          <cell r="M387">
            <v>-49.24</v>
          </cell>
          <cell r="N387" t="str">
            <v>indiretto</v>
          </cell>
          <cell r="O387">
            <v>2</v>
          </cell>
          <cell r="P387" t="str">
            <v>0.716943</v>
          </cell>
          <cell r="Q387" t="str">
            <v>0.463071</v>
          </cell>
          <cell r="R387" t="str">
            <v>0.169064</v>
          </cell>
          <cell r="S387" t="str">
            <v>NO</v>
          </cell>
          <cell r="T387" t="str">
            <v>DELIBERAZIONE EGATO 2 04/02/2019</v>
          </cell>
        </row>
        <row r="388">
          <cell r="D388" t="str">
            <v>C337624</v>
          </cell>
          <cell r="E388">
            <v>46143</v>
          </cell>
          <cell r="F388">
            <v>46507</v>
          </cell>
          <cell r="G388">
            <v>46179</v>
          </cell>
          <cell r="H388">
            <v>46179</v>
          </cell>
          <cell r="J388" t="str">
            <v>004034</v>
          </cell>
          <cell r="K388">
            <v>-231.91</v>
          </cell>
          <cell r="L388">
            <v>-231.91</v>
          </cell>
          <cell r="M388">
            <v>-231.91</v>
          </cell>
          <cell r="N388" t="str">
            <v>indiretto</v>
          </cell>
          <cell r="O388">
            <v>7</v>
          </cell>
          <cell r="P388" t="str">
            <v>0.916558</v>
          </cell>
          <cell r="Q388" t="str">
            <v>0.642623</v>
          </cell>
          <cell r="R388" t="str">
            <v>0.256196</v>
          </cell>
          <cell r="S388" t="str">
            <v>NO</v>
          </cell>
          <cell r="T388" t="str">
            <v>DELIBERAZIONE EGATO 29 19/12/2018</v>
          </cell>
        </row>
        <row r="389">
          <cell r="D389" t="str">
            <v>C344150</v>
          </cell>
          <cell r="E389">
            <v>46143</v>
          </cell>
          <cell r="F389">
            <v>46507</v>
          </cell>
          <cell r="G389">
            <v>46179</v>
          </cell>
          <cell r="H389">
            <v>46179</v>
          </cell>
          <cell r="J389" t="str">
            <v>004008</v>
          </cell>
          <cell r="K389">
            <v>-99.39</v>
          </cell>
          <cell r="L389">
            <v>-99.39</v>
          </cell>
          <cell r="M389">
            <v>-99.39</v>
          </cell>
          <cell r="N389" t="str">
            <v>indiretto</v>
          </cell>
          <cell r="O389">
            <v>3</v>
          </cell>
          <cell r="P389" t="str">
            <v>0.916558</v>
          </cell>
          <cell r="Q389" t="str">
            <v>0.642623</v>
          </cell>
          <cell r="R389" t="str">
            <v>0.256196</v>
          </cell>
          <cell r="S389" t="str">
            <v>NO</v>
          </cell>
          <cell r="T389" t="str">
            <v>DELIBERAZIONE EGATO 29 19/12/2018</v>
          </cell>
        </row>
        <row r="390">
          <cell r="D390" t="str">
            <v>C344175</v>
          </cell>
          <cell r="E390">
            <v>46143</v>
          </cell>
          <cell r="F390">
            <v>46507</v>
          </cell>
          <cell r="G390">
            <v>46179</v>
          </cell>
          <cell r="H390">
            <v>46179</v>
          </cell>
          <cell r="J390" t="str">
            <v>004078</v>
          </cell>
          <cell r="K390">
            <v>-33.130000000000003</v>
          </cell>
          <cell r="L390">
            <v>-33.130000000000003</v>
          </cell>
          <cell r="M390">
            <v>-33.130000000000003</v>
          </cell>
          <cell r="N390" t="str">
            <v>indiretto</v>
          </cell>
          <cell r="O390">
            <v>1</v>
          </cell>
          <cell r="P390" t="str">
            <v>0.916558</v>
          </cell>
          <cell r="Q390" t="str">
            <v>0.642623</v>
          </cell>
          <cell r="R390" t="str">
            <v>0.256196</v>
          </cell>
          <cell r="S390" t="str">
            <v>NO</v>
          </cell>
          <cell r="T390" t="str">
            <v>DELIBERAZIONE EGATO 29 19/12/2018</v>
          </cell>
        </row>
        <row r="391">
          <cell r="D391" t="str">
            <v>C344231</v>
          </cell>
          <cell r="E391">
            <v>46143</v>
          </cell>
          <cell r="F391">
            <v>46507</v>
          </cell>
          <cell r="G391">
            <v>46179</v>
          </cell>
          <cell r="H391">
            <v>46179</v>
          </cell>
          <cell r="J391" t="str">
            <v>004130</v>
          </cell>
          <cell r="K391">
            <v>-131.29</v>
          </cell>
          <cell r="L391">
            <v>-131.29</v>
          </cell>
          <cell r="M391">
            <v>-131.29</v>
          </cell>
          <cell r="N391" t="str">
            <v>indiretto</v>
          </cell>
          <cell r="O391">
            <v>5</v>
          </cell>
          <cell r="P391" t="str">
            <v>0.545182</v>
          </cell>
          <cell r="Q391" t="str">
            <v>0.611443</v>
          </cell>
          <cell r="R391" t="str">
            <v>0.282207</v>
          </cell>
          <cell r="S391" t="str">
            <v>NO</v>
          </cell>
          <cell r="T391" t="str">
            <v>DELIBERA EGATO N.29 DEL 19/12/2018</v>
          </cell>
        </row>
        <row r="392">
          <cell r="D392" t="str">
            <v>C344142</v>
          </cell>
          <cell r="E392">
            <v>46143</v>
          </cell>
          <cell r="F392">
            <v>46507</v>
          </cell>
          <cell r="G392">
            <v>46179</v>
          </cell>
          <cell r="H392">
            <v>46179</v>
          </cell>
          <cell r="J392" t="str">
            <v>004130</v>
          </cell>
          <cell r="K392">
            <v>-131.29</v>
          </cell>
          <cell r="L392">
            <v>-131.29</v>
          </cell>
          <cell r="M392">
            <v>-131.29</v>
          </cell>
          <cell r="N392" t="str">
            <v>indiretto</v>
          </cell>
          <cell r="O392">
            <v>5</v>
          </cell>
          <cell r="P392" t="str">
            <v>0.545182</v>
          </cell>
          <cell r="Q392" t="str">
            <v>0.611443</v>
          </cell>
          <cell r="R392" t="str">
            <v>0.282207</v>
          </cell>
          <cell r="S392" t="str">
            <v>NO</v>
          </cell>
          <cell r="T392" t="str">
            <v>DELIBERA EGATO N.29 DEL 19/12/2018</v>
          </cell>
        </row>
        <row r="393">
          <cell r="D393" t="str">
            <v>C344151</v>
          </cell>
          <cell r="E393">
            <v>46143</v>
          </cell>
          <cell r="F393">
            <v>46507</v>
          </cell>
          <cell r="G393">
            <v>46179</v>
          </cell>
          <cell r="H393">
            <v>46179</v>
          </cell>
          <cell r="J393" t="str">
            <v>004082</v>
          </cell>
          <cell r="K393">
            <v>-165.65</v>
          </cell>
          <cell r="L393">
            <v>-165.65</v>
          </cell>
          <cell r="M393">
            <v>-165.65</v>
          </cell>
          <cell r="N393" t="str">
            <v>indiretto</v>
          </cell>
          <cell r="O393">
            <v>5</v>
          </cell>
          <cell r="P393" t="str">
            <v>0.916558</v>
          </cell>
          <cell r="Q393" t="str">
            <v>0.642623</v>
          </cell>
          <cell r="R393" t="str">
            <v>0.256196</v>
          </cell>
          <cell r="S393" t="str">
            <v>NO</v>
          </cell>
          <cell r="T393" t="str">
            <v>DELIBERAZIONE EGATO 29 19/12/2018</v>
          </cell>
        </row>
        <row r="394">
          <cell r="D394" t="str">
            <v>C309824</v>
          </cell>
          <cell r="E394">
            <v>46143</v>
          </cell>
          <cell r="F394">
            <v>46507</v>
          </cell>
          <cell r="G394">
            <v>46179</v>
          </cell>
          <cell r="H394">
            <v>46179</v>
          </cell>
          <cell r="J394" t="str">
            <v>004078</v>
          </cell>
          <cell r="K394">
            <v>-198.78</v>
          </cell>
          <cell r="L394">
            <v>-198.78</v>
          </cell>
          <cell r="M394">
            <v>-198.78</v>
          </cell>
          <cell r="N394" t="str">
            <v>indiretto</v>
          </cell>
          <cell r="O394">
            <v>6</v>
          </cell>
          <cell r="P394" t="str">
            <v>0.916558</v>
          </cell>
          <cell r="Q394" t="str">
            <v>0.642623</v>
          </cell>
          <cell r="R394" t="str">
            <v>0.256196</v>
          </cell>
          <cell r="S394" t="str">
            <v>NO</v>
          </cell>
          <cell r="T394" t="str">
            <v>DELIBERAZIONE EGATO 29 19/12/2018</v>
          </cell>
        </row>
        <row r="395">
          <cell r="D395" t="str">
            <v>C118868</v>
          </cell>
          <cell r="E395">
            <v>46143</v>
          </cell>
          <cell r="F395">
            <v>46507</v>
          </cell>
          <cell r="G395">
            <v>46179</v>
          </cell>
          <cell r="H395">
            <v>46179</v>
          </cell>
          <cell r="J395" t="str">
            <v>004078</v>
          </cell>
          <cell r="K395">
            <v>-33.130000000000003</v>
          </cell>
          <cell r="L395">
            <v>-33.130000000000003</v>
          </cell>
          <cell r="M395">
            <v>-33.130000000000003</v>
          </cell>
          <cell r="N395" t="str">
            <v>indiretto</v>
          </cell>
          <cell r="O395">
            <v>1</v>
          </cell>
          <cell r="P395" t="str">
            <v>0.916558</v>
          </cell>
          <cell r="Q395" t="str">
            <v>0.642623</v>
          </cell>
          <cell r="R395" t="str">
            <v>0.256196</v>
          </cell>
          <cell r="S395" t="str">
            <v>NO</v>
          </cell>
          <cell r="T395" t="str">
            <v>DELIBERAZIONE EGATO 29 19/12/2018</v>
          </cell>
        </row>
        <row r="396">
          <cell r="D396" t="str">
            <v>C344296</v>
          </cell>
          <cell r="E396">
            <v>46143</v>
          </cell>
          <cell r="F396">
            <v>46507</v>
          </cell>
          <cell r="G396">
            <v>46179</v>
          </cell>
          <cell r="H396">
            <v>46179</v>
          </cell>
          <cell r="J396" t="str">
            <v>004130</v>
          </cell>
          <cell r="K396">
            <v>-78.78</v>
          </cell>
          <cell r="L396">
            <v>-78.78</v>
          </cell>
          <cell r="M396">
            <v>-78.78</v>
          </cell>
          <cell r="N396" t="str">
            <v>indiretto</v>
          </cell>
          <cell r="O396">
            <v>3</v>
          </cell>
          <cell r="P396" t="str">
            <v>0.545182</v>
          </cell>
          <cell r="Q396" t="str">
            <v>0.611443</v>
          </cell>
          <cell r="R396" t="str">
            <v>0.282207</v>
          </cell>
          <cell r="S396" t="str">
            <v>NO</v>
          </cell>
          <cell r="T396" t="str">
            <v>DELIBERA EGATO N.29 DEL 19/12/2018</v>
          </cell>
        </row>
        <row r="397">
          <cell r="D397" t="str">
            <v>C118493</v>
          </cell>
          <cell r="E397">
            <v>46143</v>
          </cell>
          <cell r="F397">
            <v>46507</v>
          </cell>
          <cell r="G397">
            <v>46179</v>
          </cell>
          <cell r="H397">
            <v>46179</v>
          </cell>
          <cell r="J397" t="str">
            <v>004068</v>
          </cell>
          <cell r="K397">
            <v>-99.39</v>
          </cell>
          <cell r="L397">
            <v>-99.39</v>
          </cell>
          <cell r="M397">
            <v>-99.39</v>
          </cell>
          <cell r="N397" t="str">
            <v>indiretto</v>
          </cell>
          <cell r="O397">
            <v>3</v>
          </cell>
          <cell r="P397" t="str">
            <v>0.916558</v>
          </cell>
          <cell r="Q397" t="str">
            <v>0.642623</v>
          </cell>
          <cell r="R397" t="str">
            <v>0.256196</v>
          </cell>
          <cell r="S397" t="str">
            <v>NO</v>
          </cell>
          <cell r="T397" t="str">
            <v>DELIBERAZIONE EGATO 29 19/12/2018</v>
          </cell>
        </row>
        <row r="398">
          <cell r="D398" t="str">
            <v>C344166</v>
          </cell>
          <cell r="E398">
            <v>46143</v>
          </cell>
          <cell r="F398">
            <v>46507</v>
          </cell>
          <cell r="G398">
            <v>46179</v>
          </cell>
          <cell r="H398">
            <v>46179</v>
          </cell>
          <cell r="J398" t="str">
            <v>004091</v>
          </cell>
          <cell r="K398">
            <v>-29.82</v>
          </cell>
          <cell r="L398">
            <v>-29.82</v>
          </cell>
          <cell r="M398">
            <v>-29.82</v>
          </cell>
          <cell r="N398" t="str">
            <v>indiretto</v>
          </cell>
          <cell r="O398">
            <v>1</v>
          </cell>
          <cell r="P398" t="str">
            <v>0.824903</v>
          </cell>
          <cell r="Q398" t="str">
            <v>0.578360</v>
          </cell>
          <cell r="R398" t="str">
            <v>0.230576</v>
          </cell>
          <cell r="S398" t="str">
            <v>NO</v>
          </cell>
          <cell r="T398" t="str">
            <v>DELIBERAZIONE EGATO 29 19/12/2018</v>
          </cell>
        </row>
        <row r="399">
          <cell r="D399" t="str">
            <v>C308308</v>
          </cell>
          <cell r="E399">
            <v>46143</v>
          </cell>
          <cell r="F399">
            <v>46507</v>
          </cell>
          <cell r="G399">
            <v>46179</v>
          </cell>
          <cell r="H399">
            <v>46179</v>
          </cell>
          <cell r="J399" t="str">
            <v>004078</v>
          </cell>
          <cell r="K399">
            <v>-99.39</v>
          </cell>
          <cell r="L399">
            <v>-99.39</v>
          </cell>
          <cell r="M399">
            <v>-99.39</v>
          </cell>
          <cell r="N399" t="str">
            <v>indiretto</v>
          </cell>
          <cell r="O399">
            <v>3</v>
          </cell>
          <cell r="P399" t="str">
            <v>0.916558</v>
          </cell>
          <cell r="Q399" t="str">
            <v>0.642623</v>
          </cell>
          <cell r="R399" t="str">
            <v>0.256196</v>
          </cell>
          <cell r="S399" t="str">
            <v>NO</v>
          </cell>
          <cell r="T399" t="str">
            <v>DELIBERAZIONE EGATO 29 19/12/2018</v>
          </cell>
        </row>
        <row r="400">
          <cell r="D400" t="str">
            <v>C344112</v>
          </cell>
          <cell r="E400">
            <v>46143</v>
          </cell>
          <cell r="F400">
            <v>46507</v>
          </cell>
          <cell r="G400">
            <v>46179</v>
          </cell>
          <cell r="H400">
            <v>46179</v>
          </cell>
          <cell r="J400" t="str">
            <v>004078</v>
          </cell>
          <cell r="K400">
            <v>-99.39</v>
          </cell>
          <cell r="L400">
            <v>-99.39</v>
          </cell>
          <cell r="M400">
            <v>-99.39</v>
          </cell>
          <cell r="N400" t="str">
            <v>indiretto</v>
          </cell>
          <cell r="O400">
            <v>3</v>
          </cell>
          <cell r="P400" t="str">
            <v>0.916558</v>
          </cell>
          <cell r="Q400" t="str">
            <v>0.642623</v>
          </cell>
          <cell r="R400" t="str">
            <v>0.256196</v>
          </cell>
          <cell r="S400" t="str">
            <v>NO</v>
          </cell>
          <cell r="T400" t="str">
            <v>DELIBERAZIONE EGATO 29 19/12/2018</v>
          </cell>
        </row>
        <row r="401">
          <cell r="D401" t="str">
            <v>C344300</v>
          </cell>
          <cell r="E401">
            <v>46143</v>
          </cell>
          <cell r="F401">
            <v>46507</v>
          </cell>
          <cell r="G401">
            <v>46179</v>
          </cell>
          <cell r="H401">
            <v>46179</v>
          </cell>
          <cell r="J401" t="str">
            <v>004245</v>
          </cell>
          <cell r="K401">
            <v>-105.03</v>
          </cell>
          <cell r="L401">
            <v>-105.03</v>
          </cell>
          <cell r="M401">
            <v>-105.03</v>
          </cell>
          <cell r="N401" t="str">
            <v>indiretto</v>
          </cell>
          <cell r="O401">
            <v>4</v>
          </cell>
          <cell r="P401" t="str">
            <v>0.545182</v>
          </cell>
          <cell r="Q401" t="str">
            <v>0.611443</v>
          </cell>
          <cell r="R401" t="str">
            <v>0.282207</v>
          </cell>
          <cell r="S401" t="str">
            <v>NO</v>
          </cell>
          <cell r="T401" t="str">
            <v>DELIBERA EGATO N.29 DEL 19/12/2018</v>
          </cell>
        </row>
        <row r="402">
          <cell r="D402" t="str">
            <v>C344238</v>
          </cell>
          <cell r="E402">
            <v>46143</v>
          </cell>
          <cell r="F402">
            <v>46507</v>
          </cell>
          <cell r="G402">
            <v>46179</v>
          </cell>
          <cell r="H402">
            <v>46179</v>
          </cell>
          <cell r="J402" t="str">
            <v>004034</v>
          </cell>
          <cell r="K402">
            <v>-33.130000000000003</v>
          </cell>
          <cell r="L402">
            <v>-33.130000000000003</v>
          </cell>
          <cell r="M402">
            <v>-33.130000000000003</v>
          </cell>
          <cell r="N402" t="str">
            <v>indiretto</v>
          </cell>
          <cell r="O402">
            <v>1</v>
          </cell>
          <cell r="P402" t="str">
            <v>0.916558</v>
          </cell>
          <cell r="Q402" t="str">
            <v>0.642623</v>
          </cell>
          <cell r="R402" t="str">
            <v>0.256196</v>
          </cell>
          <cell r="S402" t="str">
            <v>NO</v>
          </cell>
          <cell r="T402" t="str">
            <v>DELIBERAZIONE EGATO 29 19/12/2018</v>
          </cell>
        </row>
        <row r="403">
          <cell r="D403" t="str">
            <v>C310979</v>
          </cell>
          <cell r="E403">
            <v>46143</v>
          </cell>
          <cell r="F403">
            <v>46507</v>
          </cell>
          <cell r="G403">
            <v>46179</v>
          </cell>
          <cell r="H403">
            <v>46179</v>
          </cell>
          <cell r="J403" t="str">
            <v>004025</v>
          </cell>
          <cell r="K403">
            <v>-66.260000000000005</v>
          </cell>
          <cell r="L403">
            <v>-66.260000000000005</v>
          </cell>
          <cell r="M403">
            <v>-66.260000000000005</v>
          </cell>
          <cell r="N403" t="str">
            <v>indiretto</v>
          </cell>
          <cell r="O403">
            <v>2</v>
          </cell>
          <cell r="P403" t="str">
            <v>0.916558</v>
          </cell>
          <cell r="Q403" t="str">
            <v>0.642623</v>
          </cell>
          <cell r="R403" t="str">
            <v>0.256196</v>
          </cell>
          <cell r="S403" t="str">
            <v>NO</v>
          </cell>
          <cell r="T403" t="str">
            <v>DELIBERAZIONE EGATO 29 19/12/2018</v>
          </cell>
        </row>
        <row r="404">
          <cell r="D404" t="str">
            <v>C309924</v>
          </cell>
          <cell r="E404">
            <v>46143</v>
          </cell>
          <cell r="F404">
            <v>46507</v>
          </cell>
          <cell r="G404">
            <v>46179</v>
          </cell>
          <cell r="H404">
            <v>46179</v>
          </cell>
          <cell r="J404" t="str">
            <v>004078</v>
          </cell>
          <cell r="K404">
            <v>-132.52000000000001</v>
          </cell>
          <cell r="L404">
            <v>-132.52000000000001</v>
          </cell>
          <cell r="M404">
            <v>-132.52000000000001</v>
          </cell>
          <cell r="N404" t="str">
            <v>indiretto</v>
          </cell>
          <cell r="O404">
            <v>4</v>
          </cell>
          <cell r="P404" t="str">
            <v>0.916558</v>
          </cell>
          <cell r="Q404" t="str">
            <v>0.642623</v>
          </cell>
          <cell r="R404" t="str">
            <v>0.256196</v>
          </cell>
          <cell r="S404" t="str">
            <v>NO</v>
          </cell>
          <cell r="T404" t="str">
            <v>DELIBERAZIONE EGATO 29 19/12/2018</v>
          </cell>
        </row>
        <row r="405">
          <cell r="D405" t="str">
            <v>C344155</v>
          </cell>
          <cell r="E405">
            <v>46143</v>
          </cell>
          <cell r="F405">
            <v>46507</v>
          </cell>
          <cell r="G405">
            <v>46179</v>
          </cell>
          <cell r="H405">
            <v>46179</v>
          </cell>
          <cell r="J405" t="str">
            <v>004034</v>
          </cell>
          <cell r="K405">
            <v>-99.39</v>
          </cell>
          <cell r="L405">
            <v>-99.39</v>
          </cell>
          <cell r="M405">
            <v>-99.39</v>
          </cell>
          <cell r="N405" t="str">
            <v>indiretto</v>
          </cell>
          <cell r="O405">
            <v>3</v>
          </cell>
          <cell r="P405" t="str">
            <v>0.916558</v>
          </cell>
          <cell r="Q405" t="str">
            <v>0.642623</v>
          </cell>
          <cell r="R405" t="str">
            <v>0.256196</v>
          </cell>
          <cell r="S405" t="str">
            <v>NO</v>
          </cell>
          <cell r="T405" t="str">
            <v>DELIBERAZIONE EGATO 29 19/12/2018</v>
          </cell>
        </row>
        <row r="406">
          <cell r="D406" t="str">
            <v>C307507</v>
          </cell>
          <cell r="E406">
            <v>46143</v>
          </cell>
          <cell r="F406">
            <v>46507</v>
          </cell>
          <cell r="G406">
            <v>46179</v>
          </cell>
          <cell r="H406">
            <v>46179</v>
          </cell>
          <cell r="J406" t="str">
            <v>004040</v>
          </cell>
          <cell r="K406">
            <v>-33.130000000000003</v>
          </cell>
          <cell r="L406">
            <v>-33.130000000000003</v>
          </cell>
          <cell r="M406">
            <v>-33.130000000000003</v>
          </cell>
          <cell r="N406" t="str">
            <v>indiretto</v>
          </cell>
          <cell r="O406">
            <v>1</v>
          </cell>
          <cell r="P406" t="str">
            <v>0.916558</v>
          </cell>
          <cell r="Q406" t="str">
            <v>0.642623</v>
          </cell>
          <cell r="R406" t="str">
            <v>0.256196</v>
          </cell>
          <cell r="S406" t="str">
            <v>NO</v>
          </cell>
          <cell r="T406" t="str">
            <v>DELIBERAZIONE EGATO 29 19/12/2018</v>
          </cell>
        </row>
        <row r="407">
          <cell r="D407" t="str">
            <v>C344165</v>
          </cell>
          <cell r="E407">
            <v>46143</v>
          </cell>
          <cell r="F407">
            <v>46507</v>
          </cell>
          <cell r="G407">
            <v>46179</v>
          </cell>
          <cell r="H407">
            <v>46179</v>
          </cell>
          <cell r="J407" t="str">
            <v>004028</v>
          </cell>
          <cell r="K407">
            <v>-231.91</v>
          </cell>
          <cell r="L407">
            <v>-231.91</v>
          </cell>
          <cell r="M407">
            <v>-231.91</v>
          </cell>
          <cell r="N407" t="str">
            <v>indiretto</v>
          </cell>
          <cell r="O407">
            <v>7</v>
          </cell>
          <cell r="P407" t="str">
            <v>0.916558</v>
          </cell>
          <cell r="Q407" t="str">
            <v>0.642623</v>
          </cell>
          <cell r="R407" t="str">
            <v>0.256196</v>
          </cell>
          <cell r="S407" t="str">
            <v>NO</v>
          </cell>
          <cell r="T407" t="str">
            <v>DELIBERAZIONE EGATO 29 19/12/2018</v>
          </cell>
        </row>
        <row r="408">
          <cell r="D408" t="str">
            <v>C312120</v>
          </cell>
          <cell r="E408">
            <v>46143</v>
          </cell>
          <cell r="F408">
            <v>46507</v>
          </cell>
          <cell r="G408">
            <v>46179</v>
          </cell>
          <cell r="H408">
            <v>46179</v>
          </cell>
          <cell r="J408" t="str">
            <v>004130</v>
          </cell>
          <cell r="K408">
            <v>-131.29</v>
          </cell>
          <cell r="L408">
            <v>-131.29</v>
          </cell>
          <cell r="M408">
            <v>-131.29</v>
          </cell>
          <cell r="N408" t="str">
            <v>indiretto</v>
          </cell>
          <cell r="O408">
            <v>5</v>
          </cell>
          <cell r="P408" t="str">
            <v>0.545182</v>
          </cell>
          <cell r="Q408" t="str">
            <v>0.611443</v>
          </cell>
          <cell r="R408" t="str">
            <v>0.282207</v>
          </cell>
          <cell r="S408" t="str">
            <v>NO</v>
          </cell>
          <cell r="T408" t="str">
            <v>DELIBERA EGATO N.29 DEL 19/12/2018</v>
          </cell>
        </row>
        <row r="409">
          <cell r="D409" t="str">
            <v>C344294</v>
          </cell>
          <cell r="E409">
            <v>46143</v>
          </cell>
          <cell r="F409">
            <v>46507</v>
          </cell>
          <cell r="G409">
            <v>46179</v>
          </cell>
          <cell r="H409">
            <v>46179</v>
          </cell>
          <cell r="J409" t="str">
            <v>004078</v>
          </cell>
          <cell r="K409">
            <v>-132.52000000000001</v>
          </cell>
          <cell r="L409">
            <v>-132.52000000000001</v>
          </cell>
          <cell r="M409">
            <v>-132.52000000000001</v>
          </cell>
          <cell r="N409" t="str">
            <v>indiretto</v>
          </cell>
          <cell r="O409">
            <v>4</v>
          </cell>
          <cell r="P409" t="str">
            <v>0.916558</v>
          </cell>
          <cell r="Q409" t="str">
            <v>0.642623</v>
          </cell>
          <cell r="R409" t="str">
            <v>0.256196</v>
          </cell>
          <cell r="S409" t="str">
            <v>NO</v>
          </cell>
          <cell r="T409" t="str">
            <v>DELIBERAZIONE EGATO 29 19/12/2018</v>
          </cell>
        </row>
        <row r="410">
          <cell r="D410" t="str">
            <v>C344293</v>
          </cell>
          <cell r="E410">
            <v>46143</v>
          </cell>
          <cell r="F410">
            <v>46507</v>
          </cell>
          <cell r="G410">
            <v>46179</v>
          </cell>
          <cell r="H410">
            <v>46179</v>
          </cell>
          <cell r="J410" t="str">
            <v>004078</v>
          </cell>
          <cell r="K410">
            <v>-33.130000000000003</v>
          </cell>
          <cell r="L410">
            <v>-33.130000000000003</v>
          </cell>
          <cell r="M410">
            <v>-33.130000000000003</v>
          </cell>
          <cell r="N410" t="str">
            <v>indiretto</v>
          </cell>
          <cell r="O410">
            <v>1</v>
          </cell>
          <cell r="P410" t="str">
            <v>0.916558</v>
          </cell>
          <cell r="Q410" t="str">
            <v>0.642623</v>
          </cell>
          <cell r="R410" t="str">
            <v>0.256196</v>
          </cell>
          <cell r="S410" t="str">
            <v>NO</v>
          </cell>
          <cell r="T410" t="str">
            <v>DELIBERAZIONE EGATO 29 19/12/2018</v>
          </cell>
        </row>
        <row r="411">
          <cell r="D411" t="str">
            <v>C344292</v>
          </cell>
          <cell r="E411">
            <v>46143</v>
          </cell>
          <cell r="F411">
            <v>46507</v>
          </cell>
          <cell r="G411">
            <v>46179</v>
          </cell>
          <cell r="H411">
            <v>46179</v>
          </cell>
          <cell r="J411" t="str">
            <v>004118</v>
          </cell>
          <cell r="K411">
            <v>-165.65</v>
          </cell>
          <cell r="L411">
            <v>-165.65</v>
          </cell>
          <cell r="M411">
            <v>-165.65</v>
          </cell>
          <cell r="N411" t="str">
            <v>indiretto</v>
          </cell>
          <cell r="O411">
            <v>5</v>
          </cell>
          <cell r="P411" t="str">
            <v>0.916558</v>
          </cell>
          <cell r="Q411" t="str">
            <v>0.642623</v>
          </cell>
          <cell r="R411" t="str">
            <v>0.256196</v>
          </cell>
          <cell r="S411" t="str">
            <v>NO</v>
          </cell>
          <cell r="T411" t="str">
            <v>DELIBERAZIONE EGATO 29 19/12/2018</v>
          </cell>
        </row>
        <row r="412">
          <cell r="D412" t="str">
            <v>C311501</v>
          </cell>
          <cell r="E412">
            <v>46143</v>
          </cell>
          <cell r="F412">
            <v>46507</v>
          </cell>
          <cell r="G412">
            <v>46179</v>
          </cell>
          <cell r="H412">
            <v>46179</v>
          </cell>
          <cell r="J412" t="str">
            <v>004022</v>
          </cell>
          <cell r="K412">
            <v>-33.130000000000003</v>
          </cell>
          <cell r="L412">
            <v>-33.130000000000003</v>
          </cell>
          <cell r="M412">
            <v>-33.130000000000003</v>
          </cell>
          <cell r="N412" t="str">
            <v>indiretto</v>
          </cell>
          <cell r="O412">
            <v>1</v>
          </cell>
          <cell r="P412" t="str">
            <v>0.916558</v>
          </cell>
          <cell r="Q412" t="str">
            <v>0.642623</v>
          </cell>
          <cell r="R412" t="str">
            <v>0.256196</v>
          </cell>
          <cell r="S412" t="str">
            <v>NO</v>
          </cell>
          <cell r="T412" t="str">
            <v>DELIBERAZIONE EGATO 29 19/12/2018</v>
          </cell>
        </row>
        <row r="413">
          <cell r="D413" t="str">
            <v>C344163</v>
          </cell>
          <cell r="E413">
            <v>46143</v>
          </cell>
          <cell r="F413">
            <v>46507</v>
          </cell>
          <cell r="G413">
            <v>46179</v>
          </cell>
          <cell r="H413">
            <v>46179</v>
          </cell>
          <cell r="J413" t="str">
            <v>004104</v>
          </cell>
          <cell r="K413">
            <v>-71.900000000000006</v>
          </cell>
          <cell r="L413">
            <v>-71.900000000000006</v>
          </cell>
          <cell r="M413">
            <v>-71.900000000000006</v>
          </cell>
          <cell r="N413" t="str">
            <v>indiretto</v>
          </cell>
          <cell r="O413">
            <v>3</v>
          </cell>
          <cell r="P413" t="str">
            <v>0.721337</v>
          </cell>
          <cell r="Q413" t="str">
            <v>0.441600</v>
          </cell>
          <cell r="R413" t="str">
            <v>0.150394</v>
          </cell>
          <cell r="S413" t="str">
            <v>NO</v>
          </cell>
          <cell r="T413" t="str">
            <v>DELIBERAZIONE EGATO 2 04/02/2019</v>
          </cell>
        </row>
        <row r="414">
          <cell r="D414" t="str">
            <v>C344105</v>
          </cell>
          <cell r="E414">
            <v>46143</v>
          </cell>
          <cell r="F414">
            <v>46507</v>
          </cell>
          <cell r="G414">
            <v>46179</v>
          </cell>
          <cell r="H414">
            <v>46179</v>
          </cell>
          <cell r="J414" t="str">
            <v>004078</v>
          </cell>
          <cell r="K414">
            <v>-132.52000000000001</v>
          </cell>
          <cell r="L414">
            <v>-132.52000000000001</v>
          </cell>
          <cell r="M414">
            <v>-132.52000000000001</v>
          </cell>
          <cell r="N414" t="str">
            <v>indiretto</v>
          </cell>
          <cell r="O414">
            <v>4</v>
          </cell>
          <cell r="P414" t="str">
            <v>0.916558</v>
          </cell>
          <cell r="Q414" t="str">
            <v>0.642623</v>
          </cell>
          <cell r="R414" t="str">
            <v>0.256196</v>
          </cell>
          <cell r="S414" t="str">
            <v>NO</v>
          </cell>
          <cell r="T414" t="str">
            <v>DELIBERAZIONE EGATO 29 19/12/2018</v>
          </cell>
        </row>
        <row r="415">
          <cell r="D415" t="str">
            <v>C320188</v>
          </cell>
          <cell r="E415">
            <v>46143</v>
          </cell>
          <cell r="F415">
            <v>46507</v>
          </cell>
          <cell r="G415">
            <v>46179</v>
          </cell>
          <cell r="H415">
            <v>46179</v>
          </cell>
          <cell r="J415" t="str">
            <v>004078</v>
          </cell>
          <cell r="K415">
            <v>-132.52000000000001</v>
          </cell>
          <cell r="L415">
            <v>-132.52000000000001</v>
          </cell>
          <cell r="M415">
            <v>-132.52000000000001</v>
          </cell>
          <cell r="N415" t="str">
            <v>indiretto</v>
          </cell>
          <cell r="O415">
            <v>4</v>
          </cell>
          <cell r="P415" t="str">
            <v>0.916558</v>
          </cell>
          <cell r="Q415" t="str">
            <v>0.642623</v>
          </cell>
          <cell r="R415" t="str">
            <v>0.256196</v>
          </cell>
          <cell r="S415" t="str">
            <v>NO</v>
          </cell>
          <cell r="T415" t="str">
            <v>DELIBERAZIONE EGATO 29 19/12/2018</v>
          </cell>
        </row>
        <row r="416">
          <cell r="D416" t="str">
            <v>C309096</v>
          </cell>
          <cell r="E416">
            <v>46143</v>
          </cell>
          <cell r="F416">
            <v>46507</v>
          </cell>
          <cell r="G416">
            <v>46179</v>
          </cell>
          <cell r="H416">
            <v>46179</v>
          </cell>
          <cell r="J416" t="str">
            <v>004151</v>
          </cell>
          <cell r="K416">
            <v>-193.3</v>
          </cell>
          <cell r="L416">
            <v>-193.3</v>
          </cell>
          <cell r="M416">
            <v>-193.3</v>
          </cell>
          <cell r="N416" t="str">
            <v>indiretto</v>
          </cell>
          <cell r="O416">
            <v>5</v>
          </cell>
          <cell r="P416">
            <v>1091278</v>
          </cell>
          <cell r="Q416" t="str">
            <v>0.730790</v>
          </cell>
          <cell r="R416" t="str">
            <v>0.296264</v>
          </cell>
          <cell r="S416" t="str">
            <v>NO</v>
          </cell>
          <cell r="T416" t="str">
            <v>DELIBERAZIONE EGATO 2 04/02/2019</v>
          </cell>
        </row>
        <row r="417">
          <cell r="D417" t="str">
            <v>C308170</v>
          </cell>
          <cell r="E417">
            <v>46143</v>
          </cell>
          <cell r="F417">
            <v>46507</v>
          </cell>
          <cell r="G417">
            <v>46179</v>
          </cell>
          <cell r="H417">
            <v>46179</v>
          </cell>
          <cell r="J417" t="str">
            <v>004179</v>
          </cell>
          <cell r="K417">
            <v>-28.78</v>
          </cell>
          <cell r="L417">
            <v>-28.78</v>
          </cell>
          <cell r="M417">
            <v>-28.78</v>
          </cell>
          <cell r="N417" t="str">
            <v>indiretto</v>
          </cell>
          <cell r="O417">
            <v>1</v>
          </cell>
          <cell r="P417" t="str">
            <v>0.802937</v>
          </cell>
          <cell r="Q417" t="str">
            <v>0.568257</v>
          </cell>
          <cell r="R417" t="str">
            <v>0.205575</v>
          </cell>
          <cell r="S417" t="str">
            <v>NO</v>
          </cell>
          <cell r="T417" t="str">
            <v>DELIBERAZIONE EGATO 11 27/03/2019</v>
          </cell>
        </row>
        <row r="418">
          <cell r="D418" t="str">
            <v>C311704</v>
          </cell>
          <cell r="E418">
            <v>46143</v>
          </cell>
          <cell r="F418">
            <v>46507</v>
          </cell>
          <cell r="G418">
            <v>46179</v>
          </cell>
          <cell r="H418">
            <v>46179</v>
          </cell>
          <cell r="J418" t="str">
            <v>004078</v>
          </cell>
          <cell r="K418">
            <v>-132.52000000000001</v>
          </cell>
          <cell r="L418">
            <v>-132.52000000000001</v>
          </cell>
          <cell r="M418">
            <v>-132.52000000000001</v>
          </cell>
          <cell r="N418" t="str">
            <v>indiretto</v>
          </cell>
          <cell r="O418">
            <v>4</v>
          </cell>
          <cell r="P418" t="str">
            <v>0.916558</v>
          </cell>
          <cell r="Q418" t="str">
            <v>0.642623</v>
          </cell>
          <cell r="R418" t="str">
            <v>0.256196</v>
          </cell>
          <cell r="S418" t="str">
            <v>NO</v>
          </cell>
          <cell r="T418" t="str">
            <v>DELIBERAZIONE EGATO 29 19/12/2018</v>
          </cell>
        </row>
        <row r="419">
          <cell r="D419" t="str">
            <v>C307643</v>
          </cell>
          <cell r="E419">
            <v>46143</v>
          </cell>
          <cell r="F419">
            <v>46507</v>
          </cell>
          <cell r="G419">
            <v>46179</v>
          </cell>
          <cell r="H419">
            <v>46179</v>
          </cell>
          <cell r="J419" t="str">
            <v>004009</v>
          </cell>
          <cell r="K419">
            <v>-49.24</v>
          </cell>
          <cell r="L419">
            <v>-49.24</v>
          </cell>
          <cell r="M419">
            <v>-49.24</v>
          </cell>
          <cell r="N419" t="str">
            <v>indiretto</v>
          </cell>
          <cell r="O419">
            <v>2</v>
          </cell>
          <cell r="P419" t="str">
            <v>0.716943</v>
          </cell>
          <cell r="Q419" t="str">
            <v>0.463071</v>
          </cell>
          <cell r="R419" t="str">
            <v>0.169064</v>
          </cell>
          <cell r="S419" t="str">
            <v>NO</v>
          </cell>
          <cell r="T419" t="str">
            <v>DELIBERAZIONE EGATO 2 04/02/2019</v>
          </cell>
        </row>
        <row r="420">
          <cell r="D420" t="str">
            <v>C344246</v>
          </cell>
          <cell r="E420">
            <v>46143</v>
          </cell>
          <cell r="F420">
            <v>46507</v>
          </cell>
          <cell r="G420">
            <v>46179</v>
          </cell>
          <cell r="H420">
            <v>46179</v>
          </cell>
          <cell r="J420" t="str">
            <v>004082</v>
          </cell>
          <cell r="K420">
            <v>-33.130000000000003</v>
          </cell>
          <cell r="L420">
            <v>-33.130000000000003</v>
          </cell>
          <cell r="M420">
            <v>-33.130000000000003</v>
          </cell>
          <cell r="N420" t="str">
            <v>indiretto</v>
          </cell>
          <cell r="O420">
            <v>1</v>
          </cell>
          <cell r="P420" t="str">
            <v>0.916558</v>
          </cell>
          <cell r="Q420" t="str">
            <v>0.642623</v>
          </cell>
          <cell r="R420" t="str">
            <v>0.256196</v>
          </cell>
          <cell r="S420" t="str">
            <v>NO</v>
          </cell>
          <cell r="T420" t="str">
            <v>DELIBERAZIONE EGATO 29 19/12/2018</v>
          </cell>
        </row>
        <row r="421">
          <cell r="D421" t="str">
            <v>C118160</v>
          </cell>
          <cell r="E421">
            <v>46143</v>
          </cell>
          <cell r="F421">
            <v>46507</v>
          </cell>
          <cell r="G421">
            <v>46179</v>
          </cell>
          <cell r="H421">
            <v>46179</v>
          </cell>
          <cell r="J421" t="str">
            <v>004209</v>
          </cell>
          <cell r="K421">
            <v>-89.45</v>
          </cell>
          <cell r="L421">
            <v>-89.45</v>
          </cell>
          <cell r="M421">
            <v>-89.45</v>
          </cell>
          <cell r="N421" t="str">
            <v>indiretto</v>
          </cell>
          <cell r="O421">
            <v>3</v>
          </cell>
          <cell r="P421" t="str">
            <v>0.824903</v>
          </cell>
          <cell r="Q421" t="str">
            <v>0.578360</v>
          </cell>
          <cell r="R421" t="str">
            <v>0.230576</v>
          </cell>
          <cell r="S421" t="str">
            <v>NO</v>
          </cell>
          <cell r="T421" t="str">
            <v>DELIBERAZIONE EGATO 29 19/12/2018</v>
          </cell>
        </row>
        <row r="422">
          <cell r="D422" t="str">
            <v>C320530</v>
          </cell>
          <cell r="E422">
            <v>46143</v>
          </cell>
          <cell r="F422">
            <v>46507</v>
          </cell>
          <cell r="G422">
            <v>46179</v>
          </cell>
          <cell r="H422">
            <v>46179</v>
          </cell>
          <cell r="J422" t="str">
            <v>004225</v>
          </cell>
          <cell r="K422">
            <v>-132.52000000000001</v>
          </cell>
          <cell r="L422">
            <v>-132.52000000000001</v>
          </cell>
          <cell r="M422">
            <v>-132.52000000000001</v>
          </cell>
          <cell r="N422" t="str">
            <v>indiretto</v>
          </cell>
          <cell r="O422">
            <v>4</v>
          </cell>
          <cell r="P422" t="str">
            <v>0.916558</v>
          </cell>
          <cell r="Q422" t="str">
            <v>0.642623</v>
          </cell>
          <cell r="R422" t="str">
            <v>0.256196</v>
          </cell>
          <cell r="S422" t="str">
            <v>NO</v>
          </cell>
          <cell r="T422" t="str">
            <v>DELIBERAZIONE EGATO 29 19/12/2018</v>
          </cell>
        </row>
        <row r="423">
          <cell r="D423" t="str">
            <v>C314438</v>
          </cell>
          <cell r="E423">
            <v>46143</v>
          </cell>
          <cell r="F423">
            <v>46507</v>
          </cell>
          <cell r="G423">
            <v>46179</v>
          </cell>
          <cell r="H423">
            <v>46179</v>
          </cell>
          <cell r="J423" t="str">
            <v>004078</v>
          </cell>
          <cell r="K423">
            <v>-132.52000000000001</v>
          </cell>
          <cell r="L423">
            <v>-132.52000000000001</v>
          </cell>
          <cell r="M423">
            <v>-132.52000000000001</v>
          </cell>
          <cell r="N423" t="str">
            <v>indiretto</v>
          </cell>
          <cell r="O423">
            <v>4</v>
          </cell>
          <cell r="P423" t="str">
            <v>0.916558</v>
          </cell>
          <cell r="Q423" t="str">
            <v>0.642623</v>
          </cell>
          <cell r="R423" t="str">
            <v>0.256196</v>
          </cell>
          <cell r="S423" t="str">
            <v>NO</v>
          </cell>
          <cell r="T423" t="str">
            <v>DELIBERAZIONE EGATO 29 19/12/2018</v>
          </cell>
        </row>
        <row r="424">
          <cell r="D424" t="str">
            <v>C308772</v>
          </cell>
          <cell r="E424">
            <v>46143</v>
          </cell>
          <cell r="F424">
            <v>46507</v>
          </cell>
          <cell r="G424">
            <v>46179</v>
          </cell>
          <cell r="H424">
            <v>46179</v>
          </cell>
          <cell r="J424" t="str">
            <v>004034</v>
          </cell>
          <cell r="K424">
            <v>-132.52000000000001</v>
          </cell>
          <cell r="L424">
            <v>-132.52000000000001</v>
          </cell>
          <cell r="M424">
            <v>-132.52000000000001</v>
          </cell>
          <cell r="N424" t="str">
            <v>indiretto</v>
          </cell>
          <cell r="O424">
            <v>4</v>
          </cell>
          <cell r="P424" t="str">
            <v>0.916558</v>
          </cell>
          <cell r="Q424" t="str">
            <v>0.642623</v>
          </cell>
          <cell r="R424" t="str">
            <v>0.256196</v>
          </cell>
          <cell r="S424" t="str">
            <v>NO</v>
          </cell>
          <cell r="T424" t="str">
            <v>DELIBERAZIONE EGATO 29 19/12/2018</v>
          </cell>
        </row>
        <row r="425">
          <cell r="D425" t="str">
            <v>C314494</v>
          </cell>
          <cell r="E425">
            <v>46143</v>
          </cell>
          <cell r="F425">
            <v>46507</v>
          </cell>
          <cell r="G425">
            <v>46179</v>
          </cell>
          <cell r="H425">
            <v>46179</v>
          </cell>
          <cell r="J425" t="str">
            <v>004163</v>
          </cell>
          <cell r="K425">
            <v>-165.65</v>
          </cell>
          <cell r="L425">
            <v>-165.65</v>
          </cell>
          <cell r="M425">
            <v>-165.65</v>
          </cell>
          <cell r="N425" t="str">
            <v>indiretto</v>
          </cell>
          <cell r="O425">
            <v>5</v>
          </cell>
          <cell r="P425" t="str">
            <v>0.916558</v>
          </cell>
          <cell r="Q425" t="str">
            <v>0.642623</v>
          </cell>
          <cell r="R425" t="str">
            <v>0.256196</v>
          </cell>
          <cell r="S425" t="str">
            <v>NO</v>
          </cell>
          <cell r="T425" t="str">
            <v>DELIBERAZIONE EGATO 29 19/12/2018</v>
          </cell>
        </row>
        <row r="426">
          <cell r="D426" t="str">
            <v>C322508</v>
          </cell>
          <cell r="E426">
            <v>46143</v>
          </cell>
          <cell r="F426">
            <v>46507</v>
          </cell>
          <cell r="G426">
            <v>46179</v>
          </cell>
          <cell r="H426">
            <v>46179</v>
          </cell>
          <cell r="J426" t="str">
            <v>004078</v>
          </cell>
          <cell r="K426">
            <v>-66.260000000000005</v>
          </cell>
          <cell r="L426">
            <v>-66.260000000000005</v>
          </cell>
          <cell r="M426">
            <v>-66.260000000000005</v>
          </cell>
          <cell r="N426" t="str">
            <v>indiretto</v>
          </cell>
          <cell r="O426">
            <v>2</v>
          </cell>
          <cell r="P426" t="str">
            <v>0.916558</v>
          </cell>
          <cell r="Q426" t="str">
            <v>0.642623</v>
          </cell>
          <cell r="R426" t="str">
            <v>0.256196</v>
          </cell>
          <cell r="S426" t="str">
            <v>NO</v>
          </cell>
          <cell r="T426" t="str">
            <v>DELIBERAZIONE EGATO 29 19/12/2018</v>
          </cell>
        </row>
        <row r="427">
          <cell r="D427" t="str">
            <v>C311450</v>
          </cell>
          <cell r="E427">
            <v>46143</v>
          </cell>
          <cell r="F427">
            <v>46507</v>
          </cell>
          <cell r="G427">
            <v>46179</v>
          </cell>
          <cell r="H427">
            <v>46179</v>
          </cell>
          <cell r="J427" t="str">
            <v>004179</v>
          </cell>
          <cell r="K427">
            <v>-143.88</v>
          </cell>
          <cell r="L427">
            <v>-143.88</v>
          </cell>
          <cell r="M427">
            <v>-143.88</v>
          </cell>
          <cell r="N427" t="str">
            <v>indiretto</v>
          </cell>
          <cell r="O427">
            <v>5</v>
          </cell>
          <cell r="P427" t="str">
            <v>0.802937</v>
          </cell>
          <cell r="Q427" t="str">
            <v>0.568257</v>
          </cell>
          <cell r="R427" t="str">
            <v>0.205575</v>
          </cell>
          <cell r="S427" t="str">
            <v>NO</v>
          </cell>
          <cell r="T427" t="str">
            <v>DELIBERAZIONE EGATO 11 27/03/2019</v>
          </cell>
        </row>
        <row r="428">
          <cell r="D428" t="str">
            <v>C344299</v>
          </cell>
          <cell r="E428">
            <v>46143</v>
          </cell>
          <cell r="F428">
            <v>46507</v>
          </cell>
          <cell r="G428">
            <v>46179</v>
          </cell>
          <cell r="H428">
            <v>46179</v>
          </cell>
          <cell r="J428" t="str">
            <v>004025</v>
          </cell>
          <cell r="K428">
            <v>-66.260000000000005</v>
          </cell>
          <cell r="L428">
            <v>-66.260000000000005</v>
          </cell>
          <cell r="M428">
            <v>-66.260000000000005</v>
          </cell>
          <cell r="N428" t="str">
            <v>indiretto</v>
          </cell>
          <cell r="O428">
            <v>2</v>
          </cell>
          <cell r="P428" t="str">
            <v>0.916558</v>
          </cell>
          <cell r="Q428" t="str">
            <v>0.642623</v>
          </cell>
          <cell r="R428" t="str">
            <v>0.256196</v>
          </cell>
          <cell r="S428" t="str">
            <v>NO</v>
          </cell>
          <cell r="T428" t="str">
            <v>DELIBERAZIONE EGATO 29 19/12/2018</v>
          </cell>
        </row>
        <row r="429">
          <cell r="D429" t="str">
            <v>C344154</v>
          </cell>
          <cell r="E429">
            <v>46143</v>
          </cell>
          <cell r="F429">
            <v>46507</v>
          </cell>
          <cell r="G429">
            <v>46179</v>
          </cell>
          <cell r="H429">
            <v>46179</v>
          </cell>
          <cell r="J429" t="str">
            <v>004078</v>
          </cell>
          <cell r="K429">
            <v>-33.130000000000003</v>
          </cell>
          <cell r="L429">
            <v>-33.130000000000003</v>
          </cell>
          <cell r="M429">
            <v>-33.130000000000003</v>
          </cell>
          <cell r="N429" t="str">
            <v>indiretto</v>
          </cell>
          <cell r="O429">
            <v>1</v>
          </cell>
          <cell r="P429" t="str">
            <v>0.916558</v>
          </cell>
          <cell r="Q429" t="str">
            <v>0.642623</v>
          </cell>
          <cell r="R429" t="str">
            <v>0.256196</v>
          </cell>
          <cell r="S429" t="str">
            <v>NO</v>
          </cell>
          <cell r="T429" t="str">
            <v>DELIBERAZIONE EGATO 29 19/12/2018</v>
          </cell>
        </row>
        <row r="430">
          <cell r="D430" t="str">
            <v>C002792</v>
          </cell>
          <cell r="E430">
            <v>46143</v>
          </cell>
          <cell r="F430">
            <v>46507</v>
          </cell>
          <cell r="G430">
            <v>46179</v>
          </cell>
          <cell r="H430">
            <v>46179</v>
          </cell>
          <cell r="J430" t="str">
            <v>004165</v>
          </cell>
          <cell r="K430">
            <v>-165.65</v>
          </cell>
          <cell r="L430">
            <v>-165.65</v>
          </cell>
          <cell r="M430">
            <v>-165.65</v>
          </cell>
          <cell r="N430" t="str">
            <v>indiretto</v>
          </cell>
          <cell r="O430">
            <v>5</v>
          </cell>
          <cell r="P430" t="str">
            <v>0.916558</v>
          </cell>
          <cell r="Q430" t="str">
            <v>0.642623</v>
          </cell>
          <cell r="R430" t="str">
            <v>0.256196</v>
          </cell>
          <cell r="S430" t="str">
            <v>NO</v>
          </cell>
          <cell r="T430" t="str">
            <v>DELIBERAZIONE EGATO 29 19/12/2018</v>
          </cell>
        </row>
        <row r="431">
          <cell r="D431" t="str">
            <v>C310564</v>
          </cell>
          <cell r="E431">
            <v>46143</v>
          </cell>
          <cell r="F431">
            <v>46507</v>
          </cell>
          <cell r="G431">
            <v>46179</v>
          </cell>
          <cell r="H431">
            <v>46179</v>
          </cell>
          <cell r="J431" t="str">
            <v>004157</v>
          </cell>
          <cell r="K431">
            <v>-66.260000000000005</v>
          </cell>
          <cell r="L431">
            <v>-66.260000000000005</v>
          </cell>
          <cell r="M431">
            <v>-66.260000000000005</v>
          </cell>
          <cell r="N431" t="str">
            <v>indiretto</v>
          </cell>
          <cell r="O431">
            <v>2</v>
          </cell>
          <cell r="P431" t="str">
            <v>0.916558</v>
          </cell>
          <cell r="Q431" t="str">
            <v>0.642623</v>
          </cell>
          <cell r="R431" t="str">
            <v>0.256196</v>
          </cell>
          <cell r="S431" t="str">
            <v>NO</v>
          </cell>
          <cell r="T431" t="str">
            <v>DELIBERAZIONE EGATO 29 19/12/2018</v>
          </cell>
        </row>
        <row r="432">
          <cell r="D432" t="str">
            <v>C344111</v>
          </cell>
          <cell r="E432">
            <v>46143</v>
          </cell>
          <cell r="F432">
            <v>46507</v>
          </cell>
          <cell r="G432">
            <v>46179</v>
          </cell>
          <cell r="H432">
            <v>46179</v>
          </cell>
          <cell r="J432" t="str">
            <v>004078</v>
          </cell>
          <cell r="K432">
            <v>-66.260000000000005</v>
          </cell>
          <cell r="L432">
            <v>-66.260000000000005</v>
          </cell>
          <cell r="M432">
            <v>-66.260000000000005</v>
          </cell>
          <cell r="N432" t="str">
            <v>indiretto</v>
          </cell>
          <cell r="O432">
            <v>2</v>
          </cell>
          <cell r="P432" t="str">
            <v>0.916558</v>
          </cell>
          <cell r="Q432" t="str">
            <v>0.642623</v>
          </cell>
          <cell r="R432" t="str">
            <v>0.256196</v>
          </cell>
          <cell r="S432" t="str">
            <v>NO</v>
          </cell>
          <cell r="T432" t="str">
            <v>DELIBERAZIONE EGATO 29 19/12/2018</v>
          </cell>
        </row>
        <row r="433">
          <cell r="D433" t="str">
            <v>C314690</v>
          </cell>
          <cell r="E433">
            <v>46143</v>
          </cell>
          <cell r="F433">
            <v>46507</v>
          </cell>
          <cell r="G433">
            <v>46179</v>
          </cell>
          <cell r="H433">
            <v>46179</v>
          </cell>
          <cell r="J433" t="str">
            <v>004034</v>
          </cell>
          <cell r="K433">
            <v>-33.130000000000003</v>
          </cell>
          <cell r="L433">
            <v>-33.130000000000003</v>
          </cell>
          <cell r="M433">
            <v>-33.130000000000003</v>
          </cell>
          <cell r="N433" t="str">
            <v>indiretto</v>
          </cell>
          <cell r="O433">
            <v>1</v>
          </cell>
          <cell r="P433" t="str">
            <v>0.916558</v>
          </cell>
          <cell r="Q433" t="str">
            <v>0.642623</v>
          </cell>
          <cell r="R433" t="str">
            <v>0.256196</v>
          </cell>
          <cell r="S433" t="str">
            <v>NO</v>
          </cell>
          <cell r="T433" t="str">
            <v>DELIBERAZIONE EGATO 29 19/12/2018</v>
          </cell>
        </row>
        <row r="434">
          <cell r="D434" t="str">
            <v>C337552</v>
          </cell>
          <cell r="E434">
            <v>46143</v>
          </cell>
          <cell r="F434">
            <v>46507</v>
          </cell>
          <cell r="G434">
            <v>46179</v>
          </cell>
          <cell r="H434">
            <v>46179</v>
          </cell>
          <cell r="J434" t="str">
            <v>004068</v>
          </cell>
          <cell r="K434">
            <v>-99.39</v>
          </cell>
          <cell r="L434">
            <v>-99.39</v>
          </cell>
          <cell r="M434">
            <v>-99.39</v>
          </cell>
          <cell r="N434" t="str">
            <v>indiretto</v>
          </cell>
          <cell r="O434">
            <v>3</v>
          </cell>
          <cell r="P434" t="str">
            <v>0.916558</v>
          </cell>
          <cell r="Q434" t="str">
            <v>0.642623</v>
          </cell>
          <cell r="R434" t="str">
            <v>0.256196</v>
          </cell>
          <cell r="S434" t="str">
            <v>NO</v>
          </cell>
          <cell r="T434" t="str">
            <v>DELIBERAZIONE EGATO 29 19/12/2018</v>
          </cell>
        </row>
        <row r="435">
          <cell r="D435" t="str">
            <v>C320318</v>
          </cell>
          <cell r="E435">
            <v>46143</v>
          </cell>
          <cell r="F435">
            <v>46507</v>
          </cell>
          <cell r="G435">
            <v>46179</v>
          </cell>
          <cell r="H435">
            <v>46179</v>
          </cell>
          <cell r="J435" t="str">
            <v>004110</v>
          </cell>
          <cell r="K435">
            <v>-33.130000000000003</v>
          </cell>
          <cell r="L435">
            <v>-33.130000000000003</v>
          </cell>
          <cell r="M435">
            <v>-33.130000000000003</v>
          </cell>
          <cell r="N435" t="str">
            <v>indiretto</v>
          </cell>
          <cell r="O435">
            <v>1</v>
          </cell>
          <cell r="P435" t="str">
            <v>0.916558</v>
          </cell>
          <cell r="Q435" t="str">
            <v>0.642623</v>
          </cell>
          <cell r="R435" t="str">
            <v>0.256196</v>
          </cell>
          <cell r="S435" t="str">
            <v>NO</v>
          </cell>
          <cell r="T435" t="str">
            <v>DELIBERAZIONE EGATO 29 19/12/2018</v>
          </cell>
        </row>
        <row r="436">
          <cell r="D436" t="str">
            <v>C307921</v>
          </cell>
          <cell r="E436">
            <v>46143</v>
          </cell>
          <cell r="F436">
            <v>46507</v>
          </cell>
          <cell r="G436">
            <v>46179</v>
          </cell>
          <cell r="H436">
            <v>46179</v>
          </cell>
          <cell r="J436" t="str">
            <v>004028</v>
          </cell>
          <cell r="K436">
            <v>-132.52000000000001</v>
          </cell>
          <cell r="L436">
            <v>-132.52000000000001</v>
          </cell>
          <cell r="M436">
            <v>-132.52000000000001</v>
          </cell>
          <cell r="N436" t="str">
            <v>indiretto</v>
          </cell>
          <cell r="O436">
            <v>4</v>
          </cell>
          <cell r="P436" t="str">
            <v>0.916558</v>
          </cell>
          <cell r="Q436" t="str">
            <v>0.642623</v>
          </cell>
          <cell r="R436" t="str">
            <v>0.256196</v>
          </cell>
          <cell r="S436" t="str">
            <v>NO</v>
          </cell>
          <cell r="T436" t="str">
            <v>DELIBERAZIONE EGATO 29 19/12/2018</v>
          </cell>
        </row>
        <row r="437">
          <cell r="D437" t="str">
            <v>C344187</v>
          </cell>
          <cell r="E437">
            <v>46143</v>
          </cell>
          <cell r="F437">
            <v>46507</v>
          </cell>
          <cell r="G437">
            <v>46179</v>
          </cell>
          <cell r="H437">
            <v>46179</v>
          </cell>
          <cell r="J437" t="str">
            <v>004078</v>
          </cell>
          <cell r="K437">
            <v>-66.260000000000005</v>
          </cell>
          <cell r="L437">
            <v>-66.260000000000005</v>
          </cell>
          <cell r="M437">
            <v>-66.260000000000005</v>
          </cell>
          <cell r="N437" t="str">
            <v>indiretto</v>
          </cell>
          <cell r="O437">
            <v>2</v>
          </cell>
          <cell r="P437" t="str">
            <v>0.916558</v>
          </cell>
          <cell r="Q437" t="str">
            <v>0.642623</v>
          </cell>
          <cell r="R437" t="str">
            <v>0.256196</v>
          </cell>
          <cell r="S437" t="str">
            <v>NO</v>
          </cell>
          <cell r="T437" t="str">
            <v>DELIBERAZIONE EGATO 29 19/12/2018</v>
          </cell>
        </row>
        <row r="438">
          <cell r="D438" t="str">
            <v>C344186</v>
          </cell>
          <cell r="E438">
            <v>46143</v>
          </cell>
          <cell r="F438">
            <v>46507</v>
          </cell>
          <cell r="G438">
            <v>46179</v>
          </cell>
          <cell r="H438">
            <v>46179</v>
          </cell>
          <cell r="J438" t="str">
            <v>004130</v>
          </cell>
          <cell r="K438">
            <v>-26.26</v>
          </cell>
          <cell r="L438">
            <v>-26.26</v>
          </cell>
          <cell r="M438">
            <v>-26.26</v>
          </cell>
          <cell r="N438" t="str">
            <v>indiretto</v>
          </cell>
          <cell r="O438">
            <v>1</v>
          </cell>
          <cell r="P438" t="str">
            <v>0.545182</v>
          </cell>
          <cell r="Q438" t="str">
            <v>0.611443</v>
          </cell>
          <cell r="R438" t="str">
            <v>0.282207</v>
          </cell>
          <cell r="S438" t="str">
            <v>NO</v>
          </cell>
          <cell r="T438" t="str">
            <v>DELIBERA EGATO N.29 DEL 19/12/2018</v>
          </cell>
        </row>
        <row r="439">
          <cell r="D439" t="str">
            <v>C312441</v>
          </cell>
          <cell r="E439">
            <v>46143</v>
          </cell>
          <cell r="F439">
            <v>46507</v>
          </cell>
          <cell r="G439">
            <v>46179</v>
          </cell>
          <cell r="H439">
            <v>46179</v>
          </cell>
          <cell r="J439" t="str">
            <v>004091</v>
          </cell>
          <cell r="K439">
            <v>-29.82</v>
          </cell>
          <cell r="L439">
            <v>-29.82</v>
          </cell>
          <cell r="M439">
            <v>-29.82</v>
          </cell>
          <cell r="N439" t="str">
            <v>indiretto</v>
          </cell>
          <cell r="O439">
            <v>1</v>
          </cell>
          <cell r="P439" t="str">
            <v>0.824903</v>
          </cell>
          <cell r="Q439" t="str">
            <v>0.578360</v>
          </cell>
          <cell r="R439" t="str">
            <v>0.230576</v>
          </cell>
          <cell r="S439" t="str">
            <v>NO</v>
          </cell>
          <cell r="T439" t="str">
            <v>DELIBERAZIONE EGATO 29 19/12/2018</v>
          </cell>
        </row>
        <row r="440">
          <cell r="D440" t="str">
            <v>C315027</v>
          </cell>
          <cell r="E440">
            <v>46143</v>
          </cell>
          <cell r="F440">
            <v>46507</v>
          </cell>
          <cell r="G440">
            <v>46179</v>
          </cell>
          <cell r="H440">
            <v>46179</v>
          </cell>
          <cell r="J440" t="str">
            <v>004028</v>
          </cell>
          <cell r="K440">
            <v>-33.130000000000003</v>
          </cell>
          <cell r="L440">
            <v>-33.130000000000003</v>
          </cell>
          <cell r="M440">
            <v>-33.130000000000003</v>
          </cell>
          <cell r="N440" t="str">
            <v>indiretto</v>
          </cell>
          <cell r="O440">
            <v>1</v>
          </cell>
          <cell r="P440" t="str">
            <v>0.916558</v>
          </cell>
          <cell r="Q440" t="str">
            <v>0.642623</v>
          </cell>
          <cell r="R440" t="str">
            <v>0.256196</v>
          </cell>
          <cell r="S440" t="str">
            <v>NO</v>
          </cell>
          <cell r="T440" t="str">
            <v>DELIBERAZIONE EGATO 29 19/12/2018</v>
          </cell>
        </row>
        <row r="441">
          <cell r="D441" t="str">
            <v>C344185</v>
          </cell>
          <cell r="E441">
            <v>46143</v>
          </cell>
          <cell r="F441">
            <v>46507</v>
          </cell>
          <cell r="G441">
            <v>46179</v>
          </cell>
          <cell r="H441">
            <v>46179</v>
          </cell>
          <cell r="J441" t="str">
            <v>004130</v>
          </cell>
          <cell r="K441">
            <v>-26.26</v>
          </cell>
          <cell r="L441">
            <v>-26.26</v>
          </cell>
          <cell r="M441">
            <v>-26.26</v>
          </cell>
          <cell r="N441" t="str">
            <v>indiretto</v>
          </cell>
          <cell r="O441">
            <v>1</v>
          </cell>
          <cell r="P441" t="str">
            <v>0.545182</v>
          </cell>
          <cell r="Q441" t="str">
            <v>0.611443</v>
          </cell>
          <cell r="R441" t="str">
            <v>0.282207</v>
          </cell>
          <cell r="S441" t="str">
            <v>NO</v>
          </cell>
          <cell r="T441" t="str">
            <v>DELIBERA EGATO N.29 DEL 19/12/2018</v>
          </cell>
        </row>
        <row r="442">
          <cell r="D442" t="str">
            <v>C316522</v>
          </cell>
          <cell r="E442">
            <v>46143</v>
          </cell>
          <cell r="F442">
            <v>46507</v>
          </cell>
          <cell r="G442">
            <v>46179</v>
          </cell>
          <cell r="H442">
            <v>46179</v>
          </cell>
          <cell r="J442" t="str">
            <v>004189</v>
          </cell>
          <cell r="K442">
            <v>-66.260000000000005</v>
          </cell>
          <cell r="L442">
            <v>-66.260000000000005</v>
          </cell>
          <cell r="M442">
            <v>-66.260000000000005</v>
          </cell>
          <cell r="N442" t="str">
            <v>indiretto</v>
          </cell>
          <cell r="O442">
            <v>2</v>
          </cell>
          <cell r="P442" t="str">
            <v>0.916558</v>
          </cell>
          <cell r="Q442" t="str">
            <v>0.642623</v>
          </cell>
          <cell r="R442" t="str">
            <v>0.256196</v>
          </cell>
          <cell r="S442" t="str">
            <v>NO</v>
          </cell>
          <cell r="T442" t="str">
            <v>DELIBERAZIONE EGATO 29 19/12/2018</v>
          </cell>
        </row>
        <row r="443">
          <cell r="D443" t="str">
            <v>C314978</v>
          </cell>
          <cell r="E443">
            <v>46143</v>
          </cell>
          <cell r="F443">
            <v>46507</v>
          </cell>
          <cell r="G443">
            <v>46179</v>
          </cell>
          <cell r="H443">
            <v>46179</v>
          </cell>
          <cell r="J443" t="str">
            <v>004012</v>
          </cell>
          <cell r="K443">
            <v>-98.48</v>
          </cell>
          <cell r="L443">
            <v>-98.48</v>
          </cell>
          <cell r="M443">
            <v>-98.48</v>
          </cell>
          <cell r="N443" t="str">
            <v>indiretto</v>
          </cell>
          <cell r="O443">
            <v>4</v>
          </cell>
          <cell r="P443" t="str">
            <v>0.716943</v>
          </cell>
          <cell r="Q443" t="str">
            <v>0.463071</v>
          </cell>
          <cell r="R443" t="str">
            <v>0.169064</v>
          </cell>
          <cell r="S443" t="str">
            <v>NO</v>
          </cell>
          <cell r="T443" t="str">
            <v>DELIBERAZIONE EGATO 2 04/02/2019</v>
          </cell>
        </row>
        <row r="444">
          <cell r="D444" t="str">
            <v>C123185</v>
          </cell>
          <cell r="E444">
            <v>46143</v>
          </cell>
          <cell r="F444">
            <v>46507</v>
          </cell>
          <cell r="G444">
            <v>46179</v>
          </cell>
          <cell r="H444">
            <v>46179</v>
          </cell>
          <cell r="J444" t="str">
            <v>004078</v>
          </cell>
          <cell r="K444">
            <v>-66.260000000000005</v>
          </cell>
          <cell r="L444">
            <v>-66.260000000000005</v>
          </cell>
          <cell r="M444">
            <v>-66.260000000000005</v>
          </cell>
          <cell r="N444" t="str">
            <v>indiretto</v>
          </cell>
          <cell r="O444">
            <v>2</v>
          </cell>
          <cell r="P444" t="str">
            <v>0.916558</v>
          </cell>
          <cell r="Q444" t="str">
            <v>0.642623</v>
          </cell>
          <cell r="R444" t="str">
            <v>0.256196</v>
          </cell>
          <cell r="S444" t="str">
            <v>NO</v>
          </cell>
          <cell r="T444" t="str">
            <v>DELIBERAZIONE EGATO 29 19/12/2018</v>
          </cell>
        </row>
        <row r="445">
          <cell r="D445" t="str">
            <v>IN18932</v>
          </cell>
          <cell r="E445">
            <v>46143</v>
          </cell>
          <cell r="F445">
            <v>46507</v>
          </cell>
          <cell r="G445">
            <v>46179</v>
          </cell>
          <cell r="H445">
            <v>46179</v>
          </cell>
          <cell r="J445" t="str">
            <v>004012</v>
          </cell>
          <cell r="K445">
            <v>-24.62</v>
          </cell>
          <cell r="L445">
            <v>-24.62</v>
          </cell>
          <cell r="M445">
            <v>-24.62</v>
          </cell>
          <cell r="N445" t="str">
            <v>indiretto</v>
          </cell>
          <cell r="O445">
            <v>1</v>
          </cell>
          <cell r="P445" t="str">
            <v>0.716943</v>
          </cell>
          <cell r="Q445" t="str">
            <v>0.463071</v>
          </cell>
          <cell r="R445" t="str">
            <v>0.169064</v>
          </cell>
          <cell r="S445" t="str">
            <v>NO</v>
          </cell>
          <cell r="T445" t="str">
            <v>DELIBERAZIONE EGATO 2 04/02/2019</v>
          </cell>
        </row>
        <row r="446">
          <cell r="D446" t="str">
            <v>C344297</v>
          </cell>
          <cell r="E446">
            <v>46143</v>
          </cell>
          <cell r="F446">
            <v>46507</v>
          </cell>
          <cell r="G446">
            <v>46179</v>
          </cell>
          <cell r="H446">
            <v>46179</v>
          </cell>
          <cell r="J446" t="str">
            <v>004078</v>
          </cell>
          <cell r="K446">
            <v>-33.130000000000003</v>
          </cell>
          <cell r="L446">
            <v>-33.130000000000003</v>
          </cell>
          <cell r="M446">
            <v>-33.130000000000003</v>
          </cell>
          <cell r="N446" t="str">
            <v>indiretto</v>
          </cell>
          <cell r="O446">
            <v>1</v>
          </cell>
          <cell r="P446" t="str">
            <v>0.916558</v>
          </cell>
          <cell r="Q446" t="str">
            <v>0.642623</v>
          </cell>
          <cell r="R446" t="str">
            <v>0.256196</v>
          </cell>
          <cell r="S446" t="str">
            <v>NO</v>
          </cell>
          <cell r="T446" t="str">
            <v>DELIBERAZIONE EGATO 29 19/12/2018</v>
          </cell>
        </row>
        <row r="447">
          <cell r="D447" t="str">
            <v>C313890</v>
          </cell>
          <cell r="E447">
            <v>46143</v>
          </cell>
          <cell r="F447">
            <v>46507</v>
          </cell>
          <cell r="G447">
            <v>46179</v>
          </cell>
          <cell r="H447">
            <v>46179</v>
          </cell>
          <cell r="J447" t="str">
            <v>004166</v>
          </cell>
          <cell r="K447">
            <v>-47.94</v>
          </cell>
          <cell r="L447">
            <v>-47.94</v>
          </cell>
          <cell r="M447">
            <v>-47.94</v>
          </cell>
          <cell r="N447" t="str">
            <v>indiretto</v>
          </cell>
          <cell r="O447">
            <v>2</v>
          </cell>
          <cell r="P447" t="str">
            <v>0.721337</v>
          </cell>
          <cell r="Q447" t="str">
            <v>0.441600</v>
          </cell>
          <cell r="R447" t="str">
            <v>0.150394</v>
          </cell>
          <cell r="S447" t="str">
            <v>NO</v>
          </cell>
          <cell r="T447" t="str">
            <v>DELIBERAZIONE EGATO 2 04/02/2019</v>
          </cell>
        </row>
        <row r="448">
          <cell r="D448" t="str">
            <v>C344164</v>
          </cell>
          <cell r="E448">
            <v>46143</v>
          </cell>
          <cell r="F448">
            <v>46507</v>
          </cell>
          <cell r="G448">
            <v>46179</v>
          </cell>
          <cell r="H448">
            <v>46179</v>
          </cell>
          <cell r="J448" t="str">
            <v>004208</v>
          </cell>
          <cell r="K448">
            <v>-70.22</v>
          </cell>
          <cell r="L448">
            <v>-70.22</v>
          </cell>
          <cell r="M448">
            <v>-70.22</v>
          </cell>
          <cell r="N448" t="str">
            <v>indiretto</v>
          </cell>
          <cell r="O448">
            <v>2</v>
          </cell>
          <cell r="P448">
            <v>1193061</v>
          </cell>
          <cell r="Q448" t="str">
            <v>0.545393</v>
          </cell>
          <cell r="R448" t="str">
            <v>0.185433</v>
          </cell>
          <cell r="S448" t="str">
            <v>NO</v>
          </cell>
          <cell r="T448" t="str">
            <v>DELIBERAZIONE EGATO 11 27/03/2019</v>
          </cell>
        </row>
        <row r="449">
          <cell r="D449" t="str">
            <v>C309998</v>
          </cell>
          <cell r="E449">
            <v>46143</v>
          </cell>
          <cell r="F449">
            <v>46507</v>
          </cell>
          <cell r="G449">
            <v>46179</v>
          </cell>
          <cell r="H449">
            <v>46179</v>
          </cell>
          <cell r="J449" t="str">
            <v>004087</v>
          </cell>
          <cell r="K449">
            <v>-18.16</v>
          </cell>
          <cell r="L449">
            <v>-18.16</v>
          </cell>
          <cell r="M449">
            <v>-18.16</v>
          </cell>
          <cell r="N449" t="str">
            <v>indiretto</v>
          </cell>
          <cell r="O449">
            <v>1</v>
          </cell>
          <cell r="P449" t="str">
            <v>0.483220</v>
          </cell>
          <cell r="Q449" t="str">
            <v>0.350215</v>
          </cell>
          <cell r="R449" t="str">
            <v>0.161638</v>
          </cell>
          <cell r="S449" t="str">
            <v>NO</v>
          </cell>
          <cell r="T449" t="str">
            <v>DELIBERAZIONE EGATO 23 16/11/2020</v>
          </cell>
        </row>
        <row r="450">
          <cell r="D450" t="str">
            <v>C344295</v>
          </cell>
          <cell r="E450">
            <v>46143</v>
          </cell>
          <cell r="F450">
            <v>46507</v>
          </cell>
          <cell r="G450">
            <v>46179</v>
          </cell>
          <cell r="H450">
            <v>46179</v>
          </cell>
          <cell r="J450" t="str">
            <v>004130</v>
          </cell>
          <cell r="K450">
            <v>-131.29</v>
          </cell>
          <cell r="L450">
            <v>-131.29</v>
          </cell>
          <cell r="M450">
            <v>-131.29</v>
          </cell>
          <cell r="N450" t="str">
            <v>indiretto</v>
          </cell>
          <cell r="O450">
            <v>5</v>
          </cell>
          <cell r="P450" t="str">
            <v>0.545182</v>
          </cell>
          <cell r="Q450" t="str">
            <v>0.611443</v>
          </cell>
          <cell r="R450" t="str">
            <v>0.282207</v>
          </cell>
          <cell r="S450" t="str">
            <v>NO</v>
          </cell>
          <cell r="T450" t="str">
            <v>DELIBERA EGATO N.29 DEL 19/12/2018</v>
          </cell>
        </row>
        <row r="451">
          <cell r="D451" t="str">
            <v>C315074</v>
          </cell>
          <cell r="E451">
            <v>46143</v>
          </cell>
          <cell r="F451">
            <v>46507</v>
          </cell>
          <cell r="G451">
            <v>46179</v>
          </cell>
          <cell r="H451">
            <v>46179</v>
          </cell>
          <cell r="J451" t="str">
            <v>004078</v>
          </cell>
          <cell r="K451">
            <v>-99.39</v>
          </cell>
          <cell r="L451">
            <v>-99.39</v>
          </cell>
          <cell r="M451">
            <v>-99.39</v>
          </cell>
          <cell r="N451" t="str">
            <v>indiretto</v>
          </cell>
          <cell r="O451">
            <v>3</v>
          </cell>
          <cell r="P451" t="str">
            <v>0.916558</v>
          </cell>
          <cell r="Q451" t="str">
            <v>0.642623</v>
          </cell>
          <cell r="R451" t="str">
            <v>0.256196</v>
          </cell>
          <cell r="S451" t="str">
            <v>NO</v>
          </cell>
          <cell r="T451" t="str">
            <v>DELIBERAZIONE EGATO 29 19/12/2018</v>
          </cell>
        </row>
        <row r="452">
          <cell r="D452" t="str">
            <v>C313631</v>
          </cell>
          <cell r="E452">
            <v>46143</v>
          </cell>
          <cell r="F452">
            <v>46507</v>
          </cell>
          <cell r="G452">
            <v>46179</v>
          </cell>
          <cell r="H452">
            <v>46179</v>
          </cell>
          <cell r="J452" t="str">
            <v>004012</v>
          </cell>
          <cell r="K452">
            <v>-123.1</v>
          </cell>
          <cell r="L452">
            <v>-123.1</v>
          </cell>
          <cell r="M452">
            <v>-123.1</v>
          </cell>
          <cell r="N452" t="str">
            <v>indiretto</v>
          </cell>
          <cell r="O452">
            <v>5</v>
          </cell>
          <cell r="P452" t="str">
            <v>0.716943</v>
          </cell>
          <cell r="Q452" t="str">
            <v>0.463071</v>
          </cell>
          <cell r="R452" t="str">
            <v>0.169064</v>
          </cell>
          <cell r="S452" t="str">
            <v>NO</v>
          </cell>
          <cell r="T452" t="str">
            <v>DELIBERAZIONE EGATO 2 04/02/2019</v>
          </cell>
        </row>
        <row r="453">
          <cell r="D453" t="str">
            <v>C314344</v>
          </cell>
          <cell r="E453">
            <v>46143</v>
          </cell>
          <cell r="F453">
            <v>46507</v>
          </cell>
          <cell r="G453">
            <v>46179</v>
          </cell>
          <cell r="H453">
            <v>46179</v>
          </cell>
          <cell r="J453" t="str">
            <v>004078</v>
          </cell>
          <cell r="K453">
            <v>-66.260000000000005</v>
          </cell>
          <cell r="L453">
            <v>-66.260000000000005</v>
          </cell>
          <cell r="M453">
            <v>-66.260000000000005</v>
          </cell>
          <cell r="N453" t="str">
            <v>indiretto</v>
          </cell>
          <cell r="O453">
            <v>2</v>
          </cell>
          <cell r="P453" t="str">
            <v>0.916558</v>
          </cell>
          <cell r="Q453" t="str">
            <v>0.642623</v>
          </cell>
          <cell r="R453" t="str">
            <v>0.256196</v>
          </cell>
          <cell r="S453" t="str">
            <v>NO</v>
          </cell>
          <cell r="T453" t="str">
            <v>DELIBERAZIONE EGATO 29 19/12/2018</v>
          </cell>
        </row>
        <row r="454">
          <cell r="D454" t="str">
            <v>C117764</v>
          </cell>
          <cell r="E454">
            <v>46143</v>
          </cell>
          <cell r="F454">
            <v>46507</v>
          </cell>
          <cell r="G454">
            <v>46179</v>
          </cell>
          <cell r="H454">
            <v>46179</v>
          </cell>
          <cell r="J454" t="str">
            <v>004041</v>
          </cell>
          <cell r="K454">
            <v>-99.39</v>
          </cell>
          <cell r="L454">
            <v>-99.39</v>
          </cell>
          <cell r="M454">
            <v>-99.39</v>
          </cell>
          <cell r="N454" t="str">
            <v>indiretto</v>
          </cell>
          <cell r="O454">
            <v>3</v>
          </cell>
          <cell r="P454" t="str">
            <v>0.916558</v>
          </cell>
          <cell r="Q454" t="str">
            <v>0.642623</v>
          </cell>
          <cell r="R454" t="str">
            <v>0.256196</v>
          </cell>
          <cell r="S454" t="str">
            <v>NO</v>
          </cell>
          <cell r="T454" t="str">
            <v>DELIBERAZIONE EGATO 29 19/12/2018</v>
          </cell>
        </row>
        <row r="455">
          <cell r="D455" t="str">
            <v>C344298</v>
          </cell>
          <cell r="E455">
            <v>46143</v>
          </cell>
          <cell r="F455">
            <v>46507</v>
          </cell>
          <cell r="G455">
            <v>46179</v>
          </cell>
          <cell r="H455">
            <v>46179</v>
          </cell>
          <cell r="J455" t="str">
            <v>004078</v>
          </cell>
          <cell r="K455">
            <v>-99.39</v>
          </cell>
          <cell r="L455">
            <v>-99.39</v>
          </cell>
          <cell r="M455">
            <v>-99.39</v>
          </cell>
          <cell r="N455" t="str">
            <v>indiretto</v>
          </cell>
          <cell r="O455">
            <v>3</v>
          </cell>
          <cell r="P455" t="str">
            <v>0.916558</v>
          </cell>
          <cell r="Q455" t="str">
            <v>0.642623</v>
          </cell>
          <cell r="R455" t="str">
            <v>0.256196</v>
          </cell>
          <cell r="S455" t="str">
            <v>NO</v>
          </cell>
          <cell r="T455" t="str">
            <v>DELIBERAZIONE EGATO 29 19/12/2018</v>
          </cell>
        </row>
        <row r="456">
          <cell r="D456" t="str">
            <v>C344153</v>
          </cell>
          <cell r="E456">
            <v>46143</v>
          </cell>
          <cell r="F456">
            <v>46507</v>
          </cell>
          <cell r="G456">
            <v>46179</v>
          </cell>
          <cell r="H456">
            <v>46179</v>
          </cell>
          <cell r="J456" t="str">
            <v>004078</v>
          </cell>
          <cell r="K456">
            <v>-33.130000000000003</v>
          </cell>
          <cell r="L456">
            <v>-33.130000000000003</v>
          </cell>
          <cell r="M456">
            <v>-33.130000000000003</v>
          </cell>
          <cell r="N456" t="str">
            <v>indiretto</v>
          </cell>
          <cell r="O456">
            <v>1</v>
          </cell>
          <cell r="P456" t="str">
            <v>0.916558</v>
          </cell>
          <cell r="Q456" t="str">
            <v>0.642623</v>
          </cell>
          <cell r="R456" t="str">
            <v>0.256196</v>
          </cell>
          <cell r="S456" t="str">
            <v>NO</v>
          </cell>
          <cell r="T456" t="str">
            <v>DELIBERAZIONE EGATO 29 19/12/2018</v>
          </cell>
        </row>
        <row r="457">
          <cell r="D457" t="str">
            <v>C316391</v>
          </cell>
          <cell r="E457">
            <v>46143</v>
          </cell>
          <cell r="F457">
            <v>46507</v>
          </cell>
          <cell r="G457">
            <v>46179</v>
          </cell>
          <cell r="H457">
            <v>46179</v>
          </cell>
          <cell r="J457" t="str">
            <v>004064</v>
          </cell>
          <cell r="K457">
            <v>-165.65</v>
          </cell>
          <cell r="L457">
            <v>-165.65</v>
          </cell>
          <cell r="M457">
            <v>-165.65</v>
          </cell>
          <cell r="N457" t="str">
            <v>indiretto</v>
          </cell>
          <cell r="O457">
            <v>5</v>
          </cell>
          <cell r="P457" t="str">
            <v>0.916558</v>
          </cell>
          <cell r="Q457" t="str">
            <v>0.642623</v>
          </cell>
          <cell r="R457" t="str">
            <v>0.256196</v>
          </cell>
          <cell r="S457" t="str">
            <v>NO</v>
          </cell>
          <cell r="T457" t="str">
            <v>DELIBERAZIONE EGATO 29 19/12/2018</v>
          </cell>
        </row>
        <row r="458">
          <cell r="D458" t="str">
            <v>C344193</v>
          </cell>
          <cell r="E458">
            <v>46143</v>
          </cell>
          <cell r="F458">
            <v>46507</v>
          </cell>
          <cell r="G458">
            <v>46179</v>
          </cell>
          <cell r="H458">
            <v>46179</v>
          </cell>
          <cell r="J458" t="str">
            <v>004130</v>
          </cell>
          <cell r="K458">
            <v>-26.26</v>
          </cell>
          <cell r="L458">
            <v>-26.26</v>
          </cell>
          <cell r="M458">
            <v>-26.26</v>
          </cell>
          <cell r="N458" t="str">
            <v>indiretto</v>
          </cell>
          <cell r="O458">
            <v>1</v>
          </cell>
          <cell r="P458" t="str">
            <v>0.545182</v>
          </cell>
          <cell r="Q458" t="str">
            <v>0.611443</v>
          </cell>
          <cell r="R458" t="str">
            <v>0.282207</v>
          </cell>
          <cell r="S458" t="str">
            <v>NO</v>
          </cell>
          <cell r="T458" t="str">
            <v>DELIBERA EGATO N.29 DEL 19/12/2018</v>
          </cell>
        </row>
        <row r="459">
          <cell r="D459" t="str">
            <v>C120965</v>
          </cell>
          <cell r="E459">
            <v>46143</v>
          </cell>
          <cell r="F459">
            <v>46507</v>
          </cell>
          <cell r="G459">
            <v>46179</v>
          </cell>
          <cell r="H459">
            <v>46179</v>
          </cell>
          <cell r="J459" t="str">
            <v>004078</v>
          </cell>
          <cell r="K459">
            <v>-132.52000000000001</v>
          </cell>
          <cell r="L459">
            <v>-132.52000000000001</v>
          </cell>
          <cell r="M459">
            <v>-132.52000000000001</v>
          </cell>
          <cell r="N459" t="str">
            <v>indiretto</v>
          </cell>
          <cell r="O459">
            <v>4</v>
          </cell>
          <cell r="P459" t="str">
            <v>0.916558</v>
          </cell>
          <cell r="Q459" t="str">
            <v>0.642623</v>
          </cell>
          <cell r="R459" t="str">
            <v>0.256196</v>
          </cell>
          <cell r="S459" t="str">
            <v>NO</v>
          </cell>
          <cell r="T459" t="str">
            <v>DELIBERAZIONE EGATO 29 19/12/2018</v>
          </cell>
        </row>
        <row r="460">
          <cell r="D460" t="str">
            <v>C314970</v>
          </cell>
          <cell r="E460">
            <v>46143</v>
          </cell>
          <cell r="F460">
            <v>46507</v>
          </cell>
          <cell r="G460">
            <v>46179</v>
          </cell>
          <cell r="H460">
            <v>46179</v>
          </cell>
          <cell r="J460" t="str">
            <v>004009</v>
          </cell>
          <cell r="K460">
            <v>-147.72</v>
          </cell>
          <cell r="L460">
            <v>-147.72</v>
          </cell>
          <cell r="M460">
            <v>-147.72</v>
          </cell>
          <cell r="N460" t="str">
            <v>indiretto</v>
          </cell>
          <cell r="O460">
            <v>6</v>
          </cell>
          <cell r="P460" t="str">
            <v>0.716943</v>
          </cell>
          <cell r="Q460" t="str">
            <v>0.463071</v>
          </cell>
          <cell r="R460" t="str">
            <v>0.169064</v>
          </cell>
          <cell r="S460" t="str">
            <v>NO</v>
          </cell>
          <cell r="T460" t="str">
            <v>DELIBERAZIONE EGATO 2 04/02/2019</v>
          </cell>
        </row>
        <row r="461">
          <cell r="D461" t="str">
            <v>C320016</v>
          </cell>
          <cell r="E461">
            <v>46143</v>
          </cell>
          <cell r="F461">
            <v>46507</v>
          </cell>
          <cell r="G461">
            <v>46179</v>
          </cell>
          <cell r="H461">
            <v>46179</v>
          </cell>
          <cell r="J461" t="str">
            <v>004078</v>
          </cell>
          <cell r="K461">
            <v>-99.39</v>
          </cell>
          <cell r="L461">
            <v>-99.39</v>
          </cell>
          <cell r="M461">
            <v>-99.39</v>
          </cell>
          <cell r="N461" t="str">
            <v>indiretto</v>
          </cell>
          <cell r="O461">
            <v>3</v>
          </cell>
          <cell r="P461" t="str">
            <v>0.916558</v>
          </cell>
          <cell r="Q461" t="str">
            <v>0.642623</v>
          </cell>
          <cell r="R461" t="str">
            <v>0.256196</v>
          </cell>
          <cell r="S461" t="str">
            <v>NO</v>
          </cell>
          <cell r="T461" t="str">
            <v>DELIBERAZIONE EGATO 29 19/12/2018</v>
          </cell>
        </row>
        <row r="462">
          <cell r="D462" t="str">
            <v>C344244</v>
          </cell>
          <cell r="E462">
            <v>46143</v>
          </cell>
          <cell r="F462">
            <v>46507</v>
          </cell>
          <cell r="G462">
            <v>46179</v>
          </cell>
          <cell r="H462">
            <v>46179</v>
          </cell>
          <cell r="J462" t="str">
            <v>004028</v>
          </cell>
          <cell r="K462">
            <v>-99.39</v>
          </cell>
          <cell r="L462">
            <v>-99.39</v>
          </cell>
          <cell r="M462">
            <v>-99.39</v>
          </cell>
          <cell r="N462" t="str">
            <v>indiretto</v>
          </cell>
          <cell r="O462">
            <v>3</v>
          </cell>
          <cell r="P462" t="str">
            <v>0.916558</v>
          </cell>
          <cell r="Q462" t="str">
            <v>0.642623</v>
          </cell>
          <cell r="R462" t="str">
            <v>0.256196</v>
          </cell>
          <cell r="S462" t="str">
            <v>NO</v>
          </cell>
          <cell r="T462" t="str">
            <v>DELIBERAZIONE EGATO 29 19/12/2018</v>
          </cell>
        </row>
        <row r="463">
          <cell r="D463" t="str">
            <v>C307060</v>
          </cell>
          <cell r="E463">
            <v>46143</v>
          </cell>
          <cell r="F463">
            <v>46507</v>
          </cell>
          <cell r="G463">
            <v>46179</v>
          </cell>
          <cell r="H463">
            <v>46179</v>
          </cell>
          <cell r="J463" t="str">
            <v>004009</v>
          </cell>
          <cell r="K463">
            <v>-24.62</v>
          </cell>
          <cell r="L463">
            <v>-24.62</v>
          </cell>
          <cell r="M463">
            <v>-24.62</v>
          </cell>
          <cell r="N463" t="str">
            <v>indiretto</v>
          </cell>
          <cell r="O463">
            <v>1</v>
          </cell>
          <cell r="P463" t="str">
            <v>0.716943</v>
          </cell>
          <cell r="Q463" t="str">
            <v>0.463071</v>
          </cell>
          <cell r="R463" t="str">
            <v>0.169064</v>
          </cell>
          <cell r="S463" t="str">
            <v>NO</v>
          </cell>
          <cell r="T463" t="str">
            <v>DELIBERAZIONE EGATO 2 04/02/2019</v>
          </cell>
        </row>
        <row r="464">
          <cell r="D464" t="str">
            <v>C344194</v>
          </cell>
          <cell r="E464">
            <v>46143</v>
          </cell>
          <cell r="F464">
            <v>46507</v>
          </cell>
          <cell r="G464">
            <v>46179</v>
          </cell>
          <cell r="H464">
            <v>46179</v>
          </cell>
          <cell r="J464" t="str">
            <v>004157</v>
          </cell>
          <cell r="K464">
            <v>-33.130000000000003</v>
          </cell>
          <cell r="L464">
            <v>-33.130000000000003</v>
          </cell>
          <cell r="M464">
            <v>-33.130000000000003</v>
          </cell>
          <cell r="N464" t="str">
            <v>indiretto</v>
          </cell>
          <cell r="O464">
            <v>1</v>
          </cell>
          <cell r="P464" t="str">
            <v>0.916558</v>
          </cell>
          <cell r="Q464" t="str">
            <v>0.642623</v>
          </cell>
          <cell r="R464" t="str">
            <v>0.256196</v>
          </cell>
          <cell r="S464" t="str">
            <v>NO</v>
          </cell>
          <cell r="T464" t="str">
            <v>DELIBERAZIONE EGATO 29 19/12/2018</v>
          </cell>
        </row>
        <row r="465">
          <cell r="D465" t="str">
            <v>C337645</v>
          </cell>
          <cell r="E465">
            <v>46143</v>
          </cell>
          <cell r="F465">
            <v>46507</v>
          </cell>
          <cell r="G465">
            <v>46179</v>
          </cell>
          <cell r="H465">
            <v>46179</v>
          </cell>
          <cell r="J465" t="str">
            <v>004134</v>
          </cell>
          <cell r="K465">
            <v>-53.01</v>
          </cell>
          <cell r="L465">
            <v>-53.01</v>
          </cell>
          <cell r="M465">
            <v>-53.01</v>
          </cell>
          <cell r="N465" t="str">
            <v>indiretto</v>
          </cell>
          <cell r="O465">
            <v>2</v>
          </cell>
          <cell r="P465" t="str">
            <v>0.733246</v>
          </cell>
          <cell r="Q465" t="str">
            <v>0.514098</v>
          </cell>
          <cell r="R465" t="str">
            <v>0.204957</v>
          </cell>
          <cell r="S465" t="str">
            <v>NO</v>
          </cell>
          <cell r="T465" t="str">
            <v>DELIBERAZIONE EGATO 2 04/02/2019</v>
          </cell>
        </row>
        <row r="466">
          <cell r="D466" t="str">
            <v>C321164</v>
          </cell>
          <cell r="E466">
            <v>46143</v>
          </cell>
          <cell r="F466">
            <v>46507</v>
          </cell>
          <cell r="G466">
            <v>46179</v>
          </cell>
          <cell r="H466">
            <v>46179</v>
          </cell>
          <cell r="J466" t="str">
            <v>004068</v>
          </cell>
          <cell r="K466">
            <v>-33.130000000000003</v>
          </cell>
          <cell r="L466">
            <v>-33.130000000000003</v>
          </cell>
          <cell r="M466">
            <v>-33.130000000000003</v>
          </cell>
          <cell r="N466" t="str">
            <v>indiretto</v>
          </cell>
          <cell r="O466">
            <v>1</v>
          </cell>
          <cell r="P466" t="str">
            <v>0.916558</v>
          </cell>
          <cell r="Q466" t="str">
            <v>0.642623</v>
          </cell>
          <cell r="R466" t="str">
            <v>0.256196</v>
          </cell>
          <cell r="S466" t="str">
            <v>NO</v>
          </cell>
          <cell r="T466" t="str">
            <v>DELIBERAZIONE EGATO 29 19/12/2018</v>
          </cell>
        </row>
        <row r="467">
          <cell r="D467" t="str">
            <v>C129666</v>
          </cell>
          <cell r="E467">
            <v>46143</v>
          </cell>
          <cell r="F467">
            <v>46507</v>
          </cell>
          <cell r="G467">
            <v>46179</v>
          </cell>
          <cell r="H467">
            <v>46179</v>
          </cell>
          <cell r="J467" t="str">
            <v>004040</v>
          </cell>
          <cell r="K467">
            <v>-99.39</v>
          </cell>
          <cell r="L467">
            <v>-99.39</v>
          </cell>
          <cell r="M467">
            <v>-99.39</v>
          </cell>
          <cell r="N467" t="str">
            <v>indiretto</v>
          </cell>
          <cell r="O467">
            <v>3</v>
          </cell>
          <cell r="P467" t="str">
            <v>0.916558</v>
          </cell>
          <cell r="Q467" t="str">
            <v>0.642623</v>
          </cell>
          <cell r="R467" t="str">
            <v>0.256196</v>
          </cell>
          <cell r="S467" t="str">
            <v>NO</v>
          </cell>
          <cell r="T467" t="str">
            <v>DELIBERAZIONE EGATO 29 19/12/2018</v>
          </cell>
        </row>
        <row r="468">
          <cell r="D468" t="str">
            <v>C336881</v>
          </cell>
          <cell r="E468">
            <v>46143</v>
          </cell>
          <cell r="F468">
            <v>46507</v>
          </cell>
          <cell r="G468">
            <v>46179</v>
          </cell>
          <cell r="H468">
            <v>46179</v>
          </cell>
          <cell r="J468" t="str">
            <v>004237</v>
          </cell>
          <cell r="K468">
            <v>-71.900000000000006</v>
          </cell>
          <cell r="L468">
            <v>-71.900000000000006</v>
          </cell>
          <cell r="M468">
            <v>-71.900000000000006</v>
          </cell>
          <cell r="N468" t="str">
            <v>indiretto</v>
          </cell>
          <cell r="O468">
            <v>3</v>
          </cell>
          <cell r="P468" t="str">
            <v>0.721337</v>
          </cell>
          <cell r="Q468" t="str">
            <v>0.441600</v>
          </cell>
          <cell r="R468" t="str">
            <v>0.150394</v>
          </cell>
          <cell r="S468" t="str">
            <v>NO</v>
          </cell>
          <cell r="T468" t="str">
            <v>DELIBERAZIONE EGATO 2 04/02/2019</v>
          </cell>
        </row>
        <row r="469">
          <cell r="D469" t="str">
            <v>C337646</v>
          </cell>
          <cell r="E469">
            <v>46143</v>
          </cell>
          <cell r="F469">
            <v>46507</v>
          </cell>
          <cell r="G469">
            <v>46179</v>
          </cell>
          <cell r="H469">
            <v>46179</v>
          </cell>
          <cell r="J469" t="str">
            <v>004225</v>
          </cell>
          <cell r="K469">
            <v>-165.65</v>
          </cell>
          <cell r="L469">
            <v>-165.65</v>
          </cell>
          <cell r="M469">
            <v>-165.65</v>
          </cell>
          <cell r="N469" t="str">
            <v>indiretto</v>
          </cell>
          <cell r="O469">
            <v>5</v>
          </cell>
          <cell r="P469" t="str">
            <v>0.916558</v>
          </cell>
          <cell r="Q469" t="str">
            <v>0.642623</v>
          </cell>
          <cell r="R469" t="str">
            <v>0.256196</v>
          </cell>
          <cell r="S469" t="str">
            <v>NO</v>
          </cell>
          <cell r="T469" t="str">
            <v>DELIBERAZIONE EGATO 29 19/12/2018</v>
          </cell>
        </row>
        <row r="470">
          <cell r="D470" t="str">
            <v>C344301</v>
          </cell>
          <cell r="E470">
            <v>46143</v>
          </cell>
          <cell r="F470">
            <v>46507</v>
          </cell>
          <cell r="G470">
            <v>46179</v>
          </cell>
          <cell r="H470">
            <v>46179</v>
          </cell>
          <cell r="J470" t="str">
            <v>004016</v>
          </cell>
          <cell r="K470">
            <v>-66.260000000000005</v>
          </cell>
          <cell r="L470">
            <v>-66.260000000000005</v>
          </cell>
          <cell r="M470">
            <v>-66.260000000000005</v>
          </cell>
          <cell r="N470" t="str">
            <v>indiretto</v>
          </cell>
          <cell r="O470">
            <v>2</v>
          </cell>
          <cell r="P470" t="str">
            <v>0.916558</v>
          </cell>
          <cell r="Q470" t="str">
            <v>0.642623</v>
          </cell>
          <cell r="R470" t="str">
            <v>0.256196</v>
          </cell>
          <cell r="S470" t="str">
            <v>NO</v>
          </cell>
          <cell r="T470" t="str">
            <v>DELIBERAZIONE EGATO 29 19/12/2018</v>
          </cell>
        </row>
        <row r="471">
          <cell r="D471" t="str">
            <v>C344243</v>
          </cell>
          <cell r="E471">
            <v>46143</v>
          </cell>
          <cell r="F471">
            <v>46507</v>
          </cell>
          <cell r="G471">
            <v>46179</v>
          </cell>
          <cell r="H471">
            <v>46179</v>
          </cell>
          <cell r="J471" t="str">
            <v>004245</v>
          </cell>
          <cell r="K471">
            <v>-52.52</v>
          </cell>
          <cell r="L471">
            <v>-52.52</v>
          </cell>
          <cell r="M471">
            <v>-52.52</v>
          </cell>
          <cell r="N471" t="str">
            <v>indiretto</v>
          </cell>
          <cell r="O471">
            <v>2</v>
          </cell>
          <cell r="P471" t="str">
            <v>0.545182</v>
          </cell>
          <cell r="Q471" t="str">
            <v>0.611443</v>
          </cell>
          <cell r="R471" t="str">
            <v>0.282207</v>
          </cell>
          <cell r="S471" t="str">
            <v>NO</v>
          </cell>
          <cell r="T471" t="str">
            <v>DELIBERA EGATO N.29 DEL 19/12/2018</v>
          </cell>
        </row>
        <row r="472">
          <cell r="D472" t="str">
            <v>C344213</v>
          </cell>
          <cell r="E472">
            <v>46143</v>
          </cell>
          <cell r="F472">
            <v>46507</v>
          </cell>
          <cell r="G472">
            <v>46179</v>
          </cell>
          <cell r="H472">
            <v>46179</v>
          </cell>
          <cell r="J472" t="str">
            <v>004078</v>
          </cell>
          <cell r="K472">
            <v>-33.130000000000003</v>
          </cell>
          <cell r="L472">
            <v>-33.130000000000003</v>
          </cell>
          <cell r="M472">
            <v>-33.130000000000003</v>
          </cell>
          <cell r="N472" t="str">
            <v>indiretto</v>
          </cell>
          <cell r="O472">
            <v>1</v>
          </cell>
          <cell r="P472" t="str">
            <v>0.916558</v>
          </cell>
          <cell r="Q472" t="str">
            <v>0.642623</v>
          </cell>
          <cell r="R472" t="str">
            <v>0.256196</v>
          </cell>
          <cell r="S472" t="str">
            <v>NO</v>
          </cell>
          <cell r="T472" t="str">
            <v>DELIBERAZIONE EGATO 29 19/12/2018</v>
          </cell>
        </row>
        <row r="473">
          <cell r="D473" t="str">
            <v>C344212</v>
          </cell>
          <cell r="E473">
            <v>46143</v>
          </cell>
          <cell r="F473">
            <v>46507</v>
          </cell>
          <cell r="G473">
            <v>46179</v>
          </cell>
          <cell r="H473">
            <v>46179</v>
          </cell>
          <cell r="J473" t="str">
            <v>004242</v>
          </cell>
          <cell r="K473">
            <v>-78.78</v>
          </cell>
          <cell r="L473">
            <v>-78.78</v>
          </cell>
          <cell r="M473">
            <v>-78.78</v>
          </cell>
          <cell r="N473" t="str">
            <v>indiretto</v>
          </cell>
          <cell r="O473">
            <v>3</v>
          </cell>
          <cell r="P473" t="str">
            <v>0.545182</v>
          </cell>
          <cell r="Q473" t="str">
            <v>0.611443</v>
          </cell>
          <cell r="R473" t="str">
            <v>0.282207</v>
          </cell>
          <cell r="S473" t="str">
            <v>NO</v>
          </cell>
          <cell r="T473" t="str">
            <v>DELIBERA EGATO N.29 DEL 19/12/2018</v>
          </cell>
        </row>
        <row r="474">
          <cell r="D474" t="str">
            <v>C344291</v>
          </cell>
          <cell r="E474">
            <v>46143</v>
          </cell>
          <cell r="F474">
            <v>46507</v>
          </cell>
          <cell r="G474">
            <v>46179</v>
          </cell>
          <cell r="H474">
            <v>46179</v>
          </cell>
          <cell r="J474" t="str">
            <v>004078</v>
          </cell>
          <cell r="K474">
            <v>-198.78</v>
          </cell>
          <cell r="L474">
            <v>-198.78</v>
          </cell>
          <cell r="M474">
            <v>-198.78</v>
          </cell>
          <cell r="N474" t="str">
            <v>indiretto</v>
          </cell>
          <cell r="O474">
            <v>6</v>
          </cell>
          <cell r="P474" t="str">
            <v>0.916558</v>
          </cell>
          <cell r="Q474" t="str">
            <v>0.642623</v>
          </cell>
          <cell r="R474" t="str">
            <v>0.256196</v>
          </cell>
          <cell r="S474" t="str">
            <v>NO</v>
          </cell>
          <cell r="T474" t="str">
            <v>DELIBERAZIONE EGATO 29 19/12/2018</v>
          </cell>
        </row>
        <row r="475">
          <cell r="D475" t="str">
            <v>C313430</v>
          </cell>
          <cell r="E475">
            <v>46143</v>
          </cell>
          <cell r="F475">
            <v>46507</v>
          </cell>
          <cell r="G475">
            <v>46179</v>
          </cell>
          <cell r="H475">
            <v>46179</v>
          </cell>
          <cell r="J475" t="str">
            <v>004197</v>
          </cell>
          <cell r="K475">
            <v>-23.97</v>
          </cell>
          <cell r="L475">
            <v>-23.97</v>
          </cell>
          <cell r="M475">
            <v>-23.97</v>
          </cell>
          <cell r="N475" t="str">
            <v>indiretto</v>
          </cell>
          <cell r="O475">
            <v>1</v>
          </cell>
          <cell r="P475" t="str">
            <v>0.721337</v>
          </cell>
          <cell r="Q475" t="str">
            <v>0.441600</v>
          </cell>
          <cell r="R475" t="str">
            <v>0.150394</v>
          </cell>
          <cell r="S475" t="str">
            <v>NO</v>
          </cell>
          <cell r="T475" t="str">
            <v>DELIBERAZIONE EGATO 2 04/02/2019</v>
          </cell>
        </row>
        <row r="476">
          <cell r="D476" t="str">
            <v>C308916</v>
          </cell>
          <cell r="E476">
            <v>46143</v>
          </cell>
          <cell r="F476">
            <v>46507</v>
          </cell>
          <cell r="G476">
            <v>46179</v>
          </cell>
          <cell r="H476">
            <v>46179</v>
          </cell>
          <cell r="J476" t="str">
            <v>004078</v>
          </cell>
          <cell r="K476">
            <v>-33.130000000000003</v>
          </cell>
          <cell r="L476">
            <v>-33.130000000000003</v>
          </cell>
          <cell r="M476">
            <v>-33.130000000000003</v>
          </cell>
          <cell r="N476" t="str">
            <v>indiretto</v>
          </cell>
          <cell r="O476">
            <v>1</v>
          </cell>
          <cell r="P476" t="str">
            <v>0.916558</v>
          </cell>
          <cell r="Q476" t="str">
            <v>0.642623</v>
          </cell>
          <cell r="R476" t="str">
            <v>0.256196</v>
          </cell>
          <cell r="S476" t="str">
            <v>NO</v>
          </cell>
          <cell r="T476" t="str">
            <v>DELIBERAZIONE EGATO 29 19/12/2018</v>
          </cell>
        </row>
        <row r="477">
          <cell r="D477" t="str">
            <v>C314934</v>
          </cell>
          <cell r="E477">
            <v>46143</v>
          </cell>
          <cell r="F477">
            <v>46507</v>
          </cell>
          <cell r="G477">
            <v>46179</v>
          </cell>
          <cell r="H477">
            <v>46179</v>
          </cell>
          <cell r="J477" t="str">
            <v>004014</v>
          </cell>
          <cell r="K477">
            <v>-77.319999999999993</v>
          </cell>
          <cell r="L477">
            <v>-77.319999999999993</v>
          </cell>
          <cell r="M477">
            <v>-77.319999999999993</v>
          </cell>
          <cell r="N477" t="str">
            <v>indiretto</v>
          </cell>
          <cell r="O477">
            <v>2</v>
          </cell>
          <cell r="P477">
            <v>1091278</v>
          </cell>
          <cell r="Q477" t="str">
            <v>0.730790</v>
          </cell>
          <cell r="R477" t="str">
            <v>0.296264</v>
          </cell>
          <cell r="S477" t="str">
            <v>NO</v>
          </cell>
          <cell r="T477" t="str">
            <v>DELIBERAZIONE EGATO 2 04/02/2019</v>
          </cell>
        </row>
        <row r="478">
          <cell r="D478" t="str">
            <v>C344183</v>
          </cell>
          <cell r="E478">
            <v>46143</v>
          </cell>
          <cell r="F478">
            <v>46507</v>
          </cell>
          <cell r="G478">
            <v>46179</v>
          </cell>
          <cell r="H478">
            <v>46179</v>
          </cell>
          <cell r="J478" t="str">
            <v>004179</v>
          </cell>
          <cell r="K478">
            <v>-86.33</v>
          </cell>
          <cell r="L478">
            <v>-86.33</v>
          </cell>
          <cell r="M478">
            <v>-86.33</v>
          </cell>
          <cell r="N478" t="str">
            <v>indiretto</v>
          </cell>
          <cell r="O478">
            <v>3</v>
          </cell>
          <cell r="P478" t="str">
            <v>0.802937</v>
          </cell>
          <cell r="Q478" t="str">
            <v>0.568257</v>
          </cell>
          <cell r="R478" t="str">
            <v>0.205575</v>
          </cell>
          <cell r="S478" t="str">
            <v>NO</v>
          </cell>
          <cell r="T478" t="str">
            <v>DELIBERAZIONE EGATO 11 27/03/2019</v>
          </cell>
        </row>
        <row r="479">
          <cell r="D479" t="str">
            <v>C344284</v>
          </cell>
          <cell r="E479">
            <v>46143</v>
          </cell>
          <cell r="F479">
            <v>46507</v>
          </cell>
          <cell r="G479">
            <v>46179</v>
          </cell>
          <cell r="H479">
            <v>46179</v>
          </cell>
          <cell r="J479" t="str">
            <v>004190</v>
          </cell>
          <cell r="K479">
            <v>-78.78</v>
          </cell>
          <cell r="L479">
            <v>-78.78</v>
          </cell>
          <cell r="M479">
            <v>-78.78</v>
          </cell>
          <cell r="N479" t="str">
            <v>indiretto</v>
          </cell>
          <cell r="O479">
            <v>3</v>
          </cell>
          <cell r="P479" t="str">
            <v>0.545182</v>
          </cell>
          <cell r="Q479" t="str">
            <v>0.611443</v>
          </cell>
          <cell r="R479" t="str">
            <v>0.282207</v>
          </cell>
          <cell r="S479" t="str">
            <v>NO</v>
          </cell>
          <cell r="T479" t="str">
            <v>DELIBERA EGATO N.29 DEL 19/12/2018</v>
          </cell>
        </row>
        <row r="480">
          <cell r="D480" t="str">
            <v>C317119</v>
          </cell>
          <cell r="E480">
            <v>46143</v>
          </cell>
          <cell r="F480">
            <v>46507</v>
          </cell>
          <cell r="G480">
            <v>46179</v>
          </cell>
          <cell r="H480">
            <v>46179</v>
          </cell>
          <cell r="J480" t="str">
            <v>004179</v>
          </cell>
          <cell r="K480">
            <v>-86.33</v>
          </cell>
          <cell r="L480">
            <v>-86.33</v>
          </cell>
          <cell r="M480">
            <v>-86.33</v>
          </cell>
          <cell r="N480" t="str">
            <v>indiretto</v>
          </cell>
          <cell r="O480">
            <v>3</v>
          </cell>
          <cell r="P480" t="str">
            <v>0.802937</v>
          </cell>
          <cell r="Q480" t="str">
            <v>0.568257</v>
          </cell>
          <cell r="R480" t="str">
            <v>0.205575</v>
          </cell>
          <cell r="S480" t="str">
            <v>NO</v>
          </cell>
          <cell r="T480" t="str">
            <v>DELIBERAZIONE EGATO 11 27/03/2019</v>
          </cell>
        </row>
        <row r="481">
          <cell r="D481" t="str">
            <v>C344285</v>
          </cell>
          <cell r="E481">
            <v>46143</v>
          </cell>
          <cell r="F481">
            <v>46507</v>
          </cell>
          <cell r="G481">
            <v>46179</v>
          </cell>
          <cell r="H481">
            <v>46179</v>
          </cell>
          <cell r="J481" t="str">
            <v>004012</v>
          </cell>
          <cell r="K481">
            <v>-73.86</v>
          </cell>
          <cell r="L481">
            <v>-73.86</v>
          </cell>
          <cell r="M481">
            <v>-73.86</v>
          </cell>
          <cell r="N481" t="str">
            <v>indiretto</v>
          </cell>
          <cell r="O481">
            <v>3</v>
          </cell>
          <cell r="P481" t="str">
            <v>0.716943</v>
          </cell>
          <cell r="Q481" t="str">
            <v>0.463071</v>
          </cell>
          <cell r="R481" t="str">
            <v>0.169064</v>
          </cell>
          <cell r="S481" t="str">
            <v>NO</v>
          </cell>
          <cell r="T481" t="str">
            <v>DELIBERAZIONE EGATO 2 04/02/2019</v>
          </cell>
        </row>
        <row r="482">
          <cell r="D482" t="str">
            <v>C344145</v>
          </cell>
          <cell r="E482">
            <v>46143</v>
          </cell>
          <cell r="F482">
            <v>46507</v>
          </cell>
          <cell r="G482">
            <v>46179</v>
          </cell>
          <cell r="H482">
            <v>46179</v>
          </cell>
          <cell r="J482" t="str">
            <v>004028</v>
          </cell>
          <cell r="K482">
            <v>-132.52000000000001</v>
          </cell>
          <cell r="L482">
            <v>-132.52000000000001</v>
          </cell>
          <cell r="M482">
            <v>-132.52000000000001</v>
          </cell>
          <cell r="N482" t="str">
            <v>indiretto</v>
          </cell>
          <cell r="O482">
            <v>4</v>
          </cell>
          <cell r="P482" t="str">
            <v>0.916558</v>
          </cell>
          <cell r="Q482" t="str">
            <v>0.642623</v>
          </cell>
          <cell r="R482" t="str">
            <v>0.256196</v>
          </cell>
          <cell r="S482" t="str">
            <v>NO</v>
          </cell>
          <cell r="T482" t="str">
            <v>DELIBERAZIONE EGATO 29 19/12/2018</v>
          </cell>
        </row>
        <row r="483">
          <cell r="D483" t="str">
            <v>C311826</v>
          </cell>
          <cell r="E483">
            <v>46143</v>
          </cell>
          <cell r="F483">
            <v>46507</v>
          </cell>
          <cell r="G483">
            <v>46179</v>
          </cell>
          <cell r="H483">
            <v>46179</v>
          </cell>
          <cell r="J483" t="str">
            <v>004095</v>
          </cell>
          <cell r="K483">
            <v>-149.09</v>
          </cell>
          <cell r="L483">
            <v>-149.09</v>
          </cell>
          <cell r="M483">
            <v>-149.09</v>
          </cell>
          <cell r="N483" t="str">
            <v>indiretto</v>
          </cell>
          <cell r="O483">
            <v>5</v>
          </cell>
          <cell r="P483" t="str">
            <v>0.824903</v>
          </cell>
          <cell r="Q483" t="str">
            <v>0.578360</v>
          </cell>
          <cell r="R483" t="str">
            <v>0.230576</v>
          </cell>
          <cell r="S483" t="str">
            <v>NO</v>
          </cell>
          <cell r="T483" t="str">
            <v>DELIBERAZIONE EGATO 29 19/12/2018</v>
          </cell>
        </row>
        <row r="484">
          <cell r="D484" t="str">
            <v>C344184</v>
          </cell>
          <cell r="E484">
            <v>46143</v>
          </cell>
          <cell r="F484">
            <v>46507</v>
          </cell>
          <cell r="G484">
            <v>46179</v>
          </cell>
          <cell r="H484">
            <v>46179</v>
          </cell>
          <cell r="J484" t="str">
            <v>004061</v>
          </cell>
          <cell r="K484">
            <v>-99.39</v>
          </cell>
          <cell r="L484">
            <v>-99.39</v>
          </cell>
          <cell r="M484">
            <v>-99.39</v>
          </cell>
          <cell r="N484" t="str">
            <v>indiretto</v>
          </cell>
          <cell r="O484">
            <v>3</v>
          </cell>
          <cell r="P484" t="str">
            <v>0.916558</v>
          </cell>
          <cell r="Q484" t="str">
            <v>0.642623</v>
          </cell>
          <cell r="R484" t="str">
            <v>0.256196</v>
          </cell>
          <cell r="S484" t="str">
            <v>NO</v>
          </cell>
          <cell r="T484" t="str">
            <v>DELIBERAZIONE EGATO 29 19/12/2018</v>
          </cell>
        </row>
        <row r="485">
          <cell r="D485" t="str">
            <v>C320295</v>
          </cell>
          <cell r="E485">
            <v>46143</v>
          </cell>
          <cell r="F485">
            <v>46507</v>
          </cell>
          <cell r="G485">
            <v>46179</v>
          </cell>
          <cell r="H485">
            <v>46179</v>
          </cell>
          <cell r="J485" t="str">
            <v>004116</v>
          </cell>
          <cell r="K485">
            <v>-71.900000000000006</v>
          </cell>
          <cell r="L485">
            <v>-71.900000000000006</v>
          </cell>
          <cell r="M485">
            <v>-71.900000000000006</v>
          </cell>
          <cell r="N485" t="str">
            <v>indiretto</v>
          </cell>
          <cell r="O485">
            <v>3</v>
          </cell>
          <cell r="P485" t="str">
            <v>0.721337</v>
          </cell>
          <cell r="Q485" t="str">
            <v>0.441600</v>
          </cell>
          <cell r="R485" t="str">
            <v>0.150394</v>
          </cell>
          <cell r="S485" t="str">
            <v>NO</v>
          </cell>
          <cell r="T485" t="str">
            <v>DELIBERAZIONE EGATO 2 04/02/2019</v>
          </cell>
        </row>
        <row r="486">
          <cell r="D486" t="str">
            <v>C344286</v>
          </cell>
          <cell r="E486">
            <v>46143</v>
          </cell>
          <cell r="F486">
            <v>46507</v>
          </cell>
          <cell r="G486">
            <v>46179</v>
          </cell>
          <cell r="H486">
            <v>46179</v>
          </cell>
          <cell r="J486" t="str">
            <v>004078</v>
          </cell>
          <cell r="K486">
            <v>-33.130000000000003</v>
          </cell>
          <cell r="L486">
            <v>-33.130000000000003</v>
          </cell>
          <cell r="M486">
            <v>-33.130000000000003</v>
          </cell>
          <cell r="N486" t="str">
            <v>indiretto</v>
          </cell>
          <cell r="O486">
            <v>1</v>
          </cell>
          <cell r="P486" t="str">
            <v>0.916558</v>
          </cell>
          <cell r="Q486" t="str">
            <v>0.642623</v>
          </cell>
          <cell r="R486" t="str">
            <v>0.256196</v>
          </cell>
          <cell r="S486" t="str">
            <v>NO</v>
          </cell>
          <cell r="T486" t="str">
            <v>DELIBERAZIONE EGATO 29 19/12/2018</v>
          </cell>
        </row>
        <row r="487">
          <cell r="D487" t="str">
            <v>C310214</v>
          </cell>
          <cell r="E487">
            <v>46143</v>
          </cell>
          <cell r="F487">
            <v>46507</v>
          </cell>
          <cell r="G487">
            <v>46179</v>
          </cell>
          <cell r="H487">
            <v>46179</v>
          </cell>
          <cell r="J487" t="str">
            <v>004078</v>
          </cell>
          <cell r="K487">
            <v>-165.65</v>
          </cell>
          <cell r="L487">
            <v>-165.65</v>
          </cell>
          <cell r="M487">
            <v>-165.65</v>
          </cell>
          <cell r="N487" t="str">
            <v>indiretto</v>
          </cell>
          <cell r="O487">
            <v>5</v>
          </cell>
          <cell r="P487" t="str">
            <v>0.916558</v>
          </cell>
          <cell r="Q487" t="str">
            <v>0.642623</v>
          </cell>
          <cell r="R487" t="str">
            <v>0.256196</v>
          </cell>
          <cell r="S487" t="str">
            <v>NO</v>
          </cell>
          <cell r="T487" t="str">
            <v>DELIBERAZIONE EGATO 29 19/12/2018</v>
          </cell>
        </row>
        <row r="488">
          <cell r="D488" t="str">
            <v>C344191</v>
          </cell>
          <cell r="E488">
            <v>46143</v>
          </cell>
          <cell r="F488">
            <v>46507</v>
          </cell>
          <cell r="G488">
            <v>46179</v>
          </cell>
          <cell r="H488">
            <v>46179</v>
          </cell>
          <cell r="J488" t="str">
            <v>004034</v>
          </cell>
          <cell r="K488">
            <v>-99.39</v>
          </cell>
          <cell r="L488">
            <v>-99.39</v>
          </cell>
          <cell r="M488">
            <v>-99.39</v>
          </cell>
          <cell r="N488" t="str">
            <v>indiretto</v>
          </cell>
          <cell r="O488">
            <v>3</v>
          </cell>
          <cell r="P488" t="str">
            <v>0.916558</v>
          </cell>
          <cell r="Q488" t="str">
            <v>0.642623</v>
          </cell>
          <cell r="R488" t="str">
            <v>0.256196</v>
          </cell>
          <cell r="S488" t="str">
            <v>NO</v>
          </cell>
          <cell r="T488" t="str">
            <v>DELIBERAZIONE EGATO 29 19/12/2018</v>
          </cell>
        </row>
        <row r="489">
          <cell r="D489" t="str">
            <v>S003009</v>
          </cell>
          <cell r="E489">
            <v>46143</v>
          </cell>
          <cell r="F489">
            <v>46507</v>
          </cell>
          <cell r="G489">
            <v>46179</v>
          </cell>
          <cell r="H489">
            <v>46179</v>
          </cell>
          <cell r="J489" t="str">
            <v>004020</v>
          </cell>
          <cell r="K489">
            <v>-59.86</v>
          </cell>
          <cell r="L489">
            <v>-59.86</v>
          </cell>
          <cell r="M489">
            <v>-59.86</v>
          </cell>
          <cell r="N489" t="str">
            <v>indiretto</v>
          </cell>
          <cell r="O489">
            <v>2</v>
          </cell>
          <cell r="P489" t="str">
            <v>0.633304</v>
          </cell>
          <cell r="Q489" t="str">
            <v>0.746975</v>
          </cell>
          <cell r="R489" t="str">
            <v>0.259818</v>
          </cell>
          <cell r="S489" t="str">
            <v>NO</v>
          </cell>
          <cell r="T489" t="str">
            <v>DELIBERA EGATO 12 22/04/21</v>
          </cell>
        </row>
        <row r="490">
          <cell r="D490" t="str">
            <v>C344227</v>
          </cell>
          <cell r="E490">
            <v>46143</v>
          </cell>
          <cell r="F490">
            <v>46507</v>
          </cell>
          <cell r="G490">
            <v>46179</v>
          </cell>
          <cell r="H490">
            <v>46179</v>
          </cell>
          <cell r="J490" t="str">
            <v>004130</v>
          </cell>
          <cell r="K490">
            <v>-52.52</v>
          </cell>
          <cell r="L490">
            <v>-52.52</v>
          </cell>
          <cell r="M490">
            <v>-52.52</v>
          </cell>
          <cell r="N490" t="str">
            <v>indiretto</v>
          </cell>
          <cell r="O490">
            <v>2</v>
          </cell>
          <cell r="P490" t="str">
            <v>0.545182</v>
          </cell>
          <cell r="Q490" t="str">
            <v>0.611443</v>
          </cell>
          <cell r="R490" t="str">
            <v>0.282207</v>
          </cell>
          <cell r="S490" t="str">
            <v>NO</v>
          </cell>
          <cell r="T490" t="str">
            <v>DELIBERA EGATO N.29 DEL 19/12/2018</v>
          </cell>
        </row>
        <row r="491">
          <cell r="D491" t="str">
            <v>C344190</v>
          </cell>
          <cell r="E491">
            <v>46143</v>
          </cell>
          <cell r="F491">
            <v>46507</v>
          </cell>
          <cell r="G491">
            <v>46179</v>
          </cell>
          <cell r="H491">
            <v>46179</v>
          </cell>
          <cell r="J491" t="str">
            <v>004130</v>
          </cell>
          <cell r="K491">
            <v>-26.26</v>
          </cell>
          <cell r="L491">
            <v>-26.26</v>
          </cell>
          <cell r="M491">
            <v>-26.26</v>
          </cell>
          <cell r="N491" t="str">
            <v>indiretto</v>
          </cell>
          <cell r="O491">
            <v>1</v>
          </cell>
          <cell r="P491" t="str">
            <v>0.545182</v>
          </cell>
          <cell r="Q491" t="str">
            <v>0.611443</v>
          </cell>
          <cell r="R491" t="str">
            <v>0.282207</v>
          </cell>
          <cell r="S491" t="str">
            <v>NO</v>
          </cell>
          <cell r="T491" t="str">
            <v>DELIBERA EGATO N.29 DEL 19/12/2018</v>
          </cell>
        </row>
        <row r="492">
          <cell r="D492" t="str">
            <v>C126789</v>
          </cell>
          <cell r="E492">
            <v>46143</v>
          </cell>
          <cell r="F492">
            <v>46507</v>
          </cell>
          <cell r="G492">
            <v>46179</v>
          </cell>
          <cell r="H492">
            <v>46179</v>
          </cell>
          <cell r="J492" t="str">
            <v>004078</v>
          </cell>
          <cell r="K492">
            <v>-99.39</v>
          </cell>
          <cell r="L492">
            <v>-99.39</v>
          </cell>
          <cell r="M492">
            <v>-99.39</v>
          </cell>
          <cell r="N492" t="str">
            <v>indiretto</v>
          </cell>
          <cell r="O492">
            <v>3</v>
          </cell>
          <cell r="P492" t="str">
            <v>0.916558</v>
          </cell>
          <cell r="Q492" t="str">
            <v>0.642623</v>
          </cell>
          <cell r="R492" t="str">
            <v>0.256196</v>
          </cell>
          <cell r="S492" t="str">
            <v>NO</v>
          </cell>
          <cell r="T492" t="str">
            <v>DELIBERAZIONE EGATO 29 19/12/2018</v>
          </cell>
        </row>
        <row r="493">
          <cell r="D493" t="str">
            <v>C091384</v>
          </cell>
          <cell r="E493">
            <v>46143</v>
          </cell>
          <cell r="F493">
            <v>46507</v>
          </cell>
          <cell r="G493">
            <v>46179</v>
          </cell>
          <cell r="H493">
            <v>46179</v>
          </cell>
          <cell r="J493" t="str">
            <v>004064</v>
          </cell>
          <cell r="K493">
            <v>-132.52000000000001</v>
          </cell>
          <cell r="L493">
            <v>-132.52000000000001</v>
          </cell>
          <cell r="M493">
            <v>-132.52000000000001</v>
          </cell>
          <cell r="N493" t="str">
            <v>indiretto</v>
          </cell>
          <cell r="O493">
            <v>4</v>
          </cell>
          <cell r="P493" t="str">
            <v>0.916558</v>
          </cell>
          <cell r="Q493" t="str">
            <v>0.642623</v>
          </cell>
          <cell r="R493" t="str">
            <v>0.256196</v>
          </cell>
          <cell r="S493" t="str">
            <v>NO</v>
          </cell>
          <cell r="T493" t="str">
            <v>DELIBERAZIONE EGATO 29 19/12/2018</v>
          </cell>
        </row>
        <row r="494">
          <cell r="D494" t="str">
            <v>C344146</v>
          </cell>
          <cell r="E494">
            <v>46143</v>
          </cell>
          <cell r="F494">
            <v>46507</v>
          </cell>
          <cell r="G494">
            <v>46179</v>
          </cell>
          <cell r="H494">
            <v>46179</v>
          </cell>
          <cell r="J494" t="str">
            <v>004078</v>
          </cell>
          <cell r="K494">
            <v>-132.52000000000001</v>
          </cell>
          <cell r="L494">
            <v>-132.52000000000001</v>
          </cell>
          <cell r="M494">
            <v>-132.52000000000001</v>
          </cell>
          <cell r="N494" t="str">
            <v>indiretto</v>
          </cell>
          <cell r="O494">
            <v>4</v>
          </cell>
          <cell r="P494" t="str">
            <v>0.916558</v>
          </cell>
          <cell r="Q494" t="str">
            <v>0.642623</v>
          </cell>
          <cell r="R494" t="str">
            <v>0.256196</v>
          </cell>
          <cell r="S494" t="str">
            <v>NO</v>
          </cell>
          <cell r="T494" t="str">
            <v>DELIBERAZIONE EGATO 29 19/12/2018</v>
          </cell>
        </row>
        <row r="495">
          <cell r="D495" t="str">
            <v>C308519</v>
          </cell>
          <cell r="E495">
            <v>46143</v>
          </cell>
          <cell r="F495">
            <v>46507</v>
          </cell>
          <cell r="G495">
            <v>46179</v>
          </cell>
          <cell r="H495">
            <v>46179</v>
          </cell>
          <cell r="J495" t="str">
            <v>004180</v>
          </cell>
          <cell r="K495">
            <v>-47.94</v>
          </cell>
          <cell r="L495">
            <v>-47.94</v>
          </cell>
          <cell r="M495">
            <v>-47.94</v>
          </cell>
          <cell r="N495" t="str">
            <v>indiretto</v>
          </cell>
          <cell r="O495">
            <v>2</v>
          </cell>
          <cell r="P495" t="str">
            <v>0.721337</v>
          </cell>
          <cell r="Q495" t="str">
            <v>0.441600</v>
          </cell>
          <cell r="R495" t="str">
            <v>0.150394</v>
          </cell>
          <cell r="S495" t="str">
            <v>NO</v>
          </cell>
          <cell r="T495" t="str">
            <v>DELIBERAZIONE EGATO 2 04/02/2019</v>
          </cell>
        </row>
        <row r="496">
          <cell r="D496" t="str">
            <v>C337615</v>
          </cell>
          <cell r="E496">
            <v>46143</v>
          </cell>
          <cell r="F496">
            <v>46507</v>
          </cell>
          <cell r="G496">
            <v>46179</v>
          </cell>
          <cell r="H496">
            <v>46179</v>
          </cell>
          <cell r="J496" t="str">
            <v>004179</v>
          </cell>
          <cell r="K496">
            <v>-86.33</v>
          </cell>
          <cell r="L496">
            <v>-86.33</v>
          </cell>
          <cell r="M496">
            <v>-86.33</v>
          </cell>
          <cell r="N496" t="str">
            <v>indiretto</v>
          </cell>
          <cell r="O496">
            <v>3</v>
          </cell>
          <cell r="P496" t="str">
            <v>0.802937</v>
          </cell>
          <cell r="Q496" t="str">
            <v>0.568257</v>
          </cell>
          <cell r="R496" t="str">
            <v>0.205575</v>
          </cell>
          <cell r="S496" t="str">
            <v>NO</v>
          </cell>
          <cell r="T496" t="str">
            <v>DELIBERAZIONE EGATO 11 27/03/2019</v>
          </cell>
        </row>
        <row r="497">
          <cell r="D497" t="str">
            <v>C322844</v>
          </cell>
          <cell r="E497">
            <v>46143</v>
          </cell>
          <cell r="F497">
            <v>46507</v>
          </cell>
          <cell r="G497">
            <v>46179</v>
          </cell>
          <cell r="H497">
            <v>46179</v>
          </cell>
          <cell r="J497" t="str">
            <v>004078</v>
          </cell>
          <cell r="K497">
            <v>-33.130000000000003</v>
          </cell>
          <cell r="L497">
            <v>-33.130000000000003</v>
          </cell>
          <cell r="M497">
            <v>-33.130000000000003</v>
          </cell>
          <cell r="N497" t="str">
            <v>indiretto</v>
          </cell>
          <cell r="O497">
            <v>1</v>
          </cell>
          <cell r="P497" t="str">
            <v>0.916558</v>
          </cell>
          <cell r="Q497" t="str">
            <v>0.642623</v>
          </cell>
          <cell r="R497" t="str">
            <v>0.256196</v>
          </cell>
          <cell r="S497" t="str">
            <v>NO</v>
          </cell>
          <cell r="T497" t="str">
            <v>DELIBERAZIONE EGATO 29 19/12/2018</v>
          </cell>
        </row>
        <row r="498">
          <cell r="D498" t="str">
            <v>C344147</v>
          </cell>
          <cell r="E498">
            <v>46143</v>
          </cell>
          <cell r="F498">
            <v>46507</v>
          </cell>
          <cell r="G498">
            <v>46179</v>
          </cell>
          <cell r="H498">
            <v>46179</v>
          </cell>
          <cell r="J498" t="str">
            <v>004130</v>
          </cell>
          <cell r="K498">
            <v>-26.26</v>
          </cell>
          <cell r="L498">
            <v>-26.26</v>
          </cell>
          <cell r="M498">
            <v>-26.26</v>
          </cell>
          <cell r="N498" t="str">
            <v>indiretto</v>
          </cell>
          <cell r="O498">
            <v>1</v>
          </cell>
          <cell r="P498" t="str">
            <v>0.545182</v>
          </cell>
          <cell r="Q498" t="str">
            <v>0.611443</v>
          </cell>
          <cell r="R498" t="str">
            <v>0.282207</v>
          </cell>
          <cell r="S498" t="str">
            <v>NO</v>
          </cell>
          <cell r="T498" t="str">
            <v>DELIBERA EGATO N.29 DEL 19/12/2018</v>
          </cell>
        </row>
        <row r="499">
          <cell r="D499" t="str">
            <v>C314392</v>
          </cell>
          <cell r="E499">
            <v>46143</v>
          </cell>
          <cell r="F499">
            <v>46507</v>
          </cell>
          <cell r="G499">
            <v>46179</v>
          </cell>
          <cell r="H499">
            <v>46179</v>
          </cell>
          <cell r="J499" t="str">
            <v>004078</v>
          </cell>
          <cell r="K499">
            <v>-132.52000000000001</v>
          </cell>
          <cell r="L499">
            <v>-132.52000000000001</v>
          </cell>
          <cell r="M499">
            <v>-132.52000000000001</v>
          </cell>
          <cell r="N499" t="str">
            <v>indiretto</v>
          </cell>
          <cell r="O499">
            <v>4</v>
          </cell>
          <cell r="P499" t="str">
            <v>0.916558</v>
          </cell>
          <cell r="Q499" t="str">
            <v>0.642623</v>
          </cell>
          <cell r="R499" t="str">
            <v>0.256196</v>
          </cell>
          <cell r="S499" t="str">
            <v>NO</v>
          </cell>
          <cell r="T499" t="str">
            <v>DELIBERAZIONE EGATO 29 19/12/2018</v>
          </cell>
        </row>
        <row r="500">
          <cell r="D500" t="str">
            <v>C307070</v>
          </cell>
          <cell r="E500">
            <v>46143</v>
          </cell>
          <cell r="F500">
            <v>46507</v>
          </cell>
          <cell r="G500">
            <v>46179</v>
          </cell>
          <cell r="H500">
            <v>46179</v>
          </cell>
          <cell r="J500" t="str">
            <v>004064</v>
          </cell>
          <cell r="K500">
            <v>-99.39</v>
          </cell>
          <cell r="L500">
            <v>-99.39</v>
          </cell>
          <cell r="M500">
            <v>-99.39</v>
          </cell>
          <cell r="N500" t="str">
            <v>indiretto</v>
          </cell>
          <cell r="O500">
            <v>3</v>
          </cell>
          <cell r="P500" t="str">
            <v>0.916558</v>
          </cell>
          <cell r="Q500" t="str">
            <v>0.642623</v>
          </cell>
          <cell r="R500" t="str">
            <v>0.256196</v>
          </cell>
          <cell r="S500" t="str">
            <v>NO</v>
          </cell>
          <cell r="T500" t="str">
            <v>DELIBERAZIONE EGATO 29 19/12/2018</v>
          </cell>
        </row>
        <row r="501">
          <cell r="D501" t="str">
            <v>C316033</v>
          </cell>
          <cell r="E501">
            <v>46143</v>
          </cell>
          <cell r="F501">
            <v>46507</v>
          </cell>
          <cell r="G501">
            <v>46179</v>
          </cell>
          <cell r="H501">
            <v>46179</v>
          </cell>
          <cell r="J501" t="str">
            <v>004078</v>
          </cell>
          <cell r="K501">
            <v>-33.130000000000003</v>
          </cell>
          <cell r="L501">
            <v>-33.130000000000003</v>
          </cell>
          <cell r="M501">
            <v>-33.130000000000003</v>
          </cell>
          <cell r="N501" t="str">
            <v>indiretto</v>
          </cell>
          <cell r="O501">
            <v>1</v>
          </cell>
          <cell r="P501" t="str">
            <v>0.916558</v>
          </cell>
          <cell r="Q501" t="str">
            <v>0.642623</v>
          </cell>
          <cell r="R501" t="str">
            <v>0.256196</v>
          </cell>
          <cell r="S501" t="str">
            <v>NO</v>
          </cell>
          <cell r="T501" t="str">
            <v>DELIBERAZIONE EGATO 29 19/12/2018</v>
          </cell>
        </row>
        <row r="502">
          <cell r="D502" t="str">
            <v>C310161</v>
          </cell>
          <cell r="E502">
            <v>46143</v>
          </cell>
          <cell r="F502">
            <v>46507</v>
          </cell>
          <cell r="G502">
            <v>46179</v>
          </cell>
          <cell r="H502">
            <v>46179</v>
          </cell>
          <cell r="J502" t="str">
            <v>004078</v>
          </cell>
          <cell r="K502">
            <v>-66.260000000000005</v>
          </cell>
          <cell r="L502">
            <v>-66.260000000000005</v>
          </cell>
          <cell r="M502">
            <v>-66.260000000000005</v>
          </cell>
          <cell r="N502" t="str">
            <v>indiretto</v>
          </cell>
          <cell r="O502">
            <v>2</v>
          </cell>
          <cell r="P502" t="str">
            <v>0.916558</v>
          </cell>
          <cell r="Q502" t="str">
            <v>0.642623</v>
          </cell>
          <cell r="R502" t="str">
            <v>0.256196</v>
          </cell>
          <cell r="S502" t="str">
            <v>NO</v>
          </cell>
          <cell r="T502" t="str">
            <v>DELIBERAZIONE EGATO 29 19/12/2018</v>
          </cell>
        </row>
        <row r="503">
          <cell r="D503" t="str">
            <v>C320314</v>
          </cell>
          <cell r="E503">
            <v>46143</v>
          </cell>
          <cell r="F503">
            <v>46507</v>
          </cell>
          <cell r="G503">
            <v>46179</v>
          </cell>
          <cell r="H503">
            <v>46179</v>
          </cell>
          <cell r="J503" t="str">
            <v>004165</v>
          </cell>
          <cell r="K503">
            <v>-99.39</v>
          </cell>
          <cell r="L503">
            <v>-99.39</v>
          </cell>
          <cell r="M503">
            <v>-99.39</v>
          </cell>
          <cell r="N503" t="str">
            <v>indiretto</v>
          </cell>
          <cell r="O503">
            <v>3</v>
          </cell>
          <cell r="P503" t="str">
            <v>0.916558</v>
          </cell>
          <cell r="Q503" t="str">
            <v>0.642623</v>
          </cell>
          <cell r="R503" t="str">
            <v>0.256196</v>
          </cell>
          <cell r="S503" t="str">
            <v>NO</v>
          </cell>
          <cell r="T503" t="str">
            <v>DELIBERAZIONE EGATO 29 19/12/2018</v>
          </cell>
        </row>
        <row r="504">
          <cell r="D504" t="str">
            <v>C314230</v>
          </cell>
          <cell r="E504">
            <v>46143</v>
          </cell>
          <cell r="F504">
            <v>46507</v>
          </cell>
          <cell r="G504">
            <v>46179</v>
          </cell>
          <cell r="H504">
            <v>46179</v>
          </cell>
          <cell r="J504" t="str">
            <v>004025</v>
          </cell>
          <cell r="K504">
            <v>-33.130000000000003</v>
          </cell>
          <cell r="L504">
            <v>-33.130000000000003</v>
          </cell>
          <cell r="M504">
            <v>-33.130000000000003</v>
          </cell>
          <cell r="N504" t="str">
            <v>indiretto</v>
          </cell>
          <cell r="O504">
            <v>1</v>
          </cell>
          <cell r="P504" t="str">
            <v>0.916558</v>
          </cell>
          <cell r="Q504" t="str">
            <v>0.642623</v>
          </cell>
          <cell r="R504" t="str">
            <v>0.256196</v>
          </cell>
          <cell r="S504" t="str">
            <v>NO</v>
          </cell>
          <cell r="T504" t="str">
            <v>DELIBERAZIONE EGATO 29 19/12/2018</v>
          </cell>
        </row>
        <row r="505">
          <cell r="D505" t="str">
            <v>C337672</v>
          </cell>
          <cell r="E505">
            <v>46143</v>
          </cell>
          <cell r="F505">
            <v>46507</v>
          </cell>
          <cell r="G505">
            <v>46179</v>
          </cell>
          <cell r="H505">
            <v>46179</v>
          </cell>
          <cell r="J505" t="str">
            <v>004197</v>
          </cell>
          <cell r="K505">
            <v>-95.87</v>
          </cell>
          <cell r="L505">
            <v>-95.87</v>
          </cell>
          <cell r="M505">
            <v>-95.87</v>
          </cell>
          <cell r="N505" t="str">
            <v>indiretto</v>
          </cell>
          <cell r="O505">
            <v>4</v>
          </cell>
          <cell r="P505" t="str">
            <v>0.721337</v>
          </cell>
          <cell r="Q505" t="str">
            <v>0.441600</v>
          </cell>
          <cell r="R505" t="str">
            <v>0.150394</v>
          </cell>
          <cell r="S505" t="str">
            <v>NO</v>
          </cell>
          <cell r="T505" t="str">
            <v>DELIBERAZIONE EGATO 2 04/02/2019</v>
          </cell>
        </row>
        <row r="506">
          <cell r="D506" t="str">
            <v>C337562</v>
          </cell>
          <cell r="E506">
            <v>46143</v>
          </cell>
          <cell r="F506">
            <v>46507</v>
          </cell>
          <cell r="G506">
            <v>46179</v>
          </cell>
          <cell r="H506">
            <v>46179</v>
          </cell>
          <cell r="J506" t="str">
            <v>004028</v>
          </cell>
          <cell r="K506">
            <v>-99.39</v>
          </cell>
          <cell r="L506">
            <v>-99.39</v>
          </cell>
          <cell r="M506">
            <v>-99.39</v>
          </cell>
          <cell r="N506" t="str">
            <v>indiretto</v>
          </cell>
          <cell r="O506">
            <v>3</v>
          </cell>
          <cell r="P506" t="str">
            <v>0.916558</v>
          </cell>
          <cell r="Q506" t="str">
            <v>0.642623</v>
          </cell>
          <cell r="R506" t="str">
            <v>0.256196</v>
          </cell>
          <cell r="S506" t="str">
            <v>NO</v>
          </cell>
          <cell r="T506" t="str">
            <v>DELIBERAZIONE EGATO 29 19/12/2018</v>
          </cell>
        </row>
        <row r="507">
          <cell r="D507" t="str">
            <v>C344126</v>
          </cell>
          <cell r="E507">
            <v>46143</v>
          </cell>
          <cell r="F507">
            <v>46507</v>
          </cell>
          <cell r="G507">
            <v>46179</v>
          </cell>
          <cell r="H507">
            <v>46179</v>
          </cell>
          <cell r="J507" t="str">
            <v>004061</v>
          </cell>
          <cell r="K507">
            <v>-99.39</v>
          </cell>
          <cell r="L507">
            <v>-99.39</v>
          </cell>
          <cell r="M507">
            <v>-99.39</v>
          </cell>
          <cell r="N507" t="str">
            <v>indiretto</v>
          </cell>
          <cell r="O507">
            <v>3</v>
          </cell>
          <cell r="P507" t="str">
            <v>0.916558</v>
          </cell>
          <cell r="Q507" t="str">
            <v>0.642623</v>
          </cell>
          <cell r="R507" t="str">
            <v>0.256196</v>
          </cell>
          <cell r="S507" t="str">
            <v>NO</v>
          </cell>
          <cell r="T507" t="str">
            <v>DELIBERAZIONE EGATO 29 19/12/2018</v>
          </cell>
        </row>
        <row r="508">
          <cell r="D508" t="str">
            <v>C302881</v>
          </cell>
          <cell r="E508">
            <v>46143</v>
          </cell>
          <cell r="F508">
            <v>46507</v>
          </cell>
          <cell r="G508">
            <v>46179</v>
          </cell>
          <cell r="H508">
            <v>46179</v>
          </cell>
          <cell r="J508" t="str">
            <v>004104</v>
          </cell>
          <cell r="K508">
            <v>-143.81</v>
          </cell>
          <cell r="L508">
            <v>-143.81</v>
          </cell>
          <cell r="M508">
            <v>-143.81</v>
          </cell>
          <cell r="N508" t="str">
            <v>indiretto</v>
          </cell>
          <cell r="O508">
            <v>6</v>
          </cell>
          <cell r="P508" t="str">
            <v>0.721337</v>
          </cell>
          <cell r="Q508" t="str">
            <v>0.441600</v>
          </cell>
          <cell r="R508" t="str">
            <v>0.150394</v>
          </cell>
          <cell r="S508" t="str">
            <v>NO</v>
          </cell>
          <cell r="T508" t="str">
            <v>DELIBERAZIONE EGATO 2 04/02/2019</v>
          </cell>
        </row>
        <row r="509">
          <cell r="D509" t="str">
            <v>C337569</v>
          </cell>
          <cell r="E509">
            <v>46143</v>
          </cell>
          <cell r="F509">
            <v>46507</v>
          </cell>
          <cell r="G509">
            <v>46179</v>
          </cell>
          <cell r="H509">
            <v>46179</v>
          </cell>
          <cell r="J509" t="str">
            <v>004078</v>
          </cell>
          <cell r="K509">
            <v>-33.130000000000003</v>
          </cell>
          <cell r="L509">
            <v>-33.130000000000003</v>
          </cell>
          <cell r="M509">
            <v>-33.130000000000003</v>
          </cell>
          <cell r="N509" t="str">
            <v>indiretto</v>
          </cell>
          <cell r="O509">
            <v>1</v>
          </cell>
          <cell r="P509" t="str">
            <v>0.916558</v>
          </cell>
          <cell r="Q509" t="str">
            <v>0.642623</v>
          </cell>
          <cell r="R509" t="str">
            <v>0.256196</v>
          </cell>
          <cell r="S509" t="str">
            <v>NO</v>
          </cell>
          <cell r="T509" t="str">
            <v>DELIBERAZIONE EGATO 29 19/12/2018</v>
          </cell>
        </row>
        <row r="510">
          <cell r="D510" t="str">
            <v>C130350</v>
          </cell>
          <cell r="E510">
            <v>46143</v>
          </cell>
          <cell r="F510">
            <v>46507</v>
          </cell>
          <cell r="G510">
            <v>46179</v>
          </cell>
          <cell r="H510">
            <v>46179</v>
          </cell>
          <cell r="J510" t="str">
            <v>004040</v>
          </cell>
          <cell r="K510">
            <v>-165.65</v>
          </cell>
          <cell r="L510">
            <v>-165.65</v>
          </cell>
          <cell r="M510">
            <v>-165.65</v>
          </cell>
          <cell r="N510" t="str">
            <v>indiretto</v>
          </cell>
          <cell r="O510">
            <v>5</v>
          </cell>
          <cell r="P510" t="str">
            <v>0.916558</v>
          </cell>
          <cell r="Q510" t="str">
            <v>0.642623</v>
          </cell>
          <cell r="R510" t="str">
            <v>0.256196</v>
          </cell>
          <cell r="S510" t="str">
            <v>NO</v>
          </cell>
          <cell r="T510" t="str">
            <v>DELIBERAZIONE EGATO 29 19/12/2018</v>
          </cell>
        </row>
        <row r="511">
          <cell r="D511" t="str">
            <v>C315944</v>
          </cell>
          <cell r="E511">
            <v>46143</v>
          </cell>
          <cell r="F511">
            <v>46507</v>
          </cell>
          <cell r="G511">
            <v>46179</v>
          </cell>
          <cell r="H511">
            <v>46179</v>
          </cell>
          <cell r="J511" t="str">
            <v>004192</v>
          </cell>
          <cell r="K511">
            <v>-33.130000000000003</v>
          </cell>
          <cell r="L511">
            <v>-33.130000000000003</v>
          </cell>
          <cell r="M511">
            <v>-33.130000000000003</v>
          </cell>
          <cell r="N511" t="str">
            <v>indiretto</v>
          </cell>
          <cell r="O511">
            <v>1</v>
          </cell>
          <cell r="P511" t="str">
            <v>0.916558</v>
          </cell>
          <cell r="Q511" t="str">
            <v>0.642623</v>
          </cell>
          <cell r="R511" t="str">
            <v>0.256196</v>
          </cell>
          <cell r="S511" t="str">
            <v>NO</v>
          </cell>
          <cell r="T511" t="str">
            <v>DELIBERAZIONE EGATO 29 19/12/2018</v>
          </cell>
        </row>
        <row r="512">
          <cell r="D512" t="str">
            <v>C312145</v>
          </cell>
          <cell r="E512">
            <v>46143</v>
          </cell>
          <cell r="F512">
            <v>46507</v>
          </cell>
          <cell r="G512">
            <v>46179</v>
          </cell>
          <cell r="H512">
            <v>46179</v>
          </cell>
          <cell r="J512" t="str">
            <v>004082</v>
          </cell>
          <cell r="K512">
            <v>-132.52000000000001</v>
          </cell>
          <cell r="L512">
            <v>-132.52000000000001</v>
          </cell>
          <cell r="M512">
            <v>-132.52000000000001</v>
          </cell>
          <cell r="N512" t="str">
            <v>indiretto</v>
          </cell>
          <cell r="O512">
            <v>4</v>
          </cell>
          <cell r="P512" t="str">
            <v>0.916558</v>
          </cell>
          <cell r="Q512" t="str">
            <v>0.642623</v>
          </cell>
          <cell r="R512" t="str">
            <v>0.256196</v>
          </cell>
          <cell r="S512" t="str">
            <v>NO</v>
          </cell>
          <cell r="T512" t="str">
            <v>DELIBERAZIONE EGATO 29 19/12/2018</v>
          </cell>
        </row>
        <row r="513">
          <cell r="D513" t="str">
            <v>C310252</v>
          </cell>
          <cell r="E513">
            <v>46143</v>
          </cell>
          <cell r="F513">
            <v>46507</v>
          </cell>
          <cell r="G513">
            <v>46179</v>
          </cell>
          <cell r="H513">
            <v>46179</v>
          </cell>
          <cell r="J513" t="str">
            <v>004078</v>
          </cell>
          <cell r="K513">
            <v>-66.260000000000005</v>
          </cell>
          <cell r="L513">
            <v>-66.260000000000005</v>
          </cell>
          <cell r="M513">
            <v>-66.260000000000005</v>
          </cell>
          <cell r="N513" t="str">
            <v>indiretto</v>
          </cell>
          <cell r="O513">
            <v>2</v>
          </cell>
          <cell r="P513" t="str">
            <v>0.916558</v>
          </cell>
          <cell r="Q513" t="str">
            <v>0.642623</v>
          </cell>
          <cell r="R513" t="str">
            <v>0.256196</v>
          </cell>
          <cell r="S513" t="str">
            <v>NO</v>
          </cell>
          <cell r="T513" t="str">
            <v>DELIBERAZIONE EGATO 29 19/12/2018</v>
          </cell>
        </row>
        <row r="514">
          <cell r="D514" t="str">
            <v>C322009</v>
          </cell>
          <cell r="E514">
            <v>46143</v>
          </cell>
          <cell r="F514">
            <v>46507</v>
          </cell>
          <cell r="G514">
            <v>46179</v>
          </cell>
          <cell r="H514">
            <v>46179</v>
          </cell>
          <cell r="J514" t="str">
            <v>004028</v>
          </cell>
          <cell r="K514">
            <v>-99.39</v>
          </cell>
          <cell r="L514">
            <v>-99.39</v>
          </cell>
          <cell r="M514">
            <v>-99.39</v>
          </cell>
          <cell r="N514" t="str">
            <v>indiretto</v>
          </cell>
          <cell r="O514">
            <v>3</v>
          </cell>
          <cell r="P514" t="str">
            <v>0.916558</v>
          </cell>
          <cell r="Q514" t="str">
            <v>0.642623</v>
          </cell>
          <cell r="R514" t="str">
            <v>0.256196</v>
          </cell>
          <cell r="S514" t="str">
            <v>NO</v>
          </cell>
          <cell r="T514" t="str">
            <v>DELIBERAZIONE EGATO 29 19/12/2018</v>
          </cell>
        </row>
        <row r="515">
          <cell r="D515" t="str">
            <v>C308425</v>
          </cell>
          <cell r="E515">
            <v>46143</v>
          </cell>
          <cell r="F515">
            <v>46507</v>
          </cell>
          <cell r="G515">
            <v>46179</v>
          </cell>
          <cell r="H515">
            <v>46179</v>
          </cell>
          <cell r="J515" t="str">
            <v>004028</v>
          </cell>
          <cell r="K515">
            <v>-66.260000000000005</v>
          </cell>
          <cell r="L515">
            <v>-66.260000000000005</v>
          </cell>
          <cell r="M515">
            <v>-66.260000000000005</v>
          </cell>
          <cell r="N515" t="str">
            <v>indiretto</v>
          </cell>
          <cell r="O515">
            <v>2</v>
          </cell>
          <cell r="P515" t="str">
            <v>0.916558</v>
          </cell>
          <cell r="Q515" t="str">
            <v>0.642623</v>
          </cell>
          <cell r="R515" t="str">
            <v>0.256196</v>
          </cell>
          <cell r="S515" t="str">
            <v>NO</v>
          </cell>
          <cell r="T515" t="str">
            <v>DELIBERAZIONE EGATO 29 19/12/2018</v>
          </cell>
        </row>
        <row r="516">
          <cell r="D516" t="str">
            <v>C120109</v>
          </cell>
          <cell r="E516">
            <v>46143</v>
          </cell>
          <cell r="F516">
            <v>46507</v>
          </cell>
          <cell r="G516">
            <v>46179</v>
          </cell>
          <cell r="H516">
            <v>46179</v>
          </cell>
          <cell r="J516" t="str">
            <v>004078</v>
          </cell>
          <cell r="K516">
            <v>-198.78</v>
          </cell>
          <cell r="L516">
            <v>-198.78</v>
          </cell>
          <cell r="M516">
            <v>-198.78</v>
          </cell>
          <cell r="N516" t="str">
            <v>indiretto</v>
          </cell>
          <cell r="O516">
            <v>6</v>
          </cell>
          <cell r="P516" t="str">
            <v>0.916558</v>
          </cell>
          <cell r="Q516" t="str">
            <v>0.642623</v>
          </cell>
          <cell r="R516" t="str">
            <v>0.256196</v>
          </cell>
          <cell r="S516" t="str">
            <v>NO</v>
          </cell>
          <cell r="T516" t="str">
            <v>DELIBERAZIONE EGATO 29 19/12/2018</v>
          </cell>
        </row>
        <row r="517">
          <cell r="D517" t="str">
            <v>C344127</v>
          </cell>
          <cell r="E517">
            <v>46143</v>
          </cell>
          <cell r="F517">
            <v>46507</v>
          </cell>
          <cell r="G517">
            <v>46179</v>
          </cell>
          <cell r="H517">
            <v>46179</v>
          </cell>
          <cell r="J517" t="str">
            <v>004025</v>
          </cell>
          <cell r="K517">
            <v>-132.52000000000001</v>
          </cell>
          <cell r="L517">
            <v>-132.52000000000001</v>
          </cell>
          <cell r="M517">
            <v>-132.52000000000001</v>
          </cell>
          <cell r="N517" t="str">
            <v>indiretto</v>
          </cell>
          <cell r="O517">
            <v>4</v>
          </cell>
          <cell r="P517" t="str">
            <v>0.916558</v>
          </cell>
          <cell r="Q517" t="str">
            <v>0.642623</v>
          </cell>
          <cell r="R517" t="str">
            <v>0.256196</v>
          </cell>
          <cell r="S517" t="str">
            <v>NO</v>
          </cell>
          <cell r="T517" t="str">
            <v>DELIBERAZIONE EGATO 29 19/12/2018</v>
          </cell>
        </row>
        <row r="518">
          <cell r="D518" t="str">
            <v>C314270</v>
          </cell>
          <cell r="E518">
            <v>46143</v>
          </cell>
          <cell r="F518">
            <v>46507</v>
          </cell>
          <cell r="G518">
            <v>46179</v>
          </cell>
          <cell r="H518">
            <v>46179</v>
          </cell>
          <cell r="J518" t="str">
            <v>004078</v>
          </cell>
          <cell r="K518">
            <v>-99.39</v>
          </cell>
          <cell r="L518">
            <v>-99.39</v>
          </cell>
          <cell r="M518">
            <v>-99.39</v>
          </cell>
          <cell r="N518" t="str">
            <v>indiretto</v>
          </cell>
          <cell r="O518">
            <v>3</v>
          </cell>
          <cell r="P518" t="str">
            <v>0.916558</v>
          </cell>
          <cell r="Q518" t="str">
            <v>0.642623</v>
          </cell>
          <cell r="R518" t="str">
            <v>0.256196</v>
          </cell>
          <cell r="S518" t="str">
            <v>NO</v>
          </cell>
          <cell r="T518" t="str">
            <v>DELIBERAZIONE EGATO 29 19/12/2018</v>
          </cell>
        </row>
        <row r="519">
          <cell r="D519" t="str">
            <v>C313310</v>
          </cell>
          <cell r="E519">
            <v>46143</v>
          </cell>
          <cell r="F519">
            <v>46507</v>
          </cell>
          <cell r="G519">
            <v>46179</v>
          </cell>
          <cell r="H519">
            <v>46179</v>
          </cell>
          <cell r="J519" t="str">
            <v>004078</v>
          </cell>
          <cell r="K519">
            <v>-99.39</v>
          </cell>
          <cell r="L519">
            <v>-99.39</v>
          </cell>
          <cell r="M519">
            <v>-99.39</v>
          </cell>
          <cell r="N519" t="str">
            <v>indiretto</v>
          </cell>
          <cell r="O519">
            <v>3</v>
          </cell>
          <cell r="P519" t="str">
            <v>0.916558</v>
          </cell>
          <cell r="Q519" t="str">
            <v>0.642623</v>
          </cell>
          <cell r="R519" t="str">
            <v>0.256196</v>
          </cell>
          <cell r="S519" t="str">
            <v>NO</v>
          </cell>
          <cell r="T519" t="str">
            <v>DELIBERAZIONE EGATO 29 19/12/2018</v>
          </cell>
        </row>
        <row r="520">
          <cell r="D520" t="str">
            <v>C320297</v>
          </cell>
          <cell r="E520">
            <v>46143</v>
          </cell>
          <cell r="F520">
            <v>46507</v>
          </cell>
          <cell r="G520">
            <v>46179</v>
          </cell>
          <cell r="H520">
            <v>46179</v>
          </cell>
          <cell r="J520" t="str">
            <v>004078</v>
          </cell>
          <cell r="K520">
            <v>-99.39</v>
          </cell>
          <cell r="L520">
            <v>-99.39</v>
          </cell>
          <cell r="M520">
            <v>-99.39</v>
          </cell>
          <cell r="N520" t="str">
            <v>indiretto</v>
          </cell>
          <cell r="O520">
            <v>3</v>
          </cell>
          <cell r="P520" t="str">
            <v>0.916558</v>
          </cell>
          <cell r="Q520" t="str">
            <v>0.642623</v>
          </cell>
          <cell r="R520" t="str">
            <v>0.256196</v>
          </cell>
          <cell r="S520" t="str">
            <v>NO</v>
          </cell>
          <cell r="T520" t="str">
            <v>DELIBERAZIONE EGATO 29 19/12/2018</v>
          </cell>
        </row>
        <row r="521">
          <cell r="D521" t="str">
            <v>C344113</v>
          </cell>
          <cell r="E521">
            <v>46143</v>
          </cell>
          <cell r="F521">
            <v>46507</v>
          </cell>
          <cell r="G521">
            <v>46179</v>
          </cell>
          <cell r="H521">
            <v>46179</v>
          </cell>
          <cell r="J521" t="str">
            <v>004095</v>
          </cell>
          <cell r="K521">
            <v>-178.91</v>
          </cell>
          <cell r="L521">
            <v>-178.91</v>
          </cell>
          <cell r="M521">
            <v>-178.91</v>
          </cell>
          <cell r="N521" t="str">
            <v>indiretto</v>
          </cell>
          <cell r="O521">
            <v>6</v>
          </cell>
          <cell r="P521" t="str">
            <v>0.824903</v>
          </cell>
          <cell r="Q521" t="str">
            <v>0.578360</v>
          </cell>
          <cell r="R521" t="str">
            <v>0.230576</v>
          </cell>
          <cell r="S521" t="str">
            <v>NO</v>
          </cell>
          <cell r="T521" t="str">
            <v>DELIBERAZIONE EGATO 29 19/12/2018</v>
          </cell>
        </row>
        <row r="522">
          <cell r="D522" t="str">
            <v>C320545</v>
          </cell>
          <cell r="E522">
            <v>46143</v>
          </cell>
          <cell r="F522">
            <v>46507</v>
          </cell>
          <cell r="G522">
            <v>46179</v>
          </cell>
          <cell r="H522">
            <v>46179</v>
          </cell>
          <cell r="J522" t="str">
            <v>004078</v>
          </cell>
          <cell r="K522">
            <v>-99.39</v>
          </cell>
          <cell r="L522">
            <v>-99.39</v>
          </cell>
          <cell r="M522">
            <v>-99.39</v>
          </cell>
          <cell r="N522" t="str">
            <v>indiretto</v>
          </cell>
          <cell r="O522">
            <v>3</v>
          </cell>
          <cell r="P522" t="str">
            <v>0.916558</v>
          </cell>
          <cell r="Q522" t="str">
            <v>0.642623</v>
          </cell>
          <cell r="R522" t="str">
            <v>0.256196</v>
          </cell>
          <cell r="S522" t="str">
            <v>NO</v>
          </cell>
          <cell r="T522" t="str">
            <v>DELIBERAZIONE EGATO 29 19/12/2018</v>
          </cell>
        </row>
        <row r="523">
          <cell r="D523" t="str">
            <v>C337679</v>
          </cell>
          <cell r="E523">
            <v>46143</v>
          </cell>
          <cell r="F523">
            <v>46507</v>
          </cell>
          <cell r="G523">
            <v>46179</v>
          </cell>
          <cell r="H523">
            <v>46179</v>
          </cell>
          <cell r="J523" t="str">
            <v>004192</v>
          </cell>
          <cell r="K523">
            <v>-132.52000000000001</v>
          </cell>
          <cell r="L523">
            <v>-132.52000000000001</v>
          </cell>
          <cell r="M523">
            <v>-132.52000000000001</v>
          </cell>
          <cell r="N523" t="str">
            <v>indiretto</v>
          </cell>
          <cell r="O523">
            <v>4</v>
          </cell>
          <cell r="P523" t="str">
            <v>0.916558</v>
          </cell>
          <cell r="Q523" t="str">
            <v>0.642623</v>
          </cell>
          <cell r="R523" t="str">
            <v>0.256196</v>
          </cell>
          <cell r="S523" t="str">
            <v>NO</v>
          </cell>
          <cell r="T523" t="str">
            <v>DELIBERAZIONE EGATO 29 19/12/2018</v>
          </cell>
        </row>
        <row r="524">
          <cell r="D524" t="str">
            <v>C344134</v>
          </cell>
          <cell r="E524">
            <v>46143</v>
          </cell>
          <cell r="F524">
            <v>46507</v>
          </cell>
          <cell r="G524">
            <v>46179</v>
          </cell>
          <cell r="H524">
            <v>46179</v>
          </cell>
          <cell r="J524" t="str">
            <v>004066</v>
          </cell>
          <cell r="K524">
            <v>-66.260000000000005</v>
          </cell>
          <cell r="L524">
            <v>-66.260000000000005</v>
          </cell>
          <cell r="M524">
            <v>-66.260000000000005</v>
          </cell>
          <cell r="N524" t="str">
            <v>indiretto</v>
          </cell>
          <cell r="O524">
            <v>2</v>
          </cell>
          <cell r="P524" t="str">
            <v>0.916558</v>
          </cell>
          <cell r="Q524" t="str">
            <v>0.642623</v>
          </cell>
          <cell r="R524" t="str">
            <v>0.256196</v>
          </cell>
          <cell r="S524" t="str">
            <v>NO</v>
          </cell>
          <cell r="T524" t="str">
            <v>DELIBERAZIONE EGATO 29 19/12/2018</v>
          </cell>
        </row>
        <row r="525">
          <cell r="D525" t="str">
            <v>C344114</v>
          </cell>
          <cell r="E525">
            <v>46143</v>
          </cell>
          <cell r="F525">
            <v>46507</v>
          </cell>
          <cell r="G525">
            <v>46179</v>
          </cell>
          <cell r="H525">
            <v>46179</v>
          </cell>
          <cell r="J525" t="str">
            <v>004078</v>
          </cell>
          <cell r="K525">
            <v>-66.260000000000005</v>
          </cell>
          <cell r="L525">
            <v>-66.260000000000005</v>
          </cell>
          <cell r="M525">
            <v>-66.260000000000005</v>
          </cell>
          <cell r="N525" t="str">
            <v>indiretto</v>
          </cell>
          <cell r="O525">
            <v>2</v>
          </cell>
          <cell r="P525" t="str">
            <v>0.916558</v>
          </cell>
          <cell r="Q525" t="str">
            <v>0.642623</v>
          </cell>
          <cell r="R525" t="str">
            <v>0.256196</v>
          </cell>
          <cell r="S525" t="str">
            <v>NO</v>
          </cell>
          <cell r="T525" t="str">
            <v>DELIBERAZIONE EGATO 29 19/12/2018</v>
          </cell>
        </row>
        <row r="526">
          <cell r="D526" t="str">
            <v>C309287</v>
          </cell>
          <cell r="E526">
            <v>46143</v>
          </cell>
          <cell r="F526">
            <v>46507</v>
          </cell>
          <cell r="G526">
            <v>46179</v>
          </cell>
          <cell r="H526">
            <v>46179</v>
          </cell>
          <cell r="J526" t="str">
            <v>004078</v>
          </cell>
          <cell r="K526">
            <v>-165.65</v>
          </cell>
          <cell r="L526">
            <v>-165.65</v>
          </cell>
          <cell r="M526">
            <v>-165.65</v>
          </cell>
          <cell r="N526" t="str">
            <v>indiretto</v>
          </cell>
          <cell r="O526">
            <v>5</v>
          </cell>
          <cell r="P526" t="str">
            <v>0.916558</v>
          </cell>
          <cell r="Q526" t="str">
            <v>0.642623</v>
          </cell>
          <cell r="R526" t="str">
            <v>0.256196</v>
          </cell>
          <cell r="S526" t="str">
            <v>NO</v>
          </cell>
          <cell r="T526" t="str">
            <v>DELIBERAZIONE EGATO 29 19/12/2018</v>
          </cell>
        </row>
        <row r="527">
          <cell r="D527" t="str">
            <v>C342348</v>
          </cell>
          <cell r="E527">
            <v>46143</v>
          </cell>
          <cell r="F527">
            <v>46507</v>
          </cell>
          <cell r="G527">
            <v>46179</v>
          </cell>
          <cell r="H527">
            <v>46179</v>
          </cell>
          <cell r="J527" t="str">
            <v>004179</v>
          </cell>
          <cell r="K527">
            <v>-28.78</v>
          </cell>
          <cell r="L527">
            <v>-28.78</v>
          </cell>
          <cell r="M527">
            <v>-28.78</v>
          </cell>
          <cell r="N527" t="str">
            <v>indiretto</v>
          </cell>
          <cell r="O527">
            <v>1</v>
          </cell>
          <cell r="P527" t="str">
            <v>0.802937</v>
          </cell>
          <cell r="Q527" t="str">
            <v>0.568257</v>
          </cell>
          <cell r="R527" t="str">
            <v>0.205575</v>
          </cell>
          <cell r="S527" t="str">
            <v>NO</v>
          </cell>
          <cell r="T527" t="str">
            <v>DELIBERAZIONE EGATO 11 27/03/2019</v>
          </cell>
        </row>
        <row r="528">
          <cell r="D528" t="str">
            <v>C344135</v>
          </cell>
          <cell r="E528">
            <v>46143</v>
          </cell>
          <cell r="F528">
            <v>46507</v>
          </cell>
          <cell r="G528">
            <v>46179</v>
          </cell>
          <cell r="H528">
            <v>46179</v>
          </cell>
          <cell r="J528" t="str">
            <v>004078</v>
          </cell>
          <cell r="K528">
            <v>-66.260000000000005</v>
          </cell>
          <cell r="L528">
            <v>-66.260000000000005</v>
          </cell>
          <cell r="M528">
            <v>-66.260000000000005</v>
          </cell>
          <cell r="N528" t="str">
            <v>indiretto</v>
          </cell>
          <cell r="O528">
            <v>2</v>
          </cell>
          <cell r="P528" t="str">
            <v>0.916558</v>
          </cell>
          <cell r="Q528" t="str">
            <v>0.642623</v>
          </cell>
          <cell r="R528" t="str">
            <v>0.256196</v>
          </cell>
          <cell r="S528" t="str">
            <v>NO</v>
          </cell>
          <cell r="T528" t="str">
            <v>DELIBERAZIONE EGATO 29 19/12/2018</v>
          </cell>
        </row>
        <row r="529">
          <cell r="D529" t="str">
            <v>C312940</v>
          </cell>
          <cell r="E529">
            <v>46143</v>
          </cell>
          <cell r="F529">
            <v>46507</v>
          </cell>
          <cell r="G529">
            <v>46179</v>
          </cell>
          <cell r="H529">
            <v>46179</v>
          </cell>
          <cell r="J529" t="str">
            <v>004040</v>
          </cell>
          <cell r="K529">
            <v>-132.52000000000001</v>
          </cell>
          <cell r="L529">
            <v>-132.52000000000001</v>
          </cell>
          <cell r="M529">
            <v>-132.52000000000001</v>
          </cell>
          <cell r="N529" t="str">
            <v>indiretto</v>
          </cell>
          <cell r="O529">
            <v>4</v>
          </cell>
          <cell r="P529" t="str">
            <v>0.916558</v>
          </cell>
          <cell r="Q529" t="str">
            <v>0.642623</v>
          </cell>
          <cell r="R529" t="str">
            <v>0.256196</v>
          </cell>
          <cell r="S529" t="str">
            <v>NO</v>
          </cell>
          <cell r="T529" t="str">
            <v>DELIBERAZIONE EGATO 29 19/12/2018</v>
          </cell>
        </row>
        <row r="530">
          <cell r="D530" t="str">
            <v>C309615</v>
          </cell>
          <cell r="E530">
            <v>46143</v>
          </cell>
          <cell r="F530">
            <v>46507</v>
          </cell>
          <cell r="G530">
            <v>46179</v>
          </cell>
          <cell r="H530">
            <v>46179</v>
          </cell>
          <cell r="J530" t="str">
            <v>004157</v>
          </cell>
          <cell r="K530">
            <v>-33.130000000000003</v>
          </cell>
          <cell r="L530">
            <v>-33.130000000000003</v>
          </cell>
          <cell r="M530">
            <v>-33.130000000000003</v>
          </cell>
          <cell r="N530" t="str">
            <v>indiretto</v>
          </cell>
          <cell r="O530">
            <v>1</v>
          </cell>
          <cell r="P530" t="str">
            <v>0.916558</v>
          </cell>
          <cell r="Q530" t="str">
            <v>0.642623</v>
          </cell>
          <cell r="R530" t="str">
            <v>0.256196</v>
          </cell>
          <cell r="S530" t="str">
            <v>NO</v>
          </cell>
          <cell r="T530" t="str">
            <v>DELIBERAZIONE EGATO 29 19/12/2018</v>
          </cell>
        </row>
        <row r="531">
          <cell r="D531" t="str">
            <v>C312891</v>
          </cell>
          <cell r="E531">
            <v>46143</v>
          </cell>
          <cell r="F531">
            <v>46507</v>
          </cell>
          <cell r="G531">
            <v>46179</v>
          </cell>
          <cell r="H531">
            <v>46179</v>
          </cell>
          <cell r="J531" t="str">
            <v>004086</v>
          </cell>
          <cell r="K531">
            <v>-77.319999999999993</v>
          </cell>
          <cell r="L531">
            <v>-77.319999999999993</v>
          </cell>
          <cell r="M531">
            <v>-77.319999999999993</v>
          </cell>
          <cell r="N531" t="str">
            <v>indiretto</v>
          </cell>
          <cell r="O531">
            <v>2</v>
          </cell>
          <cell r="P531">
            <v>1091278</v>
          </cell>
          <cell r="Q531" t="str">
            <v>0.730790</v>
          </cell>
          <cell r="R531" t="str">
            <v>0.296264</v>
          </cell>
          <cell r="S531" t="str">
            <v>NO</v>
          </cell>
          <cell r="T531" t="str">
            <v>DELIBERAZIONE EGATO 2 04/02/2019</v>
          </cell>
        </row>
        <row r="532">
          <cell r="D532" t="str">
            <v>C344269</v>
          </cell>
          <cell r="E532">
            <v>46143</v>
          </cell>
          <cell r="F532">
            <v>46507</v>
          </cell>
          <cell r="G532">
            <v>46179</v>
          </cell>
          <cell r="H532">
            <v>46179</v>
          </cell>
          <cell r="J532" t="str">
            <v>004130</v>
          </cell>
          <cell r="K532">
            <v>-52.52</v>
          </cell>
          <cell r="L532">
            <v>-52.52</v>
          </cell>
          <cell r="M532">
            <v>-52.52</v>
          </cell>
          <cell r="N532" t="str">
            <v>indiretto</v>
          </cell>
          <cell r="O532">
            <v>2</v>
          </cell>
          <cell r="P532" t="str">
            <v>0.545182</v>
          </cell>
          <cell r="Q532" t="str">
            <v>0.611443</v>
          </cell>
          <cell r="R532" t="str">
            <v>0.282207</v>
          </cell>
          <cell r="S532" t="str">
            <v>NO</v>
          </cell>
          <cell r="T532" t="str">
            <v>DELIBERA EGATO N.29 DEL 19/12/2018</v>
          </cell>
        </row>
        <row r="533">
          <cell r="D533" t="str">
            <v>C314424</v>
          </cell>
          <cell r="E533">
            <v>46143</v>
          </cell>
          <cell r="F533">
            <v>46507</v>
          </cell>
          <cell r="G533">
            <v>46179</v>
          </cell>
          <cell r="H533">
            <v>46179</v>
          </cell>
          <cell r="J533" t="str">
            <v>004012</v>
          </cell>
          <cell r="K533">
            <v>-24.62</v>
          </cell>
          <cell r="L533">
            <v>-24.62</v>
          </cell>
          <cell r="M533">
            <v>-24.62</v>
          </cell>
          <cell r="N533" t="str">
            <v>indiretto</v>
          </cell>
          <cell r="O533">
            <v>1</v>
          </cell>
          <cell r="P533" t="str">
            <v>0.716943</v>
          </cell>
          <cell r="Q533" t="str">
            <v>0.463071</v>
          </cell>
          <cell r="R533" t="str">
            <v>0.169064</v>
          </cell>
          <cell r="S533" t="str">
            <v>NO</v>
          </cell>
          <cell r="T533" t="str">
            <v>DELIBERAZIONE EGATO 2 04/02/2019</v>
          </cell>
        </row>
        <row r="534">
          <cell r="D534" t="str">
            <v>C118840</v>
          </cell>
          <cell r="E534">
            <v>46143</v>
          </cell>
          <cell r="F534">
            <v>46507</v>
          </cell>
          <cell r="G534">
            <v>46179</v>
          </cell>
          <cell r="H534">
            <v>46179</v>
          </cell>
          <cell r="J534" t="str">
            <v>004034</v>
          </cell>
          <cell r="K534">
            <v>-33.130000000000003</v>
          </cell>
          <cell r="L534">
            <v>-33.130000000000003</v>
          </cell>
          <cell r="M534">
            <v>-33.130000000000003</v>
          </cell>
          <cell r="N534" t="str">
            <v>indiretto</v>
          </cell>
          <cell r="O534">
            <v>1</v>
          </cell>
          <cell r="P534" t="str">
            <v>0.916558</v>
          </cell>
          <cell r="Q534" t="str">
            <v>0.642623</v>
          </cell>
          <cell r="R534" t="str">
            <v>0.256196</v>
          </cell>
          <cell r="S534" t="str">
            <v>NO</v>
          </cell>
          <cell r="T534" t="str">
            <v>DELIBERAZIONE EGATO 29 19/12/2018</v>
          </cell>
        </row>
        <row r="535">
          <cell r="D535" t="str">
            <v>C319984</v>
          </cell>
          <cell r="E535">
            <v>46143</v>
          </cell>
          <cell r="F535">
            <v>46507</v>
          </cell>
          <cell r="G535">
            <v>46179</v>
          </cell>
          <cell r="H535">
            <v>46179</v>
          </cell>
          <cell r="J535" t="str">
            <v>004028</v>
          </cell>
          <cell r="K535">
            <v>-132.52000000000001</v>
          </cell>
          <cell r="L535">
            <v>-132.52000000000001</v>
          </cell>
          <cell r="M535">
            <v>-132.52000000000001</v>
          </cell>
          <cell r="N535" t="str">
            <v>indiretto</v>
          </cell>
          <cell r="O535">
            <v>4</v>
          </cell>
          <cell r="P535" t="str">
            <v>0.916558</v>
          </cell>
          <cell r="Q535" t="str">
            <v>0.642623</v>
          </cell>
          <cell r="R535" t="str">
            <v>0.256196</v>
          </cell>
          <cell r="S535" t="str">
            <v>NO</v>
          </cell>
          <cell r="T535" t="str">
            <v>DELIBERAZIONE EGATO 29 19/12/2018</v>
          </cell>
        </row>
        <row r="536">
          <cell r="D536" t="str">
            <v>C344268</v>
          </cell>
          <cell r="E536">
            <v>46143</v>
          </cell>
          <cell r="F536">
            <v>46507</v>
          </cell>
          <cell r="G536">
            <v>46179</v>
          </cell>
          <cell r="H536">
            <v>46179</v>
          </cell>
          <cell r="J536" t="str">
            <v>004130</v>
          </cell>
          <cell r="K536">
            <v>-52.52</v>
          </cell>
          <cell r="L536">
            <v>-52.52</v>
          </cell>
          <cell r="M536">
            <v>-52.52</v>
          </cell>
          <cell r="N536" t="str">
            <v>indiretto</v>
          </cell>
          <cell r="O536">
            <v>2</v>
          </cell>
          <cell r="P536" t="str">
            <v>0.545182</v>
          </cell>
          <cell r="Q536" t="str">
            <v>0.611443</v>
          </cell>
          <cell r="R536" t="str">
            <v>0.282207</v>
          </cell>
          <cell r="S536" t="str">
            <v>NO</v>
          </cell>
          <cell r="T536" t="str">
            <v>DELIBERA EGATO N.29 DEL 19/12/2018</v>
          </cell>
        </row>
        <row r="537">
          <cell r="D537" t="str">
            <v>C344210</v>
          </cell>
          <cell r="E537">
            <v>46143</v>
          </cell>
          <cell r="F537">
            <v>46507</v>
          </cell>
          <cell r="G537">
            <v>46179</v>
          </cell>
          <cell r="H537">
            <v>46179</v>
          </cell>
          <cell r="J537" t="str">
            <v>004130</v>
          </cell>
          <cell r="K537">
            <v>-52.52</v>
          </cell>
          <cell r="L537">
            <v>-52.52</v>
          </cell>
          <cell r="M537">
            <v>-52.52</v>
          </cell>
          <cell r="N537" t="str">
            <v>indiretto</v>
          </cell>
          <cell r="O537">
            <v>2</v>
          </cell>
          <cell r="P537" t="str">
            <v>0.545182</v>
          </cell>
          <cell r="Q537" t="str">
            <v>0.611443</v>
          </cell>
          <cell r="R537" t="str">
            <v>0.282207</v>
          </cell>
          <cell r="S537" t="str">
            <v>NO</v>
          </cell>
          <cell r="T537" t="str">
            <v>DELIBERA EGATO N.29 DEL 19/12/2018</v>
          </cell>
        </row>
        <row r="538">
          <cell r="D538" t="str">
            <v>C344211</v>
          </cell>
          <cell r="E538">
            <v>46143</v>
          </cell>
          <cell r="F538">
            <v>46507</v>
          </cell>
          <cell r="G538">
            <v>46179</v>
          </cell>
          <cell r="H538">
            <v>46179</v>
          </cell>
          <cell r="J538" t="str">
            <v>004066</v>
          </cell>
          <cell r="K538">
            <v>-132.52000000000001</v>
          </cell>
          <cell r="L538">
            <v>-132.52000000000001</v>
          </cell>
          <cell r="M538">
            <v>-132.52000000000001</v>
          </cell>
          <cell r="N538" t="str">
            <v>indiretto</v>
          </cell>
          <cell r="O538">
            <v>4</v>
          </cell>
          <cell r="P538" t="str">
            <v>0.916558</v>
          </cell>
          <cell r="Q538" t="str">
            <v>0.642623</v>
          </cell>
          <cell r="R538" t="str">
            <v>0.256196</v>
          </cell>
          <cell r="S538" t="str">
            <v>NO</v>
          </cell>
          <cell r="T538" t="str">
            <v>DELIBERAZIONE EGATO 29 19/12/2018</v>
          </cell>
        </row>
        <row r="539">
          <cell r="D539" t="str">
            <v>C344236</v>
          </cell>
          <cell r="E539">
            <v>46143</v>
          </cell>
          <cell r="F539">
            <v>46507</v>
          </cell>
          <cell r="G539">
            <v>46179</v>
          </cell>
          <cell r="H539">
            <v>46179</v>
          </cell>
          <cell r="J539" t="str">
            <v>004130</v>
          </cell>
          <cell r="K539">
            <v>-78.78</v>
          </cell>
          <cell r="L539">
            <v>-78.78</v>
          </cell>
          <cell r="M539">
            <v>-78.78</v>
          </cell>
          <cell r="N539" t="str">
            <v>indiretto</v>
          </cell>
          <cell r="O539">
            <v>3</v>
          </cell>
          <cell r="P539" t="str">
            <v>0.545182</v>
          </cell>
          <cell r="Q539" t="str">
            <v>0.611443</v>
          </cell>
          <cell r="R539" t="str">
            <v>0.282207</v>
          </cell>
          <cell r="S539" t="str">
            <v>NO</v>
          </cell>
          <cell r="T539" t="str">
            <v>DELIBERA EGATO N.29 DEL 19/12/2018</v>
          </cell>
        </row>
        <row r="540">
          <cell r="D540" t="str">
            <v>C089469</v>
          </cell>
          <cell r="E540">
            <v>46143</v>
          </cell>
          <cell r="F540">
            <v>46507</v>
          </cell>
          <cell r="G540">
            <v>46179</v>
          </cell>
          <cell r="H540">
            <v>46179</v>
          </cell>
          <cell r="J540" t="str">
            <v>004078</v>
          </cell>
          <cell r="K540">
            <v>-198.78</v>
          </cell>
          <cell r="L540">
            <v>-198.78</v>
          </cell>
          <cell r="M540">
            <v>-198.78</v>
          </cell>
          <cell r="N540" t="str">
            <v>indiretto</v>
          </cell>
          <cell r="O540">
            <v>6</v>
          </cell>
          <cell r="P540" t="str">
            <v>0.916558</v>
          </cell>
          <cell r="Q540" t="str">
            <v>0.642623</v>
          </cell>
          <cell r="R540" t="str">
            <v>0.256196</v>
          </cell>
          <cell r="S540" t="str">
            <v>NO</v>
          </cell>
          <cell r="T540" t="str">
            <v>DELIBERAZIONE EGATO 29 19/12/2018</v>
          </cell>
        </row>
        <row r="541">
          <cell r="D541" t="str">
            <v>C344182</v>
          </cell>
          <cell r="E541">
            <v>46143</v>
          </cell>
          <cell r="F541">
            <v>46507</v>
          </cell>
          <cell r="G541">
            <v>46179</v>
          </cell>
          <cell r="H541">
            <v>46179</v>
          </cell>
          <cell r="J541" t="str">
            <v>004078</v>
          </cell>
          <cell r="K541">
            <v>-66.260000000000005</v>
          </cell>
          <cell r="L541">
            <v>-66.260000000000005</v>
          </cell>
          <cell r="M541">
            <v>-66.260000000000005</v>
          </cell>
          <cell r="N541" t="str">
            <v>indiretto</v>
          </cell>
          <cell r="O541">
            <v>2</v>
          </cell>
          <cell r="P541" t="str">
            <v>0.916558</v>
          </cell>
          <cell r="Q541" t="str">
            <v>0.642623</v>
          </cell>
          <cell r="R541" t="str">
            <v>0.256196</v>
          </cell>
          <cell r="S541" t="str">
            <v>NO</v>
          </cell>
          <cell r="T541" t="str">
            <v>DELIBERAZIONE EGATO 29 19/12/2018</v>
          </cell>
        </row>
        <row r="542">
          <cell r="D542" t="str">
            <v>C344200</v>
          </cell>
          <cell r="E542">
            <v>46143</v>
          </cell>
          <cell r="F542">
            <v>46507</v>
          </cell>
          <cell r="G542">
            <v>46179</v>
          </cell>
          <cell r="H542">
            <v>46179</v>
          </cell>
          <cell r="J542" t="str">
            <v>004034</v>
          </cell>
          <cell r="K542">
            <v>-165.65</v>
          </cell>
          <cell r="L542">
            <v>-165.65</v>
          </cell>
          <cell r="M542">
            <v>-165.65</v>
          </cell>
          <cell r="N542" t="str">
            <v>indiretto</v>
          </cell>
          <cell r="O542">
            <v>5</v>
          </cell>
          <cell r="P542" t="str">
            <v>0.916558</v>
          </cell>
          <cell r="Q542" t="str">
            <v>0.642623</v>
          </cell>
          <cell r="R542" t="str">
            <v>0.256196</v>
          </cell>
          <cell r="S542" t="str">
            <v>NO</v>
          </cell>
          <cell r="T542" t="str">
            <v>DELIBERAZIONE EGATO 29 19/12/2018</v>
          </cell>
        </row>
        <row r="543">
          <cell r="D543" t="str">
            <v>C337683</v>
          </cell>
          <cell r="E543">
            <v>46143</v>
          </cell>
          <cell r="F543">
            <v>46507</v>
          </cell>
          <cell r="G543">
            <v>46179</v>
          </cell>
          <cell r="H543">
            <v>46179</v>
          </cell>
          <cell r="J543" t="str">
            <v>004016</v>
          </cell>
          <cell r="K543">
            <v>-33.130000000000003</v>
          </cell>
          <cell r="L543">
            <v>-33.130000000000003</v>
          </cell>
          <cell r="M543">
            <v>-33.130000000000003</v>
          </cell>
          <cell r="N543" t="str">
            <v>indiretto</v>
          </cell>
          <cell r="O543">
            <v>1</v>
          </cell>
          <cell r="P543" t="str">
            <v>0.916558</v>
          </cell>
          <cell r="Q543" t="str">
            <v>0.642623</v>
          </cell>
          <cell r="R543" t="str">
            <v>0.256196</v>
          </cell>
          <cell r="S543" t="str">
            <v>NO</v>
          </cell>
          <cell r="T543" t="str">
            <v>DELIBERAZIONE EGATO 29 19/12/2018</v>
          </cell>
        </row>
        <row r="544">
          <cell r="D544" t="str">
            <v>C309003</v>
          </cell>
          <cell r="E544">
            <v>46143</v>
          </cell>
          <cell r="F544">
            <v>46507</v>
          </cell>
          <cell r="G544">
            <v>46179</v>
          </cell>
          <cell r="H544">
            <v>46179</v>
          </cell>
          <cell r="J544" t="str">
            <v>004009</v>
          </cell>
          <cell r="K544">
            <v>-73.86</v>
          </cell>
          <cell r="L544">
            <v>-73.86</v>
          </cell>
          <cell r="M544">
            <v>-73.86</v>
          </cell>
          <cell r="N544" t="str">
            <v>indiretto</v>
          </cell>
          <cell r="O544">
            <v>3</v>
          </cell>
          <cell r="P544" t="str">
            <v>0.716943</v>
          </cell>
          <cell r="Q544" t="str">
            <v>0.463071</v>
          </cell>
          <cell r="R544" t="str">
            <v>0.169064</v>
          </cell>
          <cell r="S544" t="str">
            <v>NO</v>
          </cell>
          <cell r="T544" t="str">
            <v>DELIBERAZIONE EGATO 2 04/02/2019</v>
          </cell>
        </row>
        <row r="545">
          <cell r="D545" t="str">
            <v>C344125</v>
          </cell>
          <cell r="E545">
            <v>46143</v>
          </cell>
          <cell r="F545">
            <v>46507</v>
          </cell>
          <cell r="G545">
            <v>46179</v>
          </cell>
          <cell r="H545">
            <v>46179</v>
          </cell>
          <cell r="J545" t="str">
            <v>004179</v>
          </cell>
          <cell r="K545">
            <v>-28.78</v>
          </cell>
          <cell r="L545">
            <v>-28.78</v>
          </cell>
          <cell r="M545">
            <v>-28.78</v>
          </cell>
          <cell r="N545" t="str">
            <v>indiretto</v>
          </cell>
          <cell r="O545">
            <v>1</v>
          </cell>
          <cell r="P545" t="str">
            <v>0.802937</v>
          </cell>
          <cell r="Q545" t="str">
            <v>0.568257</v>
          </cell>
          <cell r="R545" t="str">
            <v>0.205575</v>
          </cell>
          <cell r="S545" t="str">
            <v>NO</v>
          </cell>
          <cell r="T545" t="str">
            <v>DELIBERAZIONE EGATO 11 27/03/2019</v>
          </cell>
        </row>
        <row r="546">
          <cell r="D546" t="str">
            <v>C344109</v>
          </cell>
          <cell r="E546">
            <v>46143</v>
          </cell>
          <cell r="F546">
            <v>46507</v>
          </cell>
          <cell r="G546">
            <v>46179</v>
          </cell>
          <cell r="H546">
            <v>46179</v>
          </cell>
          <cell r="J546" t="str">
            <v>004130</v>
          </cell>
          <cell r="K546">
            <v>-105.03</v>
          </cell>
          <cell r="L546">
            <v>-105.03</v>
          </cell>
          <cell r="M546">
            <v>-105.03</v>
          </cell>
          <cell r="N546" t="str">
            <v>indiretto</v>
          </cell>
          <cell r="O546">
            <v>4</v>
          </cell>
          <cell r="P546" t="str">
            <v>0.545182</v>
          </cell>
          <cell r="Q546" t="str">
            <v>0.611443</v>
          </cell>
          <cell r="R546" t="str">
            <v>0.282207</v>
          </cell>
          <cell r="S546" t="str">
            <v>NO</v>
          </cell>
          <cell r="T546" t="str">
            <v>DELIBERA EGATO N.29 DEL 19/12/2018</v>
          </cell>
        </row>
        <row r="547">
          <cell r="D547" t="str">
            <v>C344188</v>
          </cell>
          <cell r="E547">
            <v>46143</v>
          </cell>
          <cell r="F547">
            <v>46507</v>
          </cell>
          <cell r="G547">
            <v>46179</v>
          </cell>
          <cell r="H547">
            <v>46179</v>
          </cell>
          <cell r="J547" t="str">
            <v>004130</v>
          </cell>
          <cell r="K547">
            <v>-78.78</v>
          </cell>
          <cell r="L547">
            <v>-78.78</v>
          </cell>
          <cell r="M547">
            <v>-78.78</v>
          </cell>
          <cell r="N547" t="str">
            <v>indiretto</v>
          </cell>
          <cell r="O547">
            <v>3</v>
          </cell>
          <cell r="P547" t="str">
            <v>0.545182</v>
          </cell>
          <cell r="Q547" t="str">
            <v>0.611443</v>
          </cell>
          <cell r="R547" t="str">
            <v>0.282207</v>
          </cell>
          <cell r="S547" t="str">
            <v>NO</v>
          </cell>
          <cell r="T547" t="str">
            <v>DELIBERA EGATO N.29 DEL 19/12/2018</v>
          </cell>
        </row>
        <row r="548">
          <cell r="D548" t="str">
            <v>C307400</v>
          </cell>
          <cell r="E548">
            <v>46143</v>
          </cell>
          <cell r="F548">
            <v>46507</v>
          </cell>
          <cell r="G548">
            <v>46179</v>
          </cell>
          <cell r="H548">
            <v>46179</v>
          </cell>
          <cell r="J548" t="str">
            <v>004078</v>
          </cell>
          <cell r="K548">
            <v>-99.39</v>
          </cell>
          <cell r="L548">
            <v>-99.39</v>
          </cell>
          <cell r="M548">
            <v>-99.39</v>
          </cell>
          <cell r="N548" t="str">
            <v>indiretto</v>
          </cell>
          <cell r="O548">
            <v>3</v>
          </cell>
          <cell r="P548" t="str">
            <v>0.916558</v>
          </cell>
          <cell r="Q548" t="str">
            <v>0.642623</v>
          </cell>
          <cell r="R548" t="str">
            <v>0.256196</v>
          </cell>
          <cell r="S548" t="str">
            <v>NO</v>
          </cell>
          <cell r="T548" t="str">
            <v>DELIBERAZIONE EGATO 29 19/12/2018</v>
          </cell>
        </row>
        <row r="549">
          <cell r="D549" t="str">
            <v>C344136</v>
          </cell>
          <cell r="E549">
            <v>46143</v>
          </cell>
          <cell r="F549">
            <v>46507</v>
          </cell>
          <cell r="G549">
            <v>46179</v>
          </cell>
          <cell r="H549">
            <v>46179</v>
          </cell>
          <cell r="J549" t="str">
            <v>004078</v>
          </cell>
          <cell r="K549">
            <v>-99.39</v>
          </cell>
          <cell r="L549">
            <v>-99.39</v>
          </cell>
          <cell r="M549">
            <v>-99.39</v>
          </cell>
          <cell r="N549" t="str">
            <v>indiretto</v>
          </cell>
          <cell r="O549">
            <v>3</v>
          </cell>
          <cell r="P549" t="str">
            <v>0.916558</v>
          </cell>
          <cell r="Q549" t="str">
            <v>0.642623</v>
          </cell>
          <cell r="R549" t="str">
            <v>0.256196</v>
          </cell>
          <cell r="S549" t="str">
            <v>NO</v>
          </cell>
          <cell r="T549" t="str">
            <v>DELIBERAZIONE EGATO 29 19/12/2018</v>
          </cell>
        </row>
        <row r="550">
          <cell r="D550" t="str">
            <v>C119738</v>
          </cell>
          <cell r="E550">
            <v>46143</v>
          </cell>
          <cell r="F550">
            <v>46507</v>
          </cell>
          <cell r="G550">
            <v>46179</v>
          </cell>
          <cell r="H550">
            <v>46179</v>
          </cell>
          <cell r="J550" t="str">
            <v>004116</v>
          </cell>
          <cell r="K550">
            <v>-47.94</v>
          </cell>
          <cell r="L550">
            <v>-47.94</v>
          </cell>
          <cell r="M550">
            <v>-47.94</v>
          </cell>
          <cell r="N550" t="str">
            <v>indiretto</v>
          </cell>
          <cell r="O550">
            <v>2</v>
          </cell>
          <cell r="P550" t="str">
            <v>0.721337</v>
          </cell>
          <cell r="Q550" t="str">
            <v>0.441600</v>
          </cell>
          <cell r="R550" t="str">
            <v>0.150394</v>
          </cell>
          <cell r="S550" t="str">
            <v>NO</v>
          </cell>
          <cell r="T550" t="str">
            <v>DELIBERAZIONE EGATO 2 04/02/2019</v>
          </cell>
        </row>
        <row r="551">
          <cell r="D551" t="str">
            <v>C308806</v>
          </cell>
          <cell r="E551">
            <v>46143</v>
          </cell>
          <cell r="F551">
            <v>46507</v>
          </cell>
          <cell r="G551">
            <v>46179</v>
          </cell>
          <cell r="H551">
            <v>46179</v>
          </cell>
          <cell r="J551" t="str">
            <v>004040</v>
          </cell>
          <cell r="K551">
            <v>-33.130000000000003</v>
          </cell>
          <cell r="L551">
            <v>-33.130000000000003</v>
          </cell>
          <cell r="M551">
            <v>-33.130000000000003</v>
          </cell>
          <cell r="N551" t="str">
            <v>indiretto</v>
          </cell>
          <cell r="O551">
            <v>1</v>
          </cell>
          <cell r="P551" t="str">
            <v>0.916558</v>
          </cell>
          <cell r="Q551" t="str">
            <v>0.642623</v>
          </cell>
          <cell r="R551" t="str">
            <v>0.256196</v>
          </cell>
          <cell r="S551" t="str">
            <v>NO</v>
          </cell>
          <cell r="T551" t="str">
            <v>DELIBERAZIONE EGATO 29 19/12/2018</v>
          </cell>
        </row>
        <row r="552">
          <cell r="D552" t="str">
            <v>C312601</v>
          </cell>
          <cell r="E552">
            <v>46143</v>
          </cell>
          <cell r="F552">
            <v>46507</v>
          </cell>
          <cell r="G552">
            <v>46179</v>
          </cell>
          <cell r="H552">
            <v>46179</v>
          </cell>
          <cell r="J552" t="str">
            <v>004025</v>
          </cell>
          <cell r="K552">
            <v>-33.130000000000003</v>
          </cell>
          <cell r="L552">
            <v>-33.130000000000003</v>
          </cell>
          <cell r="M552">
            <v>-33.130000000000003</v>
          </cell>
          <cell r="N552" t="str">
            <v>indiretto</v>
          </cell>
          <cell r="O552">
            <v>1</v>
          </cell>
          <cell r="P552" t="str">
            <v>0.916558</v>
          </cell>
          <cell r="Q552" t="str">
            <v>0.642623</v>
          </cell>
          <cell r="R552" t="str">
            <v>0.256196</v>
          </cell>
          <cell r="S552" t="str">
            <v>NO</v>
          </cell>
          <cell r="T552" t="str">
            <v>DELIBERAZIONE EGATO 29 19/12/2018</v>
          </cell>
        </row>
        <row r="553">
          <cell r="D553" t="str">
            <v>CL15925</v>
          </cell>
          <cell r="E553">
            <v>46143</v>
          </cell>
          <cell r="F553">
            <v>46507</v>
          </cell>
          <cell r="G553">
            <v>46179</v>
          </cell>
          <cell r="H553">
            <v>46179</v>
          </cell>
          <cell r="J553" t="str">
            <v>004081</v>
          </cell>
          <cell r="K553">
            <v>-75.900000000000006</v>
          </cell>
          <cell r="L553">
            <v>-75.900000000000006</v>
          </cell>
          <cell r="M553">
            <v>-75.900000000000006</v>
          </cell>
          <cell r="N553" t="str">
            <v>indiretto</v>
          </cell>
          <cell r="O553">
            <v>2</v>
          </cell>
          <cell r="P553">
            <v>1091278</v>
          </cell>
          <cell r="Q553" t="str">
            <v>0.691798</v>
          </cell>
          <cell r="R553" t="str">
            <v>0.296264</v>
          </cell>
          <cell r="S553" t="str">
            <v>NO</v>
          </cell>
          <cell r="T553" t="str">
            <v>DELIBERAZIONE EGATO 2 04/02/2019</v>
          </cell>
        </row>
        <row r="554">
          <cell r="D554" t="str">
            <v>C344108</v>
          </cell>
          <cell r="E554">
            <v>46143</v>
          </cell>
          <cell r="F554">
            <v>46507</v>
          </cell>
          <cell r="G554">
            <v>46179</v>
          </cell>
          <cell r="H554">
            <v>46179</v>
          </cell>
          <cell r="J554" t="str">
            <v>004019</v>
          </cell>
          <cell r="K554">
            <v>-78.78</v>
          </cell>
          <cell r="L554">
            <v>-78.78</v>
          </cell>
          <cell r="M554">
            <v>-78.78</v>
          </cell>
          <cell r="N554" t="str">
            <v>indiretto</v>
          </cell>
          <cell r="O554">
            <v>3</v>
          </cell>
          <cell r="P554" t="str">
            <v>0.545182</v>
          </cell>
          <cell r="Q554" t="str">
            <v>0.611443</v>
          </cell>
          <cell r="R554" t="str">
            <v>0.282207</v>
          </cell>
          <cell r="S554" t="str">
            <v>NO</v>
          </cell>
          <cell r="T554" t="str">
            <v>DELIBERA EGATO N.29 DEL 19/12/2018</v>
          </cell>
        </row>
        <row r="555">
          <cell r="D555" t="str">
            <v>C116921</v>
          </cell>
          <cell r="E555">
            <v>46143</v>
          </cell>
          <cell r="F555">
            <v>46507</v>
          </cell>
          <cell r="G555">
            <v>46179</v>
          </cell>
          <cell r="H555">
            <v>46179</v>
          </cell>
          <cell r="J555" t="str">
            <v>004082</v>
          </cell>
          <cell r="K555">
            <v>-66.260000000000005</v>
          </cell>
          <cell r="L555">
            <v>-66.260000000000005</v>
          </cell>
          <cell r="M555">
            <v>-66.260000000000005</v>
          </cell>
          <cell r="N555" t="str">
            <v>indiretto</v>
          </cell>
          <cell r="O555">
            <v>2</v>
          </cell>
          <cell r="P555" t="str">
            <v>0.916558</v>
          </cell>
          <cell r="Q555" t="str">
            <v>0.642623</v>
          </cell>
          <cell r="R555" t="str">
            <v>0.256196</v>
          </cell>
          <cell r="S555" t="str">
            <v>NO</v>
          </cell>
          <cell r="T555" t="str">
            <v>DELIBERAZIONE EGATO 29 19/12/2018</v>
          </cell>
        </row>
        <row r="556">
          <cell r="D556" t="str">
            <v>C307016</v>
          </cell>
          <cell r="E556">
            <v>46143</v>
          </cell>
          <cell r="F556">
            <v>46507</v>
          </cell>
          <cell r="G556">
            <v>46179</v>
          </cell>
          <cell r="H556">
            <v>46179</v>
          </cell>
          <cell r="J556" t="str">
            <v>004071</v>
          </cell>
          <cell r="K556">
            <v>-154.63999999999999</v>
          </cell>
          <cell r="L556">
            <v>-154.63999999999999</v>
          </cell>
          <cell r="M556">
            <v>-154.63999999999999</v>
          </cell>
          <cell r="N556" t="str">
            <v>indiretto</v>
          </cell>
          <cell r="O556">
            <v>4</v>
          </cell>
          <cell r="P556">
            <v>1091278</v>
          </cell>
          <cell r="Q556" t="str">
            <v>0.730790</v>
          </cell>
          <cell r="R556" t="str">
            <v>0.296264</v>
          </cell>
          <cell r="S556" t="str">
            <v>NO</v>
          </cell>
          <cell r="T556" t="str">
            <v>DELIBERAZIONE EGATO 2 04/02/2019</v>
          </cell>
        </row>
        <row r="557">
          <cell r="D557" t="str">
            <v>C344189</v>
          </cell>
          <cell r="E557">
            <v>46143</v>
          </cell>
          <cell r="F557">
            <v>46507</v>
          </cell>
          <cell r="G557">
            <v>46179</v>
          </cell>
          <cell r="H557">
            <v>46179</v>
          </cell>
          <cell r="J557" t="str">
            <v>004081</v>
          </cell>
          <cell r="K557">
            <v>-151.79</v>
          </cell>
          <cell r="L557">
            <v>-151.79</v>
          </cell>
          <cell r="M557">
            <v>-151.79</v>
          </cell>
          <cell r="N557" t="str">
            <v>indiretto</v>
          </cell>
          <cell r="O557">
            <v>4</v>
          </cell>
          <cell r="P557">
            <v>1091278</v>
          </cell>
          <cell r="Q557" t="str">
            <v>0.691798</v>
          </cell>
          <cell r="R557" t="str">
            <v>0.296264</v>
          </cell>
          <cell r="S557" t="str">
            <v>NO</v>
          </cell>
          <cell r="T557" t="str">
            <v>DELIBERAZIONE EGATO 2 04/02/2019</v>
          </cell>
        </row>
        <row r="558">
          <cell r="D558" t="str">
            <v>C311783</v>
          </cell>
          <cell r="E558">
            <v>46143</v>
          </cell>
          <cell r="F558">
            <v>46507</v>
          </cell>
          <cell r="G558">
            <v>46179</v>
          </cell>
          <cell r="H558">
            <v>46179</v>
          </cell>
          <cell r="J558" t="str">
            <v>004109</v>
          </cell>
          <cell r="K558">
            <v>-114.94</v>
          </cell>
          <cell r="L558">
            <v>-114.94</v>
          </cell>
          <cell r="M558">
            <v>-114.94</v>
          </cell>
          <cell r="N558" t="str">
            <v>indiretto</v>
          </cell>
          <cell r="O558">
            <v>6</v>
          </cell>
          <cell r="P558" t="str">
            <v>0.551679</v>
          </cell>
          <cell r="Q558" t="str">
            <v>0.334574</v>
          </cell>
          <cell r="R558" t="str">
            <v>0.163417</v>
          </cell>
          <cell r="S558" t="str">
            <v>NO</v>
          </cell>
          <cell r="T558" t="str">
            <v>DELIBERA EGATO N. 38 12/12/22</v>
          </cell>
        </row>
        <row r="559">
          <cell r="D559" t="str">
            <v>C344110</v>
          </cell>
          <cell r="E559">
            <v>46143</v>
          </cell>
          <cell r="F559">
            <v>46507</v>
          </cell>
          <cell r="G559">
            <v>46179</v>
          </cell>
          <cell r="H559">
            <v>46179</v>
          </cell>
          <cell r="J559" t="str">
            <v>004095</v>
          </cell>
          <cell r="K559">
            <v>-89.45</v>
          </cell>
          <cell r="L559">
            <v>-89.45</v>
          </cell>
          <cell r="M559">
            <v>-89.45</v>
          </cell>
          <cell r="N559" t="str">
            <v>indiretto</v>
          </cell>
          <cell r="O559">
            <v>3</v>
          </cell>
          <cell r="P559" t="str">
            <v>0.824903</v>
          </cell>
          <cell r="Q559" t="str">
            <v>0.578360</v>
          </cell>
          <cell r="R559" t="str">
            <v>0.230576</v>
          </cell>
          <cell r="S559" t="str">
            <v>NO</v>
          </cell>
          <cell r="T559" t="str">
            <v>DELIBERAZIONE EGATO 29 19/12/2018</v>
          </cell>
        </row>
        <row r="560">
          <cell r="D560" t="str">
            <v>C312264</v>
          </cell>
          <cell r="E560">
            <v>46143</v>
          </cell>
          <cell r="F560">
            <v>46507</v>
          </cell>
          <cell r="G560">
            <v>46179</v>
          </cell>
          <cell r="H560">
            <v>46179</v>
          </cell>
          <cell r="J560" t="str">
            <v>004208</v>
          </cell>
          <cell r="K560">
            <v>-105.33</v>
          </cell>
          <cell r="L560">
            <v>-105.33</v>
          </cell>
          <cell r="M560">
            <v>-105.33</v>
          </cell>
          <cell r="N560" t="str">
            <v>indiretto</v>
          </cell>
          <cell r="O560">
            <v>3</v>
          </cell>
          <cell r="P560">
            <v>1193061</v>
          </cell>
          <cell r="Q560" t="str">
            <v>0.545393</v>
          </cell>
          <cell r="R560" t="str">
            <v>0.185433</v>
          </cell>
          <cell r="S560" t="str">
            <v>NO</v>
          </cell>
          <cell r="T560" t="str">
            <v>DELIBERAZIONE EGATO 11 27/03/2019</v>
          </cell>
        </row>
        <row r="561">
          <cell r="D561" t="str">
            <v>C313479</v>
          </cell>
          <cell r="E561">
            <v>46143</v>
          </cell>
          <cell r="F561">
            <v>46507</v>
          </cell>
          <cell r="G561">
            <v>46179</v>
          </cell>
          <cell r="H561">
            <v>46179</v>
          </cell>
          <cell r="J561" t="str">
            <v>004078</v>
          </cell>
          <cell r="K561">
            <v>-99.39</v>
          </cell>
          <cell r="L561">
            <v>-99.39</v>
          </cell>
          <cell r="M561">
            <v>-99.39</v>
          </cell>
          <cell r="N561" t="str">
            <v>indiretto</v>
          </cell>
          <cell r="O561">
            <v>3</v>
          </cell>
          <cell r="P561" t="str">
            <v>0.916558</v>
          </cell>
          <cell r="Q561" t="str">
            <v>0.642623</v>
          </cell>
          <cell r="R561" t="str">
            <v>0.256196</v>
          </cell>
          <cell r="S561" t="str">
            <v>NO</v>
          </cell>
          <cell r="T561" t="str">
            <v>DELIBERAZIONE EGATO 29 19/12/2018</v>
          </cell>
        </row>
        <row r="562">
          <cell r="D562" t="str">
            <v>C307224</v>
          </cell>
          <cell r="E562">
            <v>46143</v>
          </cell>
          <cell r="F562">
            <v>46507</v>
          </cell>
          <cell r="G562">
            <v>46179</v>
          </cell>
          <cell r="H562">
            <v>46179</v>
          </cell>
          <cell r="J562" t="str">
            <v>004078</v>
          </cell>
          <cell r="K562">
            <v>-99.39</v>
          </cell>
          <cell r="L562">
            <v>-99.39</v>
          </cell>
          <cell r="M562">
            <v>-99.39</v>
          </cell>
          <cell r="N562" t="str">
            <v>indiretto</v>
          </cell>
          <cell r="O562">
            <v>3</v>
          </cell>
          <cell r="P562" t="str">
            <v>0.916558</v>
          </cell>
          <cell r="Q562" t="str">
            <v>0.642623</v>
          </cell>
          <cell r="R562" t="str">
            <v>0.256196</v>
          </cell>
          <cell r="S562" t="str">
            <v>NO</v>
          </cell>
          <cell r="T562" t="str">
            <v>DELIBERAZIONE EGATO 29 19/12/2018</v>
          </cell>
        </row>
        <row r="563">
          <cell r="D563" t="str">
            <v>C310147</v>
          </cell>
          <cell r="E563">
            <v>46143</v>
          </cell>
          <cell r="F563">
            <v>46507</v>
          </cell>
          <cell r="G563">
            <v>46179</v>
          </cell>
          <cell r="H563">
            <v>46179</v>
          </cell>
          <cell r="J563" t="str">
            <v>004078</v>
          </cell>
          <cell r="K563">
            <v>-132.52000000000001</v>
          </cell>
          <cell r="L563">
            <v>-132.52000000000001</v>
          </cell>
          <cell r="M563">
            <v>-132.52000000000001</v>
          </cell>
          <cell r="N563" t="str">
            <v>indiretto</v>
          </cell>
          <cell r="O563">
            <v>4</v>
          </cell>
          <cell r="P563" t="str">
            <v>0.916558</v>
          </cell>
          <cell r="Q563" t="str">
            <v>0.642623</v>
          </cell>
          <cell r="R563" t="str">
            <v>0.256196</v>
          </cell>
          <cell r="S563" t="str">
            <v>NO</v>
          </cell>
          <cell r="T563" t="str">
            <v>DELIBERAZIONE EGATO 29 19/12/2018</v>
          </cell>
        </row>
        <row r="564">
          <cell r="D564" t="str">
            <v>C344115</v>
          </cell>
          <cell r="E564">
            <v>46143</v>
          </cell>
          <cell r="F564">
            <v>46507</v>
          </cell>
          <cell r="G564">
            <v>46179</v>
          </cell>
          <cell r="H564">
            <v>46179</v>
          </cell>
          <cell r="J564" t="str">
            <v>004191</v>
          </cell>
          <cell r="K564">
            <v>-29.82</v>
          </cell>
          <cell r="L564">
            <v>-29.82</v>
          </cell>
          <cell r="M564">
            <v>-29.82</v>
          </cell>
          <cell r="N564" t="str">
            <v>indiretto</v>
          </cell>
          <cell r="O564">
            <v>1</v>
          </cell>
          <cell r="P564" t="str">
            <v>0.824903</v>
          </cell>
          <cell r="Q564" t="str">
            <v>0.578360</v>
          </cell>
          <cell r="R564" t="str">
            <v>0.230576</v>
          </cell>
          <cell r="S564" t="str">
            <v>NO</v>
          </cell>
          <cell r="T564" t="str">
            <v>DELIBERAZIONE EGATO 29 19/12/2018</v>
          </cell>
        </row>
        <row r="565">
          <cell r="D565" t="str">
            <v>C092019</v>
          </cell>
          <cell r="E565">
            <v>46143</v>
          </cell>
          <cell r="F565">
            <v>46507</v>
          </cell>
          <cell r="G565">
            <v>46179</v>
          </cell>
          <cell r="H565">
            <v>46179</v>
          </cell>
          <cell r="J565" t="str">
            <v>004033</v>
          </cell>
          <cell r="K565">
            <v>-23.97</v>
          </cell>
          <cell r="L565">
            <v>-23.97</v>
          </cell>
          <cell r="M565">
            <v>-23.97</v>
          </cell>
          <cell r="N565" t="str">
            <v>indiretto</v>
          </cell>
          <cell r="O565">
            <v>1</v>
          </cell>
          <cell r="P565" t="str">
            <v>0.721337</v>
          </cell>
          <cell r="Q565" t="str">
            <v>0.441600</v>
          </cell>
          <cell r="R565" t="str">
            <v>0.150394</v>
          </cell>
          <cell r="S565" t="str">
            <v>NO</v>
          </cell>
          <cell r="T565" t="str">
            <v>DELIBERAZIONE EGATO 2 04/02/2019</v>
          </cell>
        </row>
        <row r="566">
          <cell r="D566" t="str">
            <v>C119039</v>
          </cell>
          <cell r="E566">
            <v>46143</v>
          </cell>
          <cell r="F566">
            <v>46507</v>
          </cell>
          <cell r="G566">
            <v>46179</v>
          </cell>
          <cell r="H566">
            <v>46179</v>
          </cell>
          <cell r="J566" t="str">
            <v>004025</v>
          </cell>
          <cell r="K566">
            <v>-66.260000000000005</v>
          </cell>
          <cell r="L566">
            <v>-66.260000000000005</v>
          </cell>
          <cell r="M566">
            <v>-66.260000000000005</v>
          </cell>
          <cell r="N566" t="str">
            <v>indiretto</v>
          </cell>
          <cell r="O566">
            <v>2</v>
          </cell>
          <cell r="P566" t="str">
            <v>0.916558</v>
          </cell>
          <cell r="Q566" t="str">
            <v>0.642623</v>
          </cell>
          <cell r="R566" t="str">
            <v>0.256196</v>
          </cell>
          <cell r="S566" t="str">
            <v>NO</v>
          </cell>
          <cell r="T566" t="str">
            <v>DELIBERAZIONE EGATO 29 19/12/2018</v>
          </cell>
        </row>
        <row r="567">
          <cell r="D567" t="str">
            <v>C344237</v>
          </cell>
          <cell r="E567">
            <v>46143</v>
          </cell>
          <cell r="F567">
            <v>46507</v>
          </cell>
          <cell r="G567">
            <v>46179</v>
          </cell>
          <cell r="H567">
            <v>46179</v>
          </cell>
          <cell r="J567" t="str">
            <v>004245</v>
          </cell>
          <cell r="K567">
            <v>-105.03</v>
          </cell>
          <cell r="L567">
            <v>-105.03</v>
          </cell>
          <cell r="M567">
            <v>-105.03</v>
          </cell>
          <cell r="N567" t="str">
            <v>indiretto</v>
          </cell>
          <cell r="O567">
            <v>4</v>
          </cell>
          <cell r="P567" t="str">
            <v>0.545182</v>
          </cell>
          <cell r="Q567" t="str">
            <v>0.611443</v>
          </cell>
          <cell r="R567" t="str">
            <v>0.282207</v>
          </cell>
          <cell r="S567" t="str">
            <v>NO</v>
          </cell>
          <cell r="T567" t="str">
            <v>DELIBERA EGATO N.29 DEL 19/12/2018</v>
          </cell>
        </row>
        <row r="568">
          <cell r="D568" t="str">
            <v>C316434</v>
          </cell>
          <cell r="E568">
            <v>46143</v>
          </cell>
          <cell r="F568">
            <v>46507</v>
          </cell>
          <cell r="G568">
            <v>46179</v>
          </cell>
          <cell r="H568">
            <v>46179</v>
          </cell>
          <cell r="J568" t="str">
            <v>004189</v>
          </cell>
          <cell r="K568">
            <v>-33.130000000000003</v>
          </cell>
          <cell r="L568">
            <v>-33.130000000000003</v>
          </cell>
          <cell r="M568">
            <v>-33.130000000000003</v>
          </cell>
          <cell r="N568" t="str">
            <v>indiretto</v>
          </cell>
          <cell r="O568">
            <v>1</v>
          </cell>
          <cell r="P568" t="str">
            <v>0.916558</v>
          </cell>
          <cell r="Q568" t="str">
            <v>0.642623</v>
          </cell>
          <cell r="R568" t="str">
            <v>0.256196</v>
          </cell>
          <cell r="S568" t="str">
            <v>NO</v>
          </cell>
          <cell r="T568" t="str">
            <v>DELIBERAZIONE EGATO 29 19/12/2018</v>
          </cell>
        </row>
        <row r="569">
          <cell r="D569" t="str">
            <v>C334553</v>
          </cell>
          <cell r="E569">
            <v>46143</v>
          </cell>
          <cell r="F569">
            <v>46507</v>
          </cell>
          <cell r="G569">
            <v>46179</v>
          </cell>
          <cell r="H569">
            <v>46179</v>
          </cell>
          <cell r="J569" t="str">
            <v>004130</v>
          </cell>
          <cell r="K569">
            <v>-157.55000000000001</v>
          </cell>
          <cell r="L569">
            <v>-157.55000000000001</v>
          </cell>
          <cell r="M569">
            <v>-157.55000000000001</v>
          </cell>
          <cell r="N569" t="str">
            <v>indiretto</v>
          </cell>
          <cell r="O569">
            <v>6</v>
          </cell>
          <cell r="P569" t="str">
            <v>0.545182</v>
          </cell>
          <cell r="Q569" t="str">
            <v>0.611443</v>
          </cell>
          <cell r="R569" t="str">
            <v>0.282207</v>
          </cell>
          <cell r="S569" t="str">
            <v>NO</v>
          </cell>
          <cell r="T569" t="str">
            <v>DELIBERA EGATO N.29 DEL 19/12/2018</v>
          </cell>
        </row>
        <row r="570">
          <cell r="D570" t="str">
            <v>C110877</v>
          </cell>
          <cell r="E570">
            <v>46143</v>
          </cell>
          <cell r="F570">
            <v>46507</v>
          </cell>
          <cell r="G570">
            <v>46179</v>
          </cell>
          <cell r="H570">
            <v>46179</v>
          </cell>
          <cell r="J570" t="str">
            <v>004068</v>
          </cell>
          <cell r="K570">
            <v>-99.39</v>
          </cell>
          <cell r="L570">
            <v>-99.39</v>
          </cell>
          <cell r="M570">
            <v>-99.39</v>
          </cell>
          <cell r="N570" t="str">
            <v>indiretto</v>
          </cell>
          <cell r="O570">
            <v>3</v>
          </cell>
          <cell r="P570" t="str">
            <v>0.916558</v>
          </cell>
          <cell r="Q570" t="str">
            <v>0.642623</v>
          </cell>
          <cell r="R570" t="str">
            <v>0.256196</v>
          </cell>
          <cell r="S570" t="str">
            <v>NO</v>
          </cell>
          <cell r="T570" t="str">
            <v>DELIBERAZIONE EGATO 29 19/12/2018</v>
          </cell>
        </row>
        <row r="571">
          <cell r="D571" t="str">
            <v>C344181</v>
          </cell>
          <cell r="E571">
            <v>46143</v>
          </cell>
          <cell r="F571">
            <v>46507</v>
          </cell>
          <cell r="G571">
            <v>46179</v>
          </cell>
          <cell r="H571">
            <v>46179</v>
          </cell>
          <cell r="J571" t="str">
            <v>004130</v>
          </cell>
          <cell r="K571">
            <v>-26.26</v>
          </cell>
          <cell r="L571">
            <v>-26.26</v>
          </cell>
          <cell r="M571">
            <v>-26.26</v>
          </cell>
          <cell r="N571" t="str">
            <v>indiretto</v>
          </cell>
          <cell r="O571">
            <v>1</v>
          </cell>
          <cell r="P571" t="str">
            <v>0.545182</v>
          </cell>
          <cell r="Q571" t="str">
            <v>0.611443</v>
          </cell>
          <cell r="R571" t="str">
            <v>0.282207</v>
          </cell>
          <cell r="S571" t="str">
            <v>NO</v>
          </cell>
          <cell r="T571" t="str">
            <v>DELIBERA EGATO N.29 DEL 19/12/2018</v>
          </cell>
        </row>
        <row r="572">
          <cell r="D572" t="str">
            <v>C117683</v>
          </cell>
          <cell r="E572">
            <v>46143</v>
          </cell>
          <cell r="F572">
            <v>46507</v>
          </cell>
          <cell r="G572">
            <v>46179</v>
          </cell>
          <cell r="H572">
            <v>46179</v>
          </cell>
          <cell r="J572" t="str">
            <v>004078</v>
          </cell>
          <cell r="K572">
            <v>-198.78</v>
          </cell>
          <cell r="L572">
            <v>-198.78</v>
          </cell>
          <cell r="M572">
            <v>-198.78</v>
          </cell>
          <cell r="N572" t="str">
            <v>indiretto</v>
          </cell>
          <cell r="O572">
            <v>6</v>
          </cell>
          <cell r="P572" t="str">
            <v>0.916558</v>
          </cell>
          <cell r="Q572" t="str">
            <v>0.642623</v>
          </cell>
          <cell r="R572" t="str">
            <v>0.256196</v>
          </cell>
          <cell r="S572" t="str">
            <v>NO</v>
          </cell>
          <cell r="T572" t="str">
            <v>DELIBERAZIONE EGATO 29 19/12/2018</v>
          </cell>
        </row>
        <row r="573">
          <cell r="D573" t="str">
            <v>C344225</v>
          </cell>
          <cell r="E573">
            <v>46143</v>
          </cell>
          <cell r="F573">
            <v>46507</v>
          </cell>
          <cell r="G573">
            <v>46179</v>
          </cell>
          <cell r="H573">
            <v>46179</v>
          </cell>
          <cell r="J573" t="str">
            <v>004022</v>
          </cell>
          <cell r="K573">
            <v>-231.91</v>
          </cell>
          <cell r="L573">
            <v>-231.91</v>
          </cell>
          <cell r="M573">
            <v>-231.91</v>
          </cell>
          <cell r="N573" t="str">
            <v>indiretto</v>
          </cell>
          <cell r="O573">
            <v>7</v>
          </cell>
          <cell r="P573" t="str">
            <v>0.916558</v>
          </cell>
          <cell r="Q573" t="str">
            <v>0.642623</v>
          </cell>
          <cell r="R573" t="str">
            <v>0.256196</v>
          </cell>
          <cell r="S573" t="str">
            <v>NO</v>
          </cell>
          <cell r="T573" t="str">
            <v>DELIBERAZIONE EGATO 29 19/12/2018</v>
          </cell>
        </row>
        <row r="574">
          <cell r="D574" t="str">
            <v>C344226</v>
          </cell>
          <cell r="E574">
            <v>46143</v>
          </cell>
          <cell r="F574">
            <v>46507</v>
          </cell>
          <cell r="G574">
            <v>46179</v>
          </cell>
          <cell r="H574">
            <v>46179</v>
          </cell>
          <cell r="J574" t="str">
            <v>004009</v>
          </cell>
          <cell r="K574">
            <v>-24.62</v>
          </cell>
          <cell r="L574">
            <v>-24.62</v>
          </cell>
          <cell r="M574">
            <v>-24.62</v>
          </cell>
          <cell r="N574" t="str">
            <v>indiretto</v>
          </cell>
          <cell r="O574">
            <v>1</v>
          </cell>
          <cell r="P574" t="str">
            <v>0.716943</v>
          </cell>
          <cell r="Q574" t="str">
            <v>0.463071</v>
          </cell>
          <cell r="R574" t="str">
            <v>0.169064</v>
          </cell>
          <cell r="S574" t="str">
            <v>NO</v>
          </cell>
          <cell r="T574" t="str">
            <v>DELIBERAZIONE EGATO 2 04/02/2019</v>
          </cell>
        </row>
        <row r="575">
          <cell r="D575" t="str">
            <v>C344270</v>
          </cell>
          <cell r="E575">
            <v>46143</v>
          </cell>
          <cell r="F575">
            <v>46507</v>
          </cell>
          <cell r="G575">
            <v>46179</v>
          </cell>
          <cell r="H575">
            <v>46179</v>
          </cell>
          <cell r="J575" t="str">
            <v>004185</v>
          </cell>
          <cell r="K575">
            <v>-33.130000000000003</v>
          </cell>
          <cell r="L575">
            <v>-33.130000000000003</v>
          </cell>
          <cell r="M575">
            <v>-33.130000000000003</v>
          </cell>
          <cell r="N575" t="str">
            <v>indiretto</v>
          </cell>
          <cell r="O575">
            <v>1</v>
          </cell>
          <cell r="P575" t="str">
            <v>0.916558</v>
          </cell>
          <cell r="Q575" t="str">
            <v>0.642623</v>
          </cell>
          <cell r="R575" t="str">
            <v>0.256196</v>
          </cell>
          <cell r="S575" t="str">
            <v>NO</v>
          </cell>
          <cell r="T575" t="str">
            <v>DELIBERAZIONE EGATO 29 19/12/2018</v>
          </cell>
        </row>
        <row r="576">
          <cell r="D576" t="str">
            <v>C310627</v>
          </cell>
          <cell r="E576">
            <v>46143</v>
          </cell>
          <cell r="F576">
            <v>46507</v>
          </cell>
          <cell r="G576">
            <v>46179</v>
          </cell>
          <cell r="H576">
            <v>46179</v>
          </cell>
          <cell r="J576" t="str">
            <v>004012</v>
          </cell>
          <cell r="K576">
            <v>-123.1</v>
          </cell>
          <cell r="L576">
            <v>-123.1</v>
          </cell>
          <cell r="M576">
            <v>-123.1</v>
          </cell>
          <cell r="N576" t="str">
            <v>indiretto</v>
          </cell>
          <cell r="O576">
            <v>5</v>
          </cell>
          <cell r="P576" t="str">
            <v>0.716943</v>
          </cell>
          <cell r="Q576" t="str">
            <v>0.463071</v>
          </cell>
          <cell r="R576" t="str">
            <v>0.169064</v>
          </cell>
          <cell r="S576" t="str">
            <v>NO</v>
          </cell>
          <cell r="T576" t="str">
            <v>DELIBERAZIONE EGATO 2 04/02/2019</v>
          </cell>
        </row>
        <row r="577">
          <cell r="D577" t="str">
            <v>C337647</v>
          </cell>
          <cell r="E577">
            <v>46143</v>
          </cell>
          <cell r="F577">
            <v>46507</v>
          </cell>
          <cell r="G577">
            <v>46179</v>
          </cell>
          <cell r="H577">
            <v>46179</v>
          </cell>
          <cell r="J577" t="str">
            <v>004144</v>
          </cell>
          <cell r="K577">
            <v>-66.260000000000005</v>
          </cell>
          <cell r="L577">
            <v>-66.260000000000005</v>
          </cell>
          <cell r="M577">
            <v>-66.260000000000005</v>
          </cell>
          <cell r="N577" t="str">
            <v>indiretto</v>
          </cell>
          <cell r="O577">
            <v>2</v>
          </cell>
          <cell r="P577" t="str">
            <v>0.916558</v>
          </cell>
          <cell r="Q577" t="str">
            <v>0.642623</v>
          </cell>
          <cell r="R577" t="str">
            <v>0.256196</v>
          </cell>
          <cell r="S577" t="str">
            <v>NO</v>
          </cell>
          <cell r="T577" t="str">
            <v>DELIBERAZIONE EGATO 29 19/12/2018</v>
          </cell>
        </row>
        <row r="578">
          <cell r="D578" t="str">
            <v>C344271</v>
          </cell>
          <cell r="E578">
            <v>46143</v>
          </cell>
          <cell r="F578">
            <v>46507</v>
          </cell>
          <cell r="G578">
            <v>46179</v>
          </cell>
          <cell r="H578">
            <v>46179</v>
          </cell>
          <cell r="J578" t="str">
            <v>004078</v>
          </cell>
          <cell r="K578">
            <v>-33.130000000000003</v>
          </cell>
          <cell r="L578">
            <v>-33.130000000000003</v>
          </cell>
          <cell r="M578">
            <v>-33.130000000000003</v>
          </cell>
          <cell r="N578" t="str">
            <v>indiretto</v>
          </cell>
          <cell r="O578">
            <v>1</v>
          </cell>
          <cell r="P578" t="str">
            <v>0.916558</v>
          </cell>
          <cell r="Q578" t="str">
            <v>0.642623</v>
          </cell>
          <cell r="R578" t="str">
            <v>0.256196</v>
          </cell>
          <cell r="S578" t="str">
            <v>NO</v>
          </cell>
          <cell r="T578" t="str">
            <v>DELIBERAZIONE EGATO 29 19/12/2018</v>
          </cell>
        </row>
        <row r="579">
          <cell r="D579" t="str">
            <v>C117895</v>
          </cell>
          <cell r="E579">
            <v>46143</v>
          </cell>
          <cell r="F579">
            <v>46507</v>
          </cell>
          <cell r="G579">
            <v>46179</v>
          </cell>
          <cell r="H579">
            <v>46179</v>
          </cell>
          <cell r="J579" t="str">
            <v>004084</v>
          </cell>
          <cell r="K579">
            <v>-89.45</v>
          </cell>
          <cell r="L579">
            <v>-89.45</v>
          </cell>
          <cell r="M579">
            <v>-89.45</v>
          </cell>
          <cell r="N579" t="str">
            <v>indiretto</v>
          </cell>
          <cell r="O579">
            <v>3</v>
          </cell>
          <cell r="P579" t="str">
            <v>0.824903</v>
          </cell>
          <cell r="Q579" t="str">
            <v>0.578360</v>
          </cell>
          <cell r="R579" t="str">
            <v>0.230576</v>
          </cell>
          <cell r="S579" t="str">
            <v>NO</v>
          </cell>
          <cell r="T579" t="str">
            <v>DELIBERAZIONE EGATO 29 19/12/2018</v>
          </cell>
        </row>
        <row r="580">
          <cell r="D580" t="str">
            <v>C340146</v>
          </cell>
          <cell r="E580">
            <v>46143</v>
          </cell>
          <cell r="F580">
            <v>46507</v>
          </cell>
          <cell r="G580">
            <v>46179</v>
          </cell>
          <cell r="H580">
            <v>46179</v>
          </cell>
          <cell r="J580" t="str">
            <v>004130</v>
          </cell>
          <cell r="K580">
            <v>-105.03</v>
          </cell>
          <cell r="L580">
            <v>-105.03</v>
          </cell>
          <cell r="M580">
            <v>-105.03</v>
          </cell>
          <cell r="N580" t="str">
            <v>indiretto</v>
          </cell>
          <cell r="O580">
            <v>4</v>
          </cell>
          <cell r="P580" t="str">
            <v>0.545182</v>
          </cell>
          <cell r="Q580" t="str">
            <v>0.611443</v>
          </cell>
          <cell r="R580" t="str">
            <v>0.282207</v>
          </cell>
          <cell r="S580" t="str">
            <v>NO</v>
          </cell>
          <cell r="T580" t="str">
            <v>DELIBERA EGATO N.29 DEL 19/12/2018</v>
          </cell>
        </row>
        <row r="581">
          <cell r="D581" t="str">
            <v>C344289</v>
          </cell>
          <cell r="E581">
            <v>46143</v>
          </cell>
          <cell r="F581">
            <v>46507</v>
          </cell>
          <cell r="G581">
            <v>46179</v>
          </cell>
          <cell r="H581">
            <v>46179</v>
          </cell>
          <cell r="J581" t="str">
            <v>004066</v>
          </cell>
          <cell r="K581">
            <v>-99.39</v>
          </cell>
          <cell r="L581">
            <v>-99.39</v>
          </cell>
          <cell r="M581">
            <v>-99.39</v>
          </cell>
          <cell r="N581" t="str">
            <v>indiretto</v>
          </cell>
          <cell r="O581">
            <v>3</v>
          </cell>
          <cell r="P581" t="str">
            <v>0.916558</v>
          </cell>
          <cell r="Q581" t="str">
            <v>0.642623</v>
          </cell>
          <cell r="R581" t="str">
            <v>0.256196</v>
          </cell>
          <cell r="S581" t="str">
            <v>NO</v>
          </cell>
          <cell r="T581" t="str">
            <v>DELIBERAZIONE EGATO 29 19/12/2018</v>
          </cell>
        </row>
        <row r="582">
          <cell r="D582" t="str">
            <v>C337723</v>
          </cell>
          <cell r="E582">
            <v>46143</v>
          </cell>
          <cell r="F582">
            <v>46507</v>
          </cell>
          <cell r="G582">
            <v>46179</v>
          </cell>
          <cell r="H582">
            <v>46179</v>
          </cell>
          <cell r="J582" t="str">
            <v>004243</v>
          </cell>
          <cell r="K582">
            <v>-33.130000000000003</v>
          </cell>
          <cell r="L582">
            <v>-33.130000000000003</v>
          </cell>
          <cell r="M582">
            <v>-33.130000000000003</v>
          </cell>
          <cell r="N582" t="str">
            <v>indiretto</v>
          </cell>
          <cell r="O582">
            <v>1</v>
          </cell>
          <cell r="P582" t="str">
            <v>0.916558</v>
          </cell>
          <cell r="Q582" t="str">
            <v>0.642623</v>
          </cell>
          <cell r="R582" t="str">
            <v>0.256196</v>
          </cell>
          <cell r="S582" t="str">
            <v>NO</v>
          </cell>
          <cell r="T582" t="str">
            <v>DELIBERAZIONE EGATO 29 19/12/2018</v>
          </cell>
        </row>
        <row r="583">
          <cell r="D583" t="str">
            <v>C344138</v>
          </cell>
          <cell r="E583">
            <v>46143</v>
          </cell>
          <cell r="F583">
            <v>46507</v>
          </cell>
          <cell r="G583">
            <v>46179</v>
          </cell>
          <cell r="H583">
            <v>46179</v>
          </cell>
          <cell r="J583" t="str">
            <v>004082</v>
          </cell>
          <cell r="K583">
            <v>-66.260000000000005</v>
          </cell>
          <cell r="L583">
            <v>-66.260000000000005</v>
          </cell>
          <cell r="M583">
            <v>-66.260000000000005</v>
          </cell>
          <cell r="N583" t="str">
            <v>indiretto</v>
          </cell>
          <cell r="O583">
            <v>2</v>
          </cell>
          <cell r="P583" t="str">
            <v>0.916558</v>
          </cell>
          <cell r="Q583" t="str">
            <v>0.642623</v>
          </cell>
          <cell r="R583" t="str">
            <v>0.256196</v>
          </cell>
          <cell r="S583" t="str">
            <v>NO</v>
          </cell>
          <cell r="T583" t="str">
            <v>DELIBERAZIONE EGATO 29 19/12/2018</v>
          </cell>
        </row>
        <row r="584">
          <cell r="D584" t="str">
            <v>C117487</v>
          </cell>
          <cell r="E584">
            <v>46143</v>
          </cell>
          <cell r="F584">
            <v>46507</v>
          </cell>
          <cell r="G584">
            <v>46179</v>
          </cell>
          <cell r="H584">
            <v>46179</v>
          </cell>
          <cell r="J584" t="str">
            <v>004078</v>
          </cell>
          <cell r="K584">
            <v>-33.130000000000003</v>
          </cell>
          <cell r="L584">
            <v>-33.130000000000003</v>
          </cell>
          <cell r="M584">
            <v>-33.130000000000003</v>
          </cell>
          <cell r="N584" t="str">
            <v>indiretto</v>
          </cell>
          <cell r="O584">
            <v>1</v>
          </cell>
          <cell r="P584" t="str">
            <v>0.916558</v>
          </cell>
          <cell r="Q584" t="str">
            <v>0.642623</v>
          </cell>
          <cell r="R584" t="str">
            <v>0.256196</v>
          </cell>
          <cell r="S584" t="str">
            <v>NO</v>
          </cell>
          <cell r="T584" t="str">
            <v>DELIBERAZIONE EGATO 29 19/12/2018</v>
          </cell>
        </row>
        <row r="585">
          <cell r="D585" t="str">
            <v>C344201</v>
          </cell>
          <cell r="E585">
            <v>46143</v>
          </cell>
          <cell r="F585">
            <v>46507</v>
          </cell>
          <cell r="G585">
            <v>46179</v>
          </cell>
          <cell r="H585">
            <v>46179</v>
          </cell>
          <cell r="J585" t="str">
            <v>004081</v>
          </cell>
          <cell r="K585">
            <v>-151.79</v>
          </cell>
          <cell r="L585">
            <v>-151.79</v>
          </cell>
          <cell r="M585">
            <v>-151.79</v>
          </cell>
          <cell r="N585" t="str">
            <v>indiretto</v>
          </cell>
          <cell r="O585">
            <v>4</v>
          </cell>
          <cell r="P585">
            <v>1091278</v>
          </cell>
          <cell r="Q585" t="str">
            <v>0.691798</v>
          </cell>
          <cell r="R585" t="str">
            <v>0.296264</v>
          </cell>
          <cell r="S585" t="str">
            <v>NO</v>
          </cell>
          <cell r="T585" t="str">
            <v>DELIBERAZIONE EGATO 2 04/02/2019</v>
          </cell>
        </row>
        <row r="586">
          <cell r="D586" t="str">
            <v>C344242</v>
          </cell>
          <cell r="E586">
            <v>46143</v>
          </cell>
          <cell r="F586">
            <v>46507</v>
          </cell>
          <cell r="G586">
            <v>46179</v>
          </cell>
          <cell r="H586">
            <v>46179</v>
          </cell>
          <cell r="J586" t="str">
            <v>004012</v>
          </cell>
          <cell r="K586">
            <v>-98.48</v>
          </cell>
          <cell r="L586">
            <v>-98.48</v>
          </cell>
          <cell r="M586">
            <v>-98.48</v>
          </cell>
          <cell r="N586" t="str">
            <v>indiretto</v>
          </cell>
          <cell r="O586">
            <v>4</v>
          </cell>
          <cell r="P586" t="str">
            <v>0.716943</v>
          </cell>
          <cell r="Q586" t="str">
            <v>0.463071</v>
          </cell>
          <cell r="R586" t="str">
            <v>0.169064</v>
          </cell>
          <cell r="S586" t="str">
            <v>NO</v>
          </cell>
          <cell r="T586" t="str">
            <v>DELIBERAZIONE EGATO 2 04/02/2019</v>
          </cell>
        </row>
        <row r="587">
          <cell r="D587" t="str">
            <v>C344139</v>
          </cell>
          <cell r="E587">
            <v>46143</v>
          </cell>
          <cell r="F587">
            <v>46507</v>
          </cell>
          <cell r="G587">
            <v>46179</v>
          </cell>
          <cell r="H587">
            <v>46179</v>
          </cell>
          <cell r="J587" t="str">
            <v>004130</v>
          </cell>
          <cell r="K587">
            <v>-105.03</v>
          </cell>
          <cell r="L587">
            <v>-105.03</v>
          </cell>
          <cell r="M587">
            <v>-105.03</v>
          </cell>
          <cell r="N587" t="str">
            <v>indiretto</v>
          </cell>
          <cell r="O587">
            <v>4</v>
          </cell>
          <cell r="P587" t="str">
            <v>0.545182</v>
          </cell>
          <cell r="Q587" t="str">
            <v>0.611443</v>
          </cell>
          <cell r="R587" t="str">
            <v>0.282207</v>
          </cell>
          <cell r="S587" t="str">
            <v>NO</v>
          </cell>
          <cell r="T587" t="str">
            <v>DELIBERA EGATO N.29 DEL 19/12/2018</v>
          </cell>
        </row>
        <row r="588">
          <cell r="D588" t="str">
            <v>C344202</v>
          </cell>
          <cell r="E588">
            <v>46143</v>
          </cell>
          <cell r="F588">
            <v>46507</v>
          </cell>
          <cell r="G588">
            <v>46179</v>
          </cell>
          <cell r="H588">
            <v>46179</v>
          </cell>
          <cell r="J588" t="str">
            <v>004012</v>
          </cell>
          <cell r="K588">
            <v>-49.24</v>
          </cell>
          <cell r="L588">
            <v>-49.24</v>
          </cell>
          <cell r="M588">
            <v>-49.24</v>
          </cell>
          <cell r="N588" t="str">
            <v>indiretto</v>
          </cell>
          <cell r="O588">
            <v>2</v>
          </cell>
          <cell r="P588" t="str">
            <v>0.716943</v>
          </cell>
          <cell r="Q588" t="str">
            <v>0.463071</v>
          </cell>
          <cell r="R588" t="str">
            <v>0.169064</v>
          </cell>
          <cell r="S588" t="str">
            <v>NO</v>
          </cell>
          <cell r="T588" t="str">
            <v>DELIBERAZIONE EGATO 2 04/02/2019</v>
          </cell>
        </row>
        <row r="589">
          <cell r="D589" t="str">
            <v>C344241</v>
          </cell>
          <cell r="E589">
            <v>46143</v>
          </cell>
          <cell r="F589">
            <v>46507</v>
          </cell>
          <cell r="G589">
            <v>46179</v>
          </cell>
          <cell r="H589">
            <v>46179</v>
          </cell>
          <cell r="J589" t="str">
            <v>004075</v>
          </cell>
          <cell r="K589">
            <v>-97.11</v>
          </cell>
          <cell r="L589">
            <v>-97.11</v>
          </cell>
          <cell r="M589">
            <v>-97.11</v>
          </cell>
          <cell r="N589" t="str">
            <v>indiretto</v>
          </cell>
          <cell r="O589">
            <v>3</v>
          </cell>
          <cell r="P589" t="str">
            <v>0.874880</v>
          </cell>
          <cell r="Q589" t="str">
            <v>0.642623</v>
          </cell>
          <cell r="R589" t="str">
            <v>0.256196</v>
          </cell>
          <cell r="S589" t="str">
            <v>NO</v>
          </cell>
          <cell r="T589" t="str">
            <v>DELIBERAZIONE EGATO 11 27/03/2019</v>
          </cell>
        </row>
        <row r="590">
          <cell r="D590" t="str">
            <v>C333396</v>
          </cell>
          <cell r="E590">
            <v>46143</v>
          </cell>
          <cell r="F590">
            <v>46507</v>
          </cell>
          <cell r="G590">
            <v>46179</v>
          </cell>
          <cell r="H590">
            <v>46179</v>
          </cell>
          <cell r="J590" t="str">
            <v>004130</v>
          </cell>
          <cell r="K590">
            <v>-131.29</v>
          </cell>
          <cell r="L590">
            <v>-131.29</v>
          </cell>
          <cell r="M590">
            <v>-131.29</v>
          </cell>
          <cell r="N590" t="str">
            <v>indiretto</v>
          </cell>
          <cell r="O590">
            <v>5</v>
          </cell>
          <cell r="P590" t="str">
            <v>0.545182</v>
          </cell>
          <cell r="Q590" t="str">
            <v>0.611443</v>
          </cell>
          <cell r="R590" t="str">
            <v>0.282207</v>
          </cell>
          <cell r="S590" t="str">
            <v>NO</v>
          </cell>
          <cell r="T590" t="str">
            <v>DELIBERA EGATO N.29 DEL 19/12/2018</v>
          </cell>
        </row>
        <row r="591">
          <cell r="D591" t="str">
            <v>C337619</v>
          </cell>
          <cell r="E591">
            <v>46143</v>
          </cell>
          <cell r="F591">
            <v>46507</v>
          </cell>
          <cell r="G591">
            <v>46179</v>
          </cell>
          <cell r="H591">
            <v>46179</v>
          </cell>
          <cell r="J591" t="str">
            <v>004061</v>
          </cell>
          <cell r="K591">
            <v>-132.52000000000001</v>
          </cell>
          <cell r="L591">
            <v>-132.52000000000001</v>
          </cell>
          <cell r="M591">
            <v>-132.52000000000001</v>
          </cell>
          <cell r="N591" t="str">
            <v>indiretto</v>
          </cell>
          <cell r="O591">
            <v>4</v>
          </cell>
          <cell r="P591" t="str">
            <v>0.916558</v>
          </cell>
          <cell r="Q591" t="str">
            <v>0.642623</v>
          </cell>
          <cell r="R591" t="str">
            <v>0.256196</v>
          </cell>
          <cell r="S591" t="str">
            <v>NO</v>
          </cell>
          <cell r="T591" t="str">
            <v>DELIBERAZIONE EGATO 29 19/12/2018</v>
          </cell>
        </row>
        <row r="592">
          <cell r="D592" t="str">
            <v>C307995</v>
          </cell>
          <cell r="E592">
            <v>46143</v>
          </cell>
          <cell r="F592">
            <v>46507</v>
          </cell>
          <cell r="G592">
            <v>46179</v>
          </cell>
          <cell r="H592">
            <v>46179</v>
          </cell>
          <cell r="J592" t="str">
            <v>004130</v>
          </cell>
          <cell r="K592">
            <v>-78.78</v>
          </cell>
          <cell r="L592">
            <v>-78.78</v>
          </cell>
          <cell r="M592">
            <v>-78.78</v>
          </cell>
          <cell r="N592" t="str">
            <v>indiretto</v>
          </cell>
          <cell r="O592">
            <v>3</v>
          </cell>
          <cell r="P592" t="str">
            <v>0.545182</v>
          </cell>
          <cell r="Q592" t="str">
            <v>0.611443</v>
          </cell>
          <cell r="R592" t="str">
            <v>0.282207</v>
          </cell>
          <cell r="S592" t="str">
            <v>NO</v>
          </cell>
          <cell r="T592" t="str">
            <v>DELIBERA EGATO N.29 DEL 19/12/2018</v>
          </cell>
        </row>
        <row r="593">
          <cell r="D593" t="str">
            <v>C344290</v>
          </cell>
          <cell r="E593">
            <v>46143</v>
          </cell>
          <cell r="F593">
            <v>46507</v>
          </cell>
          <cell r="G593">
            <v>46179</v>
          </cell>
          <cell r="H593">
            <v>46179</v>
          </cell>
          <cell r="J593" t="str">
            <v>004078</v>
          </cell>
          <cell r="K593">
            <v>-66.260000000000005</v>
          </cell>
          <cell r="L593">
            <v>-66.260000000000005</v>
          </cell>
          <cell r="M593">
            <v>-66.260000000000005</v>
          </cell>
          <cell r="N593" t="str">
            <v>indiretto</v>
          </cell>
          <cell r="O593">
            <v>2</v>
          </cell>
          <cell r="P593" t="str">
            <v>0.916558</v>
          </cell>
          <cell r="Q593" t="str">
            <v>0.642623</v>
          </cell>
          <cell r="R593" t="str">
            <v>0.256196</v>
          </cell>
          <cell r="S593" t="str">
            <v>NO</v>
          </cell>
          <cell r="T593" t="str">
            <v>DELIBERAZIONE EGATO 29 19/12/2018</v>
          </cell>
        </row>
        <row r="594">
          <cell r="D594" t="str">
            <v>C344119</v>
          </cell>
          <cell r="E594">
            <v>46143</v>
          </cell>
          <cell r="F594">
            <v>46507</v>
          </cell>
          <cell r="G594">
            <v>46179</v>
          </cell>
          <cell r="H594">
            <v>46179</v>
          </cell>
          <cell r="J594" t="str">
            <v>004130</v>
          </cell>
          <cell r="K594">
            <v>-26.26</v>
          </cell>
          <cell r="L594">
            <v>-26.26</v>
          </cell>
          <cell r="M594">
            <v>-26.26</v>
          </cell>
          <cell r="N594" t="str">
            <v>indiretto</v>
          </cell>
          <cell r="O594">
            <v>1</v>
          </cell>
          <cell r="P594" t="str">
            <v>0.545182</v>
          </cell>
          <cell r="Q594" t="str">
            <v>0.611443</v>
          </cell>
          <cell r="R594" t="str">
            <v>0.282207</v>
          </cell>
          <cell r="S594" t="str">
            <v>NO</v>
          </cell>
          <cell r="T594" t="str">
            <v>DELIBERA EGATO N.29 DEL 19/12/2018</v>
          </cell>
        </row>
        <row r="595">
          <cell r="D595" t="str">
            <v>C311007</v>
          </cell>
          <cell r="E595">
            <v>46143</v>
          </cell>
          <cell r="F595">
            <v>46507</v>
          </cell>
          <cell r="G595">
            <v>46179</v>
          </cell>
          <cell r="H595">
            <v>46179</v>
          </cell>
          <cell r="J595" t="str">
            <v>004025</v>
          </cell>
          <cell r="K595">
            <v>-66.260000000000005</v>
          </cell>
          <cell r="L595">
            <v>-66.260000000000005</v>
          </cell>
          <cell r="M595">
            <v>-66.260000000000005</v>
          </cell>
          <cell r="N595" t="str">
            <v>indiretto</v>
          </cell>
          <cell r="O595">
            <v>2</v>
          </cell>
          <cell r="P595" t="str">
            <v>0.916558</v>
          </cell>
          <cell r="Q595" t="str">
            <v>0.642623</v>
          </cell>
          <cell r="R595" t="str">
            <v>0.256196</v>
          </cell>
          <cell r="S595" t="str">
            <v>NO</v>
          </cell>
          <cell r="T595" t="str">
            <v>DELIBERAZIONE EGATO 29 19/12/2018</v>
          </cell>
        </row>
        <row r="596">
          <cell r="D596" t="str">
            <v>C314644</v>
          </cell>
          <cell r="E596">
            <v>46143</v>
          </cell>
          <cell r="F596">
            <v>46507</v>
          </cell>
          <cell r="G596">
            <v>46179</v>
          </cell>
          <cell r="H596">
            <v>46179</v>
          </cell>
          <cell r="J596" t="str">
            <v>004078</v>
          </cell>
          <cell r="K596">
            <v>-99.39</v>
          </cell>
          <cell r="L596">
            <v>-99.39</v>
          </cell>
          <cell r="M596">
            <v>-99.39</v>
          </cell>
          <cell r="N596" t="str">
            <v>indiretto</v>
          </cell>
          <cell r="O596">
            <v>3</v>
          </cell>
          <cell r="P596" t="str">
            <v>0.916558</v>
          </cell>
          <cell r="Q596" t="str">
            <v>0.642623</v>
          </cell>
          <cell r="R596" t="str">
            <v>0.256196</v>
          </cell>
          <cell r="S596" t="str">
            <v>NO</v>
          </cell>
          <cell r="T596" t="str">
            <v>DELIBERAZIONE EGATO 29 19/12/2018</v>
          </cell>
        </row>
        <row r="597">
          <cell r="D597" t="str">
            <v>C320255</v>
          </cell>
          <cell r="E597">
            <v>46143</v>
          </cell>
          <cell r="F597">
            <v>46507</v>
          </cell>
          <cell r="G597">
            <v>46179</v>
          </cell>
          <cell r="H597">
            <v>46179</v>
          </cell>
          <cell r="J597" t="str">
            <v>004104</v>
          </cell>
          <cell r="K597">
            <v>-47.94</v>
          </cell>
          <cell r="L597">
            <v>-47.94</v>
          </cell>
          <cell r="M597">
            <v>-47.94</v>
          </cell>
          <cell r="N597" t="str">
            <v>indiretto</v>
          </cell>
          <cell r="O597">
            <v>2</v>
          </cell>
          <cell r="P597" t="str">
            <v>0.721337</v>
          </cell>
          <cell r="Q597" t="str">
            <v>0.441600</v>
          </cell>
          <cell r="R597" t="str">
            <v>0.150394</v>
          </cell>
          <cell r="S597" t="str">
            <v>NO</v>
          </cell>
          <cell r="T597" t="str">
            <v>DELIBERAZIONE EGATO 2 04/02/2019</v>
          </cell>
        </row>
        <row r="598">
          <cell r="D598" t="str">
            <v>C344247</v>
          </cell>
          <cell r="E598">
            <v>46143</v>
          </cell>
          <cell r="F598">
            <v>46507</v>
          </cell>
          <cell r="G598">
            <v>46179</v>
          </cell>
          <cell r="H598">
            <v>46179</v>
          </cell>
          <cell r="J598" t="str">
            <v>004130</v>
          </cell>
          <cell r="K598">
            <v>-131.29</v>
          </cell>
          <cell r="L598">
            <v>-131.29</v>
          </cell>
          <cell r="M598">
            <v>-131.29</v>
          </cell>
          <cell r="N598" t="str">
            <v>indiretto</v>
          </cell>
          <cell r="O598">
            <v>5</v>
          </cell>
          <cell r="P598" t="str">
            <v>0.545182</v>
          </cell>
          <cell r="Q598" t="str">
            <v>0.611443</v>
          </cell>
          <cell r="R598" t="str">
            <v>0.282207</v>
          </cell>
          <cell r="S598" t="str">
            <v>NO</v>
          </cell>
          <cell r="T598" t="str">
            <v>DELIBERA EGATO N.29 DEL 19/12/2018</v>
          </cell>
        </row>
        <row r="599">
          <cell r="D599" t="str">
            <v>C344240</v>
          </cell>
          <cell r="E599">
            <v>46143</v>
          </cell>
          <cell r="F599">
            <v>46507</v>
          </cell>
          <cell r="G599">
            <v>46179</v>
          </cell>
          <cell r="H599">
            <v>46179</v>
          </cell>
          <cell r="J599" t="str">
            <v>004078</v>
          </cell>
          <cell r="K599">
            <v>-33.130000000000003</v>
          </cell>
          <cell r="L599">
            <v>-33.130000000000003</v>
          </cell>
          <cell r="M599">
            <v>-33.130000000000003</v>
          </cell>
          <cell r="N599" t="str">
            <v>indiretto</v>
          </cell>
          <cell r="O599">
            <v>1</v>
          </cell>
          <cell r="P599" t="str">
            <v>0.916558</v>
          </cell>
          <cell r="Q599" t="str">
            <v>0.642623</v>
          </cell>
          <cell r="R599" t="str">
            <v>0.256196</v>
          </cell>
          <cell r="S599" t="str">
            <v>NO</v>
          </cell>
          <cell r="T599" t="str">
            <v>DELIBERAZIONE EGATO 29 19/12/2018</v>
          </cell>
        </row>
        <row r="600">
          <cell r="D600" t="str">
            <v>C122474</v>
          </cell>
          <cell r="E600">
            <v>46143</v>
          </cell>
          <cell r="F600">
            <v>46507</v>
          </cell>
          <cell r="G600">
            <v>46179</v>
          </cell>
          <cell r="H600">
            <v>46179</v>
          </cell>
          <cell r="J600" t="str">
            <v>004040</v>
          </cell>
          <cell r="K600">
            <v>-33.130000000000003</v>
          </cell>
          <cell r="L600">
            <v>-33.130000000000003</v>
          </cell>
          <cell r="M600">
            <v>-33.130000000000003</v>
          </cell>
          <cell r="N600" t="str">
            <v>indiretto</v>
          </cell>
          <cell r="O600">
            <v>1</v>
          </cell>
          <cell r="P600" t="str">
            <v>0.916558</v>
          </cell>
          <cell r="Q600" t="str">
            <v>0.642623</v>
          </cell>
          <cell r="R600" t="str">
            <v>0.256196</v>
          </cell>
          <cell r="S600" t="str">
            <v>NO</v>
          </cell>
          <cell r="T600" t="str">
            <v>DELIBERAZIONE EGATO 29 19/12/2018</v>
          </cell>
        </row>
        <row r="601">
          <cell r="D601" t="str">
            <v>C118867</v>
          </cell>
          <cell r="E601">
            <v>46143</v>
          </cell>
          <cell r="F601">
            <v>46507</v>
          </cell>
          <cell r="G601">
            <v>46179</v>
          </cell>
          <cell r="H601">
            <v>46179</v>
          </cell>
          <cell r="J601" t="str">
            <v>004078</v>
          </cell>
          <cell r="K601">
            <v>-66.260000000000005</v>
          </cell>
          <cell r="L601">
            <v>-66.260000000000005</v>
          </cell>
          <cell r="M601">
            <v>-66.260000000000005</v>
          </cell>
          <cell r="N601" t="str">
            <v>indiretto</v>
          </cell>
          <cell r="O601">
            <v>2</v>
          </cell>
          <cell r="P601" t="str">
            <v>0.916558</v>
          </cell>
          <cell r="Q601" t="str">
            <v>0.642623</v>
          </cell>
          <cell r="R601" t="str">
            <v>0.256196</v>
          </cell>
          <cell r="S601" t="str">
            <v>NO</v>
          </cell>
          <cell r="T601" t="str">
            <v>DELIBERAZIONE EGATO 29 19/12/2018</v>
          </cell>
        </row>
        <row r="602">
          <cell r="D602" t="str">
            <v>C320112</v>
          </cell>
          <cell r="E602">
            <v>46143</v>
          </cell>
          <cell r="F602">
            <v>46507</v>
          </cell>
          <cell r="G602">
            <v>46179</v>
          </cell>
          <cell r="H602">
            <v>46179</v>
          </cell>
          <cell r="J602" t="str">
            <v>004014</v>
          </cell>
          <cell r="K602">
            <v>-38.659999999999997</v>
          </cell>
          <cell r="L602">
            <v>-38.659999999999997</v>
          </cell>
          <cell r="M602">
            <v>-38.659999999999997</v>
          </cell>
          <cell r="N602" t="str">
            <v>indiretto</v>
          </cell>
          <cell r="O602">
            <v>1</v>
          </cell>
          <cell r="P602">
            <v>1091278</v>
          </cell>
          <cell r="Q602" t="str">
            <v>0.730790</v>
          </cell>
          <cell r="R602" t="str">
            <v>0.296264</v>
          </cell>
          <cell r="S602" t="str">
            <v>NO</v>
          </cell>
          <cell r="T602" t="str">
            <v>DELIBERAZIONE EGATO 2 04/02/2019</v>
          </cell>
        </row>
        <row r="603">
          <cell r="D603" t="str">
            <v>C337546</v>
          </cell>
          <cell r="E603">
            <v>46143</v>
          </cell>
          <cell r="F603">
            <v>46507</v>
          </cell>
          <cell r="G603">
            <v>46179</v>
          </cell>
          <cell r="H603">
            <v>46179</v>
          </cell>
          <cell r="J603" t="str">
            <v>004009</v>
          </cell>
          <cell r="K603">
            <v>-49.24</v>
          </cell>
          <cell r="L603">
            <v>-49.24</v>
          </cell>
          <cell r="M603">
            <v>-49.24</v>
          </cell>
          <cell r="N603" t="str">
            <v>indiretto</v>
          </cell>
          <cell r="O603">
            <v>2</v>
          </cell>
          <cell r="P603" t="str">
            <v>0.716943</v>
          </cell>
          <cell r="Q603" t="str">
            <v>0.463071</v>
          </cell>
          <cell r="R603" t="str">
            <v>0.169064</v>
          </cell>
          <cell r="S603" t="str">
            <v>NO</v>
          </cell>
          <cell r="T603" t="str">
            <v>DELIBERAZIONE EGATO 2 04/02/2019</v>
          </cell>
        </row>
        <row r="604">
          <cell r="D604" t="str">
            <v>C311904</v>
          </cell>
          <cell r="E604">
            <v>46143</v>
          </cell>
          <cell r="F604">
            <v>46507</v>
          </cell>
          <cell r="G604">
            <v>46179</v>
          </cell>
          <cell r="H604">
            <v>46179</v>
          </cell>
          <cell r="J604" t="str">
            <v>004022</v>
          </cell>
          <cell r="K604">
            <v>-132.52000000000001</v>
          </cell>
          <cell r="L604">
            <v>-132.52000000000001</v>
          </cell>
          <cell r="M604">
            <v>-132.52000000000001</v>
          </cell>
          <cell r="N604" t="str">
            <v>indiretto</v>
          </cell>
          <cell r="O604">
            <v>4</v>
          </cell>
          <cell r="P604" t="str">
            <v>0.916558</v>
          </cell>
          <cell r="Q604" t="str">
            <v>0.642623</v>
          </cell>
          <cell r="R604" t="str">
            <v>0.256196</v>
          </cell>
          <cell r="S604" t="str">
            <v>NO</v>
          </cell>
          <cell r="T604" t="str">
            <v>DELIBERAZIONE EGATO 29 19/12/2018</v>
          </cell>
        </row>
        <row r="605">
          <cell r="D605" t="str">
            <v>C338980</v>
          </cell>
          <cell r="E605">
            <v>46143</v>
          </cell>
          <cell r="F605">
            <v>46507</v>
          </cell>
          <cell r="G605">
            <v>46179</v>
          </cell>
          <cell r="H605">
            <v>46179</v>
          </cell>
          <cell r="J605" t="str">
            <v>004130</v>
          </cell>
          <cell r="K605">
            <v>-26.26</v>
          </cell>
          <cell r="L605">
            <v>-26.26</v>
          </cell>
          <cell r="M605">
            <v>-26.26</v>
          </cell>
          <cell r="N605" t="str">
            <v>indiretto</v>
          </cell>
          <cell r="O605">
            <v>1</v>
          </cell>
          <cell r="P605" t="str">
            <v>0.545182</v>
          </cell>
          <cell r="Q605" t="str">
            <v>0.611443</v>
          </cell>
          <cell r="R605" t="str">
            <v>0.282207</v>
          </cell>
          <cell r="S605" t="str">
            <v>NO</v>
          </cell>
          <cell r="T605" t="str">
            <v>DELIBERA EGATO N.29 DEL 19/12/2018</v>
          </cell>
        </row>
        <row r="606">
          <cell r="D606" t="str">
            <v>C124587</v>
          </cell>
          <cell r="E606">
            <v>46143</v>
          </cell>
          <cell r="F606">
            <v>46507</v>
          </cell>
          <cell r="G606">
            <v>46179</v>
          </cell>
          <cell r="H606">
            <v>46179</v>
          </cell>
          <cell r="J606" t="str">
            <v>004040</v>
          </cell>
          <cell r="K606">
            <v>-33.130000000000003</v>
          </cell>
          <cell r="L606">
            <v>-33.130000000000003</v>
          </cell>
          <cell r="M606">
            <v>-33.130000000000003</v>
          </cell>
          <cell r="N606" t="str">
            <v>indiretto</v>
          </cell>
          <cell r="O606">
            <v>1</v>
          </cell>
          <cell r="P606" t="str">
            <v>0.916558</v>
          </cell>
          <cell r="Q606" t="str">
            <v>0.642623</v>
          </cell>
          <cell r="R606" t="str">
            <v>0.256196</v>
          </cell>
          <cell r="S606" t="str">
            <v>NO</v>
          </cell>
          <cell r="T606" t="str">
            <v>DELIBERAZIONE EGATO 29 19/12/2018</v>
          </cell>
        </row>
        <row r="607">
          <cell r="D607" t="str">
            <v>C320043</v>
          </cell>
          <cell r="E607">
            <v>46143</v>
          </cell>
          <cell r="F607">
            <v>46507</v>
          </cell>
          <cell r="G607">
            <v>46179</v>
          </cell>
          <cell r="H607">
            <v>46179</v>
          </cell>
          <cell r="J607" t="str">
            <v>004078</v>
          </cell>
          <cell r="K607">
            <v>-99.39</v>
          </cell>
          <cell r="L607">
            <v>-99.39</v>
          </cell>
          <cell r="M607">
            <v>-99.39</v>
          </cell>
          <cell r="N607" t="str">
            <v>indiretto</v>
          </cell>
          <cell r="O607">
            <v>3</v>
          </cell>
          <cell r="P607" t="str">
            <v>0.916558</v>
          </cell>
          <cell r="Q607" t="str">
            <v>0.642623</v>
          </cell>
          <cell r="R607" t="str">
            <v>0.256196</v>
          </cell>
          <cell r="S607" t="str">
            <v>NO</v>
          </cell>
          <cell r="T607" t="str">
            <v>DELIBERAZIONE EGATO 29 19/12/2018</v>
          </cell>
        </row>
        <row r="608">
          <cell r="D608" t="str">
            <v>C344118</v>
          </cell>
          <cell r="E608">
            <v>46143</v>
          </cell>
          <cell r="F608">
            <v>46507</v>
          </cell>
          <cell r="G608">
            <v>46179</v>
          </cell>
          <cell r="H608">
            <v>46179</v>
          </cell>
          <cell r="J608" t="str">
            <v>004173</v>
          </cell>
          <cell r="K608">
            <v>-79.510000000000005</v>
          </cell>
          <cell r="L608">
            <v>-79.510000000000005</v>
          </cell>
          <cell r="M608">
            <v>-79.510000000000005</v>
          </cell>
          <cell r="N608" t="str">
            <v>indiretto</v>
          </cell>
          <cell r="O608">
            <v>3</v>
          </cell>
          <cell r="P608" t="str">
            <v>0.733246</v>
          </cell>
          <cell r="Q608" t="str">
            <v>0.514098</v>
          </cell>
          <cell r="R608" t="str">
            <v>0.204957</v>
          </cell>
          <cell r="S608" t="str">
            <v>NO</v>
          </cell>
          <cell r="T608" t="str">
            <v>DELIBERAZIONE EGATO 2 04/02/2019</v>
          </cell>
        </row>
        <row r="609">
          <cell r="D609" t="str">
            <v>C101011</v>
          </cell>
          <cell r="E609">
            <v>46143</v>
          </cell>
          <cell r="F609">
            <v>46507</v>
          </cell>
          <cell r="G609">
            <v>46179</v>
          </cell>
          <cell r="H609">
            <v>46179</v>
          </cell>
          <cell r="J609" t="str">
            <v>004166</v>
          </cell>
          <cell r="K609">
            <v>-119.84</v>
          </cell>
          <cell r="L609">
            <v>-119.84</v>
          </cell>
          <cell r="M609">
            <v>-119.84</v>
          </cell>
          <cell r="N609" t="str">
            <v>indiretto</v>
          </cell>
          <cell r="O609">
            <v>5</v>
          </cell>
          <cell r="P609" t="str">
            <v>0.721337</v>
          </cell>
          <cell r="Q609" t="str">
            <v>0.441600</v>
          </cell>
          <cell r="R609" t="str">
            <v>0.150394</v>
          </cell>
          <cell r="S609" t="str">
            <v>NO</v>
          </cell>
          <cell r="T609" t="str">
            <v>DELIBERAZIONE EGATO 2 04/02/2019</v>
          </cell>
        </row>
        <row r="610">
          <cell r="D610" t="str">
            <v>C337554</v>
          </cell>
          <cell r="E610">
            <v>46143</v>
          </cell>
          <cell r="F610">
            <v>46507</v>
          </cell>
          <cell r="G610">
            <v>46179</v>
          </cell>
          <cell r="H610">
            <v>46179</v>
          </cell>
          <cell r="J610" t="str">
            <v>004095</v>
          </cell>
          <cell r="K610">
            <v>-59.64</v>
          </cell>
          <cell r="L610">
            <v>-59.64</v>
          </cell>
          <cell r="M610">
            <v>-59.64</v>
          </cell>
          <cell r="N610" t="str">
            <v>indiretto</v>
          </cell>
          <cell r="O610">
            <v>2</v>
          </cell>
          <cell r="P610" t="str">
            <v>0.824903</v>
          </cell>
          <cell r="Q610" t="str">
            <v>0.578360</v>
          </cell>
          <cell r="R610" t="str">
            <v>0.230576</v>
          </cell>
          <cell r="S610" t="str">
            <v>NO</v>
          </cell>
          <cell r="T610" t="str">
            <v>DELIBERAZIONE EGATO 29 19/12/2018</v>
          </cell>
        </row>
        <row r="611">
          <cell r="D611" t="str">
            <v>C344345</v>
          </cell>
          <cell r="E611">
            <v>46143</v>
          </cell>
          <cell r="F611">
            <v>46507</v>
          </cell>
          <cell r="G611">
            <v>46179</v>
          </cell>
          <cell r="H611">
            <v>46179</v>
          </cell>
          <cell r="J611" t="str">
            <v>004213</v>
          </cell>
          <cell r="K611">
            <v>-119.73</v>
          </cell>
          <cell r="L611">
            <v>-119.73</v>
          </cell>
          <cell r="M611">
            <v>-119.73</v>
          </cell>
          <cell r="N611" t="str">
            <v>indiretto</v>
          </cell>
          <cell r="O611">
            <v>4</v>
          </cell>
          <cell r="P611" t="str">
            <v>0.633304</v>
          </cell>
          <cell r="Q611" t="str">
            <v>0.746975</v>
          </cell>
          <cell r="R611" t="str">
            <v>0.259818</v>
          </cell>
          <cell r="S611" t="str">
            <v>NO</v>
          </cell>
          <cell r="T611" t="str">
            <v>DELIBERA EGATO 12 22/04/21</v>
          </cell>
        </row>
        <row r="612">
          <cell r="D612" t="str">
            <v>C119713</v>
          </cell>
          <cell r="E612">
            <v>46143</v>
          </cell>
          <cell r="F612">
            <v>46507</v>
          </cell>
          <cell r="G612">
            <v>46179</v>
          </cell>
          <cell r="H612">
            <v>46179</v>
          </cell>
          <cell r="J612" t="str">
            <v>004247</v>
          </cell>
          <cell r="K612">
            <v>-149.09</v>
          </cell>
          <cell r="L612">
            <v>-149.09</v>
          </cell>
          <cell r="M612">
            <v>-149.09</v>
          </cell>
          <cell r="N612" t="str">
            <v>indiretto</v>
          </cell>
          <cell r="O612">
            <v>5</v>
          </cell>
          <cell r="P612" t="str">
            <v>0.824903</v>
          </cell>
          <cell r="Q612" t="str">
            <v>0.578360</v>
          </cell>
          <cell r="R612" t="str">
            <v>0.230576</v>
          </cell>
          <cell r="S612" t="str">
            <v>NO</v>
          </cell>
          <cell r="T612" t="str">
            <v>DELIBERAZIONE EGATO 29 19/12/2018</v>
          </cell>
        </row>
        <row r="613">
          <cell r="D613" t="str">
            <v>C344149</v>
          </cell>
          <cell r="E613">
            <v>46143</v>
          </cell>
          <cell r="F613">
            <v>46507</v>
          </cell>
          <cell r="G613">
            <v>46179</v>
          </cell>
          <cell r="H613">
            <v>46179</v>
          </cell>
          <cell r="J613" t="str">
            <v>004130</v>
          </cell>
          <cell r="K613">
            <v>-105.03</v>
          </cell>
          <cell r="L613">
            <v>-105.03</v>
          </cell>
          <cell r="M613">
            <v>-105.03</v>
          </cell>
          <cell r="N613" t="str">
            <v>indiretto</v>
          </cell>
          <cell r="O613">
            <v>4</v>
          </cell>
          <cell r="P613" t="str">
            <v>0.545182</v>
          </cell>
          <cell r="Q613" t="str">
            <v>0.611443</v>
          </cell>
          <cell r="R613" t="str">
            <v>0.282207</v>
          </cell>
          <cell r="S613" t="str">
            <v>NO</v>
          </cell>
          <cell r="T613" t="str">
            <v>DELIBERA EGATO N.29 DEL 19/12/2018</v>
          </cell>
        </row>
        <row r="614">
          <cell r="D614" t="str">
            <v>C344192</v>
          </cell>
          <cell r="E614">
            <v>46143</v>
          </cell>
          <cell r="F614">
            <v>46507</v>
          </cell>
          <cell r="G614">
            <v>46179</v>
          </cell>
          <cell r="H614">
            <v>46179</v>
          </cell>
          <cell r="J614" t="str">
            <v>004210</v>
          </cell>
          <cell r="K614">
            <v>-105.03</v>
          </cell>
          <cell r="L614">
            <v>-105.03</v>
          </cell>
          <cell r="M614">
            <v>-105.03</v>
          </cell>
          <cell r="N614" t="str">
            <v>indiretto</v>
          </cell>
          <cell r="O614">
            <v>4</v>
          </cell>
          <cell r="P614" t="str">
            <v>0.545182</v>
          </cell>
          <cell r="Q614" t="str">
            <v>0.611443</v>
          </cell>
          <cell r="R614" t="str">
            <v>0.282207</v>
          </cell>
          <cell r="S614" t="str">
            <v>NO</v>
          </cell>
          <cell r="T614" t="str">
            <v>DELIBERA EGATO N.29 DEL 19/12/2018</v>
          </cell>
        </row>
        <row r="615">
          <cell r="D615" t="str">
            <v>C310495</v>
          </cell>
          <cell r="E615">
            <v>46143</v>
          </cell>
          <cell r="F615">
            <v>46507</v>
          </cell>
          <cell r="G615">
            <v>46179</v>
          </cell>
          <cell r="H615">
            <v>46179</v>
          </cell>
          <cell r="J615" t="str">
            <v>004078</v>
          </cell>
          <cell r="K615">
            <v>-33.130000000000003</v>
          </cell>
          <cell r="L615">
            <v>-33.130000000000003</v>
          </cell>
          <cell r="M615">
            <v>-33.130000000000003</v>
          </cell>
          <cell r="N615" t="str">
            <v>indiretto</v>
          </cell>
          <cell r="O615">
            <v>1</v>
          </cell>
          <cell r="P615" t="str">
            <v>0.916558</v>
          </cell>
          <cell r="Q615" t="str">
            <v>0.642623</v>
          </cell>
          <cell r="R615" t="str">
            <v>0.256196</v>
          </cell>
          <cell r="S615" t="str">
            <v>NO</v>
          </cell>
          <cell r="T615" t="str">
            <v>DELIBERAZIONE EGATO 29 19/12/2018</v>
          </cell>
        </row>
        <row r="616">
          <cell r="D616" t="str">
            <v>C344117</v>
          </cell>
          <cell r="E616">
            <v>46143</v>
          </cell>
          <cell r="F616">
            <v>46507</v>
          </cell>
          <cell r="G616">
            <v>46179</v>
          </cell>
          <cell r="H616">
            <v>46179</v>
          </cell>
          <cell r="J616" t="str">
            <v>004066</v>
          </cell>
          <cell r="K616">
            <v>-132.52000000000001</v>
          </cell>
          <cell r="L616">
            <v>-132.52000000000001</v>
          </cell>
          <cell r="M616">
            <v>-132.52000000000001</v>
          </cell>
          <cell r="N616" t="str">
            <v>indiretto</v>
          </cell>
          <cell r="O616">
            <v>4</v>
          </cell>
          <cell r="P616" t="str">
            <v>0.916558</v>
          </cell>
          <cell r="Q616" t="str">
            <v>0.642623</v>
          </cell>
          <cell r="R616" t="str">
            <v>0.256196</v>
          </cell>
          <cell r="S616" t="str">
            <v>NO</v>
          </cell>
          <cell r="T616" t="str">
            <v>DELIBERAZIONE EGATO 29 19/12/2018</v>
          </cell>
        </row>
        <row r="617">
          <cell r="D617" t="str">
            <v>C344287</v>
          </cell>
          <cell r="E617">
            <v>46143</v>
          </cell>
          <cell r="F617">
            <v>46507</v>
          </cell>
          <cell r="G617">
            <v>46179</v>
          </cell>
          <cell r="H617">
            <v>46179</v>
          </cell>
          <cell r="J617" t="str">
            <v>004078</v>
          </cell>
          <cell r="K617">
            <v>-33.130000000000003</v>
          </cell>
          <cell r="L617">
            <v>-33.130000000000003</v>
          </cell>
          <cell r="M617">
            <v>-33.130000000000003</v>
          </cell>
          <cell r="N617" t="str">
            <v>indiretto</v>
          </cell>
          <cell r="O617">
            <v>1</v>
          </cell>
          <cell r="P617" t="str">
            <v>0.916558</v>
          </cell>
          <cell r="Q617" t="str">
            <v>0.642623</v>
          </cell>
          <cell r="R617" t="str">
            <v>0.256196</v>
          </cell>
          <cell r="S617" t="str">
            <v>NO</v>
          </cell>
          <cell r="T617" t="str">
            <v>DELIBERAZIONE EGATO 29 19/12/2018</v>
          </cell>
        </row>
        <row r="618">
          <cell r="D618" t="str">
            <v>C344148</v>
          </cell>
          <cell r="E618">
            <v>46143</v>
          </cell>
          <cell r="F618">
            <v>46507</v>
          </cell>
          <cell r="G618">
            <v>46179</v>
          </cell>
          <cell r="H618">
            <v>46179</v>
          </cell>
          <cell r="J618" t="str">
            <v>004130</v>
          </cell>
          <cell r="K618">
            <v>-78.78</v>
          </cell>
          <cell r="L618">
            <v>-78.78</v>
          </cell>
          <cell r="M618">
            <v>-78.78</v>
          </cell>
          <cell r="N618" t="str">
            <v>indiretto</v>
          </cell>
          <cell r="O618">
            <v>3</v>
          </cell>
          <cell r="P618" t="str">
            <v>0.545182</v>
          </cell>
          <cell r="Q618" t="str">
            <v>0.611443</v>
          </cell>
          <cell r="R618" t="str">
            <v>0.282207</v>
          </cell>
          <cell r="S618" t="str">
            <v>NO</v>
          </cell>
          <cell r="T618" t="str">
            <v>DELIBERA EGATO N.29 DEL 19/12/2018</v>
          </cell>
        </row>
        <row r="619">
          <cell r="D619" t="str">
            <v>C344137</v>
          </cell>
          <cell r="E619">
            <v>46143</v>
          </cell>
          <cell r="F619">
            <v>46507</v>
          </cell>
          <cell r="G619">
            <v>46179</v>
          </cell>
          <cell r="H619">
            <v>46179</v>
          </cell>
          <cell r="J619" t="str">
            <v>004179</v>
          </cell>
          <cell r="K619">
            <v>-86.33</v>
          </cell>
          <cell r="L619">
            <v>-86.33</v>
          </cell>
          <cell r="M619">
            <v>-86.33</v>
          </cell>
          <cell r="N619" t="str">
            <v>indiretto</v>
          </cell>
          <cell r="O619">
            <v>3</v>
          </cell>
          <cell r="P619" t="str">
            <v>0.802937</v>
          </cell>
          <cell r="Q619" t="str">
            <v>0.568257</v>
          </cell>
          <cell r="R619" t="str">
            <v>0.205575</v>
          </cell>
          <cell r="S619" t="str">
            <v>NO</v>
          </cell>
          <cell r="T619" t="str">
            <v>DELIBERAZIONE EGATO 11 27/03/2019</v>
          </cell>
        </row>
        <row r="620">
          <cell r="D620" t="str">
            <v>C120750</v>
          </cell>
          <cell r="E620">
            <v>46143</v>
          </cell>
          <cell r="F620">
            <v>46507</v>
          </cell>
          <cell r="G620">
            <v>46179</v>
          </cell>
          <cell r="H620">
            <v>46179</v>
          </cell>
          <cell r="J620" t="str">
            <v>004034</v>
          </cell>
          <cell r="K620">
            <v>-165.65</v>
          </cell>
          <cell r="L620">
            <v>-165.65</v>
          </cell>
          <cell r="M620">
            <v>-165.65</v>
          </cell>
          <cell r="N620" t="str">
            <v>indiretto</v>
          </cell>
          <cell r="O620">
            <v>5</v>
          </cell>
          <cell r="P620" t="str">
            <v>0.916558</v>
          </cell>
          <cell r="Q620" t="str">
            <v>0.642623</v>
          </cell>
          <cell r="R620" t="str">
            <v>0.256196</v>
          </cell>
          <cell r="S620" t="str">
            <v>NO</v>
          </cell>
          <cell r="T620" t="str">
            <v>DELIBERAZIONE EGATO 29 19/12/2018</v>
          </cell>
        </row>
        <row r="621">
          <cell r="D621" t="str">
            <v>C110106</v>
          </cell>
          <cell r="E621">
            <v>46143</v>
          </cell>
          <cell r="F621">
            <v>46507</v>
          </cell>
          <cell r="G621">
            <v>46179</v>
          </cell>
          <cell r="H621">
            <v>46179</v>
          </cell>
          <cell r="J621" t="str">
            <v>004082</v>
          </cell>
          <cell r="K621">
            <v>-132.52000000000001</v>
          </cell>
          <cell r="L621">
            <v>-132.52000000000001</v>
          </cell>
          <cell r="M621">
            <v>-132.52000000000001</v>
          </cell>
          <cell r="N621" t="str">
            <v>indiretto</v>
          </cell>
          <cell r="O621">
            <v>4</v>
          </cell>
          <cell r="P621" t="str">
            <v>0.916558</v>
          </cell>
          <cell r="Q621" t="str">
            <v>0.642623</v>
          </cell>
          <cell r="R621" t="str">
            <v>0.256196</v>
          </cell>
          <cell r="S621" t="str">
            <v>NO</v>
          </cell>
          <cell r="T621" t="str">
            <v>DELIBERAZIONE EGATO 29 19/12/2018</v>
          </cell>
        </row>
        <row r="622">
          <cell r="D622" t="str">
            <v>C309779</v>
          </cell>
          <cell r="E622">
            <v>46143</v>
          </cell>
          <cell r="F622">
            <v>46507</v>
          </cell>
          <cell r="G622">
            <v>46179</v>
          </cell>
          <cell r="H622">
            <v>46179</v>
          </cell>
          <cell r="J622" t="str">
            <v>004078</v>
          </cell>
          <cell r="K622">
            <v>-99.39</v>
          </cell>
          <cell r="L622">
            <v>-99.39</v>
          </cell>
          <cell r="M622">
            <v>-99.39</v>
          </cell>
          <cell r="N622" t="str">
            <v>indiretto</v>
          </cell>
          <cell r="O622">
            <v>3</v>
          </cell>
          <cell r="P622" t="str">
            <v>0.916558</v>
          </cell>
          <cell r="Q622" t="str">
            <v>0.642623</v>
          </cell>
          <cell r="R622" t="str">
            <v>0.256196</v>
          </cell>
          <cell r="S622" t="str">
            <v>NO</v>
          </cell>
          <cell r="T622" t="str">
            <v>DELIBERAZIONE EGATO 29 19/12/2018</v>
          </cell>
        </row>
        <row r="623">
          <cell r="D623" t="str">
            <v>C344288</v>
          </cell>
          <cell r="E623">
            <v>46143</v>
          </cell>
          <cell r="F623">
            <v>46507</v>
          </cell>
          <cell r="G623">
            <v>46179</v>
          </cell>
          <cell r="H623">
            <v>46179</v>
          </cell>
          <cell r="J623" t="str">
            <v>004064</v>
          </cell>
          <cell r="K623">
            <v>-33.130000000000003</v>
          </cell>
          <cell r="L623">
            <v>-33.130000000000003</v>
          </cell>
          <cell r="M623">
            <v>-33.130000000000003</v>
          </cell>
          <cell r="N623" t="str">
            <v>indiretto</v>
          </cell>
          <cell r="O623">
            <v>1</v>
          </cell>
          <cell r="P623" t="str">
            <v>0.916558</v>
          </cell>
          <cell r="Q623" t="str">
            <v>0.642623</v>
          </cell>
          <cell r="R623" t="str">
            <v>0.256196</v>
          </cell>
          <cell r="S623" t="str">
            <v>NO</v>
          </cell>
          <cell r="T623" t="str">
            <v>DELIBERAZIONE EGATO 29 19/12/2018</v>
          </cell>
        </row>
        <row r="624">
          <cell r="D624" t="str">
            <v>C309164</v>
          </cell>
          <cell r="E624">
            <v>46143</v>
          </cell>
          <cell r="F624">
            <v>46507</v>
          </cell>
          <cell r="G624">
            <v>46179</v>
          </cell>
          <cell r="H624">
            <v>46179</v>
          </cell>
          <cell r="J624" t="str">
            <v>004066</v>
          </cell>
          <cell r="K624">
            <v>-231.91</v>
          </cell>
          <cell r="L624">
            <v>-231.91</v>
          </cell>
          <cell r="M624">
            <v>-231.91</v>
          </cell>
          <cell r="N624" t="str">
            <v>indiretto</v>
          </cell>
          <cell r="O624">
            <v>7</v>
          </cell>
          <cell r="P624" t="str">
            <v>0.916558</v>
          </cell>
          <cell r="Q624" t="str">
            <v>0.642623</v>
          </cell>
          <cell r="R624" t="str">
            <v>0.256196</v>
          </cell>
          <cell r="S624" t="str">
            <v>NO</v>
          </cell>
          <cell r="T624" t="str">
            <v>DELIBERAZIONE EGATO 29 19/12/2018</v>
          </cell>
        </row>
        <row r="625">
          <cell r="D625" t="str">
            <v>C320333</v>
          </cell>
          <cell r="E625">
            <v>46143</v>
          </cell>
          <cell r="F625">
            <v>46507</v>
          </cell>
          <cell r="G625">
            <v>46179</v>
          </cell>
          <cell r="H625">
            <v>46179</v>
          </cell>
          <cell r="J625" t="str">
            <v>004066</v>
          </cell>
          <cell r="K625">
            <v>-99.39</v>
          </cell>
          <cell r="L625">
            <v>-99.39</v>
          </cell>
          <cell r="M625">
            <v>-99.39</v>
          </cell>
          <cell r="N625" t="str">
            <v>indiretto</v>
          </cell>
          <cell r="O625">
            <v>3</v>
          </cell>
          <cell r="P625" t="str">
            <v>0.916558</v>
          </cell>
          <cell r="Q625" t="str">
            <v>0.642623</v>
          </cell>
          <cell r="R625" t="str">
            <v>0.256196</v>
          </cell>
          <cell r="S625" t="str">
            <v>NO</v>
          </cell>
          <cell r="T625" t="str">
            <v>DELIBERAZIONE EGATO 29 19/12/2018</v>
          </cell>
        </row>
        <row r="626">
          <cell r="D626" t="str">
            <v>C344116</v>
          </cell>
          <cell r="E626">
            <v>46143</v>
          </cell>
          <cell r="F626">
            <v>46507</v>
          </cell>
          <cell r="G626">
            <v>46179</v>
          </cell>
          <cell r="H626">
            <v>46179</v>
          </cell>
          <cell r="J626" t="str">
            <v>004242</v>
          </cell>
          <cell r="K626">
            <v>-52.52</v>
          </cell>
          <cell r="L626">
            <v>-52.52</v>
          </cell>
          <cell r="M626">
            <v>-52.52</v>
          </cell>
          <cell r="N626" t="str">
            <v>indiretto</v>
          </cell>
          <cell r="O626">
            <v>2</v>
          </cell>
          <cell r="P626" t="str">
            <v>0.545182</v>
          </cell>
          <cell r="Q626" t="str">
            <v>0.611443</v>
          </cell>
          <cell r="R626" t="str">
            <v>0.282207</v>
          </cell>
          <cell r="S626" t="str">
            <v>NO</v>
          </cell>
          <cell r="T626" t="str">
            <v>DELIBERA EGATO N.29 DEL 19/12/2018</v>
          </cell>
        </row>
        <row r="627">
          <cell r="D627" t="str">
            <v>C307967</v>
          </cell>
          <cell r="E627">
            <v>46143</v>
          </cell>
          <cell r="F627">
            <v>46507</v>
          </cell>
          <cell r="G627">
            <v>46179</v>
          </cell>
          <cell r="H627">
            <v>46179</v>
          </cell>
          <cell r="J627" t="str">
            <v>004179</v>
          </cell>
          <cell r="K627">
            <v>-57.55</v>
          </cell>
          <cell r="L627">
            <v>-57.55</v>
          </cell>
          <cell r="M627">
            <v>-57.55</v>
          </cell>
          <cell r="N627" t="str">
            <v>indiretto</v>
          </cell>
          <cell r="O627">
            <v>2</v>
          </cell>
          <cell r="P627" t="str">
            <v>0.802937</v>
          </cell>
          <cell r="Q627" t="str">
            <v>0.568257</v>
          </cell>
          <cell r="R627" t="str">
            <v>0.205575</v>
          </cell>
          <cell r="S627" t="str">
            <v>NO</v>
          </cell>
          <cell r="T627" t="str">
            <v>DELIBERAZIONE EGATO 11 27/03/2019</v>
          </cell>
        </row>
        <row r="628">
          <cell r="D628" t="str">
            <v>C344262</v>
          </cell>
          <cell r="E628">
            <v>46143</v>
          </cell>
          <cell r="F628">
            <v>46507</v>
          </cell>
          <cell r="G628">
            <v>46179</v>
          </cell>
          <cell r="H628">
            <v>46179</v>
          </cell>
          <cell r="J628" t="str">
            <v>004130</v>
          </cell>
          <cell r="K628">
            <v>-131.29</v>
          </cell>
          <cell r="L628">
            <v>-131.29</v>
          </cell>
          <cell r="M628">
            <v>-131.29</v>
          </cell>
          <cell r="N628" t="str">
            <v>indiretto</v>
          </cell>
          <cell r="O628">
            <v>5</v>
          </cell>
          <cell r="P628" t="str">
            <v>0.545182</v>
          </cell>
          <cell r="Q628" t="str">
            <v>0.611443</v>
          </cell>
          <cell r="R628" t="str">
            <v>0.282207</v>
          </cell>
          <cell r="S628" t="str">
            <v>NO</v>
          </cell>
          <cell r="T628" t="str">
            <v>DELIBERA EGATO N.29 DEL 19/12/2018</v>
          </cell>
        </row>
        <row r="629">
          <cell r="D629" t="str">
            <v>C320256</v>
          </cell>
          <cell r="E629">
            <v>46143</v>
          </cell>
          <cell r="F629">
            <v>46507</v>
          </cell>
          <cell r="G629">
            <v>46179</v>
          </cell>
          <cell r="H629">
            <v>46179</v>
          </cell>
          <cell r="J629" t="str">
            <v>004009</v>
          </cell>
          <cell r="K629">
            <v>-24.62</v>
          </cell>
          <cell r="L629">
            <v>-24.62</v>
          </cell>
          <cell r="M629">
            <v>-24.62</v>
          </cell>
          <cell r="N629" t="str">
            <v>indiretto</v>
          </cell>
          <cell r="O629">
            <v>1</v>
          </cell>
          <cell r="P629" t="str">
            <v>0.716943</v>
          </cell>
          <cell r="Q629" t="str">
            <v>0.463071</v>
          </cell>
          <cell r="R629" t="str">
            <v>0.169064</v>
          </cell>
          <cell r="S629" t="str">
            <v>NO</v>
          </cell>
          <cell r="T629" t="str">
            <v>DELIBERAZIONE EGATO 2 04/02/2019</v>
          </cell>
        </row>
        <row r="630">
          <cell r="D630" t="str">
            <v>C344251</v>
          </cell>
          <cell r="E630">
            <v>46143</v>
          </cell>
          <cell r="F630">
            <v>46507</v>
          </cell>
          <cell r="G630">
            <v>46179</v>
          </cell>
          <cell r="H630">
            <v>46179</v>
          </cell>
          <cell r="J630" t="str">
            <v>004130</v>
          </cell>
          <cell r="K630">
            <v>-52.52</v>
          </cell>
          <cell r="L630">
            <v>-52.52</v>
          </cell>
          <cell r="M630">
            <v>-52.52</v>
          </cell>
          <cell r="N630" t="str">
            <v>indiretto</v>
          </cell>
          <cell r="O630">
            <v>2</v>
          </cell>
          <cell r="P630" t="str">
            <v>0.545182</v>
          </cell>
          <cell r="Q630" t="str">
            <v>0.611443</v>
          </cell>
          <cell r="R630" t="str">
            <v>0.282207</v>
          </cell>
          <cell r="S630" t="str">
            <v>NO</v>
          </cell>
          <cell r="T630" t="str">
            <v>DELIBERA EGATO N.29 DEL 19/12/2018</v>
          </cell>
        </row>
        <row r="631">
          <cell r="D631" t="str">
            <v>C344199</v>
          </cell>
          <cell r="E631">
            <v>46143</v>
          </cell>
          <cell r="F631">
            <v>46507</v>
          </cell>
          <cell r="G631">
            <v>46179</v>
          </cell>
          <cell r="H631">
            <v>46179</v>
          </cell>
          <cell r="J631" t="str">
            <v>004130</v>
          </cell>
          <cell r="K631">
            <v>-105.03</v>
          </cell>
          <cell r="L631">
            <v>-105.03</v>
          </cell>
          <cell r="M631">
            <v>-105.03</v>
          </cell>
          <cell r="N631" t="str">
            <v>indiretto</v>
          </cell>
          <cell r="O631">
            <v>4</v>
          </cell>
          <cell r="P631" t="str">
            <v>0.545182</v>
          </cell>
          <cell r="Q631" t="str">
            <v>0.611443</v>
          </cell>
          <cell r="R631" t="str">
            <v>0.282207</v>
          </cell>
          <cell r="S631" t="str">
            <v>NO</v>
          </cell>
          <cell r="T631" t="str">
            <v>DELIBERA EGATO N.29 DEL 19/12/2018</v>
          </cell>
        </row>
        <row r="632">
          <cell r="D632" t="str">
            <v>C320248</v>
          </cell>
          <cell r="E632">
            <v>46143</v>
          </cell>
          <cell r="F632">
            <v>46507</v>
          </cell>
          <cell r="G632">
            <v>46179</v>
          </cell>
          <cell r="H632">
            <v>46179</v>
          </cell>
          <cell r="J632" t="str">
            <v>004043</v>
          </cell>
          <cell r="K632">
            <v>-77.319999999999993</v>
          </cell>
          <cell r="L632">
            <v>-77.319999999999993</v>
          </cell>
          <cell r="M632">
            <v>-77.319999999999993</v>
          </cell>
          <cell r="N632" t="str">
            <v>indiretto</v>
          </cell>
          <cell r="O632">
            <v>2</v>
          </cell>
          <cell r="P632">
            <v>1091278</v>
          </cell>
          <cell r="Q632" t="str">
            <v>0.730790</v>
          </cell>
          <cell r="R632" t="str">
            <v>0.296264</v>
          </cell>
          <cell r="S632" t="str">
            <v>NO</v>
          </cell>
          <cell r="T632" t="str">
            <v>DELIBERAZIONE EGATO 2 04/02/2019</v>
          </cell>
        </row>
        <row r="633">
          <cell r="D633" t="str">
            <v>C320286</v>
          </cell>
          <cell r="E633">
            <v>46143</v>
          </cell>
          <cell r="F633">
            <v>46507</v>
          </cell>
          <cell r="G633">
            <v>46179</v>
          </cell>
          <cell r="H633">
            <v>46179</v>
          </cell>
          <cell r="J633" t="str">
            <v>004078</v>
          </cell>
          <cell r="K633">
            <v>-33.130000000000003</v>
          </cell>
          <cell r="L633">
            <v>-33.130000000000003</v>
          </cell>
          <cell r="M633">
            <v>-33.130000000000003</v>
          </cell>
          <cell r="N633" t="str">
            <v>indiretto</v>
          </cell>
          <cell r="O633">
            <v>1</v>
          </cell>
          <cell r="P633" t="str">
            <v>0.916558</v>
          </cell>
          <cell r="Q633" t="str">
            <v>0.642623</v>
          </cell>
          <cell r="R633" t="str">
            <v>0.256196</v>
          </cell>
          <cell r="S633" t="str">
            <v>NO</v>
          </cell>
          <cell r="T633" t="str">
            <v>DELIBERAZIONE EGATO 29 19/12/2018</v>
          </cell>
        </row>
        <row r="634">
          <cell r="D634" t="str">
            <v>C344219</v>
          </cell>
          <cell r="E634">
            <v>46143</v>
          </cell>
          <cell r="F634">
            <v>46507</v>
          </cell>
          <cell r="G634">
            <v>46179</v>
          </cell>
          <cell r="H634">
            <v>46179</v>
          </cell>
          <cell r="J634" t="str">
            <v>004129</v>
          </cell>
          <cell r="K634">
            <v>-113.84</v>
          </cell>
          <cell r="L634">
            <v>-113.84</v>
          </cell>
          <cell r="M634">
            <v>-113.84</v>
          </cell>
          <cell r="N634" t="str">
            <v>indiretto</v>
          </cell>
          <cell r="O634">
            <v>3</v>
          </cell>
          <cell r="P634">
            <v>1091278</v>
          </cell>
          <cell r="Q634" t="str">
            <v>0.691798</v>
          </cell>
          <cell r="R634" t="str">
            <v>0.296264</v>
          </cell>
          <cell r="S634" t="str">
            <v>NO</v>
          </cell>
          <cell r="T634" t="str">
            <v>DELIBERAZIONE EGATO 2 04/02/2019</v>
          </cell>
        </row>
        <row r="635">
          <cell r="D635" t="str">
            <v>C313704</v>
          </cell>
          <cell r="E635">
            <v>46143</v>
          </cell>
          <cell r="F635">
            <v>46507</v>
          </cell>
          <cell r="G635">
            <v>46179</v>
          </cell>
          <cell r="H635">
            <v>46179</v>
          </cell>
          <cell r="J635" t="str">
            <v>004025</v>
          </cell>
          <cell r="K635">
            <v>-99.39</v>
          </cell>
          <cell r="L635">
            <v>-99.39</v>
          </cell>
          <cell r="M635">
            <v>-99.39</v>
          </cell>
          <cell r="N635" t="str">
            <v>indiretto</v>
          </cell>
          <cell r="O635">
            <v>3</v>
          </cell>
          <cell r="P635" t="str">
            <v>0.916558</v>
          </cell>
          <cell r="Q635" t="str">
            <v>0.642623</v>
          </cell>
          <cell r="R635" t="str">
            <v>0.256196</v>
          </cell>
          <cell r="S635" t="str">
            <v>NO</v>
          </cell>
          <cell r="T635" t="str">
            <v>DELIBERAZIONE EGATO 29 19/12/2018</v>
          </cell>
        </row>
        <row r="636">
          <cell r="D636" t="str">
            <v>C314098</v>
          </cell>
          <cell r="E636">
            <v>46143</v>
          </cell>
          <cell r="F636">
            <v>46507</v>
          </cell>
          <cell r="G636">
            <v>46179</v>
          </cell>
          <cell r="H636">
            <v>46179</v>
          </cell>
          <cell r="J636" t="str">
            <v>004095</v>
          </cell>
          <cell r="K636">
            <v>-29.82</v>
          </cell>
          <cell r="L636">
            <v>-29.82</v>
          </cell>
          <cell r="M636">
            <v>-29.82</v>
          </cell>
          <cell r="N636" t="str">
            <v>indiretto</v>
          </cell>
          <cell r="O636">
            <v>1</v>
          </cell>
          <cell r="P636" t="str">
            <v>0.824903</v>
          </cell>
          <cell r="Q636" t="str">
            <v>0.578360</v>
          </cell>
          <cell r="R636" t="str">
            <v>0.230576</v>
          </cell>
          <cell r="S636" t="str">
            <v>NO</v>
          </cell>
          <cell r="T636" t="str">
            <v>DELIBERAZIONE EGATO 29 19/12/2018</v>
          </cell>
        </row>
        <row r="637">
          <cell r="D637" t="str">
            <v>C309895</v>
          </cell>
          <cell r="E637">
            <v>46143</v>
          </cell>
          <cell r="F637">
            <v>46507</v>
          </cell>
          <cell r="G637">
            <v>46179</v>
          </cell>
          <cell r="H637">
            <v>46179</v>
          </cell>
          <cell r="J637" t="str">
            <v>004144</v>
          </cell>
          <cell r="K637">
            <v>-99.39</v>
          </cell>
          <cell r="L637">
            <v>-99.39</v>
          </cell>
          <cell r="M637">
            <v>-99.39</v>
          </cell>
          <cell r="N637" t="str">
            <v>indiretto</v>
          </cell>
          <cell r="O637">
            <v>3</v>
          </cell>
          <cell r="P637" t="str">
            <v>0.916558</v>
          </cell>
          <cell r="Q637" t="str">
            <v>0.642623</v>
          </cell>
          <cell r="R637" t="str">
            <v>0.256196</v>
          </cell>
          <cell r="S637" t="str">
            <v>NO</v>
          </cell>
          <cell r="T637" t="str">
            <v>DELIBERAZIONE EGATO 29 19/12/2018</v>
          </cell>
        </row>
        <row r="638">
          <cell r="D638" t="str">
            <v>C344252</v>
          </cell>
          <cell r="E638">
            <v>46143</v>
          </cell>
          <cell r="F638">
            <v>46507</v>
          </cell>
          <cell r="G638">
            <v>46179</v>
          </cell>
          <cell r="H638">
            <v>46179</v>
          </cell>
          <cell r="J638" t="str">
            <v>004095</v>
          </cell>
          <cell r="K638">
            <v>-89.45</v>
          </cell>
          <cell r="L638">
            <v>-89.45</v>
          </cell>
          <cell r="M638">
            <v>-89.45</v>
          </cell>
          <cell r="N638" t="str">
            <v>indiretto</v>
          </cell>
          <cell r="O638">
            <v>3</v>
          </cell>
          <cell r="P638" t="str">
            <v>0.824903</v>
          </cell>
          <cell r="Q638" t="str">
            <v>0.578360</v>
          </cell>
          <cell r="R638" t="str">
            <v>0.230576</v>
          </cell>
          <cell r="S638" t="str">
            <v>NO</v>
          </cell>
          <cell r="T638" t="str">
            <v>DELIBERAZIONE EGATO 29 19/12/2018</v>
          </cell>
        </row>
        <row r="639">
          <cell r="D639" t="str">
            <v>C313634</v>
          </cell>
          <cell r="E639">
            <v>46143</v>
          </cell>
          <cell r="F639">
            <v>46507</v>
          </cell>
          <cell r="G639">
            <v>46179</v>
          </cell>
          <cell r="H639">
            <v>46179</v>
          </cell>
          <cell r="J639" t="str">
            <v>004116</v>
          </cell>
          <cell r="K639">
            <v>-71.900000000000006</v>
          </cell>
          <cell r="L639">
            <v>-71.900000000000006</v>
          </cell>
          <cell r="M639">
            <v>-71.900000000000006</v>
          </cell>
          <cell r="N639" t="str">
            <v>indiretto</v>
          </cell>
          <cell r="O639">
            <v>3</v>
          </cell>
          <cell r="P639" t="str">
            <v>0.721337</v>
          </cell>
          <cell r="Q639" t="str">
            <v>0.441600</v>
          </cell>
          <cell r="R639" t="str">
            <v>0.150394</v>
          </cell>
          <cell r="S639" t="str">
            <v>NO</v>
          </cell>
          <cell r="T639" t="str">
            <v>DELIBERAZIONE EGATO 2 04/02/2019</v>
          </cell>
        </row>
        <row r="640">
          <cell r="D640" t="str">
            <v>C308488</v>
          </cell>
          <cell r="E640">
            <v>46143</v>
          </cell>
          <cell r="F640">
            <v>46507</v>
          </cell>
          <cell r="G640">
            <v>46179</v>
          </cell>
          <cell r="H640">
            <v>46179</v>
          </cell>
          <cell r="J640" t="str">
            <v>004179</v>
          </cell>
          <cell r="K640">
            <v>-57.55</v>
          </cell>
          <cell r="L640">
            <v>-57.55</v>
          </cell>
          <cell r="M640">
            <v>-57.55</v>
          </cell>
          <cell r="N640" t="str">
            <v>indiretto</v>
          </cell>
          <cell r="O640">
            <v>2</v>
          </cell>
          <cell r="P640" t="str">
            <v>0.802937</v>
          </cell>
          <cell r="Q640" t="str">
            <v>0.568257</v>
          </cell>
          <cell r="R640" t="str">
            <v>0.205575</v>
          </cell>
          <cell r="S640" t="str">
            <v>NO</v>
          </cell>
          <cell r="T640" t="str">
            <v>DELIBERAZIONE EGATO 11 27/03/2019</v>
          </cell>
        </row>
        <row r="641">
          <cell r="D641" t="str">
            <v>C311730</v>
          </cell>
          <cell r="E641">
            <v>46143</v>
          </cell>
          <cell r="F641">
            <v>46507</v>
          </cell>
          <cell r="G641">
            <v>46179</v>
          </cell>
          <cell r="H641">
            <v>46179</v>
          </cell>
          <cell r="J641" t="str">
            <v>004132</v>
          </cell>
          <cell r="K641">
            <v>-76.58</v>
          </cell>
          <cell r="L641">
            <v>-76.58</v>
          </cell>
          <cell r="M641">
            <v>-76.58</v>
          </cell>
          <cell r="N641" t="str">
            <v>indiretto</v>
          </cell>
          <cell r="O641">
            <v>2</v>
          </cell>
          <cell r="P641">
            <v>1091278</v>
          </cell>
          <cell r="Q641" t="str">
            <v>0.746975</v>
          </cell>
          <cell r="R641" t="str">
            <v>0.259818</v>
          </cell>
          <cell r="S641" t="str">
            <v>NO</v>
          </cell>
          <cell r="T641" t="str">
            <v>DELIBERAZIONE EGATO 2 04/02/2019</v>
          </cell>
        </row>
        <row r="642">
          <cell r="D642" t="str">
            <v>C344311</v>
          </cell>
          <cell r="E642">
            <v>46143</v>
          </cell>
          <cell r="F642">
            <v>46507</v>
          </cell>
          <cell r="G642">
            <v>46179</v>
          </cell>
          <cell r="H642">
            <v>46179</v>
          </cell>
          <cell r="J642" t="str">
            <v>004144</v>
          </cell>
          <cell r="K642">
            <v>-132.52000000000001</v>
          </cell>
          <cell r="L642">
            <v>-132.52000000000001</v>
          </cell>
          <cell r="M642">
            <v>-132.52000000000001</v>
          </cell>
          <cell r="N642" t="str">
            <v>indiretto</v>
          </cell>
          <cell r="O642">
            <v>4</v>
          </cell>
          <cell r="P642" t="str">
            <v>0.916558</v>
          </cell>
          <cell r="Q642" t="str">
            <v>0.642623</v>
          </cell>
          <cell r="R642" t="str">
            <v>0.256196</v>
          </cell>
          <cell r="S642" t="str">
            <v>NO</v>
          </cell>
          <cell r="T642" t="str">
            <v>DELIBERAZIONE EGATO 29 19/12/2018</v>
          </cell>
        </row>
        <row r="643">
          <cell r="D643" t="str">
            <v>C344168</v>
          </cell>
          <cell r="E643">
            <v>46143</v>
          </cell>
          <cell r="F643">
            <v>46507</v>
          </cell>
          <cell r="G643">
            <v>46179</v>
          </cell>
          <cell r="H643">
            <v>46179</v>
          </cell>
          <cell r="J643" t="str">
            <v>004130</v>
          </cell>
          <cell r="K643">
            <v>-52.52</v>
          </cell>
          <cell r="L643">
            <v>-52.52</v>
          </cell>
          <cell r="M643">
            <v>-52.52</v>
          </cell>
          <cell r="N643" t="str">
            <v>indiretto</v>
          </cell>
          <cell r="O643">
            <v>2</v>
          </cell>
          <cell r="P643" t="str">
            <v>0.545182</v>
          </cell>
          <cell r="Q643" t="str">
            <v>0.611443</v>
          </cell>
          <cell r="R643" t="str">
            <v>0.282207</v>
          </cell>
          <cell r="S643" t="str">
            <v>NO</v>
          </cell>
          <cell r="T643" t="str">
            <v>DELIBERA EGATO N.29 DEL 19/12/2018</v>
          </cell>
        </row>
        <row r="644">
          <cell r="D644" t="str">
            <v>C344121</v>
          </cell>
          <cell r="E644">
            <v>46143</v>
          </cell>
          <cell r="F644">
            <v>46507</v>
          </cell>
          <cell r="G644">
            <v>46179</v>
          </cell>
          <cell r="H644">
            <v>46179</v>
          </cell>
          <cell r="J644" t="str">
            <v>004078</v>
          </cell>
          <cell r="K644">
            <v>-33.130000000000003</v>
          </cell>
          <cell r="L644">
            <v>-33.130000000000003</v>
          </cell>
          <cell r="M644">
            <v>-33.130000000000003</v>
          </cell>
          <cell r="N644" t="str">
            <v>indiretto</v>
          </cell>
          <cell r="O644">
            <v>1</v>
          </cell>
          <cell r="P644" t="str">
            <v>0.916558</v>
          </cell>
          <cell r="Q644" t="str">
            <v>0.642623</v>
          </cell>
          <cell r="R644" t="str">
            <v>0.256196</v>
          </cell>
          <cell r="S644" t="str">
            <v>NO</v>
          </cell>
          <cell r="T644" t="str">
            <v>DELIBERAZIONE EGATO 29 19/12/2018</v>
          </cell>
        </row>
        <row r="645">
          <cell r="D645" t="str">
            <v>C313491</v>
          </cell>
          <cell r="E645">
            <v>46143</v>
          </cell>
          <cell r="F645">
            <v>46507</v>
          </cell>
          <cell r="G645">
            <v>46179</v>
          </cell>
          <cell r="H645">
            <v>46179</v>
          </cell>
          <cell r="J645" t="str">
            <v>004078</v>
          </cell>
          <cell r="K645">
            <v>-33.130000000000003</v>
          </cell>
          <cell r="L645">
            <v>-33.130000000000003</v>
          </cell>
          <cell r="M645">
            <v>-33.130000000000003</v>
          </cell>
          <cell r="N645" t="str">
            <v>indiretto</v>
          </cell>
          <cell r="O645">
            <v>1</v>
          </cell>
          <cell r="P645" t="str">
            <v>0.916558</v>
          </cell>
          <cell r="Q645" t="str">
            <v>0.642623</v>
          </cell>
          <cell r="R645" t="str">
            <v>0.256196</v>
          </cell>
          <cell r="S645" t="str">
            <v>NO</v>
          </cell>
          <cell r="T645" t="str">
            <v>DELIBERAZIONE EGATO 29 19/12/2018</v>
          </cell>
        </row>
        <row r="646">
          <cell r="D646" t="str">
            <v>C344167</v>
          </cell>
          <cell r="E646">
            <v>46143</v>
          </cell>
          <cell r="F646">
            <v>46507</v>
          </cell>
          <cell r="G646">
            <v>46179</v>
          </cell>
          <cell r="H646">
            <v>46179</v>
          </cell>
          <cell r="J646" t="str">
            <v>004006</v>
          </cell>
          <cell r="K646">
            <v>-79.510000000000005</v>
          </cell>
          <cell r="L646">
            <v>-79.510000000000005</v>
          </cell>
          <cell r="M646">
            <v>-79.510000000000005</v>
          </cell>
          <cell r="N646" t="str">
            <v>indiretto</v>
          </cell>
          <cell r="O646">
            <v>3</v>
          </cell>
          <cell r="P646" t="str">
            <v>0.733246</v>
          </cell>
          <cell r="Q646" t="str">
            <v>0.514098</v>
          </cell>
          <cell r="R646" t="str">
            <v>0.204957</v>
          </cell>
          <cell r="S646" t="str">
            <v>NO</v>
          </cell>
          <cell r="T646" t="str">
            <v>DELIBERAZIONE EGATO 2 04/02/2019</v>
          </cell>
        </row>
        <row r="647">
          <cell r="D647" t="str">
            <v>C344312</v>
          </cell>
          <cell r="E647">
            <v>46143</v>
          </cell>
          <cell r="F647">
            <v>46507</v>
          </cell>
          <cell r="G647">
            <v>46179</v>
          </cell>
          <cell r="H647">
            <v>46179</v>
          </cell>
          <cell r="J647" t="str">
            <v>004009</v>
          </cell>
          <cell r="K647">
            <v>-49.24</v>
          </cell>
          <cell r="L647">
            <v>-49.24</v>
          </cell>
          <cell r="M647">
            <v>-49.24</v>
          </cell>
          <cell r="N647" t="str">
            <v>indiretto</v>
          </cell>
          <cell r="O647">
            <v>2</v>
          </cell>
          <cell r="P647" t="str">
            <v>0.716943</v>
          </cell>
          <cell r="Q647" t="str">
            <v>0.463071</v>
          </cell>
          <cell r="R647" t="str">
            <v>0.169064</v>
          </cell>
          <cell r="S647" t="str">
            <v>NO</v>
          </cell>
          <cell r="T647" t="str">
            <v>DELIBERAZIONE EGATO 2 04/02/2019</v>
          </cell>
        </row>
        <row r="648">
          <cell r="D648" t="str">
            <v>C344209</v>
          </cell>
          <cell r="E648">
            <v>46143</v>
          </cell>
          <cell r="F648">
            <v>46507</v>
          </cell>
          <cell r="G648">
            <v>46179</v>
          </cell>
          <cell r="H648">
            <v>46179</v>
          </cell>
          <cell r="J648" t="str">
            <v>004199</v>
          </cell>
          <cell r="K648">
            <v>-38.659999999999997</v>
          </cell>
          <cell r="L648">
            <v>-38.659999999999997</v>
          </cell>
          <cell r="M648">
            <v>-38.659999999999997</v>
          </cell>
          <cell r="N648" t="str">
            <v>indiretto</v>
          </cell>
          <cell r="O648">
            <v>1</v>
          </cell>
          <cell r="P648">
            <v>1091278</v>
          </cell>
          <cell r="Q648" t="str">
            <v>0.730790</v>
          </cell>
          <cell r="R648" t="str">
            <v>0.296264</v>
          </cell>
          <cell r="S648" t="str">
            <v>NO</v>
          </cell>
          <cell r="T648" t="str">
            <v>DELIBERAZIONE EGATO 2 04/02/2019</v>
          </cell>
        </row>
        <row r="649">
          <cell r="D649" t="str">
            <v>C310410</v>
          </cell>
          <cell r="E649">
            <v>46143</v>
          </cell>
          <cell r="F649">
            <v>46507</v>
          </cell>
          <cell r="G649">
            <v>46179</v>
          </cell>
          <cell r="H649">
            <v>46179</v>
          </cell>
          <cell r="J649" t="str">
            <v>004034</v>
          </cell>
          <cell r="K649">
            <v>-66.260000000000005</v>
          </cell>
          <cell r="L649">
            <v>-66.260000000000005</v>
          </cell>
          <cell r="M649">
            <v>-66.260000000000005</v>
          </cell>
          <cell r="N649" t="str">
            <v>indiretto</v>
          </cell>
          <cell r="O649">
            <v>2</v>
          </cell>
          <cell r="P649" t="str">
            <v>0.916558</v>
          </cell>
          <cell r="Q649" t="str">
            <v>0.642623</v>
          </cell>
          <cell r="R649" t="str">
            <v>0.256196</v>
          </cell>
          <cell r="S649" t="str">
            <v>NO</v>
          </cell>
          <cell r="T649" t="str">
            <v>DELIBERAZIONE EGATO 29 19/12/2018</v>
          </cell>
        </row>
        <row r="650">
          <cell r="D650" t="str">
            <v>C117795</v>
          </cell>
          <cell r="E650">
            <v>46143</v>
          </cell>
          <cell r="F650">
            <v>46507</v>
          </cell>
          <cell r="G650">
            <v>46179</v>
          </cell>
          <cell r="H650">
            <v>46179</v>
          </cell>
          <cell r="J650" t="str">
            <v>004028</v>
          </cell>
          <cell r="K650">
            <v>-66.260000000000005</v>
          </cell>
          <cell r="L650">
            <v>-66.260000000000005</v>
          </cell>
          <cell r="M650">
            <v>-66.260000000000005</v>
          </cell>
          <cell r="N650" t="str">
            <v>indiretto</v>
          </cell>
          <cell r="O650">
            <v>2</v>
          </cell>
          <cell r="P650" t="str">
            <v>0.916558</v>
          </cell>
          <cell r="Q650" t="str">
            <v>0.642623</v>
          </cell>
          <cell r="R650" t="str">
            <v>0.256196</v>
          </cell>
          <cell r="S650" t="str">
            <v>NO</v>
          </cell>
          <cell r="T650" t="str">
            <v>DELIBERAZIONE EGATO 29 19/12/2018</v>
          </cell>
        </row>
        <row r="651">
          <cell r="D651" t="str">
            <v>C344218</v>
          </cell>
          <cell r="E651">
            <v>46143</v>
          </cell>
          <cell r="F651">
            <v>46507</v>
          </cell>
          <cell r="G651">
            <v>46179</v>
          </cell>
          <cell r="H651">
            <v>46179</v>
          </cell>
          <cell r="J651" t="str">
            <v>004130</v>
          </cell>
          <cell r="K651">
            <v>-105.03</v>
          </cell>
          <cell r="L651">
            <v>-105.03</v>
          </cell>
          <cell r="M651">
            <v>-105.03</v>
          </cell>
          <cell r="N651" t="str">
            <v>indiretto</v>
          </cell>
          <cell r="O651">
            <v>4</v>
          </cell>
          <cell r="P651" t="str">
            <v>0.545182</v>
          </cell>
          <cell r="Q651" t="str">
            <v>0.611443</v>
          </cell>
          <cell r="R651" t="str">
            <v>0.282207</v>
          </cell>
          <cell r="S651" t="str">
            <v>NO</v>
          </cell>
          <cell r="T651" t="str">
            <v>DELIBERA EGATO N.29 DEL 19/12/2018</v>
          </cell>
        </row>
        <row r="652">
          <cell r="D652" t="str">
            <v>C309879</v>
          </cell>
          <cell r="E652">
            <v>46143</v>
          </cell>
          <cell r="F652">
            <v>46507</v>
          </cell>
          <cell r="G652">
            <v>46179</v>
          </cell>
          <cell r="H652">
            <v>46179</v>
          </cell>
          <cell r="J652" t="str">
            <v>004034</v>
          </cell>
          <cell r="K652">
            <v>-33.130000000000003</v>
          </cell>
          <cell r="L652">
            <v>-33.130000000000003</v>
          </cell>
          <cell r="M652">
            <v>-33.130000000000003</v>
          </cell>
          <cell r="N652" t="str">
            <v>indiretto</v>
          </cell>
          <cell r="O652">
            <v>1</v>
          </cell>
          <cell r="P652" t="str">
            <v>0.916558</v>
          </cell>
          <cell r="Q652" t="str">
            <v>0.642623</v>
          </cell>
          <cell r="R652" t="str">
            <v>0.256196</v>
          </cell>
          <cell r="S652" t="str">
            <v>NO</v>
          </cell>
          <cell r="T652" t="str">
            <v>DELIBERAZIONE EGATO 29 19/12/2018</v>
          </cell>
        </row>
        <row r="653">
          <cell r="D653" t="str">
            <v>C337634</v>
          </cell>
          <cell r="E653">
            <v>46143</v>
          </cell>
          <cell r="F653">
            <v>46507</v>
          </cell>
          <cell r="G653">
            <v>46179</v>
          </cell>
          <cell r="H653">
            <v>46179</v>
          </cell>
          <cell r="J653" t="str">
            <v>004081</v>
          </cell>
          <cell r="K653">
            <v>-151.79</v>
          </cell>
          <cell r="L653">
            <v>-151.79</v>
          </cell>
          <cell r="M653">
            <v>-151.79</v>
          </cell>
          <cell r="N653" t="str">
            <v>indiretto</v>
          </cell>
          <cell r="O653">
            <v>4</v>
          </cell>
          <cell r="P653">
            <v>1091278</v>
          </cell>
          <cell r="Q653" t="str">
            <v>0.691798</v>
          </cell>
          <cell r="R653" t="str">
            <v>0.296264</v>
          </cell>
          <cell r="S653" t="str">
            <v>NO</v>
          </cell>
          <cell r="T653" t="str">
            <v>DELIBERAZIONE EGATO 2 04/02/2019</v>
          </cell>
        </row>
        <row r="654">
          <cell r="D654" t="str">
            <v>C125449</v>
          </cell>
          <cell r="E654">
            <v>46143</v>
          </cell>
          <cell r="F654">
            <v>46507</v>
          </cell>
          <cell r="G654">
            <v>46179</v>
          </cell>
          <cell r="H654">
            <v>46179</v>
          </cell>
          <cell r="J654" t="str">
            <v>004061</v>
          </cell>
          <cell r="K654">
            <v>-165.65</v>
          </cell>
          <cell r="L654">
            <v>-165.65</v>
          </cell>
          <cell r="M654">
            <v>-165.65</v>
          </cell>
          <cell r="N654" t="str">
            <v>indiretto</v>
          </cell>
          <cell r="O654">
            <v>5</v>
          </cell>
          <cell r="P654" t="str">
            <v>0.916558</v>
          </cell>
          <cell r="Q654" t="str">
            <v>0.642623</v>
          </cell>
          <cell r="R654" t="str">
            <v>0.256196</v>
          </cell>
          <cell r="S654" t="str">
            <v>NO</v>
          </cell>
          <cell r="T654" t="str">
            <v>DELIBERAZIONE EGATO 29 19/12/2018</v>
          </cell>
        </row>
        <row r="655">
          <cell r="D655" t="str">
            <v>C314522</v>
          </cell>
          <cell r="E655">
            <v>46143</v>
          </cell>
          <cell r="F655">
            <v>46507</v>
          </cell>
          <cell r="G655">
            <v>46179</v>
          </cell>
          <cell r="H655">
            <v>46179</v>
          </cell>
          <cell r="J655" t="str">
            <v>004034</v>
          </cell>
          <cell r="K655">
            <v>-165.65</v>
          </cell>
          <cell r="L655">
            <v>-165.65</v>
          </cell>
          <cell r="M655">
            <v>-165.65</v>
          </cell>
          <cell r="N655" t="str">
            <v>indiretto</v>
          </cell>
          <cell r="O655">
            <v>5</v>
          </cell>
          <cell r="P655" t="str">
            <v>0.916558</v>
          </cell>
          <cell r="Q655" t="str">
            <v>0.642623</v>
          </cell>
          <cell r="R655" t="str">
            <v>0.256196</v>
          </cell>
          <cell r="S655" t="str">
            <v>NO</v>
          </cell>
          <cell r="T655" t="str">
            <v>DELIBERAZIONE EGATO 29 19/12/2018</v>
          </cell>
        </row>
        <row r="656">
          <cell r="D656" t="str">
            <v>C344310</v>
          </cell>
          <cell r="E656">
            <v>46143</v>
          </cell>
          <cell r="F656">
            <v>46507</v>
          </cell>
          <cell r="G656">
            <v>46179</v>
          </cell>
          <cell r="H656">
            <v>46179</v>
          </cell>
          <cell r="J656" t="str">
            <v>004130</v>
          </cell>
          <cell r="K656">
            <v>-105.03</v>
          </cell>
          <cell r="L656">
            <v>-105.03</v>
          </cell>
          <cell r="M656">
            <v>-105.03</v>
          </cell>
          <cell r="N656" t="str">
            <v>indiretto</v>
          </cell>
          <cell r="O656">
            <v>4</v>
          </cell>
          <cell r="P656" t="str">
            <v>0.545182</v>
          </cell>
          <cell r="Q656" t="str">
            <v>0.611443</v>
          </cell>
          <cell r="R656" t="str">
            <v>0.282207</v>
          </cell>
          <cell r="S656" t="str">
            <v>NO</v>
          </cell>
          <cell r="T656" t="str">
            <v>DELIBERA EGATO N.29 DEL 19/12/2018</v>
          </cell>
        </row>
        <row r="657">
          <cell r="D657" t="str">
            <v>C319964</v>
          </cell>
          <cell r="E657">
            <v>46143</v>
          </cell>
          <cell r="F657">
            <v>46507</v>
          </cell>
          <cell r="G657">
            <v>46179</v>
          </cell>
          <cell r="H657">
            <v>46179</v>
          </cell>
          <cell r="J657" t="str">
            <v>004078</v>
          </cell>
          <cell r="K657">
            <v>-99.39</v>
          </cell>
          <cell r="L657">
            <v>-99.39</v>
          </cell>
          <cell r="M657">
            <v>-99.39</v>
          </cell>
          <cell r="N657" t="str">
            <v>indiretto</v>
          </cell>
          <cell r="O657">
            <v>3</v>
          </cell>
          <cell r="P657" t="str">
            <v>0.916558</v>
          </cell>
          <cell r="Q657" t="str">
            <v>0.642623</v>
          </cell>
          <cell r="R657" t="str">
            <v>0.256196</v>
          </cell>
          <cell r="S657" t="str">
            <v>NO</v>
          </cell>
          <cell r="T657" t="str">
            <v>DELIBERAZIONE EGATO 29 19/12/2018</v>
          </cell>
        </row>
        <row r="658">
          <cell r="D658" t="str">
            <v>C308561</v>
          </cell>
          <cell r="E658">
            <v>46143</v>
          </cell>
          <cell r="F658">
            <v>46507</v>
          </cell>
          <cell r="G658">
            <v>46179</v>
          </cell>
          <cell r="H658">
            <v>46179</v>
          </cell>
          <cell r="J658" t="str">
            <v>004040</v>
          </cell>
          <cell r="K658">
            <v>-33.130000000000003</v>
          </cell>
          <cell r="L658">
            <v>-33.130000000000003</v>
          </cell>
          <cell r="M658">
            <v>-33.130000000000003</v>
          </cell>
          <cell r="N658" t="str">
            <v>indiretto</v>
          </cell>
          <cell r="O658">
            <v>1</v>
          </cell>
          <cell r="P658" t="str">
            <v>0.916558</v>
          </cell>
          <cell r="Q658" t="str">
            <v>0.642623</v>
          </cell>
          <cell r="R658" t="str">
            <v>0.256196</v>
          </cell>
          <cell r="S658" t="str">
            <v>NO</v>
          </cell>
          <cell r="T658" t="str">
            <v>DELIBERAZIONE EGATO 29 19/12/2018</v>
          </cell>
        </row>
        <row r="659">
          <cell r="D659" t="str">
            <v>C344198</v>
          </cell>
          <cell r="E659">
            <v>46143</v>
          </cell>
          <cell r="F659">
            <v>46507</v>
          </cell>
          <cell r="G659">
            <v>46179</v>
          </cell>
          <cell r="H659">
            <v>46179</v>
          </cell>
          <cell r="J659" t="str">
            <v>004066</v>
          </cell>
          <cell r="K659">
            <v>-66.260000000000005</v>
          </cell>
          <cell r="L659">
            <v>-66.260000000000005</v>
          </cell>
          <cell r="M659">
            <v>-66.260000000000005</v>
          </cell>
          <cell r="N659" t="str">
            <v>indiretto</v>
          </cell>
          <cell r="O659">
            <v>2</v>
          </cell>
          <cell r="P659" t="str">
            <v>0.916558</v>
          </cell>
          <cell r="Q659" t="str">
            <v>0.642623</v>
          </cell>
          <cell r="R659" t="str">
            <v>0.256196</v>
          </cell>
          <cell r="S659" t="str">
            <v>NO</v>
          </cell>
          <cell r="T659" t="str">
            <v>DELIBERAZIONE EGATO 29 19/12/2018</v>
          </cell>
        </row>
        <row r="660">
          <cell r="D660">
            <v>2000015383</v>
          </cell>
          <cell r="E660">
            <v>46143</v>
          </cell>
          <cell r="F660">
            <v>46507</v>
          </cell>
          <cell r="G660">
            <v>46143</v>
          </cell>
          <cell r="H660">
            <v>46507</v>
          </cell>
          <cell r="J660" t="str">
            <v>004074</v>
          </cell>
          <cell r="K660">
            <v>-30.03</v>
          </cell>
          <cell r="L660">
            <v>-30.03</v>
          </cell>
          <cell r="M660">
            <v>-30.03</v>
          </cell>
          <cell r="N660" t="str">
            <v>diretto</v>
          </cell>
          <cell r="O660">
            <v>1</v>
          </cell>
          <cell r="P660" t="str">
            <v>0.638867</v>
          </cell>
          <cell r="Q660" t="str">
            <v>0.746975</v>
          </cell>
          <cell r="R660" t="str">
            <v>0.259818</v>
          </cell>
          <cell r="S660" t="str">
            <v>NO</v>
          </cell>
          <cell r="T660" t="str">
            <v xml:space="preserve">DELIBERA EGATO/4 N. 29 DEL 19/12/2018  </v>
          </cell>
        </row>
        <row r="661">
          <cell r="D661">
            <v>2000039272</v>
          </cell>
          <cell r="E661">
            <v>46143</v>
          </cell>
          <cell r="F661">
            <v>46507</v>
          </cell>
          <cell r="G661">
            <v>46143</v>
          </cell>
          <cell r="H661">
            <v>46507</v>
          </cell>
          <cell r="J661" t="str">
            <v>004130</v>
          </cell>
          <cell r="K661">
            <v>-9.9499999999999993</v>
          </cell>
          <cell r="L661">
            <v>-9.9499999999999993</v>
          </cell>
          <cell r="M661">
            <v>-9.9499999999999993</v>
          </cell>
          <cell r="N661" t="str">
            <v>diretto</v>
          </cell>
          <cell r="O661">
            <v>1</v>
          </cell>
          <cell r="P661" t="str">
            <v>0.545182</v>
          </cell>
          <cell r="Q661" t="str">
            <v>0.611443</v>
          </cell>
          <cell r="R661" t="str">
            <v>0.282207</v>
          </cell>
          <cell r="S661" t="str">
            <v>NO</v>
          </cell>
          <cell r="T661" t="str">
            <v>DELIBERA EGATO N.29 DEL 19/12/2018</v>
          </cell>
        </row>
        <row r="662">
          <cell r="D662">
            <v>2000048300</v>
          </cell>
          <cell r="E662">
            <v>46143</v>
          </cell>
          <cell r="F662">
            <v>46507</v>
          </cell>
          <cell r="G662">
            <v>46143</v>
          </cell>
          <cell r="H662">
            <v>46507</v>
          </cell>
          <cell r="J662" t="str">
            <v>004019</v>
          </cell>
          <cell r="K662">
            <v>-105.03</v>
          </cell>
          <cell r="L662">
            <v>-105.03</v>
          </cell>
          <cell r="M662">
            <v>-105.03</v>
          </cell>
          <cell r="N662" t="str">
            <v>diretto</v>
          </cell>
          <cell r="O662">
            <v>4</v>
          </cell>
          <cell r="P662" t="str">
            <v>0.545182</v>
          </cell>
          <cell r="Q662" t="str">
            <v>0.611443</v>
          </cell>
          <cell r="R662" t="str">
            <v>0.282207</v>
          </cell>
          <cell r="S662" t="str">
            <v>NO</v>
          </cell>
          <cell r="T662" t="str">
            <v>DELIBERA EGATO N.29 DEL 19/12/2018</v>
          </cell>
        </row>
        <row r="663">
          <cell r="D663">
            <v>2000044788</v>
          </cell>
          <cell r="E663">
            <v>46143</v>
          </cell>
          <cell r="F663">
            <v>46507</v>
          </cell>
          <cell r="G663">
            <v>46143</v>
          </cell>
          <cell r="H663">
            <v>46507</v>
          </cell>
          <cell r="J663" t="str">
            <v>004090</v>
          </cell>
          <cell r="K663">
            <v>-52.52</v>
          </cell>
          <cell r="L663">
            <v>-52.52</v>
          </cell>
          <cell r="M663">
            <v>-52.52</v>
          </cell>
          <cell r="N663" t="str">
            <v>diretto</v>
          </cell>
          <cell r="O663">
            <v>2</v>
          </cell>
          <cell r="P663" t="str">
            <v>0.545182</v>
          </cell>
          <cell r="Q663" t="str">
            <v>0.611443</v>
          </cell>
          <cell r="R663" t="str">
            <v>0.282207</v>
          </cell>
          <cell r="S663" t="str">
            <v>NO</v>
          </cell>
          <cell r="T663" t="str">
            <v>DELIBERA EGATO N.29 DEL 19/12/2018</v>
          </cell>
        </row>
        <row r="664">
          <cell r="D664">
            <v>2000044523</v>
          </cell>
          <cell r="E664">
            <v>46143</v>
          </cell>
          <cell r="F664">
            <v>46507</v>
          </cell>
          <cell r="G664">
            <v>46143</v>
          </cell>
          <cell r="H664">
            <v>46507</v>
          </cell>
          <cell r="J664" t="str">
            <v>004190</v>
          </cell>
          <cell r="K664">
            <v>-49.75</v>
          </cell>
          <cell r="L664">
            <v>-49.75</v>
          </cell>
          <cell r="M664">
            <v>-49.75</v>
          </cell>
          <cell r="N664" t="str">
            <v>diretto</v>
          </cell>
          <cell r="O664">
            <v>5</v>
          </cell>
          <cell r="P664" t="str">
            <v>0.545182</v>
          </cell>
          <cell r="Q664" t="str">
            <v>0.611443</v>
          </cell>
          <cell r="R664" t="str">
            <v>0.282207</v>
          </cell>
          <cell r="S664" t="str">
            <v>NO</v>
          </cell>
          <cell r="T664" t="str">
            <v>DELIBERA EGATO N.29 DEL 19/12/2018</v>
          </cell>
        </row>
        <row r="665">
          <cell r="D665">
            <v>2000041577</v>
          </cell>
          <cell r="E665">
            <v>46143</v>
          </cell>
          <cell r="F665">
            <v>46507</v>
          </cell>
          <cell r="G665">
            <v>46143</v>
          </cell>
          <cell r="H665">
            <v>46507</v>
          </cell>
          <cell r="J665" t="str">
            <v>004245</v>
          </cell>
          <cell r="K665">
            <v>-131.29</v>
          </cell>
          <cell r="L665">
            <v>-131.29</v>
          </cell>
          <cell r="M665">
            <v>-131.29</v>
          </cell>
          <cell r="N665" t="str">
            <v>diretto</v>
          </cell>
          <cell r="O665">
            <v>5</v>
          </cell>
          <cell r="P665" t="str">
            <v>0.545182</v>
          </cell>
          <cell r="Q665" t="str">
            <v>0.611443</v>
          </cell>
          <cell r="R665" t="str">
            <v>0.282207</v>
          </cell>
          <cell r="S665" t="str">
            <v>NO</v>
          </cell>
          <cell r="T665" t="str">
            <v>DELIBERA EGATO N.29 DEL 19/12/2018</v>
          </cell>
        </row>
        <row r="666">
          <cell r="D666">
            <v>2000037725</v>
          </cell>
          <cell r="E666">
            <v>46143</v>
          </cell>
          <cell r="F666">
            <v>46507</v>
          </cell>
          <cell r="G666">
            <v>46143</v>
          </cell>
          <cell r="H666">
            <v>46507</v>
          </cell>
          <cell r="J666" t="str">
            <v>004130</v>
          </cell>
          <cell r="K666">
            <v>-69.650000000000006</v>
          </cell>
          <cell r="L666">
            <v>-69.650000000000006</v>
          </cell>
          <cell r="M666">
            <v>-69.650000000000006</v>
          </cell>
          <cell r="N666" t="str">
            <v>diretto</v>
          </cell>
          <cell r="O666">
            <v>7</v>
          </cell>
          <cell r="P666" t="str">
            <v>0.545182</v>
          </cell>
          <cell r="Q666" t="str">
            <v>0.611443</v>
          </cell>
          <cell r="R666" t="str">
            <v>0.282207</v>
          </cell>
          <cell r="S666" t="str">
            <v>NO</v>
          </cell>
          <cell r="T666" t="str">
            <v>DELIBERA EGATO N.29 DEL 19/12/2018</v>
          </cell>
        </row>
        <row r="667">
          <cell r="D667">
            <v>4009051202</v>
          </cell>
          <cell r="E667">
            <v>46143</v>
          </cell>
          <cell r="F667">
            <v>46507</v>
          </cell>
          <cell r="G667">
            <v>46143</v>
          </cell>
          <cell r="H667">
            <v>46507</v>
          </cell>
          <cell r="J667" t="str">
            <v>004009</v>
          </cell>
          <cell r="K667">
            <v>-26.17</v>
          </cell>
          <cell r="L667">
            <v>-26.17</v>
          </cell>
          <cell r="M667">
            <v>-26.17</v>
          </cell>
          <cell r="N667" t="str">
            <v>diretto</v>
          </cell>
          <cell r="O667">
            <v>2</v>
          </cell>
          <cell r="P667" t="str">
            <v>0.716943</v>
          </cell>
          <cell r="Q667" t="str">
            <v>0.463071</v>
          </cell>
          <cell r="R667" t="str">
            <v>0.169064</v>
          </cell>
          <cell r="S667" t="str">
            <v>NO</v>
          </cell>
          <cell r="T667" t="str">
            <v>DELIBERAZIONE EGATO 2 04/02/2019</v>
          </cell>
        </row>
        <row r="668">
          <cell r="D668">
            <v>4009002900</v>
          </cell>
          <cell r="E668">
            <v>46143</v>
          </cell>
          <cell r="F668">
            <v>46507</v>
          </cell>
          <cell r="G668">
            <v>46143</v>
          </cell>
          <cell r="H668">
            <v>46507</v>
          </cell>
          <cell r="J668" t="str">
            <v>004009</v>
          </cell>
          <cell r="K668">
            <v>-39.25</v>
          </cell>
          <cell r="L668">
            <v>-39.25</v>
          </cell>
          <cell r="M668">
            <v>-39.25</v>
          </cell>
          <cell r="N668" t="str">
            <v>diretto</v>
          </cell>
          <cell r="O668">
            <v>3</v>
          </cell>
          <cell r="P668" t="str">
            <v>0.716943</v>
          </cell>
          <cell r="Q668" t="str">
            <v>0.463071</v>
          </cell>
          <cell r="R668" t="str">
            <v>0.169064</v>
          </cell>
          <cell r="S668" t="str">
            <v>NO</v>
          </cell>
          <cell r="T668" t="str">
            <v>DELIBERAZIONE EGATO 2 04/02/2019</v>
          </cell>
        </row>
        <row r="669">
          <cell r="D669">
            <v>2000012498</v>
          </cell>
          <cell r="E669">
            <v>46143</v>
          </cell>
          <cell r="F669">
            <v>46507</v>
          </cell>
          <cell r="G669">
            <v>46143</v>
          </cell>
          <cell r="H669">
            <v>46507</v>
          </cell>
          <cell r="J669" t="str">
            <v>004009</v>
          </cell>
          <cell r="K669">
            <v>-39.25</v>
          </cell>
          <cell r="L669">
            <v>-39.25</v>
          </cell>
          <cell r="M669">
            <v>-39.25</v>
          </cell>
          <cell r="N669" t="str">
            <v>diretto</v>
          </cell>
          <cell r="O669">
            <v>3</v>
          </cell>
          <cell r="P669" t="str">
            <v>0.716943</v>
          </cell>
          <cell r="Q669" t="str">
            <v>0.463071</v>
          </cell>
          <cell r="R669" t="str">
            <v>0.169064</v>
          </cell>
          <cell r="S669" t="str">
            <v>NO</v>
          </cell>
          <cell r="T669" t="str">
            <v>DELIBERAZIONE EGATO 2 04/02/2019</v>
          </cell>
        </row>
        <row r="670">
          <cell r="D670">
            <v>2000054548</v>
          </cell>
          <cell r="E670">
            <v>46143</v>
          </cell>
          <cell r="F670">
            <v>46507</v>
          </cell>
          <cell r="G670">
            <v>46143</v>
          </cell>
          <cell r="H670">
            <v>46507</v>
          </cell>
          <cell r="J670" t="str">
            <v>004009</v>
          </cell>
          <cell r="K670">
            <v>-73.86</v>
          </cell>
          <cell r="L670">
            <v>-73.86</v>
          </cell>
          <cell r="M670">
            <v>-73.86</v>
          </cell>
          <cell r="N670" t="str">
            <v>diretto</v>
          </cell>
          <cell r="O670">
            <v>3</v>
          </cell>
          <cell r="P670" t="str">
            <v>0.716943</v>
          </cell>
          <cell r="Q670" t="str">
            <v>0.463071</v>
          </cell>
          <cell r="R670" t="str">
            <v>0.169064</v>
          </cell>
          <cell r="S670" t="str">
            <v>NO</v>
          </cell>
          <cell r="T670" t="str">
            <v>DELIBERAZIONE EGATO 2 04/02/2019</v>
          </cell>
        </row>
        <row r="671">
          <cell r="D671">
            <v>2000052938</v>
          </cell>
          <cell r="E671">
            <v>46143</v>
          </cell>
          <cell r="F671">
            <v>46507</v>
          </cell>
          <cell r="G671">
            <v>46143</v>
          </cell>
          <cell r="H671">
            <v>46507</v>
          </cell>
          <cell r="J671" t="str">
            <v>004012</v>
          </cell>
          <cell r="K671">
            <v>-123.1</v>
          </cell>
          <cell r="L671">
            <v>-123.1</v>
          </cell>
          <cell r="M671">
            <v>-123.1</v>
          </cell>
          <cell r="N671" t="str">
            <v>diretto</v>
          </cell>
          <cell r="O671">
            <v>5</v>
          </cell>
          <cell r="P671" t="str">
            <v>0.716943</v>
          </cell>
          <cell r="Q671" t="str">
            <v>0.463071</v>
          </cell>
          <cell r="R671" t="str">
            <v>0.169064</v>
          </cell>
          <cell r="S671" t="str">
            <v>NO</v>
          </cell>
          <cell r="T671" t="str">
            <v>DELIBERAZIONE EGATO 2 04/02/2019</v>
          </cell>
        </row>
        <row r="672">
          <cell r="D672">
            <v>2000049629</v>
          </cell>
          <cell r="E672">
            <v>46143</v>
          </cell>
          <cell r="F672">
            <v>46507</v>
          </cell>
          <cell r="G672">
            <v>46143</v>
          </cell>
          <cell r="H672">
            <v>46507</v>
          </cell>
          <cell r="J672" t="str">
            <v>004009</v>
          </cell>
          <cell r="K672">
            <v>-13.08</v>
          </cell>
          <cell r="L672">
            <v>-13.08</v>
          </cell>
          <cell r="M672">
            <v>-13.08</v>
          </cell>
          <cell r="N672" t="str">
            <v>diretto</v>
          </cell>
          <cell r="O672">
            <v>1</v>
          </cell>
          <cell r="P672" t="str">
            <v>0.716943</v>
          </cell>
          <cell r="Q672" t="str">
            <v>0.463071</v>
          </cell>
          <cell r="R672" t="str">
            <v>0.169064</v>
          </cell>
          <cell r="S672" t="str">
            <v>NO</v>
          </cell>
          <cell r="T672" t="str">
            <v>DELIBERAZIONE EGATO 2 04/02/2019</v>
          </cell>
        </row>
        <row r="673">
          <cell r="D673" t="str">
            <v>024803</v>
          </cell>
          <cell r="E673">
            <v>46143</v>
          </cell>
          <cell r="F673">
            <v>46507</v>
          </cell>
          <cell r="G673">
            <v>46143</v>
          </cell>
          <cell r="H673">
            <v>46507</v>
          </cell>
          <cell r="J673" t="str">
            <v>004043</v>
          </cell>
          <cell r="K673">
            <v>-193.3</v>
          </cell>
          <cell r="L673">
            <v>-193.3</v>
          </cell>
          <cell r="M673">
            <v>-193.3</v>
          </cell>
          <cell r="N673" t="str">
            <v>diretto</v>
          </cell>
          <cell r="O673">
            <v>5</v>
          </cell>
          <cell r="P673">
            <v>1091278</v>
          </cell>
          <cell r="Q673" t="str">
            <v>0.730790</v>
          </cell>
          <cell r="R673" t="str">
            <v>0.296264</v>
          </cell>
          <cell r="S673" t="str">
            <v>NO</v>
          </cell>
          <cell r="T673" t="str">
            <v>DELIBERAZIONE EGATO 2 04/02/2019</v>
          </cell>
        </row>
        <row r="674">
          <cell r="D674" t="str">
            <v>023381</v>
          </cell>
          <cell r="E674">
            <v>46143</v>
          </cell>
          <cell r="F674">
            <v>46507</v>
          </cell>
          <cell r="G674">
            <v>46143</v>
          </cell>
          <cell r="H674">
            <v>46507</v>
          </cell>
          <cell r="J674" t="str">
            <v>004081</v>
          </cell>
          <cell r="K674">
            <v>-189.74</v>
          </cell>
          <cell r="L674">
            <v>-189.74</v>
          </cell>
          <cell r="M674">
            <v>-189.74</v>
          </cell>
          <cell r="N674" t="str">
            <v>diretto</v>
          </cell>
          <cell r="O674">
            <v>5</v>
          </cell>
          <cell r="P674">
            <v>1091278</v>
          </cell>
          <cell r="Q674" t="str">
            <v>0.691798</v>
          </cell>
          <cell r="R674" t="str">
            <v>0.296264</v>
          </cell>
          <cell r="S674" t="str">
            <v>NO</v>
          </cell>
          <cell r="T674" t="str">
            <v>DELIBERAZIONE EGATO 2 04/02/2019</v>
          </cell>
        </row>
        <row r="675">
          <cell r="D675" t="str">
            <v>022325</v>
          </cell>
          <cell r="E675">
            <v>46143</v>
          </cell>
          <cell r="F675">
            <v>46507</v>
          </cell>
          <cell r="G675">
            <v>46143</v>
          </cell>
          <cell r="H675">
            <v>46507</v>
          </cell>
          <cell r="J675" t="str">
            <v>004086</v>
          </cell>
          <cell r="K675">
            <v>-193.3</v>
          </cell>
          <cell r="L675">
            <v>-193.3</v>
          </cell>
          <cell r="M675">
            <v>-193.3</v>
          </cell>
          <cell r="N675" t="str">
            <v>diretto</v>
          </cell>
          <cell r="O675">
            <v>5</v>
          </cell>
          <cell r="P675">
            <v>1091278</v>
          </cell>
          <cell r="Q675" t="str">
            <v>0.730790</v>
          </cell>
          <cell r="R675" t="str">
            <v>0.296264</v>
          </cell>
          <cell r="S675" t="str">
            <v>NO</v>
          </cell>
          <cell r="T675" t="str">
            <v>DELIBERAZIONE EGATO 2 04/02/2019</v>
          </cell>
        </row>
        <row r="676">
          <cell r="D676" t="str">
            <v>025495</v>
          </cell>
          <cell r="E676">
            <v>46143</v>
          </cell>
          <cell r="F676">
            <v>46507</v>
          </cell>
          <cell r="G676">
            <v>46143</v>
          </cell>
          <cell r="H676">
            <v>46507</v>
          </cell>
          <cell r="J676" t="str">
            <v>004043</v>
          </cell>
          <cell r="K676">
            <v>-115.98</v>
          </cell>
          <cell r="L676">
            <v>-115.98</v>
          </cell>
          <cell r="M676">
            <v>-115.98</v>
          </cell>
          <cell r="N676" t="str">
            <v>diretto</v>
          </cell>
          <cell r="O676">
            <v>3</v>
          </cell>
          <cell r="P676">
            <v>1091278</v>
          </cell>
          <cell r="Q676" t="str">
            <v>0.730790</v>
          </cell>
          <cell r="R676" t="str">
            <v>0.296264</v>
          </cell>
          <cell r="S676" t="str">
            <v>NO</v>
          </cell>
          <cell r="T676" t="str">
            <v>DELIBERAZIONE EGATO 2 04/02/2019</v>
          </cell>
        </row>
        <row r="677">
          <cell r="D677" t="str">
            <v>012186</v>
          </cell>
          <cell r="E677">
            <v>46143</v>
          </cell>
          <cell r="F677">
            <v>46507</v>
          </cell>
          <cell r="G677">
            <v>46143</v>
          </cell>
          <cell r="H677">
            <v>46507</v>
          </cell>
          <cell r="J677" t="str">
            <v>004081</v>
          </cell>
          <cell r="K677">
            <v>-37.950000000000003</v>
          </cell>
          <cell r="L677">
            <v>-37.950000000000003</v>
          </cell>
          <cell r="M677">
            <v>-37.950000000000003</v>
          </cell>
          <cell r="N677" t="str">
            <v>diretto</v>
          </cell>
          <cell r="O677">
            <v>1</v>
          </cell>
          <cell r="P677">
            <v>1091278</v>
          </cell>
          <cell r="Q677" t="str">
            <v>0.691798</v>
          </cell>
          <cell r="R677" t="str">
            <v>0.296264</v>
          </cell>
          <cell r="S677" t="str">
            <v>NO</v>
          </cell>
          <cell r="T677" t="str">
            <v>DELIBERAZIONE EGATO 2 04/02/2019</v>
          </cell>
        </row>
        <row r="678">
          <cell r="D678">
            <v>2000053683</v>
          </cell>
          <cell r="E678">
            <v>46143</v>
          </cell>
          <cell r="F678">
            <v>46507</v>
          </cell>
          <cell r="G678">
            <v>46143</v>
          </cell>
          <cell r="H678">
            <v>46507</v>
          </cell>
          <cell r="J678" t="str">
            <v>004071</v>
          </cell>
          <cell r="K678">
            <v>-38.659999999999997</v>
          </cell>
          <cell r="L678">
            <v>-38.659999999999997</v>
          </cell>
          <cell r="M678">
            <v>-38.659999999999997</v>
          </cell>
          <cell r="N678" t="str">
            <v>diretto</v>
          </cell>
          <cell r="O678">
            <v>1</v>
          </cell>
          <cell r="P678">
            <v>1091278</v>
          </cell>
          <cell r="Q678" t="str">
            <v>0.730790</v>
          </cell>
          <cell r="R678" t="str">
            <v>0.296264</v>
          </cell>
          <cell r="S678" t="str">
            <v>NO</v>
          </cell>
          <cell r="T678" t="str">
            <v>DELIBERAZIONE EGATO 2 04/02/2019</v>
          </cell>
        </row>
        <row r="679">
          <cell r="D679" t="str">
            <v>025172</v>
          </cell>
          <cell r="E679">
            <v>46143</v>
          </cell>
          <cell r="F679">
            <v>46507</v>
          </cell>
          <cell r="G679">
            <v>46143</v>
          </cell>
          <cell r="H679">
            <v>46507</v>
          </cell>
          <cell r="J679" t="str">
            <v>004043</v>
          </cell>
          <cell r="K679">
            <v>-38.659999999999997</v>
          </cell>
          <cell r="L679">
            <v>-38.659999999999997</v>
          </cell>
          <cell r="M679">
            <v>-38.659999999999997</v>
          </cell>
          <cell r="N679" t="str">
            <v>diretto</v>
          </cell>
          <cell r="O679">
            <v>1</v>
          </cell>
          <cell r="P679">
            <v>1091278</v>
          </cell>
          <cell r="Q679" t="str">
            <v>0.730790</v>
          </cell>
          <cell r="R679" t="str">
            <v>0.296264</v>
          </cell>
          <cell r="S679" t="str">
            <v>NO</v>
          </cell>
          <cell r="T679" t="str">
            <v>DELIBERAZIONE EGATO 2 04/02/2019</v>
          </cell>
        </row>
        <row r="680">
          <cell r="D680" t="str">
            <v>021349</v>
          </cell>
          <cell r="E680">
            <v>46143</v>
          </cell>
          <cell r="F680">
            <v>46507</v>
          </cell>
          <cell r="G680">
            <v>46143</v>
          </cell>
          <cell r="H680">
            <v>46507</v>
          </cell>
          <cell r="J680" t="str">
            <v>004043</v>
          </cell>
          <cell r="K680">
            <v>-154.63999999999999</v>
          </cell>
          <cell r="L680">
            <v>-154.63999999999999</v>
          </cell>
          <cell r="M680">
            <v>-154.63999999999999</v>
          </cell>
          <cell r="N680" t="str">
            <v>diretto</v>
          </cell>
          <cell r="O680">
            <v>4</v>
          </cell>
          <cell r="P680">
            <v>1091278</v>
          </cell>
          <cell r="Q680" t="str">
            <v>0.730790</v>
          </cell>
          <cell r="R680" t="str">
            <v>0.296264</v>
          </cell>
          <cell r="S680" t="str">
            <v>NO</v>
          </cell>
          <cell r="T680" t="str">
            <v>DELIBERAZIONE EGATO 2 04/02/2019</v>
          </cell>
        </row>
        <row r="681">
          <cell r="D681">
            <v>2000050853</v>
          </cell>
          <cell r="E681">
            <v>46143</v>
          </cell>
          <cell r="F681">
            <v>46507</v>
          </cell>
          <cell r="G681">
            <v>46143</v>
          </cell>
          <cell r="H681">
            <v>46507</v>
          </cell>
          <cell r="J681" t="str">
            <v>004107</v>
          </cell>
          <cell r="K681">
            <v>-154.63999999999999</v>
          </cell>
          <cell r="L681">
            <v>-154.63999999999999</v>
          </cell>
          <cell r="M681">
            <v>-154.63999999999999</v>
          </cell>
          <cell r="N681" t="str">
            <v>diretto</v>
          </cell>
          <cell r="O681">
            <v>4</v>
          </cell>
          <cell r="P681">
            <v>1091278</v>
          </cell>
          <cell r="Q681" t="str">
            <v>0.730790</v>
          </cell>
          <cell r="R681" t="str">
            <v>0.296264</v>
          </cell>
          <cell r="S681" t="str">
            <v>NO</v>
          </cell>
          <cell r="T681" t="str">
            <v>DELIBERAZIONE EGATO 2 04/02/2019</v>
          </cell>
        </row>
        <row r="682">
          <cell r="D682" t="str">
            <v>0562000409</v>
          </cell>
          <cell r="E682">
            <v>46143</v>
          </cell>
          <cell r="F682">
            <v>46507</v>
          </cell>
          <cell r="G682">
            <v>46143</v>
          </cell>
          <cell r="H682">
            <v>46507</v>
          </cell>
          <cell r="J682" t="str">
            <v>004114</v>
          </cell>
          <cell r="K682">
            <v>-33.130000000000003</v>
          </cell>
          <cell r="L682">
            <v>-33.130000000000003</v>
          </cell>
          <cell r="M682">
            <v>-33.130000000000003</v>
          </cell>
          <cell r="N682" t="str">
            <v>diretto</v>
          </cell>
          <cell r="O682">
            <v>1</v>
          </cell>
          <cell r="P682" t="str">
            <v>0.916558</v>
          </cell>
          <cell r="Q682" t="str">
            <v>0.642623</v>
          </cell>
          <cell r="R682" t="str">
            <v>0.256196</v>
          </cell>
          <cell r="S682" t="str">
            <v>NO</v>
          </cell>
          <cell r="T682" t="str">
            <v>DELIBERAZIONE EGATO 29 19/12/2018</v>
          </cell>
        </row>
        <row r="683">
          <cell r="D683">
            <v>2000008157</v>
          </cell>
          <cell r="E683">
            <v>46143</v>
          </cell>
          <cell r="F683">
            <v>46507</v>
          </cell>
          <cell r="G683">
            <v>46143</v>
          </cell>
          <cell r="H683">
            <v>46507</v>
          </cell>
          <cell r="J683" t="str">
            <v>004205</v>
          </cell>
          <cell r="K683">
            <v>-71.900000000000006</v>
          </cell>
          <cell r="L683">
            <v>-71.900000000000006</v>
          </cell>
          <cell r="M683">
            <v>-71.900000000000006</v>
          </cell>
          <cell r="N683" t="str">
            <v>diretto</v>
          </cell>
          <cell r="O683">
            <v>3</v>
          </cell>
          <cell r="P683" t="str">
            <v>0.721337</v>
          </cell>
          <cell r="Q683" t="str">
            <v>0.441600</v>
          </cell>
          <cell r="R683" t="str">
            <v>0.150394</v>
          </cell>
          <cell r="S683" t="str">
            <v>NO</v>
          </cell>
          <cell r="T683" t="str">
            <v>DELIBERAZIONE EGATO 2 04/02/2019</v>
          </cell>
        </row>
        <row r="684">
          <cell r="D684">
            <v>2000005378</v>
          </cell>
          <cell r="E684">
            <v>46143</v>
          </cell>
          <cell r="F684">
            <v>46507</v>
          </cell>
          <cell r="G684">
            <v>46143</v>
          </cell>
          <cell r="H684">
            <v>46507</v>
          </cell>
          <cell r="J684" t="str">
            <v>004166</v>
          </cell>
          <cell r="K684">
            <v>-119.84</v>
          </cell>
          <cell r="L684">
            <v>-119.84</v>
          </cell>
          <cell r="M684">
            <v>-119.84</v>
          </cell>
          <cell r="N684" t="str">
            <v>diretto</v>
          </cell>
          <cell r="O684">
            <v>5</v>
          </cell>
          <cell r="P684" t="str">
            <v>0.721337</v>
          </cell>
          <cell r="Q684" t="str">
            <v>0.441600</v>
          </cell>
          <cell r="R684" t="str">
            <v>0.150394</v>
          </cell>
          <cell r="S684" t="str">
            <v>NO</v>
          </cell>
          <cell r="T684" t="str">
            <v>DELIBERAZIONE EGATO 2 04/02/2019</v>
          </cell>
        </row>
        <row r="685">
          <cell r="D685">
            <v>2000002309</v>
          </cell>
          <cell r="E685">
            <v>46143</v>
          </cell>
          <cell r="F685">
            <v>46507</v>
          </cell>
          <cell r="G685">
            <v>46143</v>
          </cell>
          <cell r="H685">
            <v>46507</v>
          </cell>
          <cell r="J685" t="str">
            <v>004085</v>
          </cell>
          <cell r="K685">
            <v>-149.09</v>
          </cell>
          <cell r="L685">
            <v>-149.09</v>
          </cell>
          <cell r="M685">
            <v>-149.09</v>
          </cell>
          <cell r="N685" t="str">
            <v>diretto</v>
          </cell>
          <cell r="O685">
            <v>5</v>
          </cell>
          <cell r="P685" t="str">
            <v>0.824903</v>
          </cell>
          <cell r="Q685" t="str">
            <v>0.578360</v>
          </cell>
          <cell r="R685" t="str">
            <v>0.230576</v>
          </cell>
          <cell r="S685" t="str">
            <v>NO</v>
          </cell>
          <cell r="T685" t="str">
            <v>DELIBERAZIONE EGATO 29 19/12/2018</v>
          </cell>
        </row>
        <row r="686">
          <cell r="D686">
            <v>2000000547</v>
          </cell>
          <cell r="E686">
            <v>46143</v>
          </cell>
          <cell r="F686">
            <v>46507</v>
          </cell>
          <cell r="G686">
            <v>46143</v>
          </cell>
          <cell r="H686">
            <v>46507</v>
          </cell>
          <cell r="J686" t="str">
            <v>004166</v>
          </cell>
          <cell r="K686">
            <v>-119.84</v>
          </cell>
          <cell r="L686">
            <v>-119.84</v>
          </cell>
          <cell r="M686">
            <v>-119.84</v>
          </cell>
          <cell r="N686" t="str">
            <v>diretto</v>
          </cell>
          <cell r="O686">
            <v>5</v>
          </cell>
          <cell r="P686" t="str">
            <v>0.721337</v>
          </cell>
          <cell r="Q686" t="str">
            <v>0.441600</v>
          </cell>
          <cell r="R686" t="str">
            <v>0.150394</v>
          </cell>
          <cell r="S686" t="str">
            <v>NO</v>
          </cell>
          <cell r="T686" t="str">
            <v>DELIBERAZIONE EGATO 2 04/02/2019</v>
          </cell>
        </row>
        <row r="687">
          <cell r="D687" t="str">
            <v>0962000043</v>
          </cell>
          <cell r="E687">
            <v>46143</v>
          </cell>
          <cell r="F687">
            <v>46507</v>
          </cell>
          <cell r="G687">
            <v>46143</v>
          </cell>
          <cell r="H687">
            <v>46507</v>
          </cell>
          <cell r="J687" t="str">
            <v>004227</v>
          </cell>
          <cell r="K687">
            <v>-53.01</v>
          </cell>
          <cell r="L687">
            <v>-53.01</v>
          </cell>
          <cell r="M687">
            <v>-53.01</v>
          </cell>
          <cell r="N687" t="str">
            <v>diretto</v>
          </cell>
          <cell r="O687">
            <v>2</v>
          </cell>
          <cell r="P687" t="str">
            <v>0.733246</v>
          </cell>
          <cell r="Q687" t="str">
            <v>0.514098</v>
          </cell>
          <cell r="R687" t="str">
            <v>0.204957</v>
          </cell>
          <cell r="S687" t="str">
            <v>NO</v>
          </cell>
          <cell r="T687" t="str">
            <v>DELIBERAZIONE EGATO 2 04/02/2019</v>
          </cell>
        </row>
        <row r="688">
          <cell r="D688" t="str">
            <v>0812000582</v>
          </cell>
          <cell r="E688">
            <v>46143</v>
          </cell>
          <cell r="F688">
            <v>46507</v>
          </cell>
          <cell r="G688">
            <v>46143</v>
          </cell>
          <cell r="H688">
            <v>46507</v>
          </cell>
          <cell r="J688" t="str">
            <v>004066</v>
          </cell>
          <cell r="K688">
            <v>-99.39</v>
          </cell>
          <cell r="L688">
            <v>-99.39</v>
          </cell>
          <cell r="M688">
            <v>-99.39</v>
          </cell>
          <cell r="N688" t="str">
            <v>diretto</v>
          </cell>
          <cell r="O688">
            <v>3</v>
          </cell>
          <cell r="P688" t="str">
            <v>0.916558</v>
          </cell>
          <cell r="Q688" t="str">
            <v>0.642623</v>
          </cell>
          <cell r="R688" t="str">
            <v>0.256196</v>
          </cell>
          <cell r="S688" t="str">
            <v>NO</v>
          </cell>
          <cell r="T688" t="str">
            <v>DELIBERAZIONE EGATO 29 19/12/2018</v>
          </cell>
        </row>
        <row r="689">
          <cell r="D689" t="str">
            <v>0780026801</v>
          </cell>
          <cell r="E689">
            <v>46143</v>
          </cell>
          <cell r="F689">
            <v>46507</v>
          </cell>
          <cell r="G689">
            <v>46143</v>
          </cell>
          <cell r="H689">
            <v>46507</v>
          </cell>
          <cell r="J689" t="str">
            <v>004085</v>
          </cell>
          <cell r="K689">
            <v>-15.05</v>
          </cell>
          <cell r="L689">
            <v>-15.05</v>
          </cell>
          <cell r="M689">
            <v>-15.05</v>
          </cell>
          <cell r="N689" t="str">
            <v>diretto</v>
          </cell>
          <cell r="O689">
            <v>1</v>
          </cell>
          <cell r="P689" t="str">
            <v>0.824903</v>
          </cell>
          <cell r="Q689" t="str">
            <v>0.578360</v>
          </cell>
          <cell r="R689" t="str">
            <v>0.230576</v>
          </cell>
          <cell r="S689" t="str">
            <v>NO</v>
          </cell>
          <cell r="T689" t="str">
            <v>DELIBERAZIONE EGATO 29 19/12/2018</v>
          </cell>
        </row>
        <row r="690">
          <cell r="D690" t="str">
            <v>0682000339</v>
          </cell>
          <cell r="E690">
            <v>46143</v>
          </cell>
          <cell r="F690">
            <v>46507</v>
          </cell>
          <cell r="G690">
            <v>46143</v>
          </cell>
          <cell r="H690">
            <v>46507</v>
          </cell>
          <cell r="J690" t="str">
            <v>004180</v>
          </cell>
          <cell r="K690">
            <v>-65.819999999999993</v>
          </cell>
          <cell r="L690">
            <v>-65.819999999999993</v>
          </cell>
          <cell r="M690">
            <v>-65.819999999999993</v>
          </cell>
          <cell r="N690" t="str">
            <v>diretto</v>
          </cell>
          <cell r="O690">
            <v>5</v>
          </cell>
          <cell r="P690" t="str">
            <v>0.721337</v>
          </cell>
          <cell r="Q690" t="str">
            <v>0.441600</v>
          </cell>
          <cell r="R690" t="str">
            <v>0.150394</v>
          </cell>
          <cell r="S690" t="str">
            <v>NO</v>
          </cell>
          <cell r="T690" t="str">
            <v>DELIBERAZIONE EGATO 2 04/02/2019</v>
          </cell>
        </row>
        <row r="691">
          <cell r="D691" t="str">
            <v>0680001815</v>
          </cell>
          <cell r="E691">
            <v>46143</v>
          </cell>
          <cell r="F691">
            <v>46507</v>
          </cell>
          <cell r="G691">
            <v>46143</v>
          </cell>
          <cell r="H691">
            <v>46507</v>
          </cell>
          <cell r="J691" t="str">
            <v>004180</v>
          </cell>
          <cell r="K691">
            <v>-143.81</v>
          </cell>
          <cell r="L691">
            <v>-143.81</v>
          </cell>
          <cell r="M691">
            <v>-143.81</v>
          </cell>
          <cell r="N691" t="str">
            <v>diretto</v>
          </cell>
          <cell r="O691">
            <v>6</v>
          </cell>
          <cell r="P691" t="str">
            <v>0.721337</v>
          </cell>
          <cell r="Q691" t="str">
            <v>0.441600</v>
          </cell>
          <cell r="R691" t="str">
            <v>0.150394</v>
          </cell>
          <cell r="S691" t="str">
            <v>NO</v>
          </cell>
          <cell r="T691" t="str">
            <v>DELIBERAZIONE EGATO 2 04/02/2019</v>
          </cell>
        </row>
        <row r="692">
          <cell r="D692" t="str">
            <v>0512000251</v>
          </cell>
          <cell r="E692">
            <v>46143</v>
          </cell>
          <cell r="F692">
            <v>46507</v>
          </cell>
          <cell r="G692">
            <v>46143</v>
          </cell>
          <cell r="H692">
            <v>46507</v>
          </cell>
          <cell r="J692" t="str">
            <v>004049</v>
          </cell>
          <cell r="K692">
            <v>-132.52000000000001</v>
          </cell>
          <cell r="L692">
            <v>-132.52000000000001</v>
          </cell>
          <cell r="M692">
            <v>-132.52000000000001</v>
          </cell>
          <cell r="N692" t="str">
            <v>diretto</v>
          </cell>
          <cell r="O692">
            <v>4</v>
          </cell>
          <cell r="P692" t="str">
            <v>0.916558</v>
          </cell>
          <cell r="Q692" t="str">
            <v>0.642623</v>
          </cell>
          <cell r="R692" t="str">
            <v>0.256196</v>
          </cell>
          <cell r="S692" t="str">
            <v>NO</v>
          </cell>
          <cell r="T692" t="str">
            <v>DELIBERAZIONE EGATO 29 19/12/2018</v>
          </cell>
        </row>
        <row r="693">
          <cell r="D693" t="str">
            <v>0312000878</v>
          </cell>
          <cell r="E693">
            <v>46143</v>
          </cell>
          <cell r="F693">
            <v>46507</v>
          </cell>
          <cell r="G693">
            <v>46143</v>
          </cell>
          <cell r="H693">
            <v>46507</v>
          </cell>
          <cell r="J693" t="str">
            <v>004082</v>
          </cell>
          <cell r="K693">
            <v>-198.78</v>
          </cell>
          <cell r="L693">
            <v>-198.78</v>
          </cell>
          <cell r="M693">
            <v>-198.78</v>
          </cell>
          <cell r="N693" t="str">
            <v>diretto</v>
          </cell>
          <cell r="O693">
            <v>6</v>
          </cell>
          <cell r="P693" t="str">
            <v>0.916558</v>
          </cell>
          <cell r="Q693" t="str">
            <v>0.642623</v>
          </cell>
          <cell r="R693" t="str">
            <v>0.256196</v>
          </cell>
          <cell r="S693" t="str">
            <v>NO</v>
          </cell>
          <cell r="T693" t="str">
            <v>DELIBERAZIONE EGATO 29 19/12/2018</v>
          </cell>
        </row>
        <row r="694">
          <cell r="D694" t="str">
            <v>0170122101</v>
          </cell>
          <cell r="E694">
            <v>46143</v>
          </cell>
          <cell r="F694">
            <v>46507</v>
          </cell>
          <cell r="G694">
            <v>46143</v>
          </cell>
          <cell r="H694">
            <v>46507</v>
          </cell>
          <cell r="J694" t="str">
            <v>004034</v>
          </cell>
          <cell r="K694">
            <v>-100.36</v>
          </cell>
          <cell r="L694">
            <v>-100.36</v>
          </cell>
          <cell r="M694">
            <v>-100.36</v>
          </cell>
          <cell r="N694" t="str">
            <v>diretto</v>
          </cell>
          <cell r="O694">
            <v>6</v>
          </cell>
          <cell r="P694" t="str">
            <v>0.916558</v>
          </cell>
          <cell r="Q694" t="str">
            <v>0.642623</v>
          </cell>
          <cell r="R694" t="str">
            <v>0.256196</v>
          </cell>
          <cell r="S694" t="str">
            <v>NO</v>
          </cell>
          <cell r="T694" t="str">
            <v>DELIBERAZIONE EGATO 29 19/12/2018</v>
          </cell>
        </row>
        <row r="695">
          <cell r="D695" t="str">
            <v>0132000149</v>
          </cell>
          <cell r="E695">
            <v>46143</v>
          </cell>
          <cell r="F695">
            <v>46507</v>
          </cell>
          <cell r="G695">
            <v>46143</v>
          </cell>
          <cell r="H695">
            <v>46507</v>
          </cell>
          <cell r="J695" t="str">
            <v>004022</v>
          </cell>
          <cell r="K695">
            <v>-165.65</v>
          </cell>
          <cell r="L695">
            <v>-165.65</v>
          </cell>
          <cell r="M695">
            <v>-165.65</v>
          </cell>
          <cell r="N695" t="str">
            <v>diretto</v>
          </cell>
          <cell r="O695">
            <v>5</v>
          </cell>
          <cell r="P695" t="str">
            <v>0.916558</v>
          </cell>
          <cell r="Q695" t="str">
            <v>0.642623</v>
          </cell>
          <cell r="R695" t="str">
            <v>0.256196</v>
          </cell>
          <cell r="S695" t="str">
            <v>NO</v>
          </cell>
          <cell r="T695" t="str">
            <v>DELIBERAZIONE EGATO 29 19/12/2018</v>
          </cell>
        </row>
        <row r="696">
          <cell r="D696" t="str">
            <v>0092000829</v>
          </cell>
          <cell r="E696">
            <v>46143</v>
          </cell>
          <cell r="F696">
            <v>46507</v>
          </cell>
          <cell r="G696">
            <v>46143</v>
          </cell>
          <cell r="H696">
            <v>46507</v>
          </cell>
          <cell r="J696" t="str">
            <v>004040</v>
          </cell>
          <cell r="K696">
            <v>-165.65</v>
          </cell>
          <cell r="L696">
            <v>-165.65</v>
          </cell>
          <cell r="M696">
            <v>-165.65</v>
          </cell>
          <cell r="N696" t="str">
            <v>diretto</v>
          </cell>
          <cell r="O696">
            <v>5</v>
          </cell>
          <cell r="P696" t="str">
            <v>0.916558</v>
          </cell>
          <cell r="Q696" t="str">
            <v>0.642623</v>
          </cell>
          <cell r="R696" t="str">
            <v>0.256196</v>
          </cell>
          <cell r="S696" t="str">
            <v>NO</v>
          </cell>
          <cell r="T696" t="str">
            <v>DELIBERAZIONE EGATO 29 19/12/2018</v>
          </cell>
        </row>
        <row r="697">
          <cell r="D697" t="str">
            <v>0092000550</v>
          </cell>
          <cell r="E697">
            <v>46143</v>
          </cell>
          <cell r="F697">
            <v>46507</v>
          </cell>
          <cell r="G697">
            <v>46143</v>
          </cell>
          <cell r="H697">
            <v>46507</v>
          </cell>
          <cell r="J697" t="str">
            <v>004040</v>
          </cell>
          <cell r="K697">
            <v>-66.91</v>
          </cell>
          <cell r="L697">
            <v>-66.91</v>
          </cell>
          <cell r="M697">
            <v>-66.91</v>
          </cell>
          <cell r="N697" t="str">
            <v>diretto</v>
          </cell>
          <cell r="O697">
            <v>4</v>
          </cell>
          <cell r="P697" t="str">
            <v>0.916558</v>
          </cell>
          <cell r="Q697" t="str">
            <v>0.642623</v>
          </cell>
          <cell r="R697" t="str">
            <v>0.256196</v>
          </cell>
          <cell r="S697" t="str">
            <v>NO</v>
          </cell>
          <cell r="T697" t="str">
            <v>DELIBERAZIONE EGATO 29 19/12/2018</v>
          </cell>
        </row>
        <row r="698">
          <cell r="D698" t="str">
            <v>0032000054</v>
          </cell>
          <cell r="E698">
            <v>46143</v>
          </cell>
          <cell r="F698">
            <v>46507</v>
          </cell>
          <cell r="G698">
            <v>46143</v>
          </cell>
          <cell r="H698">
            <v>46507</v>
          </cell>
          <cell r="J698" t="str">
            <v>004104</v>
          </cell>
          <cell r="K698">
            <v>-52.66</v>
          </cell>
          <cell r="L698">
            <v>-52.66</v>
          </cell>
          <cell r="M698">
            <v>-52.66</v>
          </cell>
          <cell r="N698" t="str">
            <v>diretto</v>
          </cell>
          <cell r="O698">
            <v>4</v>
          </cell>
          <cell r="P698" t="str">
            <v>0.721337</v>
          </cell>
          <cell r="Q698" t="str">
            <v>0.441600</v>
          </cell>
          <cell r="R698" t="str">
            <v>0.150394</v>
          </cell>
          <cell r="S698" t="str">
            <v>NO</v>
          </cell>
          <cell r="T698" t="str">
            <v>DELIBERAZIONE EGATO 2 04/02/2019</v>
          </cell>
        </row>
        <row r="699">
          <cell r="D699" t="str">
            <v>0022000292</v>
          </cell>
          <cell r="E699">
            <v>46143</v>
          </cell>
          <cell r="F699">
            <v>46507</v>
          </cell>
          <cell r="G699">
            <v>46143</v>
          </cell>
          <cell r="H699">
            <v>46507</v>
          </cell>
          <cell r="J699" t="str">
            <v>004116</v>
          </cell>
          <cell r="K699">
            <v>-95.87</v>
          </cell>
          <cell r="L699">
            <v>-95.87</v>
          </cell>
          <cell r="M699">
            <v>-95.87</v>
          </cell>
          <cell r="N699" t="str">
            <v>diretto</v>
          </cell>
          <cell r="O699">
            <v>4</v>
          </cell>
          <cell r="P699" t="str">
            <v>0.721337</v>
          </cell>
          <cell r="Q699" t="str">
            <v>0.441600</v>
          </cell>
          <cell r="R699" t="str">
            <v>0.150394</v>
          </cell>
          <cell r="S699" t="str">
            <v>NO</v>
          </cell>
          <cell r="T699" t="str">
            <v>DELIBERAZIONE EGATO 2 04/02/2019</v>
          </cell>
        </row>
        <row r="700">
          <cell r="D700" t="str">
            <v>0012003114</v>
          </cell>
          <cell r="E700">
            <v>46143</v>
          </cell>
          <cell r="F700">
            <v>46507</v>
          </cell>
          <cell r="G700">
            <v>46143</v>
          </cell>
          <cell r="H700">
            <v>46507</v>
          </cell>
          <cell r="J700" t="str">
            <v>004078</v>
          </cell>
          <cell r="K700">
            <v>-100.36</v>
          </cell>
          <cell r="L700">
            <v>-100.36</v>
          </cell>
          <cell r="M700">
            <v>-100.36</v>
          </cell>
          <cell r="N700" t="str">
            <v>diretto</v>
          </cell>
          <cell r="O700">
            <v>6</v>
          </cell>
          <cell r="P700" t="str">
            <v>0.916558</v>
          </cell>
          <cell r="Q700" t="str">
            <v>0.642623</v>
          </cell>
          <cell r="R700" t="str">
            <v>0.256196</v>
          </cell>
          <cell r="S700" t="str">
            <v>NO</v>
          </cell>
          <cell r="T700" t="str">
            <v>DELIBERAZIONE EGATO 29 19/12/2018</v>
          </cell>
        </row>
        <row r="701">
          <cell r="D701">
            <v>2000017827</v>
          </cell>
          <cell r="E701">
            <v>46143</v>
          </cell>
          <cell r="F701">
            <v>46507</v>
          </cell>
          <cell r="G701">
            <v>46143</v>
          </cell>
          <cell r="H701">
            <v>46507</v>
          </cell>
          <cell r="J701" t="str">
            <v>004075</v>
          </cell>
          <cell r="K701">
            <v>-32.369999999999997</v>
          </cell>
          <cell r="L701">
            <v>-32.369999999999997</v>
          </cell>
          <cell r="M701">
            <v>-32.369999999999997</v>
          </cell>
          <cell r="N701" t="str">
            <v>diretto</v>
          </cell>
          <cell r="O701">
            <v>1</v>
          </cell>
          <cell r="P701" t="str">
            <v>0.874880</v>
          </cell>
          <cell r="Q701" t="str">
            <v>0.642623</v>
          </cell>
          <cell r="R701" t="str">
            <v>0.256196</v>
          </cell>
          <cell r="S701" t="str">
            <v>NO</v>
          </cell>
          <cell r="T701" t="str">
            <v>DELIBERAZIONE EGATO 11 27/03/2019</v>
          </cell>
        </row>
        <row r="702">
          <cell r="D702">
            <v>2000000723</v>
          </cell>
          <cell r="E702">
            <v>46143</v>
          </cell>
          <cell r="F702">
            <v>46507</v>
          </cell>
          <cell r="G702">
            <v>46143</v>
          </cell>
          <cell r="H702">
            <v>46507</v>
          </cell>
          <cell r="J702" t="str">
            <v>004136</v>
          </cell>
          <cell r="K702">
            <v>-99.39</v>
          </cell>
          <cell r="L702">
            <v>-99.39</v>
          </cell>
          <cell r="M702">
            <v>-99.39</v>
          </cell>
          <cell r="N702" t="str">
            <v>diretto</v>
          </cell>
          <cell r="O702">
            <v>3</v>
          </cell>
          <cell r="P702" t="str">
            <v>0.916558</v>
          </cell>
          <cell r="Q702" t="str">
            <v>0.642623</v>
          </cell>
          <cell r="R702" t="str">
            <v>0.256196</v>
          </cell>
          <cell r="S702" t="str">
            <v>NO</v>
          </cell>
          <cell r="T702" t="str">
            <v>DELIBERAZIONE EGATO 29 19/12/2018</v>
          </cell>
        </row>
        <row r="703">
          <cell r="D703" t="str">
            <v>0532000235</v>
          </cell>
          <cell r="E703">
            <v>46143</v>
          </cell>
          <cell r="F703">
            <v>46507</v>
          </cell>
          <cell r="G703">
            <v>46143</v>
          </cell>
          <cell r="H703">
            <v>46507</v>
          </cell>
          <cell r="J703" t="str">
            <v>004118</v>
          </cell>
          <cell r="K703">
            <v>-66.260000000000005</v>
          </cell>
          <cell r="L703">
            <v>-66.260000000000005</v>
          </cell>
          <cell r="M703">
            <v>-66.260000000000005</v>
          </cell>
          <cell r="N703" t="str">
            <v>diretto</v>
          </cell>
          <cell r="O703">
            <v>2</v>
          </cell>
          <cell r="P703" t="str">
            <v>0.916558</v>
          </cell>
          <cell r="Q703" t="str">
            <v>0.642623</v>
          </cell>
          <cell r="R703" t="str">
            <v>0.256196</v>
          </cell>
          <cell r="S703" t="str">
            <v>NO</v>
          </cell>
          <cell r="T703" t="str">
            <v>DELIBERAZIONE EGATO 29 19/12/2018</v>
          </cell>
        </row>
        <row r="704">
          <cell r="D704" t="str">
            <v>0312001218</v>
          </cell>
          <cell r="E704">
            <v>46143</v>
          </cell>
          <cell r="F704">
            <v>46507</v>
          </cell>
          <cell r="G704">
            <v>46143</v>
          </cell>
          <cell r="H704">
            <v>46507</v>
          </cell>
          <cell r="J704" t="str">
            <v>004082</v>
          </cell>
          <cell r="K704">
            <v>-16.73</v>
          </cell>
          <cell r="L704">
            <v>-16.73</v>
          </cell>
          <cell r="M704">
            <v>-16.73</v>
          </cell>
          <cell r="N704" t="str">
            <v>diretto</v>
          </cell>
          <cell r="O704">
            <v>1</v>
          </cell>
          <cell r="P704" t="str">
            <v>0.916558</v>
          </cell>
          <cell r="Q704" t="str">
            <v>0.642623</v>
          </cell>
          <cell r="R704" t="str">
            <v>0.256196</v>
          </cell>
          <cell r="S704" t="str">
            <v>NO</v>
          </cell>
          <cell r="T704" t="str">
            <v>DELIBERAZIONE EGATO 29 19/12/2018</v>
          </cell>
        </row>
        <row r="705">
          <cell r="D705" t="str">
            <v>0132000515</v>
          </cell>
          <cell r="E705">
            <v>46143</v>
          </cell>
          <cell r="F705">
            <v>46507</v>
          </cell>
          <cell r="G705">
            <v>46143</v>
          </cell>
          <cell r="H705">
            <v>46507</v>
          </cell>
          <cell r="J705" t="str">
            <v>004022</v>
          </cell>
          <cell r="K705">
            <v>-99.39</v>
          </cell>
          <cell r="L705">
            <v>-99.39</v>
          </cell>
          <cell r="M705">
            <v>-99.39</v>
          </cell>
          <cell r="N705" t="str">
            <v>diretto</v>
          </cell>
          <cell r="O705">
            <v>3</v>
          </cell>
          <cell r="P705" t="str">
            <v>0.916558</v>
          </cell>
          <cell r="Q705" t="str">
            <v>0.642623</v>
          </cell>
          <cell r="R705" t="str">
            <v>0.256196</v>
          </cell>
          <cell r="S705" t="str">
            <v>NO</v>
          </cell>
          <cell r="T705" t="str">
            <v>DELIBERAZIONE EGATO 29 19/12/2018</v>
          </cell>
        </row>
        <row r="706">
          <cell r="D706" t="str">
            <v>0062001165</v>
          </cell>
          <cell r="E706">
            <v>46143</v>
          </cell>
          <cell r="F706">
            <v>46507</v>
          </cell>
          <cell r="G706">
            <v>46143</v>
          </cell>
          <cell r="H706">
            <v>46507</v>
          </cell>
          <cell r="J706" t="str">
            <v>004028</v>
          </cell>
          <cell r="K706">
            <v>-132.52000000000001</v>
          </cell>
          <cell r="L706">
            <v>-132.52000000000001</v>
          </cell>
          <cell r="M706">
            <v>-132.52000000000001</v>
          </cell>
          <cell r="N706" t="str">
            <v>diretto</v>
          </cell>
          <cell r="O706">
            <v>4</v>
          </cell>
          <cell r="P706" t="str">
            <v>0.916558</v>
          </cell>
          <cell r="Q706" t="str">
            <v>0.642623</v>
          </cell>
          <cell r="R706" t="str">
            <v>0.256196</v>
          </cell>
          <cell r="S706" t="str">
            <v>NO</v>
          </cell>
          <cell r="T706" t="str">
            <v>DELIBERAZIONE EGATO 29 19/12/2018</v>
          </cell>
        </row>
        <row r="707">
          <cell r="D707">
            <v>2000054799</v>
          </cell>
          <cell r="E707">
            <v>46143</v>
          </cell>
          <cell r="F707">
            <v>46507</v>
          </cell>
          <cell r="G707">
            <v>46143</v>
          </cell>
          <cell r="H707">
            <v>46507</v>
          </cell>
          <cell r="J707" t="str">
            <v>004166</v>
          </cell>
          <cell r="K707">
            <v>-143.81</v>
          </cell>
          <cell r="L707">
            <v>-143.81</v>
          </cell>
          <cell r="M707">
            <v>-143.81</v>
          </cell>
          <cell r="N707" t="str">
            <v>diretto</v>
          </cell>
          <cell r="O707">
            <v>6</v>
          </cell>
          <cell r="P707" t="str">
            <v>0.721337</v>
          </cell>
          <cell r="Q707" t="str">
            <v>0.441600</v>
          </cell>
          <cell r="R707" t="str">
            <v>0.150394</v>
          </cell>
          <cell r="S707" t="str">
            <v>NO</v>
          </cell>
          <cell r="T707" t="str">
            <v>DELIBERAZIONE EGATO 2 04/02/2019</v>
          </cell>
        </row>
        <row r="708">
          <cell r="D708">
            <v>2000053422</v>
          </cell>
          <cell r="E708">
            <v>46143</v>
          </cell>
          <cell r="F708">
            <v>46507</v>
          </cell>
          <cell r="G708">
            <v>46143</v>
          </cell>
          <cell r="H708">
            <v>46507</v>
          </cell>
          <cell r="J708" t="str">
            <v>004180</v>
          </cell>
          <cell r="K708">
            <v>-143.81</v>
          </cell>
          <cell r="L708">
            <v>-143.81</v>
          </cell>
          <cell r="M708">
            <v>-143.81</v>
          </cell>
          <cell r="N708" t="str">
            <v>diretto</v>
          </cell>
          <cell r="O708">
            <v>6</v>
          </cell>
          <cell r="P708" t="str">
            <v>0.721337</v>
          </cell>
          <cell r="Q708" t="str">
            <v>0.441600</v>
          </cell>
          <cell r="R708" t="str">
            <v>0.150394</v>
          </cell>
          <cell r="S708" t="str">
            <v>NO</v>
          </cell>
          <cell r="T708" t="str">
            <v>DELIBERAZIONE EGATO 2 04/02/2019</v>
          </cell>
        </row>
        <row r="709">
          <cell r="D709">
            <v>2000053300</v>
          </cell>
          <cell r="E709">
            <v>46143</v>
          </cell>
          <cell r="F709">
            <v>46507</v>
          </cell>
          <cell r="G709">
            <v>46143</v>
          </cell>
          <cell r="H709">
            <v>46507</v>
          </cell>
          <cell r="J709" t="str">
            <v>004085</v>
          </cell>
          <cell r="K709">
            <v>-119.27</v>
          </cell>
          <cell r="L709">
            <v>-119.27</v>
          </cell>
          <cell r="M709">
            <v>-119.27</v>
          </cell>
          <cell r="N709" t="str">
            <v>diretto</v>
          </cell>
          <cell r="O709">
            <v>4</v>
          </cell>
          <cell r="P709" t="str">
            <v>0.824903</v>
          </cell>
          <cell r="Q709" t="str">
            <v>0.578360</v>
          </cell>
          <cell r="R709" t="str">
            <v>0.230576</v>
          </cell>
          <cell r="S709" t="str">
            <v>NO</v>
          </cell>
          <cell r="T709" t="str">
            <v>DELIBERAZIONE EGATO 29 19/12/2018</v>
          </cell>
        </row>
        <row r="710">
          <cell r="D710">
            <v>2000053182</v>
          </cell>
          <cell r="E710">
            <v>46143</v>
          </cell>
          <cell r="F710">
            <v>46507</v>
          </cell>
          <cell r="G710">
            <v>46143</v>
          </cell>
          <cell r="H710">
            <v>46507</v>
          </cell>
          <cell r="J710" t="str">
            <v>004085</v>
          </cell>
          <cell r="K710">
            <v>-149.09</v>
          </cell>
          <cell r="L710">
            <v>-149.09</v>
          </cell>
          <cell r="M710">
            <v>-149.09</v>
          </cell>
          <cell r="N710" t="str">
            <v>diretto</v>
          </cell>
          <cell r="O710">
            <v>5</v>
          </cell>
          <cell r="P710" t="str">
            <v>0.824903</v>
          </cell>
          <cell r="Q710" t="str">
            <v>0.578360</v>
          </cell>
          <cell r="R710" t="str">
            <v>0.230576</v>
          </cell>
          <cell r="S710" t="str">
            <v>NO</v>
          </cell>
          <cell r="T710" t="str">
            <v>DELIBERAZIONE EGATO 29 19/12/2018</v>
          </cell>
        </row>
        <row r="711">
          <cell r="D711">
            <v>2000052588</v>
          </cell>
          <cell r="E711">
            <v>46143</v>
          </cell>
          <cell r="F711">
            <v>46507</v>
          </cell>
          <cell r="G711">
            <v>46143</v>
          </cell>
          <cell r="H711">
            <v>46507</v>
          </cell>
          <cell r="J711" t="str">
            <v>004028</v>
          </cell>
          <cell r="K711">
            <v>-132.52000000000001</v>
          </cell>
          <cell r="L711">
            <v>-132.52000000000001</v>
          </cell>
          <cell r="M711">
            <v>-132.52000000000001</v>
          </cell>
          <cell r="N711" t="str">
            <v>diretto</v>
          </cell>
          <cell r="O711">
            <v>4</v>
          </cell>
          <cell r="P711" t="str">
            <v>0.916558</v>
          </cell>
          <cell r="Q711" t="str">
            <v>0.642623</v>
          </cell>
          <cell r="R711" t="str">
            <v>0.256196</v>
          </cell>
          <cell r="S711" t="str">
            <v>NO</v>
          </cell>
          <cell r="T711" t="str">
            <v>DELIBERAZIONE EGATO 29 19/12/2018</v>
          </cell>
        </row>
        <row r="712">
          <cell r="D712">
            <v>2000050326</v>
          </cell>
          <cell r="E712">
            <v>46143</v>
          </cell>
          <cell r="F712">
            <v>46507</v>
          </cell>
          <cell r="G712">
            <v>46143</v>
          </cell>
          <cell r="H712">
            <v>46507</v>
          </cell>
          <cell r="J712" t="str">
            <v>004163</v>
          </cell>
          <cell r="K712">
            <v>-33.450000000000003</v>
          </cell>
          <cell r="L712">
            <v>-33.450000000000003</v>
          </cell>
          <cell r="M712">
            <v>-33.450000000000003</v>
          </cell>
          <cell r="N712" t="str">
            <v>diretto</v>
          </cell>
          <cell r="O712">
            <v>2</v>
          </cell>
          <cell r="P712" t="str">
            <v>0.916558</v>
          </cell>
          <cell r="Q712" t="str">
            <v>0.642623</v>
          </cell>
          <cell r="R712" t="str">
            <v>0.256196</v>
          </cell>
          <cell r="S712" t="str">
            <v>NO</v>
          </cell>
          <cell r="T712" t="str">
            <v>DELIBERAZIONE EGATO 29 19/12/2018</v>
          </cell>
        </row>
        <row r="713">
          <cell r="D713">
            <v>2000049803</v>
          </cell>
          <cell r="E713">
            <v>46143</v>
          </cell>
          <cell r="F713">
            <v>46507</v>
          </cell>
          <cell r="G713">
            <v>46143</v>
          </cell>
          <cell r="H713">
            <v>46507</v>
          </cell>
          <cell r="J713" t="str">
            <v>004209</v>
          </cell>
          <cell r="K713">
            <v>-89.45</v>
          </cell>
          <cell r="L713">
            <v>-89.45</v>
          </cell>
          <cell r="M713">
            <v>-89.45</v>
          </cell>
          <cell r="N713" t="str">
            <v>diretto</v>
          </cell>
          <cell r="O713">
            <v>3</v>
          </cell>
          <cell r="P713" t="str">
            <v>0.824903</v>
          </cell>
          <cell r="Q713" t="str">
            <v>0.578360</v>
          </cell>
          <cell r="R713" t="str">
            <v>0.230576</v>
          </cell>
          <cell r="S713" t="str">
            <v>NO</v>
          </cell>
          <cell r="T713" t="str">
            <v>DELIBERAZIONE EGATO 29 19/12/2018</v>
          </cell>
        </row>
        <row r="714">
          <cell r="D714">
            <v>2000049594</v>
          </cell>
          <cell r="E714">
            <v>46143</v>
          </cell>
          <cell r="F714">
            <v>46507</v>
          </cell>
          <cell r="G714">
            <v>46143</v>
          </cell>
          <cell r="H714">
            <v>46507</v>
          </cell>
          <cell r="J714" t="str">
            <v>004114</v>
          </cell>
          <cell r="K714">
            <v>-50.18</v>
          </cell>
          <cell r="L714">
            <v>-50.18</v>
          </cell>
          <cell r="M714">
            <v>-50.18</v>
          </cell>
          <cell r="N714" t="str">
            <v>diretto</v>
          </cell>
          <cell r="O714">
            <v>3</v>
          </cell>
          <cell r="P714" t="str">
            <v>0.916558</v>
          </cell>
          <cell r="Q714" t="str">
            <v>0.642623</v>
          </cell>
          <cell r="R714" t="str">
            <v>0.256196</v>
          </cell>
          <cell r="S714" t="str">
            <v>NO</v>
          </cell>
          <cell r="T714" t="str">
            <v>DELIBERAZIONE EGATO 29 19/12/2018</v>
          </cell>
        </row>
        <row r="715">
          <cell r="D715">
            <v>2000049359</v>
          </cell>
          <cell r="E715">
            <v>46143</v>
          </cell>
          <cell r="F715">
            <v>46507</v>
          </cell>
          <cell r="G715">
            <v>46143</v>
          </cell>
          <cell r="H715">
            <v>46507</v>
          </cell>
          <cell r="J715" t="str">
            <v>004066</v>
          </cell>
          <cell r="K715">
            <v>-132.52000000000001</v>
          </cell>
          <cell r="L715">
            <v>-132.52000000000001</v>
          </cell>
          <cell r="M715">
            <v>-132.52000000000001</v>
          </cell>
          <cell r="N715" t="str">
            <v>diretto</v>
          </cell>
          <cell r="O715">
            <v>4</v>
          </cell>
          <cell r="P715" t="str">
            <v>0.916558</v>
          </cell>
          <cell r="Q715" t="str">
            <v>0.642623</v>
          </cell>
          <cell r="R715" t="str">
            <v>0.256196</v>
          </cell>
          <cell r="S715" t="str">
            <v>NO</v>
          </cell>
          <cell r="T715" t="str">
            <v>DELIBERAZIONE EGATO 29 19/12/2018</v>
          </cell>
        </row>
        <row r="716">
          <cell r="D716">
            <v>2000031128</v>
          </cell>
          <cell r="E716">
            <v>46143</v>
          </cell>
          <cell r="F716">
            <v>46507</v>
          </cell>
          <cell r="G716">
            <v>46143</v>
          </cell>
          <cell r="H716">
            <v>46507</v>
          </cell>
          <cell r="J716" t="str">
            <v>004085</v>
          </cell>
          <cell r="K716">
            <v>-45.16</v>
          </cell>
          <cell r="L716">
            <v>-45.16</v>
          </cell>
          <cell r="M716">
            <v>-45.16</v>
          </cell>
          <cell r="N716" t="str">
            <v>diretto</v>
          </cell>
          <cell r="O716">
            <v>3</v>
          </cell>
          <cell r="P716" t="str">
            <v>0.824903</v>
          </cell>
          <cell r="Q716" t="str">
            <v>0.578360</v>
          </cell>
          <cell r="R716" t="str">
            <v>0.230576</v>
          </cell>
          <cell r="S716" t="str">
            <v>NO</v>
          </cell>
          <cell r="T716" t="str">
            <v>DELIBERAZIONE EGATO 29 19/12/2018</v>
          </cell>
        </row>
        <row r="717">
          <cell r="D717">
            <v>2000029493</v>
          </cell>
          <cell r="E717">
            <v>46143</v>
          </cell>
          <cell r="F717">
            <v>46507</v>
          </cell>
          <cell r="G717">
            <v>46143</v>
          </cell>
          <cell r="H717">
            <v>46507</v>
          </cell>
          <cell r="J717" t="str">
            <v>004025</v>
          </cell>
          <cell r="K717">
            <v>-33.130000000000003</v>
          </cell>
          <cell r="L717">
            <v>-33.130000000000003</v>
          </cell>
          <cell r="M717">
            <v>-33.130000000000003</v>
          </cell>
          <cell r="N717" t="str">
            <v>diretto</v>
          </cell>
          <cell r="O717">
            <v>1</v>
          </cell>
          <cell r="P717" t="str">
            <v>0.916558</v>
          </cell>
          <cell r="Q717" t="str">
            <v>0.642623</v>
          </cell>
          <cell r="R717" t="str">
            <v>0.256196</v>
          </cell>
          <cell r="S717" t="str">
            <v>NO</v>
          </cell>
          <cell r="T717" t="str">
            <v>DELIBERAZIONE EGATO 29 19/12/2018</v>
          </cell>
        </row>
        <row r="718">
          <cell r="D718">
            <v>2000028899</v>
          </cell>
          <cell r="E718">
            <v>46143</v>
          </cell>
          <cell r="F718">
            <v>46507</v>
          </cell>
          <cell r="G718">
            <v>46143</v>
          </cell>
          <cell r="H718">
            <v>46507</v>
          </cell>
          <cell r="J718" t="str">
            <v>004078</v>
          </cell>
          <cell r="K718">
            <v>-16.73</v>
          </cell>
          <cell r="L718">
            <v>-16.73</v>
          </cell>
          <cell r="M718">
            <v>-16.73</v>
          </cell>
          <cell r="N718" t="str">
            <v>diretto</v>
          </cell>
          <cell r="O718">
            <v>1</v>
          </cell>
          <cell r="P718" t="str">
            <v>0.916558</v>
          </cell>
          <cell r="Q718" t="str">
            <v>0.642623</v>
          </cell>
          <cell r="R718" t="str">
            <v>0.256196</v>
          </cell>
          <cell r="S718" t="str">
            <v>NO</v>
          </cell>
          <cell r="T718" t="str">
            <v>DELIBERAZIONE EGATO 29 19/12/2018</v>
          </cell>
        </row>
        <row r="719">
          <cell r="D719">
            <v>2000023525</v>
          </cell>
          <cell r="E719">
            <v>46143</v>
          </cell>
          <cell r="F719">
            <v>46507</v>
          </cell>
          <cell r="G719">
            <v>46143</v>
          </cell>
          <cell r="H719">
            <v>46507</v>
          </cell>
          <cell r="J719" t="str">
            <v>004163</v>
          </cell>
          <cell r="K719">
            <v>-66.91</v>
          </cell>
          <cell r="L719">
            <v>-66.91</v>
          </cell>
          <cell r="M719">
            <v>-66.91</v>
          </cell>
          <cell r="N719" t="str">
            <v>diretto</v>
          </cell>
          <cell r="O719">
            <v>4</v>
          </cell>
          <cell r="P719" t="str">
            <v>0.916558</v>
          </cell>
          <cell r="Q719" t="str">
            <v>0.642623</v>
          </cell>
          <cell r="R719" t="str">
            <v>0.256196</v>
          </cell>
          <cell r="S719" t="str">
            <v>NO</v>
          </cell>
          <cell r="T719" t="str">
            <v>DELIBERAZIONE EGATO 29 19/12/2018</v>
          </cell>
        </row>
        <row r="720">
          <cell r="D720">
            <v>2000018286</v>
          </cell>
          <cell r="E720">
            <v>46143</v>
          </cell>
          <cell r="F720">
            <v>46507</v>
          </cell>
          <cell r="G720">
            <v>46143</v>
          </cell>
          <cell r="H720">
            <v>46507</v>
          </cell>
          <cell r="J720" t="str">
            <v>004144</v>
          </cell>
          <cell r="K720">
            <v>-66.260000000000005</v>
          </cell>
          <cell r="L720">
            <v>-66.260000000000005</v>
          </cell>
          <cell r="M720">
            <v>-66.260000000000005</v>
          </cell>
          <cell r="N720" t="str">
            <v>diretto</v>
          </cell>
          <cell r="O720">
            <v>2</v>
          </cell>
          <cell r="P720" t="str">
            <v>0.916558</v>
          </cell>
          <cell r="Q720" t="str">
            <v>0.642623</v>
          </cell>
          <cell r="R720" t="str">
            <v>0.256196</v>
          </cell>
          <cell r="S720" t="str">
            <v>NO</v>
          </cell>
          <cell r="T720" t="str">
            <v>DELIBERAZIONE EGATO 29 19/12/2018</v>
          </cell>
        </row>
        <row r="721">
          <cell r="D721">
            <v>2000014750</v>
          </cell>
          <cell r="E721">
            <v>46143</v>
          </cell>
          <cell r="F721">
            <v>46507</v>
          </cell>
          <cell r="G721">
            <v>46143</v>
          </cell>
          <cell r="H721">
            <v>46507</v>
          </cell>
          <cell r="J721" t="str">
            <v>004068</v>
          </cell>
          <cell r="K721">
            <v>-132.52000000000001</v>
          </cell>
          <cell r="L721">
            <v>-132.52000000000001</v>
          </cell>
          <cell r="M721">
            <v>-132.52000000000001</v>
          </cell>
          <cell r="N721" t="str">
            <v>diretto</v>
          </cell>
          <cell r="O721">
            <v>4</v>
          </cell>
          <cell r="P721" t="str">
            <v>0.916558</v>
          </cell>
          <cell r="Q721" t="str">
            <v>0.642623</v>
          </cell>
          <cell r="R721" t="str">
            <v>0.256196</v>
          </cell>
          <cell r="S721" t="str">
            <v>NO</v>
          </cell>
          <cell r="T721" t="str">
            <v>DELIBERAZIONE EGATO 29 19/12/2018</v>
          </cell>
        </row>
        <row r="722">
          <cell r="D722">
            <v>2000014328</v>
          </cell>
          <cell r="E722">
            <v>46143</v>
          </cell>
          <cell r="F722">
            <v>46507</v>
          </cell>
          <cell r="G722">
            <v>46143</v>
          </cell>
          <cell r="H722">
            <v>46507</v>
          </cell>
          <cell r="J722" t="str">
            <v>004078</v>
          </cell>
          <cell r="K722">
            <v>-66.91</v>
          </cell>
          <cell r="L722">
            <v>-66.91</v>
          </cell>
          <cell r="M722">
            <v>-66.91</v>
          </cell>
          <cell r="N722" t="str">
            <v>diretto</v>
          </cell>
          <cell r="O722">
            <v>4</v>
          </cell>
          <cell r="P722" t="str">
            <v>0.916558</v>
          </cell>
          <cell r="Q722" t="str">
            <v>0.642623</v>
          </cell>
          <cell r="R722" t="str">
            <v>0.256196</v>
          </cell>
          <cell r="S722" t="str">
            <v>NO</v>
          </cell>
          <cell r="T722" t="str">
            <v>DELIBERAZIONE EGATO 29 19/12/2018</v>
          </cell>
        </row>
        <row r="723">
          <cell r="D723">
            <v>2000012708</v>
          </cell>
          <cell r="E723">
            <v>46143</v>
          </cell>
          <cell r="F723">
            <v>46507</v>
          </cell>
          <cell r="G723">
            <v>46143</v>
          </cell>
          <cell r="H723">
            <v>46507</v>
          </cell>
          <cell r="J723" t="str">
            <v>004249</v>
          </cell>
          <cell r="K723">
            <v>-4.0599999999999996</v>
          </cell>
          <cell r="L723">
            <v>-4.0599999999999996</v>
          </cell>
          <cell r="M723">
            <v>-4.0599999999999996</v>
          </cell>
          <cell r="N723" t="str">
            <v>diretto</v>
          </cell>
          <cell r="O723">
            <v>1</v>
          </cell>
          <cell r="P723" t="str">
            <v>0.222532</v>
          </cell>
          <cell r="Q723" t="str">
            <v>0.366671</v>
          </cell>
          <cell r="R723" t="str">
            <v>0.139082</v>
          </cell>
          <cell r="S723" t="str">
            <v>NO</v>
          </cell>
          <cell r="T723" t="str">
            <v>DELIBERAZIONE EGATO 4 23/02/2023</v>
          </cell>
        </row>
        <row r="724">
          <cell r="D724">
            <v>2000012040</v>
          </cell>
          <cell r="E724">
            <v>46143</v>
          </cell>
          <cell r="F724">
            <v>46507</v>
          </cell>
          <cell r="G724">
            <v>46143</v>
          </cell>
          <cell r="H724">
            <v>46507</v>
          </cell>
          <cell r="J724" t="str">
            <v>004116</v>
          </cell>
          <cell r="K724">
            <v>-119.84</v>
          </cell>
          <cell r="L724">
            <v>-119.84</v>
          </cell>
          <cell r="M724">
            <v>-119.84</v>
          </cell>
          <cell r="N724" t="str">
            <v>diretto</v>
          </cell>
          <cell r="O724">
            <v>5</v>
          </cell>
          <cell r="P724" t="str">
            <v>0.721337</v>
          </cell>
          <cell r="Q724" t="str">
            <v>0.441600</v>
          </cell>
          <cell r="R724" t="str">
            <v>0.150394</v>
          </cell>
          <cell r="S724" t="str">
            <v>NO</v>
          </cell>
          <cell r="T724" t="str">
            <v>DELIBERAZIONE EGATO 2 04/02/2019</v>
          </cell>
        </row>
        <row r="725">
          <cell r="D725">
            <v>1040000390</v>
          </cell>
          <cell r="E725">
            <v>46143</v>
          </cell>
          <cell r="F725">
            <v>46507</v>
          </cell>
          <cell r="G725">
            <v>46143</v>
          </cell>
          <cell r="H725">
            <v>46507</v>
          </cell>
          <cell r="J725" t="str">
            <v>004171</v>
          </cell>
          <cell r="K725">
            <v>-18.16</v>
          </cell>
          <cell r="L725">
            <v>-18.16</v>
          </cell>
          <cell r="M725">
            <v>-18.16</v>
          </cell>
          <cell r="N725" t="str">
            <v>diretto</v>
          </cell>
          <cell r="O725">
            <v>1</v>
          </cell>
          <cell r="P725" t="str">
            <v>0.483220</v>
          </cell>
          <cell r="Q725" t="str">
            <v>0.350215</v>
          </cell>
          <cell r="R725" t="str">
            <v>0.161638</v>
          </cell>
          <cell r="S725" t="str">
            <v>NO</v>
          </cell>
          <cell r="T725" t="str">
            <v>DELIBERAZIONE EGATO 23 16/11/2020</v>
          </cell>
        </row>
        <row r="726">
          <cell r="D726" t="str">
            <v>0840022901</v>
          </cell>
          <cell r="E726">
            <v>46143</v>
          </cell>
          <cell r="F726">
            <v>46507</v>
          </cell>
          <cell r="G726">
            <v>46143</v>
          </cell>
          <cell r="H726">
            <v>46507</v>
          </cell>
          <cell r="J726" t="str">
            <v>004159</v>
          </cell>
          <cell r="K726">
            <v>-26.76</v>
          </cell>
          <cell r="L726">
            <v>-26.76</v>
          </cell>
          <cell r="M726">
            <v>-26.76</v>
          </cell>
          <cell r="N726" t="str">
            <v>diretto</v>
          </cell>
          <cell r="O726">
            <v>2</v>
          </cell>
          <cell r="P726" t="str">
            <v>0.733246</v>
          </cell>
          <cell r="Q726" t="str">
            <v>0.514098</v>
          </cell>
          <cell r="R726" t="str">
            <v>0.204957</v>
          </cell>
          <cell r="S726" t="str">
            <v>NO</v>
          </cell>
          <cell r="T726" t="str">
            <v>DELIBERAZIONE EGATO 2 04/02/2019</v>
          </cell>
        </row>
        <row r="727">
          <cell r="D727" t="str">
            <v>0830219401</v>
          </cell>
          <cell r="E727">
            <v>46143</v>
          </cell>
          <cell r="F727">
            <v>46507</v>
          </cell>
          <cell r="G727">
            <v>46143</v>
          </cell>
          <cell r="H727">
            <v>46507</v>
          </cell>
          <cell r="J727" t="str">
            <v>004155</v>
          </cell>
          <cell r="K727">
            <v>-90.33</v>
          </cell>
          <cell r="L727">
            <v>-90.33</v>
          </cell>
          <cell r="M727">
            <v>-90.33</v>
          </cell>
          <cell r="N727" t="str">
            <v>diretto</v>
          </cell>
          <cell r="O727">
            <v>6</v>
          </cell>
          <cell r="P727" t="str">
            <v>0.824903</v>
          </cell>
          <cell r="Q727" t="str">
            <v>0.578360</v>
          </cell>
          <cell r="R727" t="str">
            <v>0.230576</v>
          </cell>
          <cell r="S727" t="str">
            <v>NO</v>
          </cell>
          <cell r="T727" t="str">
            <v>DELIBERAZIONE EGATO 29 19/12/2018</v>
          </cell>
        </row>
        <row r="728">
          <cell r="D728" t="str">
            <v>0812001039</v>
          </cell>
          <cell r="E728">
            <v>46143</v>
          </cell>
          <cell r="F728">
            <v>46507</v>
          </cell>
          <cell r="G728">
            <v>46143</v>
          </cell>
          <cell r="H728">
            <v>46507</v>
          </cell>
          <cell r="J728" t="str">
            <v>004066</v>
          </cell>
          <cell r="K728">
            <v>-132.52000000000001</v>
          </cell>
          <cell r="L728">
            <v>-132.52000000000001</v>
          </cell>
          <cell r="M728">
            <v>-132.52000000000001</v>
          </cell>
          <cell r="N728" t="str">
            <v>diretto</v>
          </cell>
          <cell r="O728">
            <v>4</v>
          </cell>
          <cell r="P728" t="str">
            <v>0.916558</v>
          </cell>
          <cell r="Q728" t="str">
            <v>0.642623</v>
          </cell>
          <cell r="R728" t="str">
            <v>0.256196</v>
          </cell>
          <cell r="S728" t="str">
            <v>NO</v>
          </cell>
          <cell r="T728" t="str">
            <v>DELIBERAZIONE EGATO 29 19/12/2018</v>
          </cell>
        </row>
        <row r="729">
          <cell r="D729" t="str">
            <v>0802000093</v>
          </cell>
          <cell r="E729">
            <v>46143</v>
          </cell>
          <cell r="F729">
            <v>46507</v>
          </cell>
          <cell r="G729">
            <v>46143</v>
          </cell>
          <cell r="H729">
            <v>46507</v>
          </cell>
          <cell r="J729" t="str">
            <v>004108</v>
          </cell>
          <cell r="K729">
            <v>-41.66</v>
          </cell>
          <cell r="L729">
            <v>-41.66</v>
          </cell>
          <cell r="M729">
            <v>-41.66</v>
          </cell>
          <cell r="N729" t="str">
            <v>diretto</v>
          </cell>
          <cell r="O729">
            <v>3</v>
          </cell>
          <cell r="P729" t="str">
            <v>0.265650</v>
          </cell>
          <cell r="Q729" t="str">
            <v>0.369583</v>
          </cell>
          <cell r="R729" t="str">
            <v>0.125657</v>
          </cell>
          <cell r="S729" t="str">
            <v>NO</v>
          </cell>
          <cell r="T729" t="str">
            <v>DELIBERAZIONE EGATO 2 04/02/2019</v>
          </cell>
        </row>
        <row r="730">
          <cell r="D730" t="str">
            <v>0780096401</v>
          </cell>
          <cell r="E730">
            <v>46143</v>
          </cell>
          <cell r="F730">
            <v>46507</v>
          </cell>
          <cell r="G730">
            <v>46143</v>
          </cell>
          <cell r="H730">
            <v>46507</v>
          </cell>
          <cell r="J730" t="str">
            <v>004085</v>
          </cell>
          <cell r="K730">
            <v>-29.82</v>
          </cell>
          <cell r="L730">
            <v>-29.82</v>
          </cell>
          <cell r="M730">
            <v>-29.82</v>
          </cell>
          <cell r="N730" t="str">
            <v>diretto</v>
          </cell>
          <cell r="O730">
            <v>1</v>
          </cell>
          <cell r="P730" t="str">
            <v>0.824903</v>
          </cell>
          <cell r="Q730" t="str">
            <v>0.578360</v>
          </cell>
          <cell r="R730" t="str">
            <v>0.230576</v>
          </cell>
          <cell r="S730" t="str">
            <v>NO</v>
          </cell>
          <cell r="T730" t="str">
            <v>DELIBERAZIONE EGATO 29 19/12/2018</v>
          </cell>
        </row>
        <row r="731">
          <cell r="D731" t="str">
            <v>0772000544</v>
          </cell>
          <cell r="E731">
            <v>46143</v>
          </cell>
          <cell r="F731">
            <v>46507</v>
          </cell>
          <cell r="G731">
            <v>46143</v>
          </cell>
          <cell r="H731">
            <v>46507</v>
          </cell>
          <cell r="J731" t="str">
            <v>004209</v>
          </cell>
          <cell r="K731">
            <v>-89.45</v>
          </cell>
          <cell r="L731">
            <v>-89.45</v>
          </cell>
          <cell r="M731">
            <v>-89.45</v>
          </cell>
          <cell r="N731" t="str">
            <v>diretto</v>
          </cell>
          <cell r="O731">
            <v>3</v>
          </cell>
          <cell r="P731" t="str">
            <v>0.824903</v>
          </cell>
          <cell r="Q731" t="str">
            <v>0.578360</v>
          </cell>
          <cell r="R731" t="str">
            <v>0.230576</v>
          </cell>
          <cell r="S731" t="str">
            <v>NO</v>
          </cell>
          <cell r="T731" t="str">
            <v>DELIBERAZIONE EGATO 29 19/12/2018</v>
          </cell>
        </row>
        <row r="732">
          <cell r="D732" t="str">
            <v>0762000689</v>
          </cell>
          <cell r="E732">
            <v>46143</v>
          </cell>
          <cell r="F732">
            <v>46507</v>
          </cell>
          <cell r="G732">
            <v>46143</v>
          </cell>
          <cell r="H732">
            <v>46507</v>
          </cell>
          <cell r="J732" t="str">
            <v>004157</v>
          </cell>
          <cell r="K732">
            <v>-165.65</v>
          </cell>
          <cell r="L732">
            <v>-165.65</v>
          </cell>
          <cell r="M732">
            <v>-165.65</v>
          </cell>
          <cell r="N732" t="str">
            <v>diretto</v>
          </cell>
          <cell r="O732">
            <v>5</v>
          </cell>
          <cell r="P732" t="str">
            <v>0.916558</v>
          </cell>
          <cell r="Q732" t="str">
            <v>0.642623</v>
          </cell>
          <cell r="R732" t="str">
            <v>0.256196</v>
          </cell>
          <cell r="S732" t="str">
            <v>NO</v>
          </cell>
          <cell r="T732" t="str">
            <v>DELIBERAZIONE EGATO 29 19/12/2018</v>
          </cell>
        </row>
        <row r="733">
          <cell r="D733" t="str">
            <v>0760055202</v>
          </cell>
          <cell r="E733">
            <v>46143</v>
          </cell>
          <cell r="F733">
            <v>46507</v>
          </cell>
          <cell r="G733">
            <v>46143</v>
          </cell>
          <cell r="H733">
            <v>46507</v>
          </cell>
          <cell r="J733" t="str">
            <v>004157</v>
          </cell>
          <cell r="K733">
            <v>-16.73</v>
          </cell>
          <cell r="L733">
            <v>-16.73</v>
          </cell>
          <cell r="M733">
            <v>-16.73</v>
          </cell>
          <cell r="N733" t="str">
            <v>diretto</v>
          </cell>
          <cell r="O733">
            <v>1</v>
          </cell>
          <cell r="P733" t="str">
            <v>0.916558</v>
          </cell>
          <cell r="Q733" t="str">
            <v>0.642623</v>
          </cell>
          <cell r="R733" t="str">
            <v>0.256196</v>
          </cell>
          <cell r="S733" t="str">
            <v>NO</v>
          </cell>
          <cell r="T733" t="str">
            <v>DELIBERAZIONE EGATO 29 19/12/2018</v>
          </cell>
        </row>
        <row r="734">
          <cell r="D734" t="str">
            <v>0672000118</v>
          </cell>
          <cell r="E734">
            <v>46143</v>
          </cell>
          <cell r="F734">
            <v>46507</v>
          </cell>
          <cell r="G734">
            <v>46143</v>
          </cell>
          <cell r="H734">
            <v>46507</v>
          </cell>
          <cell r="J734" t="str">
            <v>004121</v>
          </cell>
          <cell r="K734">
            <v>-12.74</v>
          </cell>
          <cell r="L734">
            <v>-12.74</v>
          </cell>
          <cell r="M734">
            <v>-12.74</v>
          </cell>
          <cell r="N734" t="str">
            <v>diretto</v>
          </cell>
          <cell r="O734">
            <v>1</v>
          </cell>
          <cell r="P734" t="str">
            <v>0.225322</v>
          </cell>
          <cell r="Q734" t="str">
            <v>0.352946</v>
          </cell>
          <cell r="R734" t="str">
            <v>0.120001</v>
          </cell>
          <cell r="S734" t="str">
            <v>NO</v>
          </cell>
          <cell r="T734" t="str">
            <v>DELIBERAZIONE EGATO 2 04/02/2019</v>
          </cell>
        </row>
        <row r="735">
          <cell r="D735" t="str">
            <v>0670000502</v>
          </cell>
          <cell r="E735">
            <v>46143</v>
          </cell>
          <cell r="F735">
            <v>46507</v>
          </cell>
          <cell r="G735">
            <v>46143</v>
          </cell>
          <cell r="H735">
            <v>46507</v>
          </cell>
          <cell r="J735" t="str">
            <v>004121</v>
          </cell>
          <cell r="K735">
            <v>-38.229999999999997</v>
          </cell>
          <cell r="L735">
            <v>-38.229999999999997</v>
          </cell>
          <cell r="M735">
            <v>-38.229999999999997</v>
          </cell>
          <cell r="N735" t="str">
            <v>diretto</v>
          </cell>
          <cell r="O735">
            <v>3</v>
          </cell>
          <cell r="P735" t="str">
            <v>0.225322</v>
          </cell>
          <cell r="Q735" t="str">
            <v>0.352946</v>
          </cell>
          <cell r="R735" t="str">
            <v>0.120001</v>
          </cell>
          <cell r="S735" t="str">
            <v>NO</v>
          </cell>
          <cell r="T735" t="str">
            <v>DELIBERAZIONE EGATO 2 04/02/2019</v>
          </cell>
        </row>
        <row r="736">
          <cell r="D736" t="str">
            <v>0582001123</v>
          </cell>
          <cell r="E736">
            <v>46143</v>
          </cell>
          <cell r="F736">
            <v>46507</v>
          </cell>
          <cell r="G736">
            <v>46143</v>
          </cell>
          <cell r="H736">
            <v>46507</v>
          </cell>
          <cell r="J736" t="str">
            <v>004163</v>
          </cell>
          <cell r="K736">
            <v>-33.450000000000003</v>
          </cell>
          <cell r="L736">
            <v>-33.450000000000003</v>
          </cell>
          <cell r="M736">
            <v>-33.450000000000003</v>
          </cell>
          <cell r="N736" t="str">
            <v>diretto</v>
          </cell>
          <cell r="O736">
            <v>2</v>
          </cell>
          <cell r="P736" t="str">
            <v>0.916558</v>
          </cell>
          <cell r="Q736" t="str">
            <v>0.642623</v>
          </cell>
          <cell r="R736" t="str">
            <v>0.256196</v>
          </cell>
          <cell r="S736" t="str">
            <v>NO</v>
          </cell>
          <cell r="T736" t="str">
            <v>DELIBERAZIONE EGATO 29 19/12/2018</v>
          </cell>
        </row>
        <row r="737">
          <cell r="D737" t="str">
            <v>0582000829</v>
          </cell>
          <cell r="E737">
            <v>46143</v>
          </cell>
          <cell r="F737">
            <v>46507</v>
          </cell>
          <cell r="G737">
            <v>46143</v>
          </cell>
          <cell r="H737">
            <v>46507</v>
          </cell>
          <cell r="J737" t="str">
            <v>004163</v>
          </cell>
          <cell r="K737">
            <v>-99.39</v>
          </cell>
          <cell r="L737">
            <v>-99.39</v>
          </cell>
          <cell r="M737">
            <v>-99.39</v>
          </cell>
          <cell r="N737" t="str">
            <v>diretto</v>
          </cell>
          <cell r="O737">
            <v>3</v>
          </cell>
          <cell r="P737" t="str">
            <v>0.916558</v>
          </cell>
          <cell r="Q737" t="str">
            <v>0.642623</v>
          </cell>
          <cell r="R737" t="str">
            <v>0.256196</v>
          </cell>
          <cell r="S737" t="str">
            <v>NO</v>
          </cell>
          <cell r="T737" t="str">
            <v>DELIBERAZIONE EGATO 29 19/12/2018</v>
          </cell>
        </row>
        <row r="738">
          <cell r="D738" t="str">
            <v>0572000500</v>
          </cell>
          <cell r="E738">
            <v>46143</v>
          </cell>
          <cell r="F738">
            <v>46507</v>
          </cell>
          <cell r="G738">
            <v>46143</v>
          </cell>
          <cell r="H738">
            <v>46507</v>
          </cell>
          <cell r="J738" t="str">
            <v>004016</v>
          </cell>
          <cell r="K738">
            <v>-132.52000000000001</v>
          </cell>
          <cell r="L738">
            <v>-132.52000000000001</v>
          </cell>
          <cell r="M738">
            <v>-132.52000000000001</v>
          </cell>
          <cell r="N738" t="str">
            <v>diretto</v>
          </cell>
          <cell r="O738">
            <v>4</v>
          </cell>
          <cell r="P738" t="str">
            <v>0.916558</v>
          </cell>
          <cell r="Q738" t="str">
            <v>0.642623</v>
          </cell>
          <cell r="R738" t="str">
            <v>0.256196</v>
          </cell>
          <cell r="S738" t="str">
            <v>NO</v>
          </cell>
          <cell r="T738" t="str">
            <v>DELIBERAZIONE EGATO 29 19/12/2018</v>
          </cell>
        </row>
        <row r="739">
          <cell r="D739" t="str">
            <v>0380000369</v>
          </cell>
          <cell r="E739">
            <v>46143</v>
          </cell>
          <cell r="F739">
            <v>46507</v>
          </cell>
          <cell r="G739">
            <v>46143</v>
          </cell>
          <cell r="H739">
            <v>46507</v>
          </cell>
          <cell r="J739" t="str">
            <v>004033</v>
          </cell>
          <cell r="K739">
            <v>-47.94</v>
          </cell>
          <cell r="L739">
            <v>-47.94</v>
          </cell>
          <cell r="M739">
            <v>-47.94</v>
          </cell>
          <cell r="N739" t="str">
            <v>diretto</v>
          </cell>
          <cell r="O739">
            <v>2</v>
          </cell>
          <cell r="P739" t="str">
            <v>0.721337</v>
          </cell>
          <cell r="Q739" t="str">
            <v>0.441600</v>
          </cell>
          <cell r="R739" t="str">
            <v>0.150394</v>
          </cell>
          <cell r="S739" t="str">
            <v>NO</v>
          </cell>
          <cell r="T739" t="str">
            <v>DELIBERAZIONE EGATO 2 04/02/2019</v>
          </cell>
        </row>
        <row r="740">
          <cell r="D740" t="str">
            <v>0232000110</v>
          </cell>
          <cell r="E740">
            <v>46143</v>
          </cell>
          <cell r="F740">
            <v>46507</v>
          </cell>
          <cell r="G740">
            <v>46143</v>
          </cell>
          <cell r="H740">
            <v>46507</v>
          </cell>
          <cell r="J740" t="str">
            <v>004093</v>
          </cell>
          <cell r="K740">
            <v>-59.64</v>
          </cell>
          <cell r="L740">
            <v>-59.64</v>
          </cell>
          <cell r="M740">
            <v>-59.64</v>
          </cell>
          <cell r="N740" t="str">
            <v>diretto</v>
          </cell>
          <cell r="O740">
            <v>2</v>
          </cell>
          <cell r="P740" t="str">
            <v>0.824903</v>
          </cell>
          <cell r="Q740" t="str">
            <v>0.578360</v>
          </cell>
          <cell r="R740" t="str">
            <v>0.230576</v>
          </cell>
          <cell r="S740" t="str">
            <v>NO</v>
          </cell>
          <cell r="T740" t="str">
            <v>DELIBERAZIONE EGATO 29 19/12/2018</v>
          </cell>
        </row>
        <row r="741">
          <cell r="D741">
            <v>2000055262</v>
          </cell>
          <cell r="E741">
            <v>46143</v>
          </cell>
          <cell r="F741">
            <v>46507</v>
          </cell>
          <cell r="G741">
            <v>46143</v>
          </cell>
          <cell r="H741">
            <v>46507</v>
          </cell>
          <cell r="J741" t="str">
            <v>004227</v>
          </cell>
          <cell r="K741">
            <v>-26.5</v>
          </cell>
          <cell r="L741">
            <v>-26.5</v>
          </cell>
          <cell r="M741">
            <v>-26.5</v>
          </cell>
          <cell r="N741" t="str">
            <v>diretto</v>
          </cell>
          <cell r="O741">
            <v>1</v>
          </cell>
          <cell r="P741" t="str">
            <v>0.733246</v>
          </cell>
          <cell r="Q741" t="str">
            <v>0.514098</v>
          </cell>
          <cell r="R741" t="str">
            <v>0.204957</v>
          </cell>
          <cell r="S741" t="str">
            <v>NO</v>
          </cell>
          <cell r="T741" t="str">
            <v>DELIBERAZIONE EGATO 2 04/02/2019</v>
          </cell>
        </row>
        <row r="742">
          <cell r="D742">
            <v>2000049766</v>
          </cell>
          <cell r="E742">
            <v>46143</v>
          </cell>
          <cell r="F742">
            <v>46507</v>
          </cell>
          <cell r="G742">
            <v>46143</v>
          </cell>
          <cell r="H742">
            <v>46507</v>
          </cell>
          <cell r="J742" t="str">
            <v>004082</v>
          </cell>
          <cell r="K742">
            <v>-33.130000000000003</v>
          </cell>
          <cell r="L742">
            <v>-33.130000000000003</v>
          </cell>
          <cell r="M742">
            <v>-33.130000000000003</v>
          </cell>
          <cell r="N742" t="str">
            <v>diretto</v>
          </cell>
          <cell r="O742">
            <v>1</v>
          </cell>
          <cell r="P742" t="str">
            <v>0.916558</v>
          </cell>
          <cell r="Q742" t="str">
            <v>0.642623</v>
          </cell>
          <cell r="R742" t="str">
            <v>0.256196</v>
          </cell>
          <cell r="S742" t="str">
            <v>NO</v>
          </cell>
          <cell r="T742" t="str">
            <v>DELIBERAZIONE EGATO 29 19/12/2018</v>
          </cell>
        </row>
        <row r="743">
          <cell r="D743">
            <v>2000022025</v>
          </cell>
          <cell r="E743">
            <v>46143</v>
          </cell>
          <cell r="F743">
            <v>46507</v>
          </cell>
          <cell r="G743">
            <v>46143</v>
          </cell>
          <cell r="H743">
            <v>46507</v>
          </cell>
          <cell r="J743" t="str">
            <v>004163</v>
          </cell>
          <cell r="K743">
            <v>-33.130000000000003</v>
          </cell>
          <cell r="L743">
            <v>-33.130000000000003</v>
          </cell>
          <cell r="M743">
            <v>-33.130000000000003</v>
          </cell>
          <cell r="N743" t="str">
            <v>diretto</v>
          </cell>
          <cell r="O743">
            <v>1</v>
          </cell>
          <cell r="P743" t="str">
            <v>0.916558</v>
          </cell>
          <cell r="Q743" t="str">
            <v>0.642623</v>
          </cell>
          <cell r="R743" t="str">
            <v>0.256196</v>
          </cell>
          <cell r="S743" t="str">
            <v>NO</v>
          </cell>
          <cell r="T743" t="str">
            <v>DELIBERAZIONE EGATO 29 19/12/2018</v>
          </cell>
        </row>
        <row r="744">
          <cell r="D744">
            <v>2000019772</v>
          </cell>
          <cell r="E744">
            <v>46143</v>
          </cell>
          <cell r="F744">
            <v>46507</v>
          </cell>
          <cell r="G744">
            <v>46143</v>
          </cell>
          <cell r="H744">
            <v>46507</v>
          </cell>
          <cell r="J744" t="str">
            <v>004144</v>
          </cell>
          <cell r="K744">
            <v>-33.130000000000003</v>
          </cell>
          <cell r="L744">
            <v>-33.130000000000003</v>
          </cell>
          <cell r="M744">
            <v>-33.130000000000003</v>
          </cell>
          <cell r="N744" t="str">
            <v>diretto</v>
          </cell>
          <cell r="O744">
            <v>1</v>
          </cell>
          <cell r="P744" t="str">
            <v>0.916558</v>
          </cell>
          <cell r="Q744" t="str">
            <v>0.642623</v>
          </cell>
          <cell r="R744" t="str">
            <v>0.256196</v>
          </cell>
          <cell r="S744" t="str">
            <v>NO</v>
          </cell>
          <cell r="T744" t="str">
            <v>DELIBERAZIONE EGATO 29 19/12/2018</v>
          </cell>
        </row>
        <row r="745">
          <cell r="D745" t="str">
            <v>0730004802</v>
          </cell>
          <cell r="E745">
            <v>46143</v>
          </cell>
          <cell r="F745">
            <v>46507</v>
          </cell>
          <cell r="G745">
            <v>46143</v>
          </cell>
          <cell r="H745">
            <v>46507</v>
          </cell>
          <cell r="J745" t="str">
            <v>004032</v>
          </cell>
          <cell r="K745">
            <v>-26.5</v>
          </cell>
          <cell r="L745">
            <v>-26.5</v>
          </cell>
          <cell r="M745">
            <v>-26.5</v>
          </cell>
          <cell r="N745" t="str">
            <v>diretto</v>
          </cell>
          <cell r="O745">
            <v>1</v>
          </cell>
          <cell r="P745" t="str">
            <v>0.733246</v>
          </cell>
          <cell r="Q745" t="str">
            <v>0.514098</v>
          </cell>
          <cell r="R745" t="str">
            <v>0.204957</v>
          </cell>
          <cell r="S745" t="str">
            <v>NO</v>
          </cell>
          <cell r="T745" t="str">
            <v>DELIBERAZIONE EGATO 2 04/02/2019</v>
          </cell>
        </row>
        <row r="746">
          <cell r="D746" t="str">
            <v>0052000430</v>
          </cell>
          <cell r="E746">
            <v>46143</v>
          </cell>
          <cell r="F746">
            <v>46507</v>
          </cell>
          <cell r="G746">
            <v>46143</v>
          </cell>
          <cell r="H746">
            <v>46507</v>
          </cell>
          <cell r="J746" t="str">
            <v>004025</v>
          </cell>
          <cell r="K746">
            <v>-33.130000000000003</v>
          </cell>
          <cell r="L746">
            <v>-33.130000000000003</v>
          </cell>
          <cell r="M746">
            <v>-33.130000000000003</v>
          </cell>
          <cell r="N746" t="str">
            <v>diretto</v>
          </cell>
          <cell r="O746">
            <v>1</v>
          </cell>
          <cell r="P746" t="str">
            <v>0.916558</v>
          </cell>
          <cell r="Q746" t="str">
            <v>0.642623</v>
          </cell>
          <cell r="R746" t="str">
            <v>0.256196</v>
          </cell>
          <cell r="S746" t="str">
            <v>NO</v>
          </cell>
          <cell r="T746" t="str">
            <v>DELIBERAZIONE EGATO 29 19/12/2018</v>
          </cell>
        </row>
        <row r="747">
          <cell r="D747">
            <v>2000019067</v>
          </cell>
          <cell r="E747">
            <v>46113</v>
          </cell>
          <cell r="F747">
            <v>46477</v>
          </cell>
          <cell r="G747">
            <v>46113</v>
          </cell>
          <cell r="H747">
            <v>46477</v>
          </cell>
          <cell r="J747" t="str">
            <v>004025</v>
          </cell>
          <cell r="K747">
            <v>-141.68</v>
          </cell>
          <cell r="L747">
            <v>-141.68</v>
          </cell>
          <cell r="M747">
            <v>-141.68</v>
          </cell>
          <cell r="N747" t="str">
            <v>diretto</v>
          </cell>
          <cell r="O747">
            <v>8</v>
          </cell>
          <cell r="P747" t="str">
            <v>0.970423</v>
          </cell>
          <cell r="Q747" t="str">
            <v>0.680389</v>
          </cell>
          <cell r="R747" t="str">
            <v>0.271253</v>
          </cell>
          <cell r="S747" t="str">
            <v>NO</v>
          </cell>
          <cell r="T747" t="str">
            <v>DELIBERAZIONE EGATO 29 19/12/2018</v>
          </cell>
        </row>
        <row r="748">
          <cell r="D748">
            <v>4012052650</v>
          </cell>
          <cell r="E748">
            <v>46113</v>
          </cell>
          <cell r="F748">
            <v>46477</v>
          </cell>
          <cell r="G748">
            <v>46113</v>
          </cell>
          <cell r="H748">
            <v>46477</v>
          </cell>
          <cell r="J748" t="str">
            <v>004012</v>
          </cell>
          <cell r="K748">
            <v>-26.07</v>
          </cell>
          <cell r="L748">
            <v>-26.07</v>
          </cell>
          <cell r="M748">
            <v>-26.07</v>
          </cell>
          <cell r="N748" t="str">
            <v>diretto</v>
          </cell>
          <cell r="O748">
            <v>1</v>
          </cell>
          <cell r="P748" t="str">
            <v>0.759077</v>
          </cell>
          <cell r="Q748" t="str">
            <v>0.490285</v>
          </cell>
          <cell r="R748" t="str">
            <v>0.179000</v>
          </cell>
          <cell r="S748" t="str">
            <v>NO</v>
          </cell>
          <cell r="T748" t="str">
            <v>DELIBERAZIONE EGATO 2 04/02/2019</v>
          </cell>
        </row>
        <row r="749">
          <cell r="D749">
            <v>2000049351</v>
          </cell>
          <cell r="E749">
            <v>46113</v>
          </cell>
          <cell r="F749">
            <v>46477</v>
          </cell>
          <cell r="G749">
            <v>46113</v>
          </cell>
          <cell r="H749">
            <v>46477</v>
          </cell>
          <cell r="J749" t="str">
            <v>004009</v>
          </cell>
          <cell r="K749">
            <v>-78.2</v>
          </cell>
          <cell r="L749">
            <v>-78.2</v>
          </cell>
          <cell r="M749">
            <v>-78.2</v>
          </cell>
          <cell r="N749" t="str">
            <v>diretto</v>
          </cell>
          <cell r="O749">
            <v>3</v>
          </cell>
          <cell r="P749" t="str">
            <v>0.759077</v>
          </cell>
          <cell r="Q749" t="str">
            <v>0.490285</v>
          </cell>
          <cell r="R749" t="str">
            <v>0.179000</v>
          </cell>
          <cell r="S749" t="str">
            <v>NO</v>
          </cell>
          <cell r="T749" t="str">
            <v>DELIBERAZIONE EGATO 2 04/02/2019</v>
          </cell>
        </row>
        <row r="750">
          <cell r="D750">
            <v>2000049498</v>
          </cell>
          <cell r="E750">
            <v>46113</v>
          </cell>
          <cell r="F750">
            <v>46477</v>
          </cell>
          <cell r="G750">
            <v>46113</v>
          </cell>
          <cell r="H750">
            <v>46477</v>
          </cell>
          <cell r="J750" t="str">
            <v>004097</v>
          </cell>
          <cell r="K750">
            <v>-20.28</v>
          </cell>
          <cell r="L750">
            <v>-20.28</v>
          </cell>
          <cell r="M750">
            <v>-20.28</v>
          </cell>
          <cell r="N750" t="str">
            <v>diretto</v>
          </cell>
          <cell r="O750">
            <v>1</v>
          </cell>
          <cell r="P750" t="str">
            <v>0.584101</v>
          </cell>
          <cell r="Q750" t="str">
            <v>0.354237</v>
          </cell>
          <cell r="R750" t="str">
            <v>0.173021</v>
          </cell>
          <cell r="S750" t="str">
            <v>NO</v>
          </cell>
          <cell r="T750" t="str">
            <v>DELIBERA EGATO N. 38 12/12/22</v>
          </cell>
        </row>
        <row r="751">
          <cell r="D751">
            <v>2000032150</v>
          </cell>
          <cell r="E751">
            <v>46113</v>
          </cell>
          <cell r="F751">
            <v>46477</v>
          </cell>
          <cell r="G751">
            <v>46113</v>
          </cell>
          <cell r="H751">
            <v>46477</v>
          </cell>
          <cell r="J751" t="str">
            <v>004043</v>
          </cell>
          <cell r="K751">
            <v>-40.93</v>
          </cell>
          <cell r="L751">
            <v>-40.93</v>
          </cell>
          <cell r="M751">
            <v>-40.93</v>
          </cell>
          <cell r="N751" t="str">
            <v>diretto</v>
          </cell>
          <cell r="O751">
            <v>1</v>
          </cell>
          <cell r="P751">
            <v>1155411</v>
          </cell>
          <cell r="Q751" t="str">
            <v>0.773737</v>
          </cell>
          <cell r="R751" t="str">
            <v>0.313675</v>
          </cell>
          <cell r="S751" t="str">
            <v>NO</v>
          </cell>
          <cell r="T751" t="str">
            <v>DELIBERAZIONE EGATO 2 04/02/2019</v>
          </cell>
        </row>
        <row r="752">
          <cell r="D752">
            <v>2000055884</v>
          </cell>
          <cell r="E752">
            <v>46113</v>
          </cell>
          <cell r="F752">
            <v>46477</v>
          </cell>
          <cell r="G752">
            <v>46113</v>
          </cell>
          <cell r="H752">
            <v>46477</v>
          </cell>
          <cell r="J752" t="str">
            <v>004079</v>
          </cell>
          <cell r="K752">
            <v>-157.85</v>
          </cell>
          <cell r="L752">
            <v>-157.85</v>
          </cell>
          <cell r="M752">
            <v>-157.85</v>
          </cell>
          <cell r="N752" t="str">
            <v>diretto</v>
          </cell>
          <cell r="O752">
            <v>5</v>
          </cell>
          <cell r="P752" t="str">
            <v>0.873381</v>
          </cell>
          <cell r="Q752" t="str">
            <v>0.612350</v>
          </cell>
          <cell r="R752" t="str">
            <v>0.244127</v>
          </cell>
          <cell r="S752" t="str">
            <v>NO</v>
          </cell>
          <cell r="T752" t="str">
            <v>DELIBERAZIONE EGATO 29 19/12/2018</v>
          </cell>
        </row>
        <row r="753">
          <cell r="D753">
            <v>2000055216</v>
          </cell>
          <cell r="E753">
            <v>46113</v>
          </cell>
          <cell r="F753">
            <v>46477</v>
          </cell>
          <cell r="G753">
            <v>46113</v>
          </cell>
          <cell r="H753">
            <v>46477</v>
          </cell>
          <cell r="J753" t="str">
            <v>004066</v>
          </cell>
          <cell r="K753">
            <v>-105.23</v>
          </cell>
          <cell r="L753">
            <v>-105.23</v>
          </cell>
          <cell r="M753">
            <v>-105.23</v>
          </cell>
          <cell r="N753" t="str">
            <v>diretto</v>
          </cell>
          <cell r="O753">
            <v>3</v>
          </cell>
          <cell r="P753" t="str">
            <v>0.970423</v>
          </cell>
          <cell r="Q753" t="str">
            <v>0.680389</v>
          </cell>
          <cell r="R753" t="str">
            <v>0.271253</v>
          </cell>
          <cell r="S753" t="str">
            <v>NO</v>
          </cell>
          <cell r="T753" t="str">
            <v>DELIBERAZIONE EGATO 29 19/12/2018</v>
          </cell>
        </row>
        <row r="754">
          <cell r="D754">
            <v>2000054264</v>
          </cell>
          <cell r="E754">
            <v>46113</v>
          </cell>
          <cell r="F754">
            <v>46477</v>
          </cell>
          <cell r="G754">
            <v>46113</v>
          </cell>
          <cell r="H754">
            <v>46477</v>
          </cell>
          <cell r="J754" t="str">
            <v>004114</v>
          </cell>
          <cell r="K754">
            <v>-105.23</v>
          </cell>
          <cell r="L754">
            <v>-105.23</v>
          </cell>
          <cell r="M754">
            <v>-105.23</v>
          </cell>
          <cell r="N754" t="str">
            <v>diretto</v>
          </cell>
          <cell r="O754">
            <v>3</v>
          </cell>
          <cell r="P754" t="str">
            <v>0.970423</v>
          </cell>
          <cell r="Q754" t="str">
            <v>0.680389</v>
          </cell>
          <cell r="R754" t="str">
            <v>0.271253</v>
          </cell>
          <cell r="S754" t="str">
            <v>NO</v>
          </cell>
          <cell r="T754" t="str">
            <v>DELIBERAZIONE EGATO 29 19/12/2018</v>
          </cell>
        </row>
        <row r="755">
          <cell r="D755">
            <v>2000051985</v>
          </cell>
          <cell r="E755">
            <v>46113</v>
          </cell>
          <cell r="F755">
            <v>46477</v>
          </cell>
          <cell r="G755">
            <v>46113</v>
          </cell>
          <cell r="H755">
            <v>46477</v>
          </cell>
          <cell r="J755" t="str">
            <v>004066</v>
          </cell>
          <cell r="K755">
            <v>-175.39</v>
          </cell>
          <cell r="L755">
            <v>-175.39</v>
          </cell>
          <cell r="M755">
            <v>-175.39</v>
          </cell>
          <cell r="N755" t="str">
            <v>diretto</v>
          </cell>
          <cell r="O755">
            <v>5</v>
          </cell>
          <cell r="P755" t="str">
            <v>0.970423</v>
          </cell>
          <cell r="Q755" t="str">
            <v>0.680389</v>
          </cell>
          <cell r="R755" t="str">
            <v>0.271253</v>
          </cell>
          <cell r="S755" t="str">
            <v>NO</v>
          </cell>
          <cell r="T755" t="str">
            <v>DELIBERAZIONE EGATO 29 19/12/2018</v>
          </cell>
        </row>
        <row r="756">
          <cell r="D756">
            <v>2000049436</v>
          </cell>
          <cell r="E756">
            <v>46113</v>
          </cell>
          <cell r="F756">
            <v>46477</v>
          </cell>
          <cell r="G756">
            <v>46113</v>
          </cell>
          <cell r="H756">
            <v>46477</v>
          </cell>
          <cell r="J756" t="str">
            <v>004192</v>
          </cell>
          <cell r="K756">
            <v>-105.23</v>
          </cell>
          <cell r="L756">
            <v>-105.23</v>
          </cell>
          <cell r="M756">
            <v>-105.23</v>
          </cell>
          <cell r="N756" t="str">
            <v>diretto</v>
          </cell>
          <cell r="O756">
            <v>3</v>
          </cell>
          <cell r="P756" t="str">
            <v>0.970423</v>
          </cell>
          <cell r="Q756" t="str">
            <v>0.680389</v>
          </cell>
          <cell r="R756" t="str">
            <v>0.271253</v>
          </cell>
          <cell r="S756" t="str">
            <v>NO</v>
          </cell>
          <cell r="T756" t="str">
            <v>DELIBERAZIONE EGATO 29 19/12/2018</v>
          </cell>
        </row>
        <row r="757">
          <cell r="D757">
            <v>2000003818</v>
          </cell>
          <cell r="E757">
            <v>46113</v>
          </cell>
          <cell r="F757">
            <v>46477</v>
          </cell>
          <cell r="G757">
            <v>46113</v>
          </cell>
          <cell r="H757">
            <v>46477</v>
          </cell>
          <cell r="J757" t="str">
            <v>004179</v>
          </cell>
          <cell r="K757">
            <v>-148.19</v>
          </cell>
          <cell r="L757">
            <v>-148.19</v>
          </cell>
          <cell r="M757">
            <v>-148.19</v>
          </cell>
          <cell r="N757" t="str">
            <v>diretto</v>
          </cell>
          <cell r="O757">
            <v>5</v>
          </cell>
          <cell r="P757" t="str">
            <v>0.850124</v>
          </cell>
          <cell r="Q757" t="str">
            <v>0.568257</v>
          </cell>
          <cell r="R757" t="str">
            <v>0.205575</v>
          </cell>
          <cell r="S757" t="str">
            <v>NO</v>
          </cell>
          <cell r="T757" t="str">
            <v>DELIBERAZIONE EGATO 11 27/03/2019</v>
          </cell>
        </row>
        <row r="758">
          <cell r="D758" t="str">
            <v>0832001058</v>
          </cell>
          <cell r="E758">
            <v>46113</v>
          </cell>
          <cell r="F758">
            <v>46477</v>
          </cell>
          <cell r="G758">
            <v>46113</v>
          </cell>
          <cell r="H758">
            <v>46477</v>
          </cell>
          <cell r="J758" t="str">
            <v>004155</v>
          </cell>
          <cell r="K758">
            <v>-47.82</v>
          </cell>
          <cell r="L758">
            <v>-47.82</v>
          </cell>
          <cell r="M758">
            <v>-47.82</v>
          </cell>
          <cell r="N758" t="str">
            <v>diretto</v>
          </cell>
          <cell r="O758">
            <v>3</v>
          </cell>
          <cell r="P758" t="str">
            <v>0.873381</v>
          </cell>
          <cell r="Q758" t="str">
            <v>0.612350</v>
          </cell>
          <cell r="R758" t="str">
            <v>0.244127</v>
          </cell>
          <cell r="S758" t="str">
            <v>NO</v>
          </cell>
          <cell r="T758" t="str">
            <v>DELIBERAZIONE EGATO 29 19/12/2018</v>
          </cell>
        </row>
        <row r="759">
          <cell r="D759" t="str">
            <v>0602000167</v>
          </cell>
          <cell r="E759">
            <v>46113</v>
          </cell>
          <cell r="F759">
            <v>46477</v>
          </cell>
          <cell r="G759">
            <v>46113</v>
          </cell>
          <cell r="H759">
            <v>46477</v>
          </cell>
          <cell r="J759" t="str">
            <v>004165</v>
          </cell>
          <cell r="K759">
            <v>-106.26</v>
          </cell>
          <cell r="L759">
            <v>-106.26</v>
          </cell>
          <cell r="M759">
            <v>-106.26</v>
          </cell>
          <cell r="N759" t="str">
            <v>diretto</v>
          </cell>
          <cell r="O759">
            <v>6</v>
          </cell>
          <cell r="P759" t="str">
            <v>0.970423</v>
          </cell>
          <cell r="Q759" t="str">
            <v>0.680389</v>
          </cell>
          <cell r="R759" t="str">
            <v>0.271253</v>
          </cell>
          <cell r="S759" t="str">
            <v>NO</v>
          </cell>
          <cell r="T759" t="str">
            <v>DELIBERAZIONE EGATO 29 19/12/2018</v>
          </cell>
        </row>
        <row r="760">
          <cell r="D760" t="str">
            <v>0090020701</v>
          </cell>
          <cell r="E760">
            <v>46113</v>
          </cell>
          <cell r="F760">
            <v>46477</v>
          </cell>
          <cell r="G760">
            <v>46113</v>
          </cell>
          <cell r="H760">
            <v>46477</v>
          </cell>
          <cell r="J760" t="str">
            <v>004040</v>
          </cell>
          <cell r="K760">
            <v>-35.08</v>
          </cell>
          <cell r="L760">
            <v>-35.08</v>
          </cell>
          <cell r="M760">
            <v>-35.08</v>
          </cell>
          <cell r="N760" t="str">
            <v>diretto</v>
          </cell>
          <cell r="O760">
            <v>1</v>
          </cell>
          <cell r="P760" t="str">
            <v>0.970423</v>
          </cell>
          <cell r="Q760" t="str">
            <v>0.680389</v>
          </cell>
          <cell r="R760" t="str">
            <v>0.271253</v>
          </cell>
          <cell r="S760" t="str">
            <v>NO</v>
          </cell>
          <cell r="T760" t="str">
            <v>DELIBERAZIONE EGATO 29 19/12/2018</v>
          </cell>
        </row>
        <row r="761">
          <cell r="D761" t="str">
            <v>0062000882</v>
          </cell>
          <cell r="E761">
            <v>46113</v>
          </cell>
          <cell r="F761">
            <v>46477</v>
          </cell>
          <cell r="G761">
            <v>46113</v>
          </cell>
          <cell r="H761">
            <v>46477</v>
          </cell>
          <cell r="J761" t="str">
            <v>004028</v>
          </cell>
          <cell r="K761">
            <v>-140.31</v>
          </cell>
          <cell r="L761">
            <v>-140.31</v>
          </cell>
          <cell r="M761">
            <v>-140.31</v>
          </cell>
          <cell r="N761" t="str">
            <v>diretto</v>
          </cell>
          <cell r="O761">
            <v>4</v>
          </cell>
          <cell r="P761" t="str">
            <v>0.970423</v>
          </cell>
          <cell r="Q761" t="str">
            <v>0.680389</v>
          </cell>
          <cell r="R761" t="str">
            <v>0.271253</v>
          </cell>
          <cell r="S761" t="str">
            <v>NO</v>
          </cell>
          <cell r="T761" t="str">
            <v>DELIBERAZIONE EGATO 29 19/12/2018</v>
          </cell>
        </row>
        <row r="762">
          <cell r="D762">
            <v>1062001478</v>
          </cell>
          <cell r="E762">
            <v>46113</v>
          </cell>
          <cell r="F762">
            <v>46477</v>
          </cell>
          <cell r="G762">
            <v>46113</v>
          </cell>
          <cell r="H762">
            <v>46477</v>
          </cell>
          <cell r="J762" t="str">
            <v>004179</v>
          </cell>
          <cell r="K762">
            <v>-88.91</v>
          </cell>
          <cell r="L762">
            <v>-88.91</v>
          </cell>
          <cell r="M762">
            <v>-88.91</v>
          </cell>
          <cell r="N762" t="str">
            <v>diretto</v>
          </cell>
          <cell r="O762">
            <v>3</v>
          </cell>
          <cell r="P762" t="str">
            <v>0.850124</v>
          </cell>
          <cell r="Q762" t="str">
            <v>0.568257</v>
          </cell>
          <cell r="R762" t="str">
            <v>0.205575</v>
          </cell>
          <cell r="S762" t="str">
            <v>NO</v>
          </cell>
          <cell r="T762" t="str">
            <v>DELIBERAZIONE EGATO 11 27/03/2019</v>
          </cell>
        </row>
        <row r="763">
          <cell r="D763" t="str">
            <v>0012002335</v>
          </cell>
          <cell r="E763">
            <v>46113</v>
          </cell>
          <cell r="F763">
            <v>46477</v>
          </cell>
          <cell r="G763">
            <v>46113</v>
          </cell>
          <cell r="H763">
            <v>46477</v>
          </cell>
          <cell r="J763" t="str">
            <v>004078</v>
          </cell>
          <cell r="K763">
            <v>-17.71</v>
          </cell>
          <cell r="L763">
            <v>-17.71</v>
          </cell>
          <cell r="M763">
            <v>-17.71</v>
          </cell>
          <cell r="N763" t="str">
            <v>diretto</v>
          </cell>
          <cell r="O763">
            <v>1</v>
          </cell>
          <cell r="P763" t="str">
            <v>0.970423</v>
          </cell>
          <cell r="Q763" t="str">
            <v>0.680389</v>
          </cell>
          <cell r="R763" t="str">
            <v>0.271253</v>
          </cell>
          <cell r="S763" t="str">
            <v>NO</v>
          </cell>
          <cell r="T763" t="str">
            <v>DELIBERAZIONE EGATO 29 19/12/2018</v>
          </cell>
        </row>
        <row r="764">
          <cell r="D764">
            <v>2000047267</v>
          </cell>
          <cell r="E764">
            <v>46082</v>
          </cell>
          <cell r="F764">
            <v>46446</v>
          </cell>
          <cell r="G764">
            <v>46082</v>
          </cell>
          <cell r="H764">
            <v>46446</v>
          </cell>
          <cell r="J764" t="str">
            <v>004210</v>
          </cell>
          <cell r="K764">
            <v>-31.6</v>
          </cell>
          <cell r="L764">
            <v>-31.6</v>
          </cell>
          <cell r="M764">
            <v>-31.6</v>
          </cell>
          <cell r="N764" t="str">
            <v>diretto</v>
          </cell>
          <cell r="O764">
            <v>3</v>
          </cell>
          <cell r="P764" t="str">
            <v>0.577221</v>
          </cell>
          <cell r="Q764" t="str">
            <v>0.647377</v>
          </cell>
          <cell r="R764" t="str">
            <v>0.298792</v>
          </cell>
          <cell r="S764" t="str">
            <v>NO</v>
          </cell>
          <cell r="T764" t="str">
            <v>DELIBERA EGATO N.29 DEL 19/12/2018</v>
          </cell>
        </row>
        <row r="765">
          <cell r="D765">
            <v>2000041777</v>
          </cell>
          <cell r="E765">
            <v>46082</v>
          </cell>
          <cell r="F765">
            <v>46446</v>
          </cell>
          <cell r="G765">
            <v>46082</v>
          </cell>
          <cell r="H765">
            <v>46446</v>
          </cell>
          <cell r="J765" t="str">
            <v>004245</v>
          </cell>
          <cell r="K765">
            <v>-55.6</v>
          </cell>
          <cell r="L765">
            <v>-55.6</v>
          </cell>
          <cell r="M765">
            <v>-55.6</v>
          </cell>
          <cell r="N765" t="str">
            <v>diretto</v>
          </cell>
          <cell r="O765">
            <v>2</v>
          </cell>
          <cell r="P765" t="str">
            <v>0.577221</v>
          </cell>
          <cell r="Q765" t="str">
            <v>0.647377</v>
          </cell>
          <cell r="R765" t="str">
            <v>0.298792</v>
          </cell>
          <cell r="S765" t="str">
            <v>NO</v>
          </cell>
          <cell r="T765" t="str">
            <v>DELIBERA EGATO N.29 DEL 19/12/2018</v>
          </cell>
        </row>
        <row r="766">
          <cell r="D766">
            <v>4012054693</v>
          </cell>
          <cell r="E766">
            <v>46082</v>
          </cell>
          <cell r="F766">
            <v>46446</v>
          </cell>
          <cell r="G766">
            <v>46082</v>
          </cell>
          <cell r="H766">
            <v>46446</v>
          </cell>
          <cell r="J766" t="str">
            <v>004012</v>
          </cell>
          <cell r="K766">
            <v>-52.14</v>
          </cell>
          <cell r="L766">
            <v>-52.14</v>
          </cell>
          <cell r="M766">
            <v>-52.14</v>
          </cell>
          <cell r="N766" t="str">
            <v>diretto</v>
          </cell>
          <cell r="O766">
            <v>2</v>
          </cell>
          <cell r="P766" t="str">
            <v>0.759077</v>
          </cell>
          <cell r="Q766" t="str">
            <v>0.490285</v>
          </cell>
          <cell r="R766" t="str">
            <v>0.179000</v>
          </cell>
          <cell r="S766" t="str">
            <v>NO</v>
          </cell>
          <cell r="T766" t="str">
            <v>DELIBERAZIONE EGATO 2 04/02/2019</v>
          </cell>
        </row>
        <row r="767">
          <cell r="D767">
            <v>2000049744</v>
          </cell>
          <cell r="E767">
            <v>46082</v>
          </cell>
          <cell r="F767">
            <v>46446</v>
          </cell>
          <cell r="G767">
            <v>46082</v>
          </cell>
          <cell r="H767">
            <v>46446</v>
          </cell>
          <cell r="J767" t="str">
            <v>004200</v>
          </cell>
          <cell r="K767">
            <v>-42.17</v>
          </cell>
          <cell r="L767">
            <v>-42.17</v>
          </cell>
          <cell r="M767">
            <v>-42.17</v>
          </cell>
          <cell r="N767" t="str">
            <v>diretto</v>
          </cell>
          <cell r="O767">
            <v>2</v>
          </cell>
          <cell r="P767">
            <v>1155411</v>
          </cell>
          <cell r="Q767" t="str">
            <v>0.773737</v>
          </cell>
          <cell r="R767" t="str">
            <v>0.313675</v>
          </cell>
          <cell r="S767" t="str">
            <v>NO</v>
          </cell>
          <cell r="T767" t="str">
            <v>DELIBERAZIONE EGATO 2 04/02/2019</v>
          </cell>
        </row>
        <row r="768">
          <cell r="D768">
            <v>2000033041</v>
          </cell>
          <cell r="E768">
            <v>46082</v>
          </cell>
          <cell r="F768">
            <v>46446</v>
          </cell>
          <cell r="G768">
            <v>46082</v>
          </cell>
          <cell r="H768">
            <v>46446</v>
          </cell>
          <cell r="J768" t="str">
            <v>004043</v>
          </cell>
          <cell r="K768">
            <v>-204.66</v>
          </cell>
          <cell r="L768">
            <v>-204.66</v>
          </cell>
          <cell r="M768">
            <v>-204.66</v>
          </cell>
          <cell r="N768" t="str">
            <v>diretto</v>
          </cell>
          <cell r="O768">
            <v>5</v>
          </cell>
          <cell r="P768">
            <v>1155411</v>
          </cell>
          <cell r="Q768" t="str">
            <v>0.773737</v>
          </cell>
          <cell r="R768" t="str">
            <v>0.313675</v>
          </cell>
          <cell r="S768" t="str">
            <v>NO</v>
          </cell>
          <cell r="T768" t="str">
            <v>DELIBERAZIONE EGATO 2 04/02/2019</v>
          </cell>
        </row>
        <row r="769">
          <cell r="D769">
            <v>2000019802</v>
          </cell>
          <cell r="E769">
            <v>46082</v>
          </cell>
          <cell r="F769">
            <v>46446</v>
          </cell>
          <cell r="G769">
            <v>46082</v>
          </cell>
          <cell r="H769">
            <v>46446</v>
          </cell>
          <cell r="J769" t="str">
            <v>004014</v>
          </cell>
          <cell r="K769">
            <v>-163.72999999999999</v>
          </cell>
          <cell r="L769">
            <v>-163.72999999999999</v>
          </cell>
          <cell r="M769">
            <v>-163.72999999999999</v>
          </cell>
          <cell r="N769" t="str">
            <v>diretto</v>
          </cell>
          <cell r="O769">
            <v>4</v>
          </cell>
          <cell r="P769">
            <v>1155411</v>
          </cell>
          <cell r="Q769" t="str">
            <v>0.773737</v>
          </cell>
          <cell r="R769" t="str">
            <v>0.313675</v>
          </cell>
          <cell r="S769" t="str">
            <v>NO</v>
          </cell>
          <cell r="T769" t="str">
            <v>DELIBERAZIONE EGATO 2 04/02/2019</v>
          </cell>
        </row>
        <row r="770">
          <cell r="D770">
            <v>2000009954</v>
          </cell>
          <cell r="E770">
            <v>46082</v>
          </cell>
          <cell r="F770">
            <v>46446</v>
          </cell>
          <cell r="G770">
            <v>46082</v>
          </cell>
          <cell r="H770">
            <v>46446</v>
          </cell>
          <cell r="J770" t="str">
            <v>004097</v>
          </cell>
          <cell r="K770">
            <v>-20.28</v>
          </cell>
          <cell r="L770">
            <v>-20.28</v>
          </cell>
          <cell r="M770">
            <v>-20.28</v>
          </cell>
          <cell r="N770" t="str">
            <v>diretto</v>
          </cell>
          <cell r="O770">
            <v>1</v>
          </cell>
          <cell r="P770" t="str">
            <v>0.584101</v>
          </cell>
          <cell r="Q770" t="str">
            <v>0.354237</v>
          </cell>
          <cell r="R770" t="str">
            <v>0.173021</v>
          </cell>
          <cell r="S770" t="str">
            <v>NO</v>
          </cell>
          <cell r="T770" t="str">
            <v>DELIBERA EGATO N. 38 12/12/22</v>
          </cell>
        </row>
        <row r="771">
          <cell r="D771" t="str">
            <v>025597</v>
          </cell>
          <cell r="E771">
            <v>46082</v>
          </cell>
          <cell r="F771">
            <v>46446</v>
          </cell>
          <cell r="G771">
            <v>46082</v>
          </cell>
          <cell r="H771">
            <v>46446</v>
          </cell>
          <cell r="J771" t="str">
            <v>004107</v>
          </cell>
          <cell r="K771">
            <v>-40.93</v>
          </cell>
          <cell r="L771">
            <v>-40.93</v>
          </cell>
          <cell r="M771">
            <v>-40.93</v>
          </cell>
          <cell r="N771" t="str">
            <v>diretto</v>
          </cell>
          <cell r="O771">
            <v>1</v>
          </cell>
          <cell r="P771">
            <v>1155411</v>
          </cell>
          <cell r="Q771" t="str">
            <v>0.773737</v>
          </cell>
          <cell r="R771" t="str">
            <v>0.313675</v>
          </cell>
          <cell r="S771" t="str">
            <v>NO</v>
          </cell>
          <cell r="T771" t="str">
            <v>DELIBERAZIONE EGATO 2 04/02/2019</v>
          </cell>
        </row>
        <row r="772">
          <cell r="D772">
            <v>2000032090</v>
          </cell>
          <cell r="E772">
            <v>46082</v>
          </cell>
          <cell r="F772">
            <v>46446</v>
          </cell>
          <cell r="G772">
            <v>46082</v>
          </cell>
          <cell r="H772">
            <v>46446</v>
          </cell>
          <cell r="J772" t="str">
            <v>004081</v>
          </cell>
          <cell r="K772">
            <v>-39.44</v>
          </cell>
          <cell r="L772">
            <v>-39.44</v>
          </cell>
          <cell r="M772">
            <v>-39.44</v>
          </cell>
          <cell r="N772" t="str">
            <v>diretto</v>
          </cell>
          <cell r="O772">
            <v>1</v>
          </cell>
          <cell r="P772">
            <v>1155411</v>
          </cell>
          <cell r="Q772" t="str">
            <v>0.691798</v>
          </cell>
          <cell r="R772" t="str">
            <v>0.313675</v>
          </cell>
          <cell r="S772" t="str">
            <v>NO</v>
          </cell>
          <cell r="T772" t="str">
            <v>DELIBERAZIONE EGATO 2 04/02/2019</v>
          </cell>
        </row>
        <row r="773">
          <cell r="D773">
            <v>2000034116</v>
          </cell>
          <cell r="E773">
            <v>46082</v>
          </cell>
          <cell r="F773">
            <v>46446</v>
          </cell>
          <cell r="G773">
            <v>46082</v>
          </cell>
          <cell r="H773">
            <v>46446</v>
          </cell>
          <cell r="J773" t="str">
            <v>004121</v>
          </cell>
          <cell r="K773">
            <v>-13.49</v>
          </cell>
          <cell r="L773">
            <v>-13.49</v>
          </cell>
          <cell r="M773">
            <v>-13.49</v>
          </cell>
          <cell r="N773" t="str">
            <v>diretto</v>
          </cell>
          <cell r="O773">
            <v>1</v>
          </cell>
          <cell r="P773" t="str">
            <v>0.238563</v>
          </cell>
          <cell r="Q773" t="str">
            <v>0.373689</v>
          </cell>
          <cell r="R773" t="str">
            <v>0.127053</v>
          </cell>
          <cell r="S773" t="str">
            <v>NO</v>
          </cell>
          <cell r="T773" t="str">
            <v>DELIBERAZIONE EGATO 2 04/02/2019</v>
          </cell>
        </row>
        <row r="774">
          <cell r="D774">
            <v>2000023625</v>
          </cell>
          <cell r="E774">
            <v>46082</v>
          </cell>
          <cell r="F774">
            <v>46446</v>
          </cell>
          <cell r="G774">
            <v>46082</v>
          </cell>
          <cell r="H774">
            <v>46446</v>
          </cell>
          <cell r="J774" t="str">
            <v>004209</v>
          </cell>
          <cell r="K774">
            <v>-157.85</v>
          </cell>
          <cell r="L774">
            <v>-157.85</v>
          </cell>
          <cell r="M774">
            <v>-157.85</v>
          </cell>
          <cell r="N774" t="str">
            <v>diretto</v>
          </cell>
          <cell r="O774">
            <v>5</v>
          </cell>
          <cell r="P774" t="str">
            <v>0.873381</v>
          </cell>
          <cell r="Q774" t="str">
            <v>0.612350</v>
          </cell>
          <cell r="R774" t="str">
            <v>0.244127</v>
          </cell>
          <cell r="S774" t="str">
            <v>NO</v>
          </cell>
          <cell r="T774" t="str">
            <v>DELIBERAZIONE EGATO 29 19/12/2018</v>
          </cell>
        </row>
        <row r="775">
          <cell r="D775" t="str">
            <v>0252000345</v>
          </cell>
          <cell r="E775">
            <v>46082</v>
          </cell>
          <cell r="F775">
            <v>46446</v>
          </cell>
          <cell r="G775">
            <v>46082</v>
          </cell>
          <cell r="H775">
            <v>46446</v>
          </cell>
          <cell r="J775" t="str">
            <v>004079</v>
          </cell>
          <cell r="K775">
            <v>-189.42</v>
          </cell>
          <cell r="L775">
            <v>-189.42</v>
          </cell>
          <cell r="M775">
            <v>-189.42</v>
          </cell>
          <cell r="N775" t="str">
            <v>diretto</v>
          </cell>
          <cell r="O775">
            <v>6</v>
          </cell>
          <cell r="P775" t="str">
            <v>0.873381</v>
          </cell>
          <cell r="Q775" t="str">
            <v>0.612350</v>
          </cell>
          <cell r="R775" t="str">
            <v>0.244127</v>
          </cell>
          <cell r="S775" t="str">
            <v>NO</v>
          </cell>
          <cell r="T775" t="str">
            <v>DELIBERAZIONE EGATO 29 19/12/2018</v>
          </cell>
        </row>
        <row r="776">
          <cell r="D776" t="str">
            <v>0020003366</v>
          </cell>
          <cell r="E776">
            <v>46082</v>
          </cell>
          <cell r="F776">
            <v>46446</v>
          </cell>
          <cell r="G776">
            <v>46082</v>
          </cell>
          <cell r="H776">
            <v>46446</v>
          </cell>
          <cell r="J776" t="str">
            <v>004116</v>
          </cell>
          <cell r="K776">
            <v>-152.26</v>
          </cell>
          <cell r="L776">
            <v>-152.26</v>
          </cell>
          <cell r="M776">
            <v>-152.26</v>
          </cell>
          <cell r="N776" t="str">
            <v>diretto</v>
          </cell>
          <cell r="O776">
            <v>6</v>
          </cell>
          <cell r="P776" t="str">
            <v>0.763729</v>
          </cell>
          <cell r="Q776" t="str">
            <v>0.467552</v>
          </cell>
          <cell r="R776" t="str">
            <v>0.159233</v>
          </cell>
          <cell r="S776" t="str">
            <v>NO</v>
          </cell>
          <cell r="T776" t="str">
            <v>DELIBERAZIONE EGATO 2 04/02/2019</v>
          </cell>
        </row>
        <row r="777">
          <cell r="D777">
            <v>2000053553</v>
          </cell>
          <cell r="E777">
            <v>46082</v>
          </cell>
          <cell r="F777">
            <v>46446</v>
          </cell>
          <cell r="G777">
            <v>46082</v>
          </cell>
          <cell r="H777">
            <v>46446</v>
          </cell>
          <cell r="J777" t="str">
            <v>004068</v>
          </cell>
          <cell r="K777">
            <v>-175.39</v>
          </cell>
          <cell r="L777">
            <v>-175.39</v>
          </cell>
          <cell r="M777">
            <v>-175.39</v>
          </cell>
          <cell r="N777" t="str">
            <v>diretto</v>
          </cell>
          <cell r="O777">
            <v>5</v>
          </cell>
          <cell r="P777" t="str">
            <v>0.970423</v>
          </cell>
          <cell r="Q777" t="str">
            <v>0.680389</v>
          </cell>
          <cell r="R777" t="str">
            <v>0.271253</v>
          </cell>
          <cell r="S777" t="str">
            <v>NO</v>
          </cell>
          <cell r="T777" t="str">
            <v>DELIBERAZIONE EGATO 29 19/12/2018</v>
          </cell>
        </row>
        <row r="778">
          <cell r="D778">
            <v>2000052475</v>
          </cell>
          <cell r="E778">
            <v>46082</v>
          </cell>
          <cell r="F778">
            <v>46446</v>
          </cell>
          <cell r="G778">
            <v>46082</v>
          </cell>
          <cell r="H778">
            <v>46446</v>
          </cell>
          <cell r="J778" t="str">
            <v>004078</v>
          </cell>
          <cell r="K778">
            <v>-70.84</v>
          </cell>
          <cell r="L778">
            <v>-70.84</v>
          </cell>
          <cell r="M778">
            <v>-70.84</v>
          </cell>
          <cell r="N778" t="str">
            <v>diretto</v>
          </cell>
          <cell r="O778">
            <v>4</v>
          </cell>
          <cell r="P778" t="str">
            <v>0.970423</v>
          </cell>
          <cell r="Q778" t="str">
            <v>0.680389</v>
          </cell>
          <cell r="R778" t="str">
            <v>0.271253</v>
          </cell>
          <cell r="S778" t="str">
            <v>NO</v>
          </cell>
          <cell r="T778" t="str">
            <v>DELIBERAZIONE EGATO 29 19/12/2018</v>
          </cell>
        </row>
        <row r="779">
          <cell r="D779">
            <v>2000052355</v>
          </cell>
          <cell r="E779">
            <v>46082</v>
          </cell>
          <cell r="F779">
            <v>46446</v>
          </cell>
          <cell r="G779">
            <v>46082</v>
          </cell>
          <cell r="H779">
            <v>46446</v>
          </cell>
          <cell r="J779" t="str">
            <v>004078</v>
          </cell>
          <cell r="K779">
            <v>-35.42</v>
          </cell>
          <cell r="L779">
            <v>-35.42</v>
          </cell>
          <cell r="M779">
            <v>-35.42</v>
          </cell>
          <cell r="N779" t="str">
            <v>diretto</v>
          </cell>
          <cell r="O779">
            <v>2</v>
          </cell>
          <cell r="P779" t="str">
            <v>0.970423</v>
          </cell>
          <cell r="Q779" t="str">
            <v>0.680389</v>
          </cell>
          <cell r="R779" t="str">
            <v>0.271253</v>
          </cell>
          <cell r="S779" t="str">
            <v>NO</v>
          </cell>
          <cell r="T779" t="str">
            <v>DELIBERAZIONE EGATO 29 19/12/2018</v>
          </cell>
        </row>
        <row r="780">
          <cell r="D780">
            <v>2000020923</v>
          </cell>
          <cell r="E780">
            <v>46082</v>
          </cell>
          <cell r="F780">
            <v>46446</v>
          </cell>
          <cell r="G780">
            <v>46082</v>
          </cell>
          <cell r="H780">
            <v>46446</v>
          </cell>
          <cell r="J780" t="str">
            <v>004078</v>
          </cell>
          <cell r="K780">
            <v>-210.47</v>
          </cell>
          <cell r="L780">
            <v>-210.47</v>
          </cell>
          <cell r="M780">
            <v>-210.47</v>
          </cell>
          <cell r="N780" t="str">
            <v>diretto</v>
          </cell>
          <cell r="O780">
            <v>6</v>
          </cell>
          <cell r="P780" t="str">
            <v>0.970423</v>
          </cell>
          <cell r="Q780" t="str">
            <v>0.680389</v>
          </cell>
          <cell r="R780" t="str">
            <v>0.271253</v>
          </cell>
          <cell r="S780" t="str">
            <v>NO</v>
          </cell>
          <cell r="T780" t="str">
            <v>DELIBERAZIONE EGATO 29 19/12/2018</v>
          </cell>
        </row>
        <row r="781">
          <cell r="D781">
            <v>2000019183</v>
          </cell>
          <cell r="E781">
            <v>46082</v>
          </cell>
          <cell r="F781">
            <v>46446</v>
          </cell>
          <cell r="G781">
            <v>46082</v>
          </cell>
          <cell r="H781">
            <v>46446</v>
          </cell>
          <cell r="J781" t="str">
            <v>004153</v>
          </cell>
          <cell r="K781">
            <v>-70.16</v>
          </cell>
          <cell r="L781">
            <v>-70.16</v>
          </cell>
          <cell r="M781">
            <v>-70.16</v>
          </cell>
          <cell r="N781" t="str">
            <v>diretto</v>
          </cell>
          <cell r="O781">
            <v>2</v>
          </cell>
          <cell r="P781" t="str">
            <v>0.970423</v>
          </cell>
          <cell r="Q781" t="str">
            <v>0.680389</v>
          </cell>
          <cell r="R781" t="str">
            <v>0.271253</v>
          </cell>
          <cell r="S781" t="str">
            <v>NO</v>
          </cell>
          <cell r="T781" t="str">
            <v>DELIBERAZIONE EGATO 29 19/12/2018</v>
          </cell>
        </row>
        <row r="782">
          <cell r="D782" t="str">
            <v>0542000179</v>
          </cell>
          <cell r="E782">
            <v>46082</v>
          </cell>
          <cell r="F782">
            <v>46446</v>
          </cell>
          <cell r="G782">
            <v>46082</v>
          </cell>
          <cell r="H782">
            <v>46446</v>
          </cell>
          <cell r="J782" t="str">
            <v>004144</v>
          </cell>
          <cell r="K782">
            <v>-88.55</v>
          </cell>
          <cell r="L782">
            <v>-88.55</v>
          </cell>
          <cell r="M782">
            <v>-88.55</v>
          </cell>
          <cell r="N782" t="str">
            <v>diretto</v>
          </cell>
          <cell r="O782">
            <v>5</v>
          </cell>
          <cell r="P782" t="str">
            <v>0.970423</v>
          </cell>
          <cell r="Q782" t="str">
            <v>0.680389</v>
          </cell>
          <cell r="R782" t="str">
            <v>0.271253</v>
          </cell>
          <cell r="S782" t="str">
            <v>NO</v>
          </cell>
          <cell r="T782" t="str">
            <v>DELIBERAZIONE EGATO 29 19/12/2018</v>
          </cell>
        </row>
        <row r="783">
          <cell r="D783" t="str">
            <v>0312000689</v>
          </cell>
          <cell r="E783">
            <v>46082</v>
          </cell>
          <cell r="F783">
            <v>46446</v>
          </cell>
          <cell r="G783">
            <v>46082</v>
          </cell>
          <cell r="H783">
            <v>46446</v>
          </cell>
          <cell r="J783" t="str">
            <v>004082</v>
          </cell>
          <cell r="K783">
            <v>-70.16</v>
          </cell>
          <cell r="L783">
            <v>-70.16</v>
          </cell>
          <cell r="M783">
            <v>-70.16</v>
          </cell>
          <cell r="N783" t="str">
            <v>diretto</v>
          </cell>
          <cell r="O783">
            <v>2</v>
          </cell>
          <cell r="P783" t="str">
            <v>0.970423</v>
          </cell>
          <cell r="Q783" t="str">
            <v>0.680389</v>
          </cell>
          <cell r="R783" t="str">
            <v>0.271253</v>
          </cell>
          <cell r="S783" t="str">
            <v>NO</v>
          </cell>
          <cell r="T783" t="str">
            <v>DELIBERAZIONE EGATO 29 19/12/2018</v>
          </cell>
        </row>
        <row r="784">
          <cell r="D784" t="str">
            <v>0770134201</v>
          </cell>
          <cell r="E784">
            <v>46082</v>
          </cell>
          <cell r="F784">
            <v>46446</v>
          </cell>
          <cell r="G784">
            <v>46082</v>
          </cell>
          <cell r="H784">
            <v>46446</v>
          </cell>
          <cell r="J784" t="str">
            <v>004209</v>
          </cell>
          <cell r="K784">
            <v>-31.88</v>
          </cell>
          <cell r="L784">
            <v>-31.88</v>
          </cell>
          <cell r="M784">
            <v>-31.88</v>
          </cell>
          <cell r="N784" t="str">
            <v>diretto</v>
          </cell>
          <cell r="O784">
            <v>2</v>
          </cell>
          <cell r="P784" t="str">
            <v>0.873381</v>
          </cell>
          <cell r="Q784" t="str">
            <v>0.612350</v>
          </cell>
          <cell r="R784" t="str">
            <v>0.244127</v>
          </cell>
          <cell r="S784" t="str">
            <v>NO</v>
          </cell>
          <cell r="T784" t="str">
            <v>DELIBERAZIONE EGATO 29 19/12/2018</v>
          </cell>
        </row>
        <row r="785">
          <cell r="D785" t="str">
            <v>0472000330</v>
          </cell>
          <cell r="E785">
            <v>46082</v>
          </cell>
          <cell r="F785">
            <v>46446</v>
          </cell>
          <cell r="G785">
            <v>46082</v>
          </cell>
          <cell r="H785">
            <v>46446</v>
          </cell>
          <cell r="J785" t="str">
            <v>004205</v>
          </cell>
          <cell r="K785">
            <v>-25.38</v>
          </cell>
          <cell r="L785">
            <v>-25.38</v>
          </cell>
          <cell r="M785">
            <v>-25.38</v>
          </cell>
          <cell r="N785" t="str">
            <v>diretto</v>
          </cell>
          <cell r="O785">
            <v>1</v>
          </cell>
          <cell r="P785" t="str">
            <v>0.763729</v>
          </cell>
          <cell r="Q785" t="str">
            <v>0.467552</v>
          </cell>
          <cell r="R785" t="str">
            <v>0.159233</v>
          </cell>
          <cell r="S785" t="str">
            <v>NO</v>
          </cell>
          <cell r="T785" t="str">
            <v>DELIBERAZIONE EGATO 2 04/02/2019</v>
          </cell>
        </row>
        <row r="786">
          <cell r="D786" t="str">
            <v>0130044201</v>
          </cell>
          <cell r="E786">
            <v>46082</v>
          </cell>
          <cell r="F786">
            <v>46446</v>
          </cell>
          <cell r="G786">
            <v>46082</v>
          </cell>
          <cell r="H786">
            <v>46446</v>
          </cell>
          <cell r="J786" t="str">
            <v>004022</v>
          </cell>
          <cell r="K786">
            <v>-70.16</v>
          </cell>
          <cell r="L786">
            <v>-70.16</v>
          </cell>
          <cell r="M786">
            <v>-70.16</v>
          </cell>
          <cell r="N786" t="str">
            <v>diretto</v>
          </cell>
          <cell r="O786">
            <v>2</v>
          </cell>
          <cell r="P786" t="str">
            <v>0.970423</v>
          </cell>
          <cell r="Q786" t="str">
            <v>0.680389</v>
          </cell>
          <cell r="R786" t="str">
            <v>0.271253</v>
          </cell>
          <cell r="S786" t="str">
            <v>NO</v>
          </cell>
          <cell r="T786" t="str">
            <v>DELIBERAZIONE EGATO 29 19/12/2018</v>
          </cell>
        </row>
        <row r="787">
          <cell r="D787" t="str">
            <v>0100000104</v>
          </cell>
          <cell r="E787">
            <v>46082</v>
          </cell>
          <cell r="F787">
            <v>46446</v>
          </cell>
          <cell r="G787">
            <v>46082</v>
          </cell>
          <cell r="H787">
            <v>46446</v>
          </cell>
          <cell r="J787" t="str">
            <v>004053</v>
          </cell>
          <cell r="K787">
            <v>-22.62</v>
          </cell>
          <cell r="L787">
            <v>-22.62</v>
          </cell>
          <cell r="M787">
            <v>-22.62</v>
          </cell>
          <cell r="N787" t="str">
            <v>diretto</v>
          </cell>
          <cell r="O787">
            <v>1</v>
          </cell>
          <cell r="P787" t="str">
            <v>0.539916</v>
          </cell>
          <cell r="Q787" t="str">
            <v>0.522137</v>
          </cell>
          <cell r="R787" t="str">
            <v>0.177482</v>
          </cell>
          <cell r="S787" t="str">
            <v>NO</v>
          </cell>
          <cell r="T787" t="str">
            <v>DELIBERAZIONE EGATO 2 04/02/2019</v>
          </cell>
        </row>
        <row r="788">
          <cell r="D788" t="str">
            <v>0092000302</v>
          </cell>
          <cell r="E788">
            <v>46082</v>
          </cell>
          <cell r="F788">
            <v>46446</v>
          </cell>
          <cell r="G788">
            <v>46082</v>
          </cell>
          <cell r="H788">
            <v>46446</v>
          </cell>
          <cell r="J788" t="str">
            <v>004040</v>
          </cell>
          <cell r="K788">
            <v>-17.71</v>
          </cell>
          <cell r="L788">
            <v>-17.71</v>
          </cell>
          <cell r="M788">
            <v>-17.71</v>
          </cell>
          <cell r="N788" t="str">
            <v>diretto</v>
          </cell>
          <cell r="O788">
            <v>1</v>
          </cell>
          <cell r="P788" t="str">
            <v>0.970423</v>
          </cell>
          <cell r="Q788" t="str">
            <v>0.680389</v>
          </cell>
          <cell r="R788" t="str">
            <v>0.271253</v>
          </cell>
          <cell r="S788" t="str">
            <v>NO</v>
          </cell>
          <cell r="T788" t="str">
            <v>DELIBERAZIONE EGATO 29 19/12/2018</v>
          </cell>
        </row>
        <row r="789">
          <cell r="D789" t="str">
            <v>0592000728</v>
          </cell>
          <cell r="E789">
            <v>46082</v>
          </cell>
          <cell r="F789">
            <v>46446</v>
          </cell>
          <cell r="G789">
            <v>46082</v>
          </cell>
          <cell r="H789">
            <v>46446</v>
          </cell>
          <cell r="J789" t="str">
            <v>004068</v>
          </cell>
          <cell r="K789">
            <v>-280.62</v>
          </cell>
          <cell r="L789">
            <v>-280.62</v>
          </cell>
          <cell r="M789">
            <v>-280.62</v>
          </cell>
          <cell r="N789" t="str">
            <v>diretto</v>
          </cell>
          <cell r="O789">
            <v>8</v>
          </cell>
          <cell r="P789" t="str">
            <v>0.970423</v>
          </cell>
          <cell r="Q789" t="str">
            <v>0.680389</v>
          </cell>
          <cell r="R789" t="str">
            <v>0.271253</v>
          </cell>
          <cell r="S789" t="str">
            <v>NO</v>
          </cell>
          <cell r="T789" t="str">
            <v>DELIBERAZIONE EGATO 29 19/12/2018</v>
          </cell>
        </row>
        <row r="790">
          <cell r="D790" t="str">
            <v>0062000930</v>
          </cell>
          <cell r="E790">
            <v>46082</v>
          </cell>
          <cell r="F790">
            <v>46446</v>
          </cell>
          <cell r="G790">
            <v>46082</v>
          </cell>
          <cell r="H790">
            <v>46446</v>
          </cell>
          <cell r="J790" t="str">
            <v>004028</v>
          </cell>
          <cell r="K790">
            <v>-140.31</v>
          </cell>
          <cell r="L790">
            <v>-140.31</v>
          </cell>
          <cell r="M790">
            <v>-140.31</v>
          </cell>
          <cell r="N790" t="str">
            <v>diretto</v>
          </cell>
          <cell r="O790">
            <v>4</v>
          </cell>
          <cell r="P790" t="str">
            <v>0.970423</v>
          </cell>
          <cell r="Q790" t="str">
            <v>0.680389</v>
          </cell>
          <cell r="R790" t="str">
            <v>0.271253</v>
          </cell>
          <cell r="S790" t="str">
            <v>NO</v>
          </cell>
          <cell r="T790" t="str">
            <v>DELIBERAZIONE EGATO 29 19/12/2018</v>
          </cell>
        </row>
        <row r="791">
          <cell r="D791">
            <v>1052000259</v>
          </cell>
          <cell r="E791">
            <v>46082</v>
          </cell>
          <cell r="F791">
            <v>46446</v>
          </cell>
          <cell r="G791">
            <v>46082</v>
          </cell>
          <cell r="H791">
            <v>46446</v>
          </cell>
          <cell r="J791" t="str">
            <v>004062</v>
          </cell>
          <cell r="K791">
            <v>-36.49</v>
          </cell>
          <cell r="L791">
            <v>-36.49</v>
          </cell>
          <cell r="M791">
            <v>-36.49</v>
          </cell>
          <cell r="N791" t="str">
            <v>diretto</v>
          </cell>
          <cell r="O791">
            <v>1</v>
          </cell>
          <cell r="P791">
            <v>1225803</v>
          </cell>
          <cell r="Q791" t="str">
            <v>0.577445</v>
          </cell>
          <cell r="R791" t="str">
            <v>0.196331</v>
          </cell>
          <cell r="S791" t="str">
            <v>NO</v>
          </cell>
          <cell r="T791" t="str">
            <v>DELIBERAZIONE EGATO 11 27/03/2019</v>
          </cell>
        </row>
        <row r="792">
          <cell r="D792" t="str">
            <v>0522000174</v>
          </cell>
          <cell r="E792">
            <v>46082</v>
          </cell>
          <cell r="F792">
            <v>46446</v>
          </cell>
          <cell r="G792">
            <v>46082</v>
          </cell>
          <cell r="H792">
            <v>46446</v>
          </cell>
          <cell r="J792" t="str">
            <v>004136</v>
          </cell>
          <cell r="K792">
            <v>-35.08</v>
          </cell>
          <cell r="L792">
            <v>-35.08</v>
          </cell>
          <cell r="M792">
            <v>-35.08</v>
          </cell>
          <cell r="N792" t="str">
            <v>diretto</v>
          </cell>
          <cell r="O792">
            <v>1</v>
          </cell>
          <cell r="P792" t="str">
            <v>0.970423</v>
          </cell>
          <cell r="Q792" t="str">
            <v>0.680389</v>
          </cell>
          <cell r="R792" t="str">
            <v>0.271253</v>
          </cell>
          <cell r="S792" t="str">
            <v>NO</v>
          </cell>
          <cell r="T792" t="str">
            <v>DELIBERAZIONE EGATO 29 19/12/2018</v>
          </cell>
        </row>
        <row r="794">
          <cell r="K794">
            <v>-95.07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ogati mag-giu 2026_790"/>
    </sheetNames>
    <sheetDataSet>
      <sheetData sheetId="0">
        <row r="792">
          <cell r="K792">
            <v>-95.07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0"/>
  <sheetViews>
    <sheetView topLeftCell="R1" workbookViewId="0">
      <selection activeCell="T7" sqref="T7"/>
    </sheetView>
  </sheetViews>
  <sheetFormatPr defaultRowHeight="14.4"/>
  <cols>
    <col min="1" max="1" width="27.21875" customWidth="1"/>
    <col min="4" max="4" width="12.109375" bestFit="1" customWidth="1"/>
    <col min="5" max="5" width="41" bestFit="1" customWidth="1"/>
    <col min="6" max="6" width="39.88671875" bestFit="1" customWidth="1"/>
    <col min="7" max="7" width="32.88671875" bestFit="1" customWidth="1"/>
    <col min="8" max="8" width="36" bestFit="1" customWidth="1"/>
    <col min="9" max="9" width="34.88671875" bestFit="1" customWidth="1"/>
    <col min="10" max="10" width="42.33203125" bestFit="1" customWidth="1"/>
    <col min="11" max="11" width="54.5546875" bestFit="1" customWidth="1"/>
    <col min="12" max="12" width="72.21875" bestFit="1" customWidth="1"/>
    <col min="13" max="13" width="53.5546875" bestFit="1" customWidth="1"/>
    <col min="14" max="14" width="33.109375" bestFit="1" customWidth="1"/>
    <col min="15" max="15" width="42.33203125" bestFit="1" customWidth="1"/>
    <col min="16" max="16" width="83.5546875" bestFit="1" customWidth="1"/>
    <col min="17" max="17" width="81.33203125" bestFit="1" customWidth="1"/>
    <col min="18" max="18" width="79.109375" bestFit="1" customWidth="1"/>
    <col min="19" max="19" width="70.21875" bestFit="1" customWidth="1"/>
    <col min="20" max="20" width="68.109375" bestFit="1" customWidth="1"/>
  </cols>
  <sheetData>
    <row r="1" spans="1:20">
      <c r="A1" s="3" t="s">
        <v>2391</v>
      </c>
    </row>
    <row r="2" spans="1:20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7</v>
      </c>
      <c r="H2" s="7" t="s">
        <v>8</v>
      </c>
      <c r="I2" s="7" t="s">
        <v>6</v>
      </c>
      <c r="J2" s="7" t="s">
        <v>9</v>
      </c>
      <c r="K2" s="7" t="s">
        <v>10</v>
      </c>
      <c r="L2" s="7" t="s">
        <v>1462</v>
      </c>
      <c r="M2" s="7" t="s">
        <v>12</v>
      </c>
      <c r="N2" s="7" t="s">
        <v>13</v>
      </c>
      <c r="O2" s="7" t="s">
        <v>14</v>
      </c>
      <c r="P2" s="8" t="s">
        <v>1463</v>
      </c>
      <c r="Q2" s="8" t="s">
        <v>15</v>
      </c>
      <c r="R2" s="8" t="s">
        <v>16</v>
      </c>
      <c r="S2" s="7" t="s">
        <v>19</v>
      </c>
      <c r="T2" s="7" t="s">
        <v>1464</v>
      </c>
    </row>
    <row r="3" spans="1:20">
      <c r="A3" s="4">
        <v>202601307732832</v>
      </c>
      <c r="C3" t="s">
        <v>21</v>
      </c>
      <c r="D3">
        <v>1040000390</v>
      </c>
      <c r="E3" s="2">
        <v>46143</v>
      </c>
      <c r="F3" s="2">
        <v>46507</v>
      </c>
      <c r="G3" s="2">
        <v>46143</v>
      </c>
      <c r="H3" s="2">
        <v>46507</v>
      </c>
      <c r="J3" s="5" t="s">
        <v>1465</v>
      </c>
      <c r="K3" t="s">
        <v>1466</v>
      </c>
      <c r="L3" t="s">
        <v>1466</v>
      </c>
      <c r="M3" t="s">
        <v>1466</v>
      </c>
      <c r="N3" t="s">
        <v>1467</v>
      </c>
      <c r="O3">
        <v>1</v>
      </c>
      <c r="P3" t="s">
        <v>1468</v>
      </c>
      <c r="Q3" t="s">
        <v>1469</v>
      </c>
      <c r="R3" t="s">
        <v>1470</v>
      </c>
      <c r="S3" t="s">
        <v>1471</v>
      </c>
      <c r="T3" t="s">
        <v>1472</v>
      </c>
    </row>
    <row r="4" spans="1:20">
      <c r="A4" s="4">
        <v>202601308678688</v>
      </c>
      <c r="C4" t="s">
        <v>21</v>
      </c>
      <c r="D4" t="s">
        <v>1436</v>
      </c>
      <c r="E4" s="2">
        <v>46143</v>
      </c>
      <c r="F4" s="2">
        <v>46507</v>
      </c>
      <c r="G4" s="2">
        <v>46179</v>
      </c>
      <c r="H4" s="2">
        <v>46179</v>
      </c>
      <c r="J4" s="5" t="s">
        <v>1473</v>
      </c>
      <c r="K4" t="s">
        <v>1474</v>
      </c>
      <c r="L4" t="s">
        <v>1474</v>
      </c>
      <c r="M4" t="s">
        <v>1474</v>
      </c>
      <c r="N4" t="s">
        <v>1475</v>
      </c>
      <c r="O4">
        <v>2</v>
      </c>
      <c r="P4" t="s">
        <v>1476</v>
      </c>
      <c r="Q4" t="s">
        <v>1477</v>
      </c>
      <c r="R4" t="s">
        <v>1478</v>
      </c>
      <c r="S4" t="s">
        <v>1471</v>
      </c>
      <c r="T4" t="s">
        <v>1479</v>
      </c>
    </row>
    <row r="5" spans="1:20">
      <c r="A5" s="17" t="s">
        <v>1480</v>
      </c>
      <c r="B5" s="17"/>
      <c r="C5" s="17"/>
      <c r="D5" s="17"/>
    </row>
    <row r="6" spans="1:20" ht="57.6">
      <c r="P6" s="11" t="s">
        <v>1487</v>
      </c>
      <c r="Q6" s="11" t="s">
        <v>1487</v>
      </c>
      <c r="R6" s="11" t="s">
        <v>1487</v>
      </c>
      <c r="S6" s="11" t="s">
        <v>1486</v>
      </c>
      <c r="T6" s="11" t="s">
        <v>1486</v>
      </c>
    </row>
    <row r="7" spans="1:20" ht="104.4" customHeight="1">
      <c r="A7" s="11" t="s">
        <v>1483</v>
      </c>
      <c r="E7" s="11" t="s">
        <v>1489</v>
      </c>
      <c r="F7" s="11" t="s">
        <v>1489</v>
      </c>
      <c r="G7" s="11" t="s">
        <v>1481</v>
      </c>
      <c r="H7" s="11" t="s">
        <v>1488</v>
      </c>
      <c r="I7" s="11" t="s">
        <v>1488</v>
      </c>
      <c r="J7" s="11" t="s">
        <v>1484</v>
      </c>
      <c r="N7" s="9" t="s">
        <v>2059</v>
      </c>
      <c r="O7" s="11" t="s">
        <v>1484</v>
      </c>
      <c r="P7" s="11" t="s">
        <v>1484</v>
      </c>
      <c r="Q7" s="11" t="s">
        <v>1484</v>
      </c>
      <c r="R7" s="11" t="s">
        <v>1484</v>
      </c>
      <c r="S7" s="11" t="s">
        <v>1485</v>
      </c>
      <c r="T7" s="18" t="s">
        <v>2392</v>
      </c>
    </row>
    <row r="8" spans="1:20">
      <c r="A8" s="1" t="s">
        <v>0</v>
      </c>
      <c r="B8" s="1" t="s">
        <v>1</v>
      </c>
      <c r="C8" s="1" t="s">
        <v>2</v>
      </c>
      <c r="D8" s="1" t="s">
        <v>3</v>
      </c>
      <c r="E8" s="12" t="s">
        <v>4</v>
      </c>
      <c r="F8" s="12" t="s">
        <v>5</v>
      </c>
      <c r="G8" s="12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</row>
    <row r="9" spans="1:20">
      <c r="B9" t="s">
        <v>20</v>
      </c>
      <c r="C9" t="s">
        <v>21</v>
      </c>
      <c r="D9" t="s">
        <v>22</v>
      </c>
      <c r="E9" s="2">
        <v>46188</v>
      </c>
      <c r="F9" s="2">
        <v>46188</v>
      </c>
      <c r="G9" t="s">
        <v>20</v>
      </c>
      <c r="H9" s="2">
        <v>46188</v>
      </c>
      <c r="I9" s="2">
        <v>46188</v>
      </c>
      <c r="J9" s="3" t="s">
        <v>1482</v>
      </c>
      <c r="K9">
        <v>-17.71</v>
      </c>
      <c r="L9">
        <v>-17.71</v>
      </c>
      <c r="M9">
        <v>-17.71</v>
      </c>
      <c r="N9" t="s">
        <v>23</v>
      </c>
      <c r="O9" s="3" t="s">
        <v>1482</v>
      </c>
      <c r="P9" s="3" t="s">
        <v>1482</v>
      </c>
      <c r="Q9" s="3" t="s">
        <v>1482</v>
      </c>
      <c r="R9" s="3" t="s">
        <v>1482</v>
      </c>
      <c r="S9" s="3" t="s">
        <v>1482</v>
      </c>
      <c r="T9" s="3" t="s">
        <v>1482</v>
      </c>
    </row>
    <row r="10" spans="1:20">
      <c r="B10" t="s">
        <v>20</v>
      </c>
      <c r="C10" t="s">
        <v>21</v>
      </c>
      <c r="D10" t="s">
        <v>24</v>
      </c>
      <c r="E10" s="2">
        <v>46196</v>
      </c>
      <c r="F10" s="2">
        <v>46196</v>
      </c>
      <c r="G10" t="s">
        <v>20</v>
      </c>
      <c r="H10" s="2">
        <v>46196</v>
      </c>
      <c r="I10" s="2">
        <v>46196</v>
      </c>
      <c r="J10" t="s">
        <v>20</v>
      </c>
      <c r="K10">
        <v>-100.36</v>
      </c>
      <c r="L10">
        <v>-100.36</v>
      </c>
      <c r="M10">
        <v>-100.36</v>
      </c>
      <c r="N10" t="s">
        <v>23</v>
      </c>
      <c r="O10" s="3" t="s">
        <v>1482</v>
      </c>
      <c r="P10" s="3" t="s">
        <v>1482</v>
      </c>
      <c r="Q10" s="3" t="s">
        <v>1482</v>
      </c>
      <c r="R10" s="3" t="s">
        <v>1482</v>
      </c>
      <c r="S10" s="3" t="s">
        <v>1482</v>
      </c>
      <c r="T10" s="3" t="s">
        <v>1482</v>
      </c>
    </row>
    <row r="11" spans="1:20">
      <c r="B11" t="s">
        <v>20</v>
      </c>
      <c r="C11" t="s">
        <v>21</v>
      </c>
      <c r="D11" t="s">
        <v>25</v>
      </c>
      <c r="E11" s="2">
        <v>46163</v>
      </c>
      <c r="F11" s="2">
        <v>46163</v>
      </c>
      <c r="G11" t="s">
        <v>20</v>
      </c>
      <c r="H11" s="2">
        <v>46163</v>
      </c>
      <c r="I11" s="2">
        <v>46163</v>
      </c>
      <c r="J11" t="s">
        <v>20</v>
      </c>
      <c r="K11">
        <v>-152.26</v>
      </c>
      <c r="L11">
        <v>-152.26</v>
      </c>
      <c r="M11">
        <v>-152.26</v>
      </c>
      <c r="N11" t="s">
        <v>23</v>
      </c>
      <c r="O11" s="3" t="s">
        <v>1482</v>
      </c>
      <c r="P11" s="3" t="s">
        <v>1482</v>
      </c>
      <c r="Q11" s="3" t="s">
        <v>1482</v>
      </c>
      <c r="R11" s="3" t="s">
        <v>1482</v>
      </c>
      <c r="S11" s="3" t="s">
        <v>1482</v>
      </c>
      <c r="T11" s="3" t="s">
        <v>1482</v>
      </c>
    </row>
    <row r="12" spans="1:20">
      <c r="B12" t="s">
        <v>20</v>
      </c>
      <c r="C12" t="s">
        <v>21</v>
      </c>
      <c r="D12" t="s">
        <v>26</v>
      </c>
      <c r="E12" s="2">
        <v>46196</v>
      </c>
      <c r="F12" s="2">
        <v>46196</v>
      </c>
      <c r="G12" t="s">
        <v>20</v>
      </c>
      <c r="H12" s="2">
        <v>46196</v>
      </c>
      <c r="I12" s="2">
        <v>46196</v>
      </c>
      <c r="J12" t="s">
        <v>20</v>
      </c>
      <c r="K12">
        <v>-95.87</v>
      </c>
      <c r="L12">
        <v>-95.87</v>
      </c>
      <c r="M12">
        <v>-95.87</v>
      </c>
      <c r="N12" t="s">
        <v>23</v>
      </c>
      <c r="O12" s="3" t="s">
        <v>1482</v>
      </c>
      <c r="P12" s="3" t="s">
        <v>1482</v>
      </c>
      <c r="Q12" s="3" t="s">
        <v>1482</v>
      </c>
      <c r="R12" s="3" t="s">
        <v>1482</v>
      </c>
      <c r="S12" s="3" t="s">
        <v>1482</v>
      </c>
      <c r="T12" s="3" t="s">
        <v>1482</v>
      </c>
    </row>
    <row r="13" spans="1:20">
      <c r="B13" t="s">
        <v>20</v>
      </c>
      <c r="C13" t="s">
        <v>21</v>
      </c>
      <c r="D13" t="s">
        <v>27</v>
      </c>
      <c r="E13" s="2">
        <v>46196</v>
      </c>
      <c r="F13" s="2">
        <v>46196</v>
      </c>
      <c r="G13" t="s">
        <v>20</v>
      </c>
      <c r="H13" s="2">
        <v>46196</v>
      </c>
      <c r="I13" s="2">
        <v>46196</v>
      </c>
      <c r="J13" t="s">
        <v>20</v>
      </c>
      <c r="K13">
        <v>-52.66</v>
      </c>
      <c r="L13">
        <v>-52.66</v>
      </c>
      <c r="M13">
        <v>-52.66</v>
      </c>
      <c r="N13" t="s">
        <v>23</v>
      </c>
      <c r="O13" s="3" t="s">
        <v>1482</v>
      </c>
      <c r="P13" s="3" t="s">
        <v>1482</v>
      </c>
      <c r="Q13" s="3" t="s">
        <v>1482</v>
      </c>
      <c r="R13" s="3" t="s">
        <v>1482</v>
      </c>
      <c r="S13" s="3" t="s">
        <v>1482</v>
      </c>
      <c r="T13" s="3" t="s">
        <v>1482</v>
      </c>
    </row>
    <row r="14" spans="1:20">
      <c r="B14" t="s">
        <v>20</v>
      </c>
      <c r="C14" t="s">
        <v>21</v>
      </c>
      <c r="D14" t="s">
        <v>28</v>
      </c>
      <c r="E14" s="2">
        <v>46196</v>
      </c>
      <c r="F14" s="2">
        <v>46196</v>
      </c>
      <c r="G14" t="s">
        <v>20</v>
      </c>
      <c r="H14" s="2">
        <v>46196</v>
      </c>
      <c r="I14" s="2">
        <v>46196</v>
      </c>
      <c r="J14" t="s">
        <v>20</v>
      </c>
      <c r="K14">
        <v>-33.130000000000003</v>
      </c>
      <c r="L14">
        <v>-33.130000000000003</v>
      </c>
      <c r="M14">
        <v>-33.130000000000003</v>
      </c>
      <c r="N14" t="s">
        <v>23</v>
      </c>
      <c r="O14" s="3" t="s">
        <v>1482</v>
      </c>
      <c r="P14" s="3" t="s">
        <v>1482</v>
      </c>
      <c r="Q14" s="3" t="s">
        <v>1482</v>
      </c>
      <c r="R14" s="3" t="s">
        <v>1482</v>
      </c>
      <c r="S14" s="3" t="s">
        <v>1482</v>
      </c>
      <c r="T14" s="3" t="s">
        <v>1482</v>
      </c>
    </row>
    <row r="15" spans="1:20">
      <c r="B15" t="s">
        <v>20</v>
      </c>
      <c r="C15" t="s">
        <v>21</v>
      </c>
      <c r="D15" t="s">
        <v>29</v>
      </c>
      <c r="E15" s="2">
        <v>46188</v>
      </c>
      <c r="F15" s="2">
        <v>46188</v>
      </c>
      <c r="G15" t="s">
        <v>20</v>
      </c>
      <c r="H15" s="2">
        <v>46188</v>
      </c>
      <c r="I15" s="2">
        <v>46188</v>
      </c>
      <c r="J15" t="s">
        <v>20</v>
      </c>
      <c r="K15">
        <v>-140.31</v>
      </c>
      <c r="L15">
        <v>-140.31</v>
      </c>
      <c r="M15">
        <v>-140.31</v>
      </c>
      <c r="N15" t="s">
        <v>23</v>
      </c>
      <c r="O15" s="3" t="s">
        <v>1482</v>
      </c>
      <c r="P15" s="3" t="s">
        <v>1482</v>
      </c>
      <c r="Q15" s="3" t="s">
        <v>1482</v>
      </c>
      <c r="R15" s="3" t="s">
        <v>1482</v>
      </c>
      <c r="S15" s="3" t="s">
        <v>1482</v>
      </c>
      <c r="T15" s="3" t="s">
        <v>1482</v>
      </c>
    </row>
    <row r="16" spans="1:20">
      <c r="B16" t="s">
        <v>20</v>
      </c>
      <c r="C16" t="s">
        <v>21</v>
      </c>
      <c r="D16" t="s">
        <v>30</v>
      </c>
      <c r="E16" s="2">
        <v>46163</v>
      </c>
      <c r="F16" s="2">
        <v>46163</v>
      </c>
      <c r="G16" t="s">
        <v>20</v>
      </c>
      <c r="H16" s="2">
        <v>46163</v>
      </c>
      <c r="I16" s="2">
        <v>46163</v>
      </c>
      <c r="J16" t="s">
        <v>20</v>
      </c>
      <c r="K16">
        <v>-140.31</v>
      </c>
      <c r="L16">
        <v>-140.31</v>
      </c>
      <c r="M16">
        <v>-140.31</v>
      </c>
      <c r="N16" t="s">
        <v>23</v>
      </c>
      <c r="O16" s="3" t="s">
        <v>1482</v>
      </c>
      <c r="P16" s="3" t="s">
        <v>1482</v>
      </c>
      <c r="Q16" s="3" t="s">
        <v>1482</v>
      </c>
      <c r="R16" s="3" t="s">
        <v>1482</v>
      </c>
      <c r="S16" s="3" t="s">
        <v>1482</v>
      </c>
      <c r="T16" s="3" t="s">
        <v>1482</v>
      </c>
    </row>
    <row r="17" spans="2:20">
      <c r="B17" t="s">
        <v>20</v>
      </c>
      <c r="C17" t="s">
        <v>21</v>
      </c>
      <c r="D17" t="s">
        <v>31</v>
      </c>
      <c r="E17" s="2">
        <v>46196</v>
      </c>
      <c r="F17" s="2">
        <v>46196</v>
      </c>
      <c r="G17" t="s">
        <v>20</v>
      </c>
      <c r="H17" s="2">
        <v>46196</v>
      </c>
      <c r="I17" s="2">
        <v>46196</v>
      </c>
      <c r="J17" t="s">
        <v>20</v>
      </c>
      <c r="K17">
        <v>-132.52000000000001</v>
      </c>
      <c r="L17">
        <v>-132.52000000000001</v>
      </c>
      <c r="M17">
        <v>-132.52000000000001</v>
      </c>
      <c r="N17" t="s">
        <v>23</v>
      </c>
      <c r="O17" s="3" t="s">
        <v>1482</v>
      </c>
      <c r="P17" s="3" t="s">
        <v>1482</v>
      </c>
      <c r="Q17" s="3" t="s">
        <v>1482</v>
      </c>
      <c r="R17" s="3" t="s">
        <v>1482</v>
      </c>
      <c r="S17" s="3" t="s">
        <v>1482</v>
      </c>
      <c r="T17" s="3" t="s">
        <v>1482</v>
      </c>
    </row>
    <row r="18" spans="2:20">
      <c r="B18" t="s">
        <v>20</v>
      </c>
      <c r="C18" t="s">
        <v>21</v>
      </c>
      <c r="D18" t="s">
        <v>32</v>
      </c>
      <c r="E18" s="2">
        <v>46188</v>
      </c>
      <c r="F18" s="2">
        <v>46188</v>
      </c>
      <c r="G18" t="s">
        <v>20</v>
      </c>
      <c r="H18" s="2">
        <v>46188</v>
      </c>
      <c r="I18" s="2">
        <v>46188</v>
      </c>
      <c r="J18" t="s">
        <v>20</v>
      </c>
      <c r="K18">
        <v>-35.08</v>
      </c>
      <c r="L18">
        <v>-35.08</v>
      </c>
      <c r="M18">
        <v>-35.08</v>
      </c>
      <c r="N18" t="s">
        <v>23</v>
      </c>
      <c r="O18" s="3" t="s">
        <v>1482</v>
      </c>
      <c r="P18" s="3" t="s">
        <v>1482</v>
      </c>
      <c r="Q18" s="3" t="s">
        <v>1482</v>
      </c>
      <c r="R18" s="3" t="s">
        <v>1482</v>
      </c>
      <c r="S18" s="3" t="s">
        <v>1482</v>
      </c>
      <c r="T18" s="3" t="s">
        <v>1482</v>
      </c>
    </row>
    <row r="19" spans="2:20">
      <c r="B19" t="s">
        <v>20</v>
      </c>
      <c r="C19" t="s">
        <v>21</v>
      </c>
      <c r="D19" t="s">
        <v>33</v>
      </c>
      <c r="E19" s="2">
        <v>46163</v>
      </c>
      <c r="F19" s="2">
        <v>46163</v>
      </c>
      <c r="G19" t="s">
        <v>20</v>
      </c>
      <c r="H19" s="2">
        <v>46163</v>
      </c>
      <c r="I19" s="2">
        <v>46163</v>
      </c>
      <c r="J19" t="s">
        <v>20</v>
      </c>
      <c r="K19">
        <v>-17.71</v>
      </c>
      <c r="L19">
        <v>-17.71</v>
      </c>
      <c r="M19">
        <v>-17.71</v>
      </c>
      <c r="N19" t="s">
        <v>23</v>
      </c>
      <c r="O19" s="3" t="s">
        <v>1482</v>
      </c>
      <c r="P19" s="3" t="s">
        <v>1482</v>
      </c>
      <c r="Q19" s="3" t="s">
        <v>1482</v>
      </c>
      <c r="R19" s="3" t="s">
        <v>1482</v>
      </c>
      <c r="S19" s="3" t="s">
        <v>1482</v>
      </c>
      <c r="T19" s="3" t="s">
        <v>1482</v>
      </c>
    </row>
    <row r="20" spans="2:20">
      <c r="B20" t="s">
        <v>20</v>
      </c>
      <c r="C20" t="s">
        <v>21</v>
      </c>
      <c r="D20" t="s">
        <v>34</v>
      </c>
      <c r="E20" s="2">
        <v>46196</v>
      </c>
      <c r="F20" s="2">
        <v>46196</v>
      </c>
      <c r="G20" t="s">
        <v>20</v>
      </c>
      <c r="H20" s="2">
        <v>46196</v>
      </c>
      <c r="I20" s="2">
        <v>46196</v>
      </c>
      <c r="J20" t="s">
        <v>20</v>
      </c>
      <c r="K20">
        <v>-66.91</v>
      </c>
      <c r="L20">
        <v>-66.91</v>
      </c>
      <c r="M20">
        <v>-66.91</v>
      </c>
      <c r="N20" t="s">
        <v>23</v>
      </c>
      <c r="O20" s="3" t="s">
        <v>1482</v>
      </c>
      <c r="P20" s="3" t="s">
        <v>1482</v>
      </c>
      <c r="Q20" s="3" t="s">
        <v>1482</v>
      </c>
      <c r="R20" s="3" t="s">
        <v>1482</v>
      </c>
      <c r="S20" s="3" t="s">
        <v>1482</v>
      </c>
      <c r="T20" s="3" t="s">
        <v>1482</v>
      </c>
    </row>
    <row r="21" spans="2:20">
      <c r="B21" t="s">
        <v>20</v>
      </c>
      <c r="C21" t="s">
        <v>21</v>
      </c>
      <c r="D21" t="s">
        <v>35</v>
      </c>
      <c r="E21" s="2">
        <v>46196</v>
      </c>
      <c r="F21" s="2">
        <v>46196</v>
      </c>
      <c r="G21" t="s">
        <v>20</v>
      </c>
      <c r="H21" s="2">
        <v>46196</v>
      </c>
      <c r="I21" s="2">
        <v>46196</v>
      </c>
      <c r="J21" t="s">
        <v>20</v>
      </c>
      <c r="K21">
        <v>-165.65</v>
      </c>
      <c r="L21">
        <v>-165.65</v>
      </c>
      <c r="M21">
        <v>-165.65</v>
      </c>
      <c r="N21" t="s">
        <v>23</v>
      </c>
      <c r="O21" s="3" t="s">
        <v>1482</v>
      </c>
      <c r="P21" s="3" t="s">
        <v>1482</v>
      </c>
      <c r="Q21" s="3" t="s">
        <v>1482</v>
      </c>
      <c r="R21" s="3" t="s">
        <v>1482</v>
      </c>
      <c r="S21" s="3" t="s">
        <v>1482</v>
      </c>
      <c r="T21" s="3" t="s">
        <v>1482</v>
      </c>
    </row>
    <row r="22" spans="2:20">
      <c r="B22" t="s">
        <v>20</v>
      </c>
      <c r="C22" t="s">
        <v>21</v>
      </c>
      <c r="D22" t="s">
        <v>36</v>
      </c>
      <c r="E22" s="2">
        <v>46163</v>
      </c>
      <c r="F22" s="2">
        <v>46163</v>
      </c>
      <c r="G22" t="s">
        <v>20</v>
      </c>
      <c r="H22" s="2">
        <v>46163</v>
      </c>
      <c r="I22" s="2">
        <v>46163</v>
      </c>
      <c r="J22" t="s">
        <v>20</v>
      </c>
      <c r="K22">
        <v>-22.62</v>
      </c>
      <c r="L22">
        <v>-22.62</v>
      </c>
      <c r="M22">
        <v>-22.62</v>
      </c>
      <c r="N22" t="s">
        <v>23</v>
      </c>
      <c r="O22" s="3" t="s">
        <v>1482</v>
      </c>
      <c r="P22" s="3" t="s">
        <v>1482</v>
      </c>
      <c r="Q22" s="3" t="s">
        <v>1482</v>
      </c>
      <c r="R22" s="3" t="s">
        <v>1482</v>
      </c>
      <c r="S22" s="3" t="s">
        <v>1482</v>
      </c>
      <c r="T22" s="3" t="s">
        <v>1482</v>
      </c>
    </row>
    <row r="23" spans="2:20">
      <c r="B23" t="s">
        <v>20</v>
      </c>
      <c r="C23" t="s">
        <v>21</v>
      </c>
      <c r="D23" t="s">
        <v>37</v>
      </c>
      <c r="E23" s="2">
        <v>46196</v>
      </c>
      <c r="F23" s="2">
        <v>46196</v>
      </c>
      <c r="G23" t="s">
        <v>20</v>
      </c>
      <c r="H23" s="2">
        <v>46196</v>
      </c>
      <c r="I23" s="2">
        <v>46196</v>
      </c>
      <c r="J23" t="s">
        <v>20</v>
      </c>
      <c r="K23">
        <v>-37.950000000000003</v>
      </c>
      <c r="L23">
        <v>-37.950000000000003</v>
      </c>
      <c r="M23">
        <v>-37.950000000000003</v>
      </c>
      <c r="N23" t="s">
        <v>23</v>
      </c>
      <c r="O23" s="3" t="s">
        <v>1482</v>
      </c>
      <c r="P23" s="3" t="s">
        <v>1482</v>
      </c>
      <c r="Q23" s="3" t="s">
        <v>1482</v>
      </c>
      <c r="R23" s="3" t="s">
        <v>1482</v>
      </c>
      <c r="S23" s="3" t="s">
        <v>1482</v>
      </c>
      <c r="T23" s="3" t="s">
        <v>1482</v>
      </c>
    </row>
    <row r="24" spans="2:20">
      <c r="B24" t="s">
        <v>20</v>
      </c>
      <c r="C24" t="s">
        <v>21</v>
      </c>
      <c r="D24" t="s">
        <v>38</v>
      </c>
      <c r="E24" s="2">
        <v>46163</v>
      </c>
      <c r="F24" s="2">
        <v>46163</v>
      </c>
      <c r="G24" t="s">
        <v>20</v>
      </c>
      <c r="H24" s="2">
        <v>46163</v>
      </c>
      <c r="I24" s="2">
        <v>46163</v>
      </c>
      <c r="J24" t="s">
        <v>20</v>
      </c>
      <c r="K24">
        <v>-70.16</v>
      </c>
      <c r="L24">
        <v>-70.16</v>
      </c>
      <c r="M24">
        <v>-70.16</v>
      </c>
      <c r="N24" t="s">
        <v>23</v>
      </c>
      <c r="O24" s="3" t="s">
        <v>1482</v>
      </c>
      <c r="P24" s="3" t="s">
        <v>1482</v>
      </c>
      <c r="Q24" s="3" t="s">
        <v>1482</v>
      </c>
      <c r="R24" s="3" t="s">
        <v>1482</v>
      </c>
      <c r="S24" s="3" t="s">
        <v>1482</v>
      </c>
      <c r="T24" s="3" t="s">
        <v>1482</v>
      </c>
    </row>
    <row r="25" spans="2:20">
      <c r="B25" t="s">
        <v>20</v>
      </c>
      <c r="C25" t="s">
        <v>21</v>
      </c>
      <c r="D25" t="s">
        <v>39</v>
      </c>
      <c r="E25" s="2">
        <v>46196</v>
      </c>
      <c r="F25" s="2">
        <v>46196</v>
      </c>
      <c r="G25" t="s">
        <v>20</v>
      </c>
      <c r="H25" s="2">
        <v>46196</v>
      </c>
      <c r="I25" s="2">
        <v>46196</v>
      </c>
      <c r="J25" t="s">
        <v>20</v>
      </c>
      <c r="K25">
        <v>-165.65</v>
      </c>
      <c r="L25">
        <v>-165.65</v>
      </c>
      <c r="M25">
        <v>-165.65</v>
      </c>
      <c r="N25" t="s">
        <v>23</v>
      </c>
      <c r="O25" s="3" t="s">
        <v>1482</v>
      </c>
      <c r="P25" s="3" t="s">
        <v>1482</v>
      </c>
      <c r="Q25" s="3" t="s">
        <v>1482</v>
      </c>
      <c r="R25" s="3" t="s">
        <v>1482</v>
      </c>
      <c r="S25" s="3" t="s">
        <v>1482</v>
      </c>
      <c r="T25" s="3" t="s">
        <v>1482</v>
      </c>
    </row>
    <row r="26" spans="2:20">
      <c r="B26" t="s">
        <v>20</v>
      </c>
      <c r="C26" t="s">
        <v>21</v>
      </c>
      <c r="D26" t="s">
        <v>40</v>
      </c>
      <c r="E26" s="2">
        <v>46196</v>
      </c>
      <c r="F26" s="2">
        <v>46196</v>
      </c>
      <c r="G26" t="s">
        <v>20</v>
      </c>
      <c r="H26" s="2">
        <v>46196</v>
      </c>
      <c r="I26" s="2">
        <v>46196</v>
      </c>
      <c r="J26" t="s">
        <v>20</v>
      </c>
      <c r="K26">
        <v>-99.39</v>
      </c>
      <c r="L26">
        <v>-99.39</v>
      </c>
      <c r="M26">
        <v>-99.39</v>
      </c>
      <c r="N26" t="s">
        <v>23</v>
      </c>
      <c r="O26" s="3" t="s">
        <v>1482</v>
      </c>
      <c r="P26" s="3" t="s">
        <v>1482</v>
      </c>
      <c r="Q26" s="3" t="s">
        <v>1482</v>
      </c>
      <c r="R26" s="3" t="s">
        <v>1482</v>
      </c>
      <c r="S26" s="3" t="s">
        <v>1482</v>
      </c>
      <c r="T26" s="3" t="s">
        <v>1482</v>
      </c>
    </row>
    <row r="27" spans="2:20">
      <c r="B27" t="s">
        <v>20</v>
      </c>
      <c r="C27" t="s">
        <v>21</v>
      </c>
      <c r="D27" t="s">
        <v>41</v>
      </c>
      <c r="E27" s="2">
        <v>46196</v>
      </c>
      <c r="F27" s="2">
        <v>46196</v>
      </c>
      <c r="G27" t="s">
        <v>20</v>
      </c>
      <c r="H27" s="2">
        <v>46196</v>
      </c>
      <c r="I27" s="2">
        <v>46196</v>
      </c>
      <c r="J27" t="s">
        <v>20</v>
      </c>
      <c r="K27">
        <v>-100.36</v>
      </c>
      <c r="L27">
        <v>-100.36</v>
      </c>
      <c r="M27">
        <v>-100.36</v>
      </c>
      <c r="N27" t="s">
        <v>23</v>
      </c>
      <c r="O27" s="3" t="s">
        <v>1482</v>
      </c>
      <c r="P27" s="3" t="s">
        <v>1482</v>
      </c>
      <c r="Q27" s="3" t="s">
        <v>1482</v>
      </c>
      <c r="R27" s="3" t="s">
        <v>1482</v>
      </c>
      <c r="S27" s="3" t="s">
        <v>1482</v>
      </c>
      <c r="T27" s="3" t="s">
        <v>1482</v>
      </c>
    </row>
    <row r="28" spans="2:20">
      <c r="B28" t="s">
        <v>20</v>
      </c>
      <c r="C28" t="s">
        <v>21</v>
      </c>
      <c r="D28" t="s">
        <v>42</v>
      </c>
      <c r="E28" s="2">
        <v>46196</v>
      </c>
      <c r="F28" s="2">
        <v>46196</v>
      </c>
      <c r="G28" t="s">
        <v>20</v>
      </c>
      <c r="H28" s="2">
        <v>46196</v>
      </c>
      <c r="I28" s="2">
        <v>46196</v>
      </c>
      <c r="J28" t="s">
        <v>20</v>
      </c>
      <c r="K28">
        <v>-154.63999999999999</v>
      </c>
      <c r="L28">
        <v>-154.63999999999999</v>
      </c>
      <c r="M28">
        <v>-154.63999999999999</v>
      </c>
      <c r="N28" t="s">
        <v>23</v>
      </c>
      <c r="O28" s="3" t="s">
        <v>1482</v>
      </c>
      <c r="P28" s="3" t="s">
        <v>1482</v>
      </c>
      <c r="Q28" s="3" t="s">
        <v>1482</v>
      </c>
      <c r="R28" s="3" t="s">
        <v>1482</v>
      </c>
      <c r="S28" s="3" t="s">
        <v>1482</v>
      </c>
      <c r="T28" s="3" t="s">
        <v>1482</v>
      </c>
    </row>
    <row r="29" spans="2:20">
      <c r="B29" t="s">
        <v>20</v>
      </c>
      <c r="C29" t="s">
        <v>21</v>
      </c>
      <c r="D29" t="s">
        <v>43</v>
      </c>
      <c r="E29" s="2">
        <v>46196</v>
      </c>
      <c r="F29" s="2">
        <v>46196</v>
      </c>
      <c r="G29" t="s">
        <v>20</v>
      </c>
      <c r="H29" s="2">
        <v>46196</v>
      </c>
      <c r="I29" s="2">
        <v>46196</v>
      </c>
      <c r="J29" t="s">
        <v>20</v>
      </c>
      <c r="K29">
        <v>-193.3</v>
      </c>
      <c r="L29">
        <v>-193.3</v>
      </c>
      <c r="M29">
        <v>-193.3</v>
      </c>
      <c r="N29" t="s">
        <v>23</v>
      </c>
      <c r="O29" s="3" t="s">
        <v>1482</v>
      </c>
      <c r="P29" s="3" t="s">
        <v>1482</v>
      </c>
      <c r="Q29" s="3" t="s">
        <v>1482</v>
      </c>
      <c r="R29" s="3" t="s">
        <v>1482</v>
      </c>
      <c r="S29" s="3" t="s">
        <v>1482</v>
      </c>
      <c r="T29" s="3" t="s">
        <v>1482</v>
      </c>
    </row>
    <row r="30" spans="2:20">
      <c r="B30" t="s">
        <v>20</v>
      </c>
      <c r="C30" t="s">
        <v>21</v>
      </c>
      <c r="D30" t="s">
        <v>44</v>
      </c>
      <c r="E30" s="2">
        <v>46196</v>
      </c>
      <c r="F30" s="2">
        <v>46196</v>
      </c>
      <c r="G30" t="s">
        <v>20</v>
      </c>
      <c r="H30" s="2">
        <v>46196</v>
      </c>
      <c r="I30" s="2">
        <v>46196</v>
      </c>
      <c r="J30" t="s">
        <v>20</v>
      </c>
      <c r="K30">
        <v>-59.64</v>
      </c>
      <c r="L30">
        <v>-59.64</v>
      </c>
      <c r="M30">
        <v>-59.64</v>
      </c>
      <c r="N30" t="s">
        <v>23</v>
      </c>
      <c r="O30" s="3" t="s">
        <v>1482</v>
      </c>
      <c r="P30" s="3" t="s">
        <v>1482</v>
      </c>
      <c r="Q30" s="3" t="s">
        <v>1482</v>
      </c>
      <c r="R30" s="3" t="s">
        <v>1482</v>
      </c>
      <c r="S30" s="3" t="s">
        <v>1482</v>
      </c>
      <c r="T30" s="3" t="s">
        <v>1482</v>
      </c>
    </row>
    <row r="31" spans="2:20">
      <c r="B31" t="s">
        <v>20</v>
      </c>
      <c r="C31" t="s">
        <v>21</v>
      </c>
      <c r="D31" t="s">
        <v>45</v>
      </c>
      <c r="E31" s="2">
        <v>46196</v>
      </c>
      <c r="F31" s="2">
        <v>46196</v>
      </c>
      <c r="G31" t="s">
        <v>20</v>
      </c>
      <c r="H31" s="2">
        <v>46196</v>
      </c>
      <c r="I31" s="2">
        <v>46196</v>
      </c>
      <c r="J31" t="s">
        <v>20</v>
      </c>
      <c r="K31">
        <v>-189.74</v>
      </c>
      <c r="L31">
        <v>-189.74</v>
      </c>
      <c r="M31">
        <v>-189.74</v>
      </c>
      <c r="N31" t="s">
        <v>23</v>
      </c>
      <c r="O31" s="3" t="s">
        <v>1482</v>
      </c>
      <c r="P31" s="3" t="s">
        <v>1482</v>
      </c>
      <c r="Q31" s="3" t="s">
        <v>1482</v>
      </c>
      <c r="R31" s="3" t="s">
        <v>1482</v>
      </c>
      <c r="S31" s="3" t="s">
        <v>1482</v>
      </c>
      <c r="T31" s="3" t="s">
        <v>1482</v>
      </c>
    </row>
    <row r="32" spans="2:20">
      <c r="B32" t="s">
        <v>20</v>
      </c>
      <c r="C32" t="s">
        <v>21</v>
      </c>
      <c r="D32" t="s">
        <v>46</v>
      </c>
      <c r="E32" s="2">
        <v>46196</v>
      </c>
      <c r="F32" s="2">
        <v>46196</v>
      </c>
      <c r="G32" t="s">
        <v>20</v>
      </c>
      <c r="H32" s="2">
        <v>46196</v>
      </c>
      <c r="I32" s="2">
        <v>46196</v>
      </c>
      <c r="J32" t="s">
        <v>20</v>
      </c>
      <c r="K32">
        <v>-193.3</v>
      </c>
      <c r="L32">
        <v>-193.3</v>
      </c>
      <c r="M32">
        <v>-193.3</v>
      </c>
      <c r="N32" t="s">
        <v>23</v>
      </c>
      <c r="O32" s="3" t="s">
        <v>1482</v>
      </c>
      <c r="P32" s="3" t="s">
        <v>1482</v>
      </c>
      <c r="Q32" s="3" t="s">
        <v>1482</v>
      </c>
      <c r="R32" s="3" t="s">
        <v>1482</v>
      </c>
      <c r="S32" s="3" t="s">
        <v>1482</v>
      </c>
      <c r="T32" s="3" t="s">
        <v>1482</v>
      </c>
    </row>
    <row r="33" spans="2:20">
      <c r="B33" t="s">
        <v>20</v>
      </c>
      <c r="C33" t="s">
        <v>21</v>
      </c>
      <c r="D33" t="s">
        <v>47</v>
      </c>
      <c r="E33" s="2">
        <v>46196</v>
      </c>
      <c r="F33" s="2">
        <v>46196</v>
      </c>
      <c r="G33" t="s">
        <v>20</v>
      </c>
      <c r="H33" s="2">
        <v>46196</v>
      </c>
      <c r="I33" s="2">
        <v>46196</v>
      </c>
      <c r="J33" t="s">
        <v>20</v>
      </c>
      <c r="K33">
        <v>-38.659999999999997</v>
      </c>
      <c r="L33">
        <v>-38.659999999999997</v>
      </c>
      <c r="M33">
        <v>-38.659999999999997</v>
      </c>
      <c r="N33" t="s">
        <v>23</v>
      </c>
      <c r="O33" s="3" t="s">
        <v>1482</v>
      </c>
      <c r="P33" s="3" t="s">
        <v>1482</v>
      </c>
      <c r="Q33" s="3" t="s">
        <v>1482</v>
      </c>
      <c r="R33" s="3" t="s">
        <v>1482</v>
      </c>
      <c r="S33" s="3" t="s">
        <v>1482</v>
      </c>
      <c r="T33" s="3" t="s">
        <v>1482</v>
      </c>
    </row>
    <row r="34" spans="2:20">
      <c r="B34" t="s">
        <v>20</v>
      </c>
      <c r="C34" t="s">
        <v>21</v>
      </c>
      <c r="D34" t="s">
        <v>48</v>
      </c>
      <c r="E34" s="2">
        <v>46163</v>
      </c>
      <c r="F34" s="2">
        <v>46163</v>
      </c>
      <c r="G34" t="s">
        <v>20</v>
      </c>
      <c r="H34" s="2">
        <v>46163</v>
      </c>
      <c r="I34" s="2">
        <v>46163</v>
      </c>
      <c r="J34" t="s">
        <v>20</v>
      </c>
      <c r="K34">
        <v>-189.42</v>
      </c>
      <c r="L34">
        <v>-189.42</v>
      </c>
      <c r="M34">
        <v>-189.42</v>
      </c>
      <c r="N34" t="s">
        <v>23</v>
      </c>
      <c r="O34" s="3" t="s">
        <v>1482</v>
      </c>
      <c r="P34" s="3" t="s">
        <v>1482</v>
      </c>
      <c r="Q34" s="3" t="s">
        <v>1482</v>
      </c>
      <c r="R34" s="3" t="s">
        <v>1482</v>
      </c>
      <c r="S34" s="3" t="s">
        <v>1482</v>
      </c>
      <c r="T34" s="3" t="s">
        <v>1482</v>
      </c>
    </row>
    <row r="35" spans="2:20">
      <c r="B35" t="s">
        <v>20</v>
      </c>
      <c r="C35" t="s">
        <v>21</v>
      </c>
      <c r="D35" t="s">
        <v>49</v>
      </c>
      <c r="E35" s="2">
        <v>46196</v>
      </c>
      <c r="F35" s="2">
        <v>46196</v>
      </c>
      <c r="G35" t="s">
        <v>20</v>
      </c>
      <c r="H35" s="2">
        <v>46196</v>
      </c>
      <c r="I35" s="2">
        <v>46196</v>
      </c>
      <c r="J35" t="s">
        <v>20</v>
      </c>
      <c r="K35">
        <v>-115.98</v>
      </c>
      <c r="L35">
        <v>-115.98</v>
      </c>
      <c r="M35">
        <v>-115.98</v>
      </c>
      <c r="N35" t="s">
        <v>23</v>
      </c>
      <c r="O35" s="3" t="s">
        <v>1482</v>
      </c>
      <c r="P35" s="3" t="s">
        <v>1482</v>
      </c>
      <c r="Q35" s="3" t="s">
        <v>1482</v>
      </c>
      <c r="R35" s="3" t="s">
        <v>1482</v>
      </c>
      <c r="S35" s="3" t="s">
        <v>1482</v>
      </c>
      <c r="T35" s="3" t="s">
        <v>1482</v>
      </c>
    </row>
    <row r="36" spans="2:20">
      <c r="B36" t="s">
        <v>20</v>
      </c>
      <c r="C36" t="s">
        <v>21</v>
      </c>
      <c r="D36" t="s">
        <v>50</v>
      </c>
      <c r="E36" s="2">
        <v>46163</v>
      </c>
      <c r="F36" s="2">
        <v>46163</v>
      </c>
      <c r="G36" t="s">
        <v>20</v>
      </c>
      <c r="H36" s="2">
        <v>46163</v>
      </c>
      <c r="I36" s="2">
        <v>46163</v>
      </c>
      <c r="J36" t="s">
        <v>20</v>
      </c>
      <c r="K36">
        <v>-40.93</v>
      </c>
      <c r="L36">
        <v>-40.93</v>
      </c>
      <c r="M36">
        <v>-40.93</v>
      </c>
      <c r="N36" t="s">
        <v>23</v>
      </c>
      <c r="O36" s="3" t="s">
        <v>1482</v>
      </c>
      <c r="P36" s="3" t="s">
        <v>1482</v>
      </c>
      <c r="Q36" s="3" t="s">
        <v>1482</v>
      </c>
      <c r="R36" s="3" t="s">
        <v>1482</v>
      </c>
      <c r="S36" s="3" t="s">
        <v>1482</v>
      </c>
      <c r="T36" s="3" t="s">
        <v>1482</v>
      </c>
    </row>
    <row r="37" spans="2:20">
      <c r="B37" t="s">
        <v>20</v>
      </c>
      <c r="C37" t="s">
        <v>21</v>
      </c>
      <c r="D37" t="s">
        <v>51</v>
      </c>
      <c r="E37" s="2">
        <v>46163</v>
      </c>
      <c r="F37" s="2">
        <v>46163</v>
      </c>
      <c r="G37" t="s">
        <v>20</v>
      </c>
      <c r="H37" s="2">
        <v>46163</v>
      </c>
      <c r="I37" s="2">
        <v>46163</v>
      </c>
      <c r="J37" t="s">
        <v>20</v>
      </c>
      <c r="K37">
        <v>-70.16</v>
      </c>
      <c r="L37">
        <v>-70.16</v>
      </c>
      <c r="M37">
        <v>-70.16</v>
      </c>
      <c r="N37" t="s">
        <v>23</v>
      </c>
      <c r="O37" s="3" t="s">
        <v>1482</v>
      </c>
      <c r="P37" s="3" t="s">
        <v>1482</v>
      </c>
      <c r="Q37" s="3" t="s">
        <v>1482</v>
      </c>
      <c r="R37" s="3" t="s">
        <v>1482</v>
      </c>
      <c r="S37" s="3" t="s">
        <v>1482</v>
      </c>
      <c r="T37" s="3" t="s">
        <v>1482</v>
      </c>
    </row>
    <row r="38" spans="2:20">
      <c r="B38" t="s">
        <v>20</v>
      </c>
      <c r="C38" t="s">
        <v>21</v>
      </c>
      <c r="D38" t="s">
        <v>52</v>
      </c>
      <c r="E38" s="2">
        <v>46196</v>
      </c>
      <c r="F38" s="2">
        <v>46196</v>
      </c>
      <c r="G38" t="s">
        <v>20</v>
      </c>
      <c r="H38" s="2">
        <v>46196</v>
      </c>
      <c r="I38" s="2">
        <v>46196</v>
      </c>
      <c r="J38" t="s">
        <v>20</v>
      </c>
      <c r="K38">
        <v>-198.78</v>
      </c>
      <c r="L38">
        <v>-198.78</v>
      </c>
      <c r="M38">
        <v>-198.78</v>
      </c>
      <c r="N38" t="s">
        <v>23</v>
      </c>
      <c r="O38" s="3" t="s">
        <v>1482</v>
      </c>
      <c r="P38" s="3" t="s">
        <v>1482</v>
      </c>
      <c r="Q38" s="3" t="s">
        <v>1482</v>
      </c>
      <c r="R38" s="3" t="s">
        <v>1482</v>
      </c>
      <c r="S38" s="3" t="s">
        <v>1482</v>
      </c>
      <c r="T38" s="3" t="s">
        <v>1482</v>
      </c>
    </row>
    <row r="39" spans="2:20">
      <c r="B39" t="s">
        <v>20</v>
      </c>
      <c r="C39" t="s">
        <v>21</v>
      </c>
      <c r="D39" t="s">
        <v>53</v>
      </c>
      <c r="E39" s="2">
        <v>46196</v>
      </c>
      <c r="F39" s="2">
        <v>46196</v>
      </c>
      <c r="G39" t="s">
        <v>20</v>
      </c>
      <c r="H39" s="2">
        <v>46196</v>
      </c>
      <c r="I39" s="2">
        <v>46196</v>
      </c>
      <c r="J39" t="s">
        <v>20</v>
      </c>
      <c r="K39">
        <v>-16.73</v>
      </c>
      <c r="L39">
        <v>-16.73</v>
      </c>
      <c r="M39">
        <v>-16.73</v>
      </c>
      <c r="N39" t="s">
        <v>23</v>
      </c>
      <c r="O39" s="3" t="s">
        <v>1482</v>
      </c>
      <c r="P39" s="3" t="s">
        <v>1482</v>
      </c>
      <c r="Q39" s="3" t="s">
        <v>1482</v>
      </c>
      <c r="R39" s="3" t="s">
        <v>1482</v>
      </c>
      <c r="S39" s="3" t="s">
        <v>1482</v>
      </c>
      <c r="T39" s="3" t="s">
        <v>1482</v>
      </c>
    </row>
    <row r="40" spans="2:20">
      <c r="B40" t="s">
        <v>20</v>
      </c>
      <c r="C40" t="s">
        <v>21</v>
      </c>
      <c r="D40" t="s">
        <v>54</v>
      </c>
      <c r="E40" s="2">
        <v>46196</v>
      </c>
      <c r="F40" s="2">
        <v>46196</v>
      </c>
      <c r="G40" t="s">
        <v>20</v>
      </c>
      <c r="H40" s="2">
        <v>46196</v>
      </c>
      <c r="I40" s="2">
        <v>46196</v>
      </c>
      <c r="J40" t="s">
        <v>20</v>
      </c>
      <c r="K40">
        <v>-47.94</v>
      </c>
      <c r="L40">
        <v>-47.94</v>
      </c>
      <c r="M40">
        <v>-47.94</v>
      </c>
      <c r="N40" t="s">
        <v>23</v>
      </c>
      <c r="O40" s="3" t="s">
        <v>1482</v>
      </c>
      <c r="P40" s="3" t="s">
        <v>1482</v>
      </c>
      <c r="Q40" s="3" t="s">
        <v>1482</v>
      </c>
      <c r="R40" s="3" t="s">
        <v>1482</v>
      </c>
      <c r="S40" s="3" t="s">
        <v>1482</v>
      </c>
      <c r="T40" s="3" t="s">
        <v>1482</v>
      </c>
    </row>
    <row r="41" spans="2:20">
      <c r="B41" t="s">
        <v>20</v>
      </c>
      <c r="C41" t="s">
        <v>21</v>
      </c>
      <c r="D41" t="s">
        <v>55</v>
      </c>
      <c r="E41" s="2">
        <v>46163</v>
      </c>
      <c r="F41" s="2">
        <v>46163</v>
      </c>
      <c r="G41" t="s">
        <v>20</v>
      </c>
      <c r="H41" s="2">
        <v>46163</v>
      </c>
      <c r="I41" s="2">
        <v>46163</v>
      </c>
      <c r="J41" t="s">
        <v>20</v>
      </c>
      <c r="K41">
        <v>-25.38</v>
      </c>
      <c r="L41">
        <v>-25.38</v>
      </c>
      <c r="M41">
        <v>-25.38</v>
      </c>
      <c r="N41" t="s">
        <v>23</v>
      </c>
      <c r="O41" s="3" t="s">
        <v>1482</v>
      </c>
      <c r="P41" s="3" t="s">
        <v>1482</v>
      </c>
      <c r="Q41" s="3" t="s">
        <v>1482</v>
      </c>
      <c r="R41" s="3" t="s">
        <v>1482</v>
      </c>
      <c r="S41" s="3" t="s">
        <v>1482</v>
      </c>
      <c r="T41" s="3" t="s">
        <v>1482</v>
      </c>
    </row>
    <row r="42" spans="2:20">
      <c r="B42" t="s">
        <v>20</v>
      </c>
      <c r="C42" t="s">
        <v>21</v>
      </c>
      <c r="D42" t="s">
        <v>56</v>
      </c>
      <c r="E42" s="2">
        <v>46196</v>
      </c>
      <c r="F42" s="2">
        <v>46196</v>
      </c>
      <c r="G42" t="s">
        <v>20</v>
      </c>
      <c r="H42" s="2">
        <v>46196</v>
      </c>
      <c r="I42" s="2">
        <v>46196</v>
      </c>
      <c r="J42" t="s">
        <v>20</v>
      </c>
      <c r="K42">
        <v>-132.52000000000001</v>
      </c>
      <c r="L42">
        <v>-132.52000000000001</v>
      </c>
      <c r="M42">
        <v>-132.52000000000001</v>
      </c>
      <c r="N42" t="s">
        <v>23</v>
      </c>
      <c r="O42" s="3" t="s">
        <v>1482</v>
      </c>
      <c r="P42" s="3" t="s">
        <v>1482</v>
      </c>
      <c r="Q42" s="3" t="s">
        <v>1482</v>
      </c>
      <c r="R42" s="3" t="s">
        <v>1482</v>
      </c>
      <c r="S42" s="3" t="s">
        <v>1482</v>
      </c>
      <c r="T42" s="3" t="s">
        <v>1482</v>
      </c>
    </row>
    <row r="43" spans="2:20">
      <c r="B43" t="s">
        <v>20</v>
      </c>
      <c r="C43" t="s">
        <v>21</v>
      </c>
      <c r="D43" t="s">
        <v>57</v>
      </c>
      <c r="E43" s="2">
        <v>46163</v>
      </c>
      <c r="F43" s="2">
        <v>46163</v>
      </c>
      <c r="G43" t="s">
        <v>20</v>
      </c>
      <c r="H43" s="2">
        <v>46163</v>
      </c>
      <c r="I43" s="2">
        <v>46163</v>
      </c>
      <c r="J43" t="s">
        <v>20</v>
      </c>
      <c r="K43">
        <v>-35.08</v>
      </c>
      <c r="L43">
        <v>-35.08</v>
      </c>
      <c r="M43">
        <v>-35.08</v>
      </c>
      <c r="N43" t="s">
        <v>23</v>
      </c>
      <c r="O43" s="3" t="s">
        <v>1482</v>
      </c>
      <c r="P43" s="3" t="s">
        <v>1482</v>
      </c>
      <c r="Q43" s="3" t="s">
        <v>1482</v>
      </c>
      <c r="R43" s="3" t="s">
        <v>1482</v>
      </c>
      <c r="S43" s="3" t="s">
        <v>1482</v>
      </c>
      <c r="T43" s="3" t="s">
        <v>1482</v>
      </c>
    </row>
    <row r="44" spans="2:20">
      <c r="B44" t="s">
        <v>20</v>
      </c>
      <c r="C44" t="s">
        <v>21</v>
      </c>
      <c r="D44" t="s">
        <v>58</v>
      </c>
      <c r="E44" s="2">
        <v>46196</v>
      </c>
      <c r="F44" s="2">
        <v>46196</v>
      </c>
      <c r="G44" t="s">
        <v>20</v>
      </c>
      <c r="H44" s="2">
        <v>46196</v>
      </c>
      <c r="I44" s="2">
        <v>46196</v>
      </c>
      <c r="J44" t="s">
        <v>20</v>
      </c>
      <c r="K44">
        <v>-66.260000000000005</v>
      </c>
      <c r="L44">
        <v>-66.260000000000005</v>
      </c>
      <c r="M44">
        <v>-66.260000000000005</v>
      </c>
      <c r="N44" t="s">
        <v>23</v>
      </c>
      <c r="O44" s="3" t="s">
        <v>1482</v>
      </c>
      <c r="P44" s="3" t="s">
        <v>1482</v>
      </c>
      <c r="Q44" s="3" t="s">
        <v>1482</v>
      </c>
      <c r="R44" s="3" t="s">
        <v>1482</v>
      </c>
      <c r="S44" s="3" t="s">
        <v>1482</v>
      </c>
      <c r="T44" s="3" t="s">
        <v>1482</v>
      </c>
    </row>
    <row r="45" spans="2:20">
      <c r="B45" t="s">
        <v>20</v>
      </c>
      <c r="C45" t="s">
        <v>21</v>
      </c>
      <c r="D45" t="s">
        <v>59</v>
      </c>
      <c r="E45" s="2">
        <v>46163</v>
      </c>
      <c r="F45" s="2">
        <v>46163</v>
      </c>
      <c r="G45" t="s">
        <v>20</v>
      </c>
      <c r="H45" s="2">
        <v>46163</v>
      </c>
      <c r="I45" s="2">
        <v>46163</v>
      </c>
      <c r="J45" t="s">
        <v>20</v>
      </c>
      <c r="K45">
        <v>-88.55</v>
      </c>
      <c r="L45">
        <v>-88.55</v>
      </c>
      <c r="M45">
        <v>-88.55</v>
      </c>
      <c r="N45" t="s">
        <v>23</v>
      </c>
      <c r="O45" s="3" t="s">
        <v>1482</v>
      </c>
      <c r="P45" s="3" t="s">
        <v>1482</v>
      </c>
      <c r="Q45" s="3" t="s">
        <v>1482</v>
      </c>
      <c r="R45" s="3" t="s">
        <v>1482</v>
      </c>
      <c r="S45" s="3" t="s">
        <v>1482</v>
      </c>
      <c r="T45" s="3" t="s">
        <v>1482</v>
      </c>
    </row>
    <row r="46" spans="2:20">
      <c r="B46" t="s">
        <v>20</v>
      </c>
      <c r="C46" t="s">
        <v>21</v>
      </c>
      <c r="D46" t="s">
        <v>60</v>
      </c>
      <c r="E46" s="2">
        <v>46196</v>
      </c>
      <c r="F46" s="2">
        <v>46196</v>
      </c>
      <c r="G46" t="s">
        <v>20</v>
      </c>
      <c r="H46" s="2">
        <v>46196</v>
      </c>
      <c r="I46" s="2">
        <v>46196</v>
      </c>
      <c r="J46" t="s">
        <v>20</v>
      </c>
      <c r="K46">
        <v>-33.130000000000003</v>
      </c>
      <c r="L46">
        <v>-33.130000000000003</v>
      </c>
      <c r="M46">
        <v>-33.130000000000003</v>
      </c>
      <c r="N46" t="s">
        <v>23</v>
      </c>
      <c r="O46" s="3" t="s">
        <v>1482</v>
      </c>
      <c r="P46" s="3" t="s">
        <v>1482</v>
      </c>
      <c r="Q46" s="3" t="s">
        <v>1482</v>
      </c>
      <c r="R46" s="3" t="s">
        <v>1482</v>
      </c>
      <c r="S46" s="3" t="s">
        <v>1482</v>
      </c>
      <c r="T46" s="3" t="s">
        <v>1482</v>
      </c>
    </row>
    <row r="47" spans="2:20">
      <c r="B47" t="s">
        <v>20</v>
      </c>
      <c r="C47" t="s">
        <v>21</v>
      </c>
      <c r="D47" t="s">
        <v>61</v>
      </c>
      <c r="E47" s="2">
        <v>46196</v>
      </c>
      <c r="F47" s="2">
        <v>46196</v>
      </c>
      <c r="G47" t="s">
        <v>20</v>
      </c>
      <c r="H47" s="2">
        <v>46196</v>
      </c>
      <c r="I47" s="2">
        <v>46196</v>
      </c>
      <c r="J47" t="s">
        <v>20</v>
      </c>
      <c r="K47">
        <v>-132.52000000000001</v>
      </c>
      <c r="L47">
        <v>-132.52000000000001</v>
      </c>
      <c r="M47">
        <v>-132.52000000000001</v>
      </c>
      <c r="N47" t="s">
        <v>23</v>
      </c>
      <c r="O47" s="3" t="s">
        <v>1482</v>
      </c>
      <c r="P47" s="3" t="s">
        <v>1482</v>
      </c>
      <c r="Q47" s="3" t="s">
        <v>1482</v>
      </c>
      <c r="R47" s="3" t="s">
        <v>1482</v>
      </c>
      <c r="S47" s="3" t="s">
        <v>1482</v>
      </c>
      <c r="T47" s="3" t="s">
        <v>1482</v>
      </c>
    </row>
    <row r="48" spans="2:20">
      <c r="B48" t="s">
        <v>20</v>
      </c>
      <c r="C48" t="s">
        <v>21</v>
      </c>
      <c r="D48" t="s">
        <v>62</v>
      </c>
      <c r="E48" s="2">
        <v>46196</v>
      </c>
      <c r="F48" s="2">
        <v>46196</v>
      </c>
      <c r="G48" t="s">
        <v>20</v>
      </c>
      <c r="H48" s="2">
        <v>46196</v>
      </c>
      <c r="I48" s="2">
        <v>46196</v>
      </c>
      <c r="J48" t="s">
        <v>20</v>
      </c>
      <c r="K48">
        <v>-99.39</v>
      </c>
      <c r="L48">
        <v>-99.39</v>
      </c>
      <c r="M48">
        <v>-99.39</v>
      </c>
      <c r="N48" t="s">
        <v>23</v>
      </c>
      <c r="O48" s="3" t="s">
        <v>1482</v>
      </c>
      <c r="P48" s="3" t="s">
        <v>1482</v>
      </c>
      <c r="Q48" s="3" t="s">
        <v>1482</v>
      </c>
      <c r="R48" s="3" t="s">
        <v>1482</v>
      </c>
      <c r="S48" s="3" t="s">
        <v>1482</v>
      </c>
      <c r="T48" s="3" t="s">
        <v>1482</v>
      </c>
    </row>
    <row r="49" spans="2:20">
      <c r="B49" t="s">
        <v>20</v>
      </c>
      <c r="C49" t="s">
        <v>21</v>
      </c>
      <c r="D49" t="s">
        <v>63</v>
      </c>
      <c r="E49" s="2">
        <v>46196</v>
      </c>
      <c r="F49" s="2">
        <v>46196</v>
      </c>
      <c r="G49" t="s">
        <v>20</v>
      </c>
      <c r="H49" s="2">
        <v>46196</v>
      </c>
      <c r="I49" s="2">
        <v>46196</v>
      </c>
      <c r="J49" t="s">
        <v>20</v>
      </c>
      <c r="K49">
        <v>-33.450000000000003</v>
      </c>
      <c r="L49">
        <v>-33.450000000000003</v>
      </c>
      <c r="M49">
        <v>-33.450000000000003</v>
      </c>
      <c r="N49" t="s">
        <v>23</v>
      </c>
      <c r="O49" s="3" t="s">
        <v>1482</v>
      </c>
      <c r="P49" s="3" t="s">
        <v>1482</v>
      </c>
      <c r="Q49" s="3" t="s">
        <v>1482</v>
      </c>
      <c r="R49" s="3" t="s">
        <v>1482</v>
      </c>
      <c r="S49" s="3" t="s">
        <v>1482</v>
      </c>
      <c r="T49" s="3" t="s">
        <v>1482</v>
      </c>
    </row>
    <row r="50" spans="2:20">
      <c r="B50" t="s">
        <v>20</v>
      </c>
      <c r="C50" t="s">
        <v>21</v>
      </c>
      <c r="D50" t="s">
        <v>64</v>
      </c>
      <c r="E50" s="2">
        <v>46163</v>
      </c>
      <c r="F50" s="2">
        <v>46163</v>
      </c>
      <c r="G50" t="s">
        <v>20</v>
      </c>
      <c r="H50" s="2">
        <v>46163</v>
      </c>
      <c r="I50" s="2">
        <v>46163</v>
      </c>
      <c r="J50" t="s">
        <v>20</v>
      </c>
      <c r="K50">
        <v>-280.62</v>
      </c>
      <c r="L50">
        <v>-280.62</v>
      </c>
      <c r="M50">
        <v>-280.62</v>
      </c>
      <c r="N50" t="s">
        <v>23</v>
      </c>
      <c r="O50" s="3" t="s">
        <v>1482</v>
      </c>
      <c r="P50" s="3" t="s">
        <v>1482</v>
      </c>
      <c r="Q50" s="3" t="s">
        <v>1482</v>
      </c>
      <c r="R50" s="3" t="s">
        <v>1482</v>
      </c>
      <c r="S50" s="3" t="s">
        <v>1482</v>
      </c>
      <c r="T50" s="3" t="s">
        <v>1482</v>
      </c>
    </row>
    <row r="51" spans="2:20">
      <c r="B51" t="s">
        <v>20</v>
      </c>
      <c r="C51" t="s">
        <v>21</v>
      </c>
      <c r="D51" t="s">
        <v>65</v>
      </c>
      <c r="E51" s="2">
        <v>46188</v>
      </c>
      <c r="F51" s="2">
        <v>46188</v>
      </c>
      <c r="G51" t="s">
        <v>20</v>
      </c>
      <c r="H51" s="2">
        <v>46188</v>
      </c>
      <c r="I51" s="2">
        <v>46188</v>
      </c>
      <c r="J51" t="s">
        <v>20</v>
      </c>
      <c r="K51">
        <v>-106.26</v>
      </c>
      <c r="L51">
        <v>-106.26</v>
      </c>
      <c r="M51">
        <v>-106.26</v>
      </c>
      <c r="N51" t="s">
        <v>23</v>
      </c>
      <c r="O51" s="3" t="s">
        <v>1482</v>
      </c>
      <c r="P51" s="3" t="s">
        <v>1482</v>
      </c>
      <c r="Q51" s="3" t="s">
        <v>1482</v>
      </c>
      <c r="R51" s="3" t="s">
        <v>1482</v>
      </c>
      <c r="S51" s="3" t="s">
        <v>1482</v>
      </c>
      <c r="T51" s="3" t="s">
        <v>1482</v>
      </c>
    </row>
    <row r="52" spans="2:20">
      <c r="B52" t="s">
        <v>20</v>
      </c>
      <c r="C52" t="s">
        <v>21</v>
      </c>
      <c r="D52" t="s">
        <v>66</v>
      </c>
      <c r="E52" s="2">
        <v>46196</v>
      </c>
      <c r="F52" s="2">
        <v>46196</v>
      </c>
      <c r="G52" t="s">
        <v>20</v>
      </c>
      <c r="H52" s="2">
        <v>46196</v>
      </c>
      <c r="I52" s="2">
        <v>46196</v>
      </c>
      <c r="J52" t="s">
        <v>20</v>
      </c>
      <c r="K52">
        <v>-38.229999999999997</v>
      </c>
      <c r="L52">
        <v>-38.229999999999997</v>
      </c>
      <c r="M52">
        <v>-38.229999999999997</v>
      </c>
      <c r="N52" t="s">
        <v>23</v>
      </c>
      <c r="O52" s="3" t="s">
        <v>1482</v>
      </c>
      <c r="P52" s="3" t="s">
        <v>1482</v>
      </c>
      <c r="Q52" s="3" t="s">
        <v>1482</v>
      </c>
      <c r="R52" s="3" t="s">
        <v>1482</v>
      </c>
      <c r="S52" s="3" t="s">
        <v>1482</v>
      </c>
      <c r="T52" s="3" t="s">
        <v>1482</v>
      </c>
    </row>
    <row r="53" spans="2:20">
      <c r="B53" t="s">
        <v>20</v>
      </c>
      <c r="C53" t="s">
        <v>21</v>
      </c>
      <c r="D53" t="s">
        <v>67</v>
      </c>
      <c r="E53" s="2">
        <v>46196</v>
      </c>
      <c r="F53" s="2">
        <v>46196</v>
      </c>
      <c r="G53" t="s">
        <v>20</v>
      </c>
      <c r="H53" s="2">
        <v>46196</v>
      </c>
      <c r="I53" s="2">
        <v>46196</v>
      </c>
      <c r="J53" t="s">
        <v>20</v>
      </c>
      <c r="K53">
        <v>-12.74</v>
      </c>
      <c r="L53">
        <v>-12.74</v>
      </c>
      <c r="M53">
        <v>-12.74</v>
      </c>
      <c r="N53" t="s">
        <v>23</v>
      </c>
      <c r="O53" s="3" t="s">
        <v>1482</v>
      </c>
      <c r="P53" s="3" t="s">
        <v>1482</v>
      </c>
      <c r="Q53" s="3" t="s">
        <v>1482</v>
      </c>
      <c r="R53" s="3" t="s">
        <v>1482</v>
      </c>
      <c r="S53" s="3" t="s">
        <v>1482</v>
      </c>
      <c r="T53" s="3" t="s">
        <v>1482</v>
      </c>
    </row>
    <row r="54" spans="2:20">
      <c r="B54" t="s">
        <v>20</v>
      </c>
      <c r="C54" t="s">
        <v>21</v>
      </c>
      <c r="D54" t="s">
        <v>68</v>
      </c>
      <c r="E54" s="2">
        <v>46196</v>
      </c>
      <c r="F54" s="2">
        <v>46196</v>
      </c>
      <c r="G54" t="s">
        <v>20</v>
      </c>
      <c r="H54" s="2">
        <v>46196</v>
      </c>
      <c r="I54" s="2">
        <v>46196</v>
      </c>
      <c r="J54" t="s">
        <v>20</v>
      </c>
      <c r="K54">
        <v>-143.81</v>
      </c>
      <c r="L54">
        <v>-143.81</v>
      </c>
      <c r="M54">
        <v>-143.81</v>
      </c>
      <c r="N54" t="s">
        <v>23</v>
      </c>
      <c r="O54" s="3" t="s">
        <v>1482</v>
      </c>
      <c r="P54" s="3" t="s">
        <v>1482</v>
      </c>
      <c r="Q54" s="3" t="s">
        <v>1482</v>
      </c>
      <c r="R54" s="3" t="s">
        <v>1482</v>
      </c>
      <c r="S54" s="3" t="s">
        <v>1482</v>
      </c>
      <c r="T54" s="3" t="s">
        <v>1482</v>
      </c>
    </row>
    <row r="55" spans="2:20">
      <c r="B55" t="s">
        <v>20</v>
      </c>
      <c r="C55" t="s">
        <v>21</v>
      </c>
      <c r="D55" t="s">
        <v>69</v>
      </c>
      <c r="E55" s="2">
        <v>46196</v>
      </c>
      <c r="F55" s="2">
        <v>46196</v>
      </c>
      <c r="G55" t="s">
        <v>20</v>
      </c>
      <c r="H55" s="2">
        <v>46196</v>
      </c>
      <c r="I55" s="2">
        <v>46196</v>
      </c>
      <c r="J55" t="s">
        <v>20</v>
      </c>
      <c r="K55">
        <v>-65.819999999999993</v>
      </c>
      <c r="L55">
        <v>-65.819999999999993</v>
      </c>
      <c r="M55">
        <v>-65.819999999999993</v>
      </c>
      <c r="N55" t="s">
        <v>23</v>
      </c>
      <c r="O55" s="3" t="s">
        <v>1482</v>
      </c>
      <c r="P55" s="3" t="s">
        <v>1482</v>
      </c>
      <c r="Q55" s="3" t="s">
        <v>1482</v>
      </c>
      <c r="R55" s="3" t="s">
        <v>1482</v>
      </c>
      <c r="S55" s="3" t="s">
        <v>1482</v>
      </c>
      <c r="T55" s="3" t="s">
        <v>1482</v>
      </c>
    </row>
    <row r="56" spans="2:20">
      <c r="B56" t="s">
        <v>20</v>
      </c>
      <c r="C56" t="s">
        <v>21</v>
      </c>
      <c r="D56" t="s">
        <v>70</v>
      </c>
      <c r="E56" s="2">
        <v>46196</v>
      </c>
      <c r="F56" s="2">
        <v>46196</v>
      </c>
      <c r="G56" t="s">
        <v>20</v>
      </c>
      <c r="H56" s="2">
        <v>46196</v>
      </c>
      <c r="I56" s="2">
        <v>46196</v>
      </c>
      <c r="J56" t="s">
        <v>20</v>
      </c>
      <c r="K56">
        <v>-26.5</v>
      </c>
      <c r="L56">
        <v>-26.5</v>
      </c>
      <c r="M56">
        <v>-26.5</v>
      </c>
      <c r="N56" t="s">
        <v>23</v>
      </c>
      <c r="O56" s="3" t="s">
        <v>1482</v>
      </c>
      <c r="P56" s="3" t="s">
        <v>1482</v>
      </c>
      <c r="Q56" s="3" t="s">
        <v>1482</v>
      </c>
      <c r="R56" s="3" t="s">
        <v>1482</v>
      </c>
      <c r="S56" s="3" t="s">
        <v>1482</v>
      </c>
      <c r="T56" s="3" t="s">
        <v>1482</v>
      </c>
    </row>
    <row r="57" spans="2:20">
      <c r="B57" t="s">
        <v>20</v>
      </c>
      <c r="C57" t="s">
        <v>21</v>
      </c>
      <c r="D57" t="s">
        <v>71</v>
      </c>
      <c r="E57" s="2">
        <v>46196</v>
      </c>
      <c r="F57" s="2">
        <v>46196</v>
      </c>
      <c r="G57" t="s">
        <v>20</v>
      </c>
      <c r="H57" s="2">
        <v>46196</v>
      </c>
      <c r="I57" s="2">
        <v>46196</v>
      </c>
      <c r="J57" t="s">
        <v>20</v>
      </c>
      <c r="K57">
        <v>-16.73</v>
      </c>
      <c r="L57">
        <v>-16.73</v>
      </c>
      <c r="M57">
        <v>-16.73</v>
      </c>
      <c r="N57" t="s">
        <v>23</v>
      </c>
      <c r="O57" s="3" t="s">
        <v>1482</v>
      </c>
      <c r="P57" s="3" t="s">
        <v>1482</v>
      </c>
      <c r="Q57" s="3" t="s">
        <v>1482</v>
      </c>
      <c r="R57" s="3" t="s">
        <v>1482</v>
      </c>
      <c r="S57" s="3" t="s">
        <v>1482</v>
      </c>
      <c r="T57" s="3" t="s">
        <v>1482</v>
      </c>
    </row>
    <row r="58" spans="2:20">
      <c r="B58" t="s">
        <v>20</v>
      </c>
      <c r="C58" t="s">
        <v>21</v>
      </c>
      <c r="D58" t="s">
        <v>72</v>
      </c>
      <c r="E58" s="2">
        <v>46196</v>
      </c>
      <c r="F58" s="2">
        <v>46196</v>
      </c>
      <c r="G58" t="s">
        <v>20</v>
      </c>
      <c r="H58" s="2">
        <v>46196</v>
      </c>
      <c r="I58" s="2">
        <v>46196</v>
      </c>
      <c r="J58" t="s">
        <v>20</v>
      </c>
      <c r="K58">
        <v>-165.65</v>
      </c>
      <c r="L58">
        <v>-165.65</v>
      </c>
      <c r="M58">
        <v>-165.65</v>
      </c>
      <c r="N58" t="s">
        <v>23</v>
      </c>
      <c r="O58" s="3" t="s">
        <v>1482</v>
      </c>
      <c r="P58" s="3" t="s">
        <v>1482</v>
      </c>
      <c r="Q58" s="3" t="s">
        <v>1482</v>
      </c>
      <c r="R58" s="3" t="s">
        <v>1482</v>
      </c>
      <c r="S58" s="3" t="s">
        <v>1482</v>
      </c>
      <c r="T58" s="3" t="s">
        <v>1482</v>
      </c>
    </row>
    <row r="59" spans="2:20">
      <c r="B59" t="s">
        <v>20</v>
      </c>
      <c r="C59" t="s">
        <v>21</v>
      </c>
      <c r="D59" t="s">
        <v>73</v>
      </c>
      <c r="E59" s="2">
        <v>46163</v>
      </c>
      <c r="F59" s="2">
        <v>46163</v>
      </c>
      <c r="G59" t="s">
        <v>20</v>
      </c>
      <c r="H59" s="2">
        <v>46163</v>
      </c>
      <c r="I59" s="2">
        <v>46163</v>
      </c>
      <c r="J59" t="s">
        <v>20</v>
      </c>
      <c r="K59">
        <v>-31.88</v>
      </c>
      <c r="L59">
        <v>-31.88</v>
      </c>
      <c r="M59">
        <v>-31.88</v>
      </c>
      <c r="N59" t="s">
        <v>23</v>
      </c>
      <c r="O59" s="3" t="s">
        <v>1482</v>
      </c>
      <c r="P59" s="3" t="s">
        <v>1482</v>
      </c>
      <c r="Q59" s="3" t="s">
        <v>1482</v>
      </c>
      <c r="R59" s="3" t="s">
        <v>1482</v>
      </c>
      <c r="S59" s="3" t="s">
        <v>1482</v>
      </c>
      <c r="T59" s="3" t="s">
        <v>1482</v>
      </c>
    </row>
    <row r="60" spans="2:20">
      <c r="B60" t="s">
        <v>20</v>
      </c>
      <c r="C60" t="s">
        <v>21</v>
      </c>
      <c r="D60" t="s">
        <v>74</v>
      </c>
      <c r="E60" s="2">
        <v>46196</v>
      </c>
      <c r="F60" s="2">
        <v>46196</v>
      </c>
      <c r="G60" t="s">
        <v>20</v>
      </c>
      <c r="H60" s="2">
        <v>46196</v>
      </c>
      <c r="I60" s="2">
        <v>46196</v>
      </c>
      <c r="J60" t="s">
        <v>20</v>
      </c>
      <c r="K60">
        <v>-89.45</v>
      </c>
      <c r="L60">
        <v>-89.45</v>
      </c>
      <c r="M60">
        <v>-89.45</v>
      </c>
      <c r="N60" t="s">
        <v>23</v>
      </c>
      <c r="O60" s="3" t="s">
        <v>1482</v>
      </c>
      <c r="P60" s="3" t="s">
        <v>1482</v>
      </c>
      <c r="Q60" s="3" t="s">
        <v>1482</v>
      </c>
      <c r="R60" s="3" t="s">
        <v>1482</v>
      </c>
      <c r="S60" s="3" t="s">
        <v>1482</v>
      </c>
      <c r="T60" s="3" t="s">
        <v>1482</v>
      </c>
    </row>
    <row r="61" spans="2:20">
      <c r="B61" t="s">
        <v>20</v>
      </c>
      <c r="C61" t="s">
        <v>21</v>
      </c>
      <c r="D61" t="s">
        <v>75</v>
      </c>
      <c r="E61" s="2">
        <v>46196</v>
      </c>
      <c r="F61" s="2">
        <v>46196</v>
      </c>
      <c r="G61" t="s">
        <v>20</v>
      </c>
      <c r="H61" s="2">
        <v>46196</v>
      </c>
      <c r="I61" s="2">
        <v>46196</v>
      </c>
      <c r="J61" t="s">
        <v>20</v>
      </c>
      <c r="K61">
        <v>-15.05</v>
      </c>
      <c r="L61">
        <v>-15.05</v>
      </c>
      <c r="M61">
        <v>-15.05</v>
      </c>
      <c r="N61" t="s">
        <v>23</v>
      </c>
      <c r="O61" s="3" t="s">
        <v>1482</v>
      </c>
      <c r="P61" s="3" t="s">
        <v>1482</v>
      </c>
      <c r="Q61" s="3" t="s">
        <v>1482</v>
      </c>
      <c r="R61" s="3" t="s">
        <v>1482</v>
      </c>
      <c r="S61" s="3" t="s">
        <v>1482</v>
      </c>
      <c r="T61" s="3" t="s">
        <v>1482</v>
      </c>
    </row>
    <row r="62" spans="2:20">
      <c r="B62" t="s">
        <v>20</v>
      </c>
      <c r="C62" t="s">
        <v>21</v>
      </c>
      <c r="D62" t="s">
        <v>76</v>
      </c>
      <c r="E62" s="2">
        <v>46196</v>
      </c>
      <c r="F62" s="2">
        <v>46196</v>
      </c>
      <c r="G62" t="s">
        <v>20</v>
      </c>
      <c r="H62" s="2">
        <v>46196</v>
      </c>
      <c r="I62" s="2">
        <v>46196</v>
      </c>
      <c r="J62" t="s">
        <v>20</v>
      </c>
      <c r="K62">
        <v>-29.82</v>
      </c>
      <c r="L62">
        <v>-29.82</v>
      </c>
      <c r="M62">
        <v>-29.82</v>
      </c>
      <c r="N62" t="s">
        <v>23</v>
      </c>
      <c r="O62" s="3" t="s">
        <v>1482</v>
      </c>
      <c r="P62" s="3" t="s">
        <v>1482</v>
      </c>
      <c r="Q62" s="3" t="s">
        <v>1482</v>
      </c>
      <c r="R62" s="3" t="s">
        <v>1482</v>
      </c>
      <c r="S62" s="3" t="s">
        <v>1482</v>
      </c>
      <c r="T62" s="3" t="s">
        <v>1482</v>
      </c>
    </row>
    <row r="63" spans="2:20">
      <c r="B63" t="s">
        <v>20</v>
      </c>
      <c r="C63" t="s">
        <v>21</v>
      </c>
      <c r="D63" t="s">
        <v>77</v>
      </c>
      <c r="E63" s="2">
        <v>46196</v>
      </c>
      <c r="F63" s="2">
        <v>46196</v>
      </c>
      <c r="G63" t="s">
        <v>20</v>
      </c>
      <c r="H63" s="2">
        <v>46196</v>
      </c>
      <c r="I63" s="2">
        <v>46196</v>
      </c>
      <c r="J63" t="s">
        <v>20</v>
      </c>
      <c r="K63">
        <v>-41.66</v>
      </c>
      <c r="L63">
        <v>-41.66</v>
      </c>
      <c r="M63">
        <v>-41.66</v>
      </c>
      <c r="N63" t="s">
        <v>23</v>
      </c>
      <c r="O63" s="3" t="s">
        <v>1482</v>
      </c>
      <c r="P63" s="3" t="s">
        <v>1482</v>
      </c>
      <c r="Q63" s="3" t="s">
        <v>1482</v>
      </c>
      <c r="R63" s="3" t="s">
        <v>1482</v>
      </c>
      <c r="S63" s="3" t="s">
        <v>1482</v>
      </c>
      <c r="T63" s="3" t="s">
        <v>1482</v>
      </c>
    </row>
    <row r="64" spans="2:20">
      <c r="B64" t="s">
        <v>20</v>
      </c>
      <c r="C64" t="s">
        <v>21</v>
      </c>
      <c r="D64" t="s">
        <v>78</v>
      </c>
      <c r="E64" s="2">
        <v>46196</v>
      </c>
      <c r="F64" s="2">
        <v>46196</v>
      </c>
      <c r="G64" t="s">
        <v>20</v>
      </c>
      <c r="H64" s="2">
        <v>46196</v>
      </c>
      <c r="I64" s="2">
        <v>46196</v>
      </c>
      <c r="J64" t="s">
        <v>20</v>
      </c>
      <c r="K64">
        <v>-99.39</v>
      </c>
      <c r="L64">
        <v>-99.39</v>
      </c>
      <c r="M64">
        <v>-99.39</v>
      </c>
      <c r="N64" t="s">
        <v>23</v>
      </c>
      <c r="O64" s="3" t="s">
        <v>1482</v>
      </c>
      <c r="P64" s="3" t="s">
        <v>1482</v>
      </c>
      <c r="Q64" s="3" t="s">
        <v>1482</v>
      </c>
      <c r="R64" s="3" t="s">
        <v>1482</v>
      </c>
      <c r="S64" s="3" t="s">
        <v>1482</v>
      </c>
      <c r="T64" s="3" t="s">
        <v>1482</v>
      </c>
    </row>
    <row r="65" spans="2:20">
      <c r="B65" t="s">
        <v>20</v>
      </c>
      <c r="C65" t="s">
        <v>21</v>
      </c>
      <c r="D65" t="s">
        <v>79</v>
      </c>
      <c r="E65" s="2">
        <v>46196</v>
      </c>
      <c r="F65" s="2">
        <v>46196</v>
      </c>
      <c r="G65" t="s">
        <v>20</v>
      </c>
      <c r="H65" s="2">
        <v>46196</v>
      </c>
      <c r="I65" s="2">
        <v>46196</v>
      </c>
      <c r="J65" t="s">
        <v>20</v>
      </c>
      <c r="K65">
        <v>-132.52000000000001</v>
      </c>
      <c r="L65">
        <v>-132.52000000000001</v>
      </c>
      <c r="M65">
        <v>-132.52000000000001</v>
      </c>
      <c r="N65" t="s">
        <v>23</v>
      </c>
      <c r="O65" s="3" t="s">
        <v>1482</v>
      </c>
      <c r="P65" s="3" t="s">
        <v>1482</v>
      </c>
      <c r="Q65" s="3" t="s">
        <v>1482</v>
      </c>
      <c r="R65" s="3" t="s">
        <v>1482</v>
      </c>
      <c r="S65" s="3" t="s">
        <v>1482</v>
      </c>
      <c r="T65" s="3" t="s">
        <v>1482</v>
      </c>
    </row>
    <row r="66" spans="2:20">
      <c r="B66" t="s">
        <v>20</v>
      </c>
      <c r="C66" t="s">
        <v>21</v>
      </c>
      <c r="D66" t="s">
        <v>80</v>
      </c>
      <c r="E66" s="2">
        <v>46196</v>
      </c>
      <c r="F66" s="2">
        <v>46196</v>
      </c>
      <c r="G66" t="s">
        <v>20</v>
      </c>
      <c r="H66" s="2">
        <v>46196</v>
      </c>
      <c r="I66" s="2">
        <v>46196</v>
      </c>
      <c r="J66" t="s">
        <v>20</v>
      </c>
      <c r="K66">
        <v>-90.33</v>
      </c>
      <c r="L66">
        <v>-90.33</v>
      </c>
      <c r="M66">
        <v>-90.33</v>
      </c>
      <c r="N66" t="s">
        <v>23</v>
      </c>
      <c r="O66" s="3" t="s">
        <v>1482</v>
      </c>
      <c r="P66" s="3" t="s">
        <v>1482</v>
      </c>
      <c r="Q66" s="3" t="s">
        <v>1482</v>
      </c>
      <c r="R66" s="3" t="s">
        <v>1482</v>
      </c>
      <c r="S66" s="3" t="s">
        <v>1482</v>
      </c>
      <c r="T66" s="3" t="s">
        <v>1482</v>
      </c>
    </row>
    <row r="67" spans="2:20">
      <c r="B67" t="s">
        <v>20</v>
      </c>
      <c r="C67" t="s">
        <v>21</v>
      </c>
      <c r="D67" t="s">
        <v>81</v>
      </c>
      <c r="E67" s="2">
        <v>46188</v>
      </c>
      <c r="F67" s="2">
        <v>46188</v>
      </c>
      <c r="G67" t="s">
        <v>20</v>
      </c>
      <c r="H67" s="2">
        <v>46188</v>
      </c>
      <c r="I67" s="2">
        <v>46188</v>
      </c>
      <c r="J67" t="s">
        <v>20</v>
      </c>
      <c r="K67">
        <v>-47.82</v>
      </c>
      <c r="L67">
        <v>-47.82</v>
      </c>
      <c r="M67">
        <v>-47.82</v>
      </c>
      <c r="N67" t="s">
        <v>23</v>
      </c>
      <c r="O67" s="3" t="s">
        <v>1482</v>
      </c>
      <c r="P67" s="3" t="s">
        <v>1482</v>
      </c>
      <c r="Q67" s="3" t="s">
        <v>1482</v>
      </c>
      <c r="R67" s="3" t="s">
        <v>1482</v>
      </c>
      <c r="S67" s="3" t="s">
        <v>1482</v>
      </c>
      <c r="T67" s="3" t="s">
        <v>1482</v>
      </c>
    </row>
    <row r="68" spans="2:20">
      <c r="B68" t="s">
        <v>20</v>
      </c>
      <c r="C68" t="s">
        <v>21</v>
      </c>
      <c r="D68" t="s">
        <v>82</v>
      </c>
      <c r="E68" s="2">
        <v>46196</v>
      </c>
      <c r="F68" s="2">
        <v>46196</v>
      </c>
      <c r="G68" t="s">
        <v>20</v>
      </c>
      <c r="H68" s="2">
        <v>46196</v>
      </c>
      <c r="I68" s="2">
        <v>46196</v>
      </c>
      <c r="J68" t="s">
        <v>20</v>
      </c>
      <c r="K68">
        <v>-26.76</v>
      </c>
      <c r="L68">
        <v>-26.76</v>
      </c>
      <c r="M68">
        <v>-26.76</v>
      </c>
      <c r="N68" t="s">
        <v>23</v>
      </c>
      <c r="O68" s="3" t="s">
        <v>1482</v>
      </c>
      <c r="P68" s="3" t="s">
        <v>1482</v>
      </c>
      <c r="Q68" s="3" t="s">
        <v>1482</v>
      </c>
      <c r="R68" s="3" t="s">
        <v>1482</v>
      </c>
      <c r="S68" s="3" t="s">
        <v>1482</v>
      </c>
      <c r="T68" s="3" t="s">
        <v>1482</v>
      </c>
    </row>
    <row r="69" spans="2:20">
      <c r="B69" t="s">
        <v>20</v>
      </c>
      <c r="C69" t="s">
        <v>21</v>
      </c>
      <c r="D69" t="s">
        <v>83</v>
      </c>
      <c r="E69" s="2">
        <v>46196</v>
      </c>
      <c r="F69" s="2">
        <v>46196</v>
      </c>
      <c r="G69" t="s">
        <v>20</v>
      </c>
      <c r="H69" s="2">
        <v>46196</v>
      </c>
      <c r="I69" s="2">
        <v>46196</v>
      </c>
      <c r="J69" t="s">
        <v>20</v>
      </c>
      <c r="K69">
        <v>-53.01</v>
      </c>
      <c r="L69">
        <v>-53.01</v>
      </c>
      <c r="M69">
        <v>-53.01</v>
      </c>
      <c r="N69" t="s">
        <v>23</v>
      </c>
      <c r="O69" s="3" t="s">
        <v>1482</v>
      </c>
      <c r="P69" s="3" t="s">
        <v>1482</v>
      </c>
      <c r="Q69" s="3" t="s">
        <v>1482</v>
      </c>
      <c r="R69" s="3" t="s">
        <v>1482</v>
      </c>
      <c r="S69" s="3" t="s">
        <v>1482</v>
      </c>
      <c r="T69" s="3" t="s">
        <v>1482</v>
      </c>
    </row>
    <row r="70" spans="2:20">
      <c r="B70" t="s">
        <v>20</v>
      </c>
      <c r="C70" t="s">
        <v>21</v>
      </c>
      <c r="D70" t="s">
        <v>84</v>
      </c>
      <c r="E70" s="2">
        <v>46196</v>
      </c>
      <c r="F70" s="2">
        <v>46196</v>
      </c>
      <c r="G70" t="s">
        <v>20</v>
      </c>
      <c r="H70" s="2">
        <v>46196</v>
      </c>
      <c r="I70" s="2">
        <v>46196</v>
      </c>
      <c r="J70" t="s">
        <v>20</v>
      </c>
      <c r="K70">
        <v>-18.16</v>
      </c>
      <c r="L70">
        <v>-18.16</v>
      </c>
      <c r="M70">
        <v>-18.16</v>
      </c>
      <c r="N70" t="s">
        <v>23</v>
      </c>
      <c r="O70" s="3" t="s">
        <v>1482</v>
      </c>
      <c r="P70" s="3" t="s">
        <v>1482</v>
      </c>
      <c r="Q70" s="3" t="s">
        <v>1482</v>
      </c>
      <c r="R70" s="3" t="s">
        <v>1482</v>
      </c>
      <c r="S70" s="3" t="s">
        <v>1482</v>
      </c>
      <c r="T70" s="3" t="s">
        <v>1482</v>
      </c>
    </row>
    <row r="71" spans="2:20">
      <c r="B71" t="s">
        <v>20</v>
      </c>
      <c r="C71" t="s">
        <v>21</v>
      </c>
      <c r="D71" t="s">
        <v>85</v>
      </c>
      <c r="E71" s="2">
        <v>46163</v>
      </c>
      <c r="F71" s="2">
        <v>46163</v>
      </c>
      <c r="G71" t="s">
        <v>20</v>
      </c>
      <c r="H71" s="2">
        <v>46163</v>
      </c>
      <c r="I71" s="2">
        <v>46163</v>
      </c>
      <c r="J71" t="s">
        <v>20</v>
      </c>
      <c r="K71">
        <v>-36.49</v>
      </c>
      <c r="L71">
        <v>-36.49</v>
      </c>
      <c r="M71">
        <v>-36.49</v>
      </c>
      <c r="N71" t="s">
        <v>23</v>
      </c>
      <c r="O71" s="3" t="s">
        <v>1482</v>
      </c>
      <c r="P71" s="3" t="s">
        <v>1482</v>
      </c>
      <c r="Q71" s="3" t="s">
        <v>1482</v>
      </c>
      <c r="R71" s="3" t="s">
        <v>1482</v>
      </c>
      <c r="S71" s="3" t="s">
        <v>1482</v>
      </c>
      <c r="T71" s="3" t="s">
        <v>1482</v>
      </c>
    </row>
    <row r="72" spans="2:20">
      <c r="B72" t="s">
        <v>20</v>
      </c>
      <c r="C72" t="s">
        <v>21</v>
      </c>
      <c r="D72" t="s">
        <v>86</v>
      </c>
      <c r="E72" s="2">
        <v>46188</v>
      </c>
      <c r="F72" s="2">
        <v>46188</v>
      </c>
      <c r="G72" t="s">
        <v>20</v>
      </c>
      <c r="H72" s="2">
        <v>46188</v>
      </c>
      <c r="I72" s="2">
        <v>46188</v>
      </c>
      <c r="J72" t="s">
        <v>20</v>
      </c>
      <c r="K72">
        <v>-88.91</v>
      </c>
      <c r="L72">
        <v>-88.91</v>
      </c>
      <c r="M72">
        <v>-88.91</v>
      </c>
      <c r="N72" t="s">
        <v>23</v>
      </c>
      <c r="O72" s="3" t="s">
        <v>1482</v>
      </c>
      <c r="P72" s="3" t="s">
        <v>1482</v>
      </c>
      <c r="Q72" s="3" t="s">
        <v>1482</v>
      </c>
      <c r="R72" s="3" t="s">
        <v>1482</v>
      </c>
      <c r="S72" s="3" t="s">
        <v>1482</v>
      </c>
      <c r="T72" s="3" t="s">
        <v>1482</v>
      </c>
    </row>
    <row r="73" spans="2:20">
      <c r="B73" t="s">
        <v>20</v>
      </c>
      <c r="C73" t="s">
        <v>21</v>
      </c>
      <c r="D73" t="s">
        <v>87</v>
      </c>
      <c r="E73" s="2">
        <v>46196</v>
      </c>
      <c r="F73" s="2">
        <v>46196</v>
      </c>
      <c r="G73" t="s">
        <v>20</v>
      </c>
      <c r="H73" s="2">
        <v>46196</v>
      </c>
      <c r="I73" s="2">
        <v>46196</v>
      </c>
      <c r="J73" t="s">
        <v>20</v>
      </c>
      <c r="K73">
        <v>-119.84</v>
      </c>
      <c r="L73">
        <v>-119.84</v>
      </c>
      <c r="M73">
        <v>-119.84</v>
      </c>
      <c r="N73" t="s">
        <v>23</v>
      </c>
      <c r="O73" s="3" t="s">
        <v>1482</v>
      </c>
      <c r="P73" s="3" t="s">
        <v>1482</v>
      </c>
      <c r="Q73" s="3" t="s">
        <v>1482</v>
      </c>
      <c r="R73" s="3" t="s">
        <v>1482</v>
      </c>
      <c r="S73" s="3" t="s">
        <v>1482</v>
      </c>
      <c r="T73" s="3" t="s">
        <v>1482</v>
      </c>
    </row>
    <row r="74" spans="2:20">
      <c r="B74" t="s">
        <v>20</v>
      </c>
      <c r="C74" t="s">
        <v>21</v>
      </c>
      <c r="D74" t="s">
        <v>88</v>
      </c>
      <c r="E74" s="2">
        <v>46196</v>
      </c>
      <c r="F74" s="2">
        <v>46196</v>
      </c>
      <c r="G74" t="s">
        <v>20</v>
      </c>
      <c r="H74" s="2">
        <v>46196</v>
      </c>
      <c r="I74" s="2">
        <v>46196</v>
      </c>
      <c r="J74" t="s">
        <v>20</v>
      </c>
      <c r="K74">
        <v>-99.39</v>
      </c>
      <c r="L74">
        <v>-99.39</v>
      </c>
      <c r="M74">
        <v>-99.39</v>
      </c>
      <c r="N74" t="s">
        <v>23</v>
      </c>
      <c r="O74" s="3" t="s">
        <v>1482</v>
      </c>
      <c r="P74" s="3" t="s">
        <v>1482</v>
      </c>
      <c r="Q74" s="3" t="s">
        <v>1482</v>
      </c>
      <c r="R74" s="3" t="s">
        <v>1482</v>
      </c>
      <c r="S74" s="3" t="s">
        <v>1482</v>
      </c>
      <c r="T74" s="3" t="s">
        <v>1482</v>
      </c>
    </row>
    <row r="75" spans="2:20">
      <c r="B75" t="s">
        <v>20</v>
      </c>
      <c r="C75" t="s">
        <v>21</v>
      </c>
      <c r="D75" t="s">
        <v>89</v>
      </c>
      <c r="E75" s="2">
        <v>46196</v>
      </c>
      <c r="F75" s="2">
        <v>46196</v>
      </c>
      <c r="G75" t="s">
        <v>20</v>
      </c>
      <c r="H75" s="2">
        <v>46196</v>
      </c>
      <c r="I75" s="2">
        <v>46196</v>
      </c>
      <c r="J75" t="s">
        <v>20</v>
      </c>
      <c r="K75">
        <v>-149.09</v>
      </c>
      <c r="L75">
        <v>-149.09</v>
      </c>
      <c r="M75">
        <v>-149.09</v>
      </c>
      <c r="N75" t="s">
        <v>23</v>
      </c>
      <c r="O75" s="3" t="s">
        <v>1482</v>
      </c>
      <c r="P75" s="3" t="s">
        <v>1482</v>
      </c>
      <c r="Q75" s="3" t="s">
        <v>1482</v>
      </c>
      <c r="R75" s="3" t="s">
        <v>1482</v>
      </c>
      <c r="S75" s="3" t="s">
        <v>1482</v>
      </c>
      <c r="T75" s="3" t="s">
        <v>1482</v>
      </c>
    </row>
    <row r="76" spans="2:20">
      <c r="B76" t="s">
        <v>20</v>
      </c>
      <c r="C76" t="s">
        <v>21</v>
      </c>
      <c r="D76" t="s">
        <v>90</v>
      </c>
      <c r="E76" s="2">
        <v>46188</v>
      </c>
      <c r="F76" s="2">
        <v>46188</v>
      </c>
      <c r="G76" t="s">
        <v>20</v>
      </c>
      <c r="H76" s="2">
        <v>46188</v>
      </c>
      <c r="I76" s="2">
        <v>46188</v>
      </c>
      <c r="J76" t="s">
        <v>20</v>
      </c>
      <c r="K76">
        <v>-148.19</v>
      </c>
      <c r="L76">
        <v>-148.19</v>
      </c>
      <c r="M76">
        <v>-148.19</v>
      </c>
      <c r="N76" t="s">
        <v>23</v>
      </c>
      <c r="O76" s="3" t="s">
        <v>1482</v>
      </c>
      <c r="P76" s="3" t="s">
        <v>1482</v>
      </c>
      <c r="Q76" s="3" t="s">
        <v>1482</v>
      </c>
      <c r="R76" s="3" t="s">
        <v>1482</v>
      </c>
      <c r="S76" s="3" t="s">
        <v>1482</v>
      </c>
      <c r="T76" s="3" t="s">
        <v>1482</v>
      </c>
    </row>
    <row r="77" spans="2:20">
      <c r="B77" t="s">
        <v>20</v>
      </c>
      <c r="C77" t="s">
        <v>21</v>
      </c>
      <c r="D77" t="s">
        <v>91</v>
      </c>
      <c r="E77" s="2">
        <v>46196</v>
      </c>
      <c r="F77" s="2">
        <v>46196</v>
      </c>
      <c r="G77" t="s">
        <v>20</v>
      </c>
      <c r="H77" s="2">
        <v>46196</v>
      </c>
      <c r="I77" s="2">
        <v>46196</v>
      </c>
      <c r="J77" t="s">
        <v>20</v>
      </c>
      <c r="K77">
        <v>-119.84</v>
      </c>
      <c r="L77">
        <v>-119.84</v>
      </c>
      <c r="M77">
        <v>-119.84</v>
      </c>
      <c r="N77" t="s">
        <v>23</v>
      </c>
      <c r="O77" s="3" t="s">
        <v>1482</v>
      </c>
      <c r="P77" s="3" t="s">
        <v>1482</v>
      </c>
      <c r="Q77" s="3" t="s">
        <v>1482</v>
      </c>
      <c r="R77" s="3" t="s">
        <v>1482</v>
      </c>
      <c r="S77" s="3" t="s">
        <v>1482</v>
      </c>
      <c r="T77" s="3" t="s">
        <v>1482</v>
      </c>
    </row>
    <row r="78" spans="2:20">
      <c r="B78" t="s">
        <v>20</v>
      </c>
      <c r="C78" t="s">
        <v>21</v>
      </c>
      <c r="D78" t="s">
        <v>92</v>
      </c>
      <c r="E78" s="2">
        <v>46196</v>
      </c>
      <c r="F78" s="2">
        <v>46196</v>
      </c>
      <c r="G78" t="s">
        <v>20</v>
      </c>
      <c r="H78" s="2">
        <v>46196</v>
      </c>
      <c r="I78" s="2">
        <v>46196</v>
      </c>
      <c r="J78" t="s">
        <v>20</v>
      </c>
      <c r="K78">
        <v>-71.900000000000006</v>
      </c>
      <c r="L78">
        <v>-71.900000000000006</v>
      </c>
      <c r="M78">
        <v>-71.900000000000006</v>
      </c>
      <c r="N78" t="s">
        <v>23</v>
      </c>
      <c r="O78" s="3" t="s">
        <v>1482</v>
      </c>
      <c r="P78" s="3" t="s">
        <v>1482</v>
      </c>
      <c r="Q78" s="3" t="s">
        <v>1482</v>
      </c>
      <c r="R78" s="3" t="s">
        <v>1482</v>
      </c>
      <c r="S78" s="3" t="s">
        <v>1482</v>
      </c>
      <c r="T78" s="3" t="s">
        <v>1482</v>
      </c>
    </row>
    <row r="79" spans="2:20">
      <c r="B79" t="s">
        <v>20</v>
      </c>
      <c r="C79" t="s">
        <v>21</v>
      </c>
      <c r="D79" t="s">
        <v>93</v>
      </c>
      <c r="E79" s="2">
        <v>46163</v>
      </c>
      <c r="F79" s="2">
        <v>46163</v>
      </c>
      <c r="G79" t="s">
        <v>20</v>
      </c>
      <c r="H79" s="2">
        <v>46163</v>
      </c>
      <c r="I79" s="2">
        <v>46163</v>
      </c>
      <c r="J79" t="s">
        <v>20</v>
      </c>
      <c r="K79">
        <v>-20.28</v>
      </c>
      <c r="L79">
        <v>-20.28</v>
      </c>
      <c r="M79">
        <v>-20.28</v>
      </c>
      <c r="N79" t="s">
        <v>23</v>
      </c>
      <c r="O79" s="3" t="s">
        <v>1482</v>
      </c>
      <c r="P79" s="3" t="s">
        <v>1482</v>
      </c>
      <c r="Q79" s="3" t="s">
        <v>1482</v>
      </c>
      <c r="R79" s="3" t="s">
        <v>1482</v>
      </c>
      <c r="S79" s="3" t="s">
        <v>1482</v>
      </c>
      <c r="T79" s="3" t="s">
        <v>1482</v>
      </c>
    </row>
    <row r="80" spans="2:20">
      <c r="B80" t="s">
        <v>20</v>
      </c>
      <c r="C80" t="s">
        <v>21</v>
      </c>
      <c r="D80" t="s">
        <v>94</v>
      </c>
      <c r="E80" s="2">
        <v>46196</v>
      </c>
      <c r="F80" s="2">
        <v>46196</v>
      </c>
      <c r="G80" t="s">
        <v>20</v>
      </c>
      <c r="H80" s="2">
        <v>46196</v>
      </c>
      <c r="I80" s="2">
        <v>46196</v>
      </c>
      <c r="J80" t="s">
        <v>20</v>
      </c>
      <c r="K80">
        <v>-119.84</v>
      </c>
      <c r="L80">
        <v>-119.84</v>
      </c>
      <c r="M80">
        <v>-119.84</v>
      </c>
      <c r="N80" t="s">
        <v>23</v>
      </c>
      <c r="O80" s="3" t="s">
        <v>1482</v>
      </c>
      <c r="P80" s="3" t="s">
        <v>1482</v>
      </c>
      <c r="Q80" s="3" t="s">
        <v>1482</v>
      </c>
      <c r="R80" s="3" t="s">
        <v>1482</v>
      </c>
      <c r="S80" s="3" t="s">
        <v>1482</v>
      </c>
      <c r="T80" s="3" t="s">
        <v>1482</v>
      </c>
    </row>
    <row r="81" spans="2:20">
      <c r="B81" t="s">
        <v>20</v>
      </c>
      <c r="C81" t="s">
        <v>21</v>
      </c>
      <c r="D81" t="s">
        <v>95</v>
      </c>
      <c r="E81" s="2">
        <v>46196</v>
      </c>
      <c r="F81" s="2">
        <v>46196</v>
      </c>
      <c r="G81" t="s">
        <v>20</v>
      </c>
      <c r="H81" s="2">
        <v>46196</v>
      </c>
      <c r="I81" s="2">
        <v>46196</v>
      </c>
      <c r="J81" t="s">
        <v>20</v>
      </c>
      <c r="K81">
        <v>-39.25</v>
      </c>
      <c r="L81">
        <v>-39.25</v>
      </c>
      <c r="M81">
        <v>-39.25</v>
      </c>
      <c r="N81" t="s">
        <v>23</v>
      </c>
      <c r="O81" s="3" t="s">
        <v>1482</v>
      </c>
      <c r="P81" s="3" t="s">
        <v>1482</v>
      </c>
      <c r="Q81" s="3" t="s">
        <v>1482</v>
      </c>
      <c r="R81" s="3" t="s">
        <v>1482</v>
      </c>
      <c r="S81" s="3" t="s">
        <v>1482</v>
      </c>
      <c r="T81" s="3" t="s">
        <v>1482</v>
      </c>
    </row>
    <row r="82" spans="2:20">
      <c r="B82" t="s">
        <v>20</v>
      </c>
      <c r="C82" t="s">
        <v>21</v>
      </c>
      <c r="D82" t="s">
        <v>96</v>
      </c>
      <c r="E82" s="2">
        <v>46196</v>
      </c>
      <c r="F82" s="2">
        <v>46196</v>
      </c>
      <c r="G82" t="s">
        <v>20</v>
      </c>
      <c r="H82" s="2">
        <v>46196</v>
      </c>
      <c r="I82" s="2">
        <v>46196</v>
      </c>
      <c r="J82" t="s">
        <v>20</v>
      </c>
      <c r="K82">
        <v>-4.0599999999999996</v>
      </c>
      <c r="L82">
        <v>-4.0599999999999996</v>
      </c>
      <c r="M82">
        <v>-4.0599999999999996</v>
      </c>
      <c r="N82" t="s">
        <v>23</v>
      </c>
      <c r="O82" s="3" t="s">
        <v>1482</v>
      </c>
      <c r="P82" s="3" t="s">
        <v>1482</v>
      </c>
      <c r="Q82" s="3" t="s">
        <v>1482</v>
      </c>
      <c r="R82" s="3" t="s">
        <v>1482</v>
      </c>
      <c r="S82" s="3" t="s">
        <v>1482</v>
      </c>
      <c r="T82" s="3" t="s">
        <v>1482</v>
      </c>
    </row>
    <row r="83" spans="2:20">
      <c r="B83" t="s">
        <v>20</v>
      </c>
      <c r="C83" t="s">
        <v>21</v>
      </c>
      <c r="D83" t="s">
        <v>97</v>
      </c>
      <c r="E83" s="2">
        <v>46196</v>
      </c>
      <c r="F83" s="2">
        <v>46196</v>
      </c>
      <c r="G83" t="s">
        <v>20</v>
      </c>
      <c r="H83" s="2">
        <v>46196</v>
      </c>
      <c r="I83" s="2">
        <v>46196</v>
      </c>
      <c r="J83" t="s">
        <v>20</v>
      </c>
      <c r="K83">
        <v>-66.91</v>
      </c>
      <c r="L83">
        <v>-66.91</v>
      </c>
      <c r="M83">
        <v>-66.91</v>
      </c>
      <c r="N83" t="s">
        <v>23</v>
      </c>
      <c r="O83" s="3" t="s">
        <v>1482</v>
      </c>
      <c r="P83" s="3" t="s">
        <v>1482</v>
      </c>
      <c r="Q83" s="3" t="s">
        <v>1482</v>
      </c>
      <c r="R83" s="3" t="s">
        <v>1482</v>
      </c>
      <c r="S83" s="3" t="s">
        <v>1482</v>
      </c>
      <c r="T83" s="3" t="s">
        <v>1482</v>
      </c>
    </row>
    <row r="84" spans="2:20">
      <c r="B84" t="s">
        <v>20</v>
      </c>
      <c r="C84" t="s">
        <v>21</v>
      </c>
      <c r="D84" t="s">
        <v>98</v>
      </c>
      <c r="E84" s="2">
        <v>46196</v>
      </c>
      <c r="F84" s="2">
        <v>46196</v>
      </c>
      <c r="G84" t="s">
        <v>20</v>
      </c>
      <c r="H84" s="2">
        <v>46196</v>
      </c>
      <c r="I84" s="2">
        <v>46196</v>
      </c>
      <c r="J84" t="s">
        <v>20</v>
      </c>
      <c r="K84">
        <v>-132.52000000000001</v>
      </c>
      <c r="L84">
        <v>-132.52000000000001</v>
      </c>
      <c r="M84">
        <v>-132.52000000000001</v>
      </c>
      <c r="N84" t="s">
        <v>23</v>
      </c>
      <c r="O84" s="3" t="s">
        <v>1482</v>
      </c>
      <c r="P84" s="3" t="s">
        <v>1482</v>
      </c>
      <c r="Q84" s="3" t="s">
        <v>1482</v>
      </c>
      <c r="R84" s="3" t="s">
        <v>1482</v>
      </c>
      <c r="S84" s="3" t="s">
        <v>1482</v>
      </c>
      <c r="T84" s="3" t="s">
        <v>1482</v>
      </c>
    </row>
    <row r="85" spans="2:20">
      <c r="B85" t="s">
        <v>20</v>
      </c>
      <c r="C85" t="s">
        <v>21</v>
      </c>
      <c r="D85" t="s">
        <v>99</v>
      </c>
      <c r="E85" s="2">
        <v>46196</v>
      </c>
      <c r="F85" s="2">
        <v>46196</v>
      </c>
      <c r="G85" t="s">
        <v>20</v>
      </c>
      <c r="H85" s="2">
        <v>46196</v>
      </c>
      <c r="I85" s="2">
        <v>46196</v>
      </c>
      <c r="J85" t="s">
        <v>20</v>
      </c>
      <c r="K85">
        <v>-30.03</v>
      </c>
      <c r="L85">
        <v>-30.03</v>
      </c>
      <c r="M85">
        <v>-30.03</v>
      </c>
      <c r="N85" t="s">
        <v>23</v>
      </c>
      <c r="O85" s="3" t="s">
        <v>1482</v>
      </c>
      <c r="P85" s="3" t="s">
        <v>1482</v>
      </c>
      <c r="Q85" s="3" t="s">
        <v>1482</v>
      </c>
      <c r="R85" s="3" t="s">
        <v>1482</v>
      </c>
      <c r="S85" s="3" t="s">
        <v>1482</v>
      </c>
      <c r="T85" s="3" t="s">
        <v>1482</v>
      </c>
    </row>
    <row r="86" spans="2:20">
      <c r="B86" t="s">
        <v>20</v>
      </c>
      <c r="C86" t="s">
        <v>21</v>
      </c>
      <c r="D86" t="s">
        <v>100</v>
      </c>
      <c r="E86" s="2">
        <v>46196</v>
      </c>
      <c r="F86" s="2">
        <v>46196</v>
      </c>
      <c r="G86" t="s">
        <v>20</v>
      </c>
      <c r="H86" s="2">
        <v>46196</v>
      </c>
      <c r="I86" s="2">
        <v>46196</v>
      </c>
      <c r="J86" t="s">
        <v>20</v>
      </c>
      <c r="K86">
        <v>-32.369999999999997</v>
      </c>
      <c r="L86">
        <v>-32.369999999999997</v>
      </c>
      <c r="M86">
        <v>-32.369999999999997</v>
      </c>
      <c r="N86" t="s">
        <v>23</v>
      </c>
      <c r="O86" s="3" t="s">
        <v>1482</v>
      </c>
      <c r="P86" s="3" t="s">
        <v>1482</v>
      </c>
      <c r="Q86" s="3" t="s">
        <v>1482</v>
      </c>
      <c r="R86" s="3" t="s">
        <v>1482</v>
      </c>
      <c r="S86" s="3" t="s">
        <v>1482</v>
      </c>
      <c r="T86" s="3" t="s">
        <v>1482</v>
      </c>
    </row>
    <row r="87" spans="2:20">
      <c r="B87" t="s">
        <v>20</v>
      </c>
      <c r="C87" t="s">
        <v>21</v>
      </c>
      <c r="D87" t="s">
        <v>101</v>
      </c>
      <c r="E87" s="2">
        <v>46196</v>
      </c>
      <c r="F87" s="2">
        <v>46196</v>
      </c>
      <c r="G87" t="s">
        <v>20</v>
      </c>
      <c r="H87" s="2">
        <v>46196</v>
      </c>
      <c r="I87" s="2">
        <v>46196</v>
      </c>
      <c r="J87" t="s">
        <v>20</v>
      </c>
      <c r="K87">
        <v>-66.260000000000005</v>
      </c>
      <c r="L87">
        <v>-66.260000000000005</v>
      </c>
      <c r="M87">
        <v>-66.260000000000005</v>
      </c>
      <c r="N87" t="s">
        <v>23</v>
      </c>
      <c r="O87" s="3" t="s">
        <v>1482</v>
      </c>
      <c r="P87" s="3" t="s">
        <v>1482</v>
      </c>
      <c r="Q87" s="3" t="s">
        <v>1482</v>
      </c>
      <c r="R87" s="3" t="s">
        <v>1482</v>
      </c>
      <c r="S87" s="3" t="s">
        <v>1482</v>
      </c>
      <c r="T87" s="3" t="s">
        <v>1482</v>
      </c>
    </row>
    <row r="88" spans="2:20">
      <c r="B88" t="s">
        <v>20</v>
      </c>
      <c r="C88" t="s">
        <v>21</v>
      </c>
      <c r="D88" t="s">
        <v>102</v>
      </c>
      <c r="E88" s="2">
        <v>46195</v>
      </c>
      <c r="F88" s="2">
        <v>46195</v>
      </c>
      <c r="G88" t="s">
        <v>20</v>
      </c>
      <c r="H88" s="2">
        <v>46195</v>
      </c>
      <c r="I88" s="2">
        <v>46195</v>
      </c>
      <c r="J88" t="s">
        <v>20</v>
      </c>
      <c r="K88">
        <v>-141.68</v>
      </c>
      <c r="L88">
        <v>-141.68</v>
      </c>
      <c r="M88">
        <v>-141.68</v>
      </c>
      <c r="N88" t="s">
        <v>23</v>
      </c>
      <c r="O88" s="3" t="s">
        <v>1482</v>
      </c>
      <c r="P88" s="3" t="s">
        <v>1482</v>
      </c>
      <c r="Q88" s="3" t="s">
        <v>1482</v>
      </c>
      <c r="R88" s="3" t="s">
        <v>1482</v>
      </c>
      <c r="S88" s="3" t="s">
        <v>1482</v>
      </c>
      <c r="T88" s="3" t="s">
        <v>1482</v>
      </c>
    </row>
    <row r="89" spans="2:20">
      <c r="B89" t="s">
        <v>20</v>
      </c>
      <c r="C89" t="s">
        <v>21</v>
      </c>
      <c r="D89" t="s">
        <v>103</v>
      </c>
      <c r="E89" s="2">
        <v>46163</v>
      </c>
      <c r="F89" s="2">
        <v>46163</v>
      </c>
      <c r="G89" t="s">
        <v>20</v>
      </c>
      <c r="H89" s="2">
        <v>46163</v>
      </c>
      <c r="I89" s="2">
        <v>46163</v>
      </c>
      <c r="J89" t="s">
        <v>20</v>
      </c>
      <c r="K89">
        <v>-70.16</v>
      </c>
      <c r="L89">
        <v>-70.16</v>
      </c>
      <c r="M89">
        <v>-70.16</v>
      </c>
      <c r="N89" t="s">
        <v>23</v>
      </c>
      <c r="O89" s="3" t="s">
        <v>1482</v>
      </c>
      <c r="P89" s="3" t="s">
        <v>1482</v>
      </c>
      <c r="Q89" s="3" t="s">
        <v>1482</v>
      </c>
      <c r="R89" s="3" t="s">
        <v>1482</v>
      </c>
      <c r="S89" s="3" t="s">
        <v>1482</v>
      </c>
      <c r="T89" s="3" t="s">
        <v>1482</v>
      </c>
    </row>
    <row r="90" spans="2:20">
      <c r="B90" t="s">
        <v>20</v>
      </c>
      <c r="C90" t="s">
        <v>21</v>
      </c>
      <c r="D90" t="s">
        <v>104</v>
      </c>
      <c r="E90" s="2">
        <v>46196</v>
      </c>
      <c r="F90" s="2">
        <v>46196</v>
      </c>
      <c r="G90" t="s">
        <v>20</v>
      </c>
      <c r="H90" s="2">
        <v>46196</v>
      </c>
      <c r="I90" s="2">
        <v>46196</v>
      </c>
      <c r="J90" t="s">
        <v>20</v>
      </c>
      <c r="K90">
        <v>-33.130000000000003</v>
      </c>
      <c r="L90">
        <v>-33.130000000000003</v>
      </c>
      <c r="M90">
        <v>-33.130000000000003</v>
      </c>
      <c r="N90" t="s">
        <v>23</v>
      </c>
      <c r="O90" s="3" t="s">
        <v>1482</v>
      </c>
      <c r="P90" s="3" t="s">
        <v>1482</v>
      </c>
      <c r="Q90" s="3" t="s">
        <v>1482</v>
      </c>
      <c r="R90" s="3" t="s">
        <v>1482</v>
      </c>
      <c r="S90" s="3" t="s">
        <v>1482</v>
      </c>
      <c r="T90" s="3" t="s">
        <v>1482</v>
      </c>
    </row>
    <row r="91" spans="2:20">
      <c r="B91" t="s">
        <v>20</v>
      </c>
      <c r="C91" t="s">
        <v>21</v>
      </c>
      <c r="D91" t="s">
        <v>105</v>
      </c>
      <c r="E91" s="2">
        <v>46163</v>
      </c>
      <c r="F91" s="2">
        <v>46163</v>
      </c>
      <c r="G91" t="s">
        <v>20</v>
      </c>
      <c r="H91" s="2">
        <v>46163</v>
      </c>
      <c r="I91" s="2">
        <v>46163</v>
      </c>
      <c r="J91" t="s">
        <v>20</v>
      </c>
      <c r="K91">
        <v>-163.72999999999999</v>
      </c>
      <c r="L91">
        <v>-163.72999999999999</v>
      </c>
      <c r="M91">
        <v>-163.72999999999999</v>
      </c>
      <c r="N91" t="s">
        <v>23</v>
      </c>
      <c r="O91" s="3" t="s">
        <v>1482</v>
      </c>
      <c r="P91" s="3" t="s">
        <v>1482</v>
      </c>
      <c r="Q91" s="3" t="s">
        <v>1482</v>
      </c>
      <c r="R91" s="3" t="s">
        <v>1482</v>
      </c>
      <c r="S91" s="3" t="s">
        <v>1482</v>
      </c>
      <c r="T91" s="3" t="s">
        <v>1482</v>
      </c>
    </row>
    <row r="92" spans="2:20">
      <c r="B92" t="s">
        <v>20</v>
      </c>
      <c r="C92" t="s">
        <v>21</v>
      </c>
      <c r="D92" t="s">
        <v>106</v>
      </c>
      <c r="E92" s="2">
        <v>46163</v>
      </c>
      <c r="F92" s="2">
        <v>46163</v>
      </c>
      <c r="G92" t="s">
        <v>20</v>
      </c>
      <c r="H92" s="2">
        <v>46163</v>
      </c>
      <c r="I92" s="2">
        <v>46163</v>
      </c>
      <c r="J92" t="s">
        <v>20</v>
      </c>
      <c r="K92">
        <v>-210.47</v>
      </c>
      <c r="L92">
        <v>-210.47</v>
      </c>
      <c r="M92">
        <v>-210.47</v>
      </c>
      <c r="N92" t="s">
        <v>23</v>
      </c>
      <c r="O92" s="3" t="s">
        <v>1482</v>
      </c>
      <c r="P92" s="3" t="s">
        <v>1482</v>
      </c>
      <c r="Q92" s="3" t="s">
        <v>1482</v>
      </c>
      <c r="R92" s="3" t="s">
        <v>1482</v>
      </c>
      <c r="S92" s="3" t="s">
        <v>1482</v>
      </c>
      <c r="T92" s="3" t="s">
        <v>1482</v>
      </c>
    </row>
    <row r="93" spans="2:20">
      <c r="B93" t="s">
        <v>20</v>
      </c>
      <c r="C93" t="s">
        <v>21</v>
      </c>
      <c r="D93" t="s">
        <v>107</v>
      </c>
      <c r="E93" s="2">
        <v>46196</v>
      </c>
      <c r="F93" s="2">
        <v>46196</v>
      </c>
      <c r="G93" t="s">
        <v>20</v>
      </c>
      <c r="H93" s="2">
        <v>46196</v>
      </c>
      <c r="I93" s="2">
        <v>46196</v>
      </c>
      <c r="J93" t="s">
        <v>20</v>
      </c>
      <c r="K93">
        <v>-33.130000000000003</v>
      </c>
      <c r="L93">
        <v>-33.130000000000003</v>
      </c>
      <c r="M93">
        <v>-33.130000000000003</v>
      </c>
      <c r="N93" t="s">
        <v>23</v>
      </c>
      <c r="O93" s="3" t="s">
        <v>1482</v>
      </c>
      <c r="P93" s="3" t="s">
        <v>1482</v>
      </c>
      <c r="Q93" s="3" t="s">
        <v>1482</v>
      </c>
      <c r="R93" s="3" t="s">
        <v>1482</v>
      </c>
      <c r="S93" s="3" t="s">
        <v>1482</v>
      </c>
      <c r="T93" s="3" t="s">
        <v>1482</v>
      </c>
    </row>
    <row r="94" spans="2:20">
      <c r="B94" t="s">
        <v>20</v>
      </c>
      <c r="C94" t="s">
        <v>21</v>
      </c>
      <c r="D94" t="s">
        <v>108</v>
      </c>
      <c r="E94" s="2">
        <v>46196</v>
      </c>
      <c r="F94" s="2">
        <v>46196</v>
      </c>
      <c r="G94" t="s">
        <v>20</v>
      </c>
      <c r="H94" s="2">
        <v>46196</v>
      </c>
      <c r="I94" s="2">
        <v>46196</v>
      </c>
      <c r="J94" t="s">
        <v>20</v>
      </c>
      <c r="K94">
        <v>-66.91</v>
      </c>
      <c r="L94">
        <v>-66.91</v>
      </c>
      <c r="M94">
        <v>-66.91</v>
      </c>
      <c r="N94" t="s">
        <v>23</v>
      </c>
      <c r="O94" s="3" t="s">
        <v>1482</v>
      </c>
      <c r="P94" s="3" t="s">
        <v>1482</v>
      </c>
      <c r="Q94" s="3" t="s">
        <v>1482</v>
      </c>
      <c r="R94" s="3" t="s">
        <v>1482</v>
      </c>
      <c r="S94" s="3" t="s">
        <v>1482</v>
      </c>
      <c r="T94" s="3" t="s">
        <v>1482</v>
      </c>
    </row>
    <row r="95" spans="2:20">
      <c r="B95" t="s">
        <v>20</v>
      </c>
      <c r="C95" t="s">
        <v>21</v>
      </c>
      <c r="D95" t="s">
        <v>109</v>
      </c>
      <c r="E95" s="2">
        <v>46163</v>
      </c>
      <c r="F95" s="2">
        <v>46163</v>
      </c>
      <c r="G95" t="s">
        <v>20</v>
      </c>
      <c r="H95" s="2">
        <v>46163</v>
      </c>
      <c r="I95" s="2">
        <v>46163</v>
      </c>
      <c r="J95" t="s">
        <v>20</v>
      </c>
      <c r="K95">
        <v>-157.85</v>
      </c>
      <c r="L95">
        <v>-157.85</v>
      </c>
      <c r="M95">
        <v>-157.85</v>
      </c>
      <c r="N95" t="s">
        <v>23</v>
      </c>
      <c r="O95" s="3" t="s">
        <v>1482</v>
      </c>
      <c r="P95" s="3" t="s">
        <v>1482</v>
      </c>
      <c r="Q95" s="3" t="s">
        <v>1482</v>
      </c>
      <c r="R95" s="3" t="s">
        <v>1482</v>
      </c>
      <c r="S95" s="3" t="s">
        <v>1482</v>
      </c>
      <c r="T95" s="3" t="s">
        <v>1482</v>
      </c>
    </row>
    <row r="96" spans="2:20">
      <c r="B96" t="s">
        <v>20</v>
      </c>
      <c r="C96" t="s">
        <v>21</v>
      </c>
      <c r="D96" t="s">
        <v>110</v>
      </c>
      <c r="E96" s="2">
        <v>46196</v>
      </c>
      <c r="F96" s="2">
        <v>46196</v>
      </c>
      <c r="G96" t="s">
        <v>20</v>
      </c>
      <c r="H96" s="2">
        <v>46196</v>
      </c>
      <c r="I96" s="2">
        <v>46196</v>
      </c>
      <c r="J96" t="s">
        <v>20</v>
      </c>
      <c r="K96">
        <v>-16.73</v>
      </c>
      <c r="L96">
        <v>-16.73</v>
      </c>
      <c r="M96">
        <v>-16.73</v>
      </c>
      <c r="N96" t="s">
        <v>23</v>
      </c>
      <c r="O96" s="3" t="s">
        <v>1482</v>
      </c>
      <c r="P96" s="3" t="s">
        <v>1482</v>
      </c>
      <c r="Q96" s="3" t="s">
        <v>1482</v>
      </c>
      <c r="R96" s="3" t="s">
        <v>1482</v>
      </c>
      <c r="S96" s="3" t="s">
        <v>1482</v>
      </c>
      <c r="T96" s="3" t="s">
        <v>1482</v>
      </c>
    </row>
    <row r="97" spans="2:20">
      <c r="B97" t="s">
        <v>20</v>
      </c>
      <c r="C97" t="s">
        <v>21</v>
      </c>
      <c r="D97" t="s">
        <v>111</v>
      </c>
      <c r="E97" s="2">
        <v>46196</v>
      </c>
      <c r="F97" s="2">
        <v>46196</v>
      </c>
      <c r="G97" t="s">
        <v>20</v>
      </c>
      <c r="H97" s="2">
        <v>46196</v>
      </c>
      <c r="I97" s="2">
        <v>46196</v>
      </c>
      <c r="J97" t="s">
        <v>20</v>
      </c>
      <c r="K97">
        <v>-33.130000000000003</v>
      </c>
      <c r="L97">
        <v>-33.130000000000003</v>
      </c>
      <c r="M97">
        <v>-33.130000000000003</v>
      </c>
      <c r="N97" t="s">
        <v>23</v>
      </c>
      <c r="O97" s="3" t="s">
        <v>1482</v>
      </c>
      <c r="P97" s="3" t="s">
        <v>1482</v>
      </c>
      <c r="Q97" s="3" t="s">
        <v>1482</v>
      </c>
      <c r="R97" s="3" t="s">
        <v>1482</v>
      </c>
      <c r="S97" s="3" t="s">
        <v>1482</v>
      </c>
      <c r="T97" s="3" t="s">
        <v>1482</v>
      </c>
    </row>
    <row r="98" spans="2:20">
      <c r="B98" t="s">
        <v>20</v>
      </c>
      <c r="C98" t="s">
        <v>21</v>
      </c>
      <c r="D98" t="s">
        <v>112</v>
      </c>
      <c r="E98" s="2">
        <v>46196</v>
      </c>
      <c r="F98" s="2">
        <v>46196</v>
      </c>
      <c r="G98" t="s">
        <v>20</v>
      </c>
      <c r="H98" s="2">
        <v>46196</v>
      </c>
      <c r="I98" s="2">
        <v>46196</v>
      </c>
      <c r="J98" t="s">
        <v>20</v>
      </c>
      <c r="K98">
        <v>-45.16</v>
      </c>
      <c r="L98">
        <v>-45.16</v>
      </c>
      <c r="M98">
        <v>-45.16</v>
      </c>
      <c r="N98" t="s">
        <v>23</v>
      </c>
      <c r="O98" s="3" t="s">
        <v>1482</v>
      </c>
      <c r="P98" s="3" t="s">
        <v>1482</v>
      </c>
      <c r="Q98" s="3" t="s">
        <v>1482</v>
      </c>
      <c r="R98" s="3" t="s">
        <v>1482</v>
      </c>
      <c r="S98" s="3" t="s">
        <v>1482</v>
      </c>
      <c r="T98" s="3" t="s">
        <v>1482</v>
      </c>
    </row>
    <row r="99" spans="2:20">
      <c r="B99" t="s">
        <v>20</v>
      </c>
      <c r="C99" t="s">
        <v>21</v>
      </c>
      <c r="D99" t="s">
        <v>113</v>
      </c>
      <c r="E99" s="2">
        <v>46163</v>
      </c>
      <c r="F99" s="2">
        <v>46163</v>
      </c>
      <c r="G99" t="s">
        <v>20</v>
      </c>
      <c r="H99" s="2">
        <v>46163</v>
      </c>
      <c r="I99" s="2">
        <v>46163</v>
      </c>
      <c r="J99" t="s">
        <v>20</v>
      </c>
      <c r="K99">
        <v>-39.44</v>
      </c>
      <c r="L99">
        <v>-39.44</v>
      </c>
      <c r="M99">
        <v>-39.44</v>
      </c>
      <c r="N99" t="s">
        <v>23</v>
      </c>
      <c r="O99" s="3" t="s">
        <v>1482</v>
      </c>
      <c r="P99" s="3" t="s">
        <v>1482</v>
      </c>
      <c r="Q99" s="3" t="s">
        <v>1482</v>
      </c>
      <c r="R99" s="3" t="s">
        <v>1482</v>
      </c>
      <c r="S99" s="3" t="s">
        <v>1482</v>
      </c>
      <c r="T99" s="3" t="s">
        <v>1482</v>
      </c>
    </row>
    <row r="100" spans="2:20">
      <c r="B100" t="s">
        <v>20</v>
      </c>
      <c r="C100" t="s">
        <v>21</v>
      </c>
      <c r="D100" t="s">
        <v>114</v>
      </c>
      <c r="E100" s="2">
        <v>46188</v>
      </c>
      <c r="F100" s="2">
        <v>46188</v>
      </c>
      <c r="G100" t="s">
        <v>20</v>
      </c>
      <c r="H100" s="2">
        <v>46188</v>
      </c>
      <c r="I100" s="2">
        <v>46188</v>
      </c>
      <c r="J100" t="s">
        <v>20</v>
      </c>
      <c r="K100">
        <v>-40.93</v>
      </c>
      <c r="L100">
        <v>-40.93</v>
      </c>
      <c r="M100">
        <v>-40.93</v>
      </c>
      <c r="N100" t="s">
        <v>23</v>
      </c>
      <c r="O100" s="3" t="s">
        <v>1482</v>
      </c>
      <c r="P100" s="3" t="s">
        <v>1482</v>
      </c>
      <c r="Q100" s="3" t="s">
        <v>1482</v>
      </c>
      <c r="R100" s="3" t="s">
        <v>1482</v>
      </c>
      <c r="S100" s="3" t="s">
        <v>1482</v>
      </c>
      <c r="T100" s="3" t="s">
        <v>1482</v>
      </c>
    </row>
    <row r="101" spans="2:20">
      <c r="B101" t="s">
        <v>20</v>
      </c>
      <c r="C101" t="s">
        <v>21</v>
      </c>
      <c r="D101" t="s">
        <v>115</v>
      </c>
      <c r="E101" s="2">
        <v>46163</v>
      </c>
      <c r="F101" s="2">
        <v>46163</v>
      </c>
      <c r="G101" t="s">
        <v>20</v>
      </c>
      <c r="H101" s="2">
        <v>46163</v>
      </c>
      <c r="I101" s="2">
        <v>46163</v>
      </c>
      <c r="J101" t="s">
        <v>20</v>
      </c>
      <c r="K101">
        <v>-204.66</v>
      </c>
      <c r="L101">
        <v>-204.66</v>
      </c>
      <c r="M101">
        <v>-204.66</v>
      </c>
      <c r="N101" t="s">
        <v>23</v>
      </c>
      <c r="O101" s="3" t="s">
        <v>1482</v>
      </c>
      <c r="P101" s="3" t="s">
        <v>1482</v>
      </c>
      <c r="Q101" s="3" t="s">
        <v>1482</v>
      </c>
      <c r="R101" s="3" t="s">
        <v>1482</v>
      </c>
      <c r="S101" s="3" t="s">
        <v>1482</v>
      </c>
      <c r="T101" s="3" t="s">
        <v>1482</v>
      </c>
    </row>
    <row r="102" spans="2:20">
      <c r="B102" t="s">
        <v>20</v>
      </c>
      <c r="C102" t="s">
        <v>21</v>
      </c>
      <c r="D102" t="s">
        <v>116</v>
      </c>
      <c r="E102" s="2">
        <v>46163</v>
      </c>
      <c r="F102" s="2">
        <v>46163</v>
      </c>
      <c r="G102" t="s">
        <v>20</v>
      </c>
      <c r="H102" s="2">
        <v>46163</v>
      </c>
      <c r="I102" s="2">
        <v>46163</v>
      </c>
      <c r="J102" t="s">
        <v>20</v>
      </c>
      <c r="K102">
        <v>-13.49</v>
      </c>
      <c r="L102">
        <v>-13.49</v>
      </c>
      <c r="M102">
        <v>-13.49</v>
      </c>
      <c r="N102" t="s">
        <v>23</v>
      </c>
      <c r="O102" s="3" t="s">
        <v>1482</v>
      </c>
      <c r="P102" s="3" t="s">
        <v>1482</v>
      </c>
      <c r="Q102" s="3" t="s">
        <v>1482</v>
      </c>
      <c r="R102" s="3" t="s">
        <v>1482</v>
      </c>
      <c r="S102" s="3" t="s">
        <v>1482</v>
      </c>
      <c r="T102" s="3" t="s">
        <v>1482</v>
      </c>
    </row>
    <row r="103" spans="2:20">
      <c r="B103" t="s">
        <v>20</v>
      </c>
      <c r="C103" t="s">
        <v>21</v>
      </c>
      <c r="D103" t="s">
        <v>117</v>
      </c>
      <c r="E103" s="2">
        <v>46196</v>
      </c>
      <c r="F103" s="2">
        <v>46196</v>
      </c>
      <c r="G103" t="s">
        <v>20</v>
      </c>
      <c r="H103" s="2">
        <v>46196</v>
      </c>
      <c r="I103" s="2">
        <v>46196</v>
      </c>
      <c r="J103" t="s">
        <v>20</v>
      </c>
      <c r="K103">
        <v>-69.650000000000006</v>
      </c>
      <c r="L103">
        <v>-69.650000000000006</v>
      </c>
      <c r="M103">
        <v>-69.650000000000006</v>
      </c>
      <c r="N103" t="s">
        <v>23</v>
      </c>
      <c r="O103" s="3" t="s">
        <v>1482</v>
      </c>
      <c r="P103" s="3" t="s">
        <v>1482</v>
      </c>
      <c r="Q103" s="3" t="s">
        <v>1482</v>
      </c>
      <c r="R103" s="3" t="s">
        <v>1482</v>
      </c>
      <c r="S103" s="3" t="s">
        <v>1482</v>
      </c>
      <c r="T103" s="3" t="s">
        <v>1482</v>
      </c>
    </row>
    <row r="104" spans="2:20">
      <c r="B104" t="s">
        <v>20</v>
      </c>
      <c r="C104" t="s">
        <v>21</v>
      </c>
      <c r="D104" t="s">
        <v>118</v>
      </c>
      <c r="E104" s="2">
        <v>46196</v>
      </c>
      <c r="F104" s="2">
        <v>46196</v>
      </c>
      <c r="G104" t="s">
        <v>20</v>
      </c>
      <c r="H104" s="2">
        <v>46196</v>
      </c>
      <c r="I104" s="2">
        <v>46196</v>
      </c>
      <c r="J104" t="s">
        <v>20</v>
      </c>
      <c r="K104">
        <v>-9.9499999999999993</v>
      </c>
      <c r="L104">
        <v>-9.9499999999999993</v>
      </c>
      <c r="M104">
        <v>-9.9499999999999993</v>
      </c>
      <c r="N104" t="s">
        <v>23</v>
      </c>
      <c r="O104" s="3" t="s">
        <v>1482</v>
      </c>
      <c r="P104" s="3" t="s">
        <v>1482</v>
      </c>
      <c r="Q104" s="3" t="s">
        <v>1482</v>
      </c>
      <c r="R104" s="3" t="s">
        <v>1482</v>
      </c>
      <c r="S104" s="3" t="s">
        <v>1482</v>
      </c>
      <c r="T104" s="3" t="s">
        <v>1482</v>
      </c>
    </row>
    <row r="105" spans="2:20">
      <c r="B105" t="s">
        <v>20</v>
      </c>
      <c r="C105" t="s">
        <v>21</v>
      </c>
      <c r="D105" t="s">
        <v>119</v>
      </c>
      <c r="E105" s="2">
        <v>46196</v>
      </c>
      <c r="F105" s="2">
        <v>46196</v>
      </c>
      <c r="G105" t="s">
        <v>20</v>
      </c>
      <c r="H105" s="2">
        <v>46196</v>
      </c>
      <c r="I105" s="2">
        <v>46196</v>
      </c>
      <c r="J105" t="s">
        <v>20</v>
      </c>
      <c r="K105">
        <v>-131.29</v>
      </c>
      <c r="L105">
        <v>-131.29</v>
      </c>
      <c r="M105">
        <v>-131.29</v>
      </c>
      <c r="N105" t="s">
        <v>23</v>
      </c>
      <c r="O105" s="3" t="s">
        <v>1482</v>
      </c>
      <c r="P105" s="3" t="s">
        <v>1482</v>
      </c>
      <c r="Q105" s="3" t="s">
        <v>1482</v>
      </c>
      <c r="R105" s="3" t="s">
        <v>1482</v>
      </c>
      <c r="S105" s="3" t="s">
        <v>1482</v>
      </c>
      <c r="T105" s="3" t="s">
        <v>1482</v>
      </c>
    </row>
    <row r="106" spans="2:20">
      <c r="B106" t="s">
        <v>20</v>
      </c>
      <c r="C106" t="s">
        <v>21</v>
      </c>
      <c r="D106" t="s">
        <v>120</v>
      </c>
      <c r="E106" s="2">
        <v>46163</v>
      </c>
      <c r="F106" s="2">
        <v>46163</v>
      </c>
      <c r="G106" t="s">
        <v>20</v>
      </c>
      <c r="H106" s="2">
        <v>46163</v>
      </c>
      <c r="I106" s="2">
        <v>46163</v>
      </c>
      <c r="J106" t="s">
        <v>20</v>
      </c>
      <c r="K106">
        <v>-55.6</v>
      </c>
      <c r="L106">
        <v>-55.6</v>
      </c>
      <c r="M106">
        <v>-55.6</v>
      </c>
      <c r="N106" t="s">
        <v>23</v>
      </c>
      <c r="O106" s="3" t="s">
        <v>1482</v>
      </c>
      <c r="P106" s="3" t="s">
        <v>1482</v>
      </c>
      <c r="Q106" s="3" t="s">
        <v>1482</v>
      </c>
      <c r="R106" s="3" t="s">
        <v>1482</v>
      </c>
      <c r="S106" s="3" t="s">
        <v>1482</v>
      </c>
      <c r="T106" s="3" t="s">
        <v>1482</v>
      </c>
    </row>
    <row r="107" spans="2:20">
      <c r="B107" t="s">
        <v>20</v>
      </c>
      <c r="C107" t="s">
        <v>21</v>
      </c>
      <c r="D107" t="s">
        <v>121</v>
      </c>
      <c r="E107" s="2">
        <v>46196</v>
      </c>
      <c r="F107" s="2">
        <v>46196</v>
      </c>
      <c r="G107" t="s">
        <v>20</v>
      </c>
      <c r="H107" s="2">
        <v>46196</v>
      </c>
      <c r="I107" s="2">
        <v>46196</v>
      </c>
      <c r="J107" t="s">
        <v>20</v>
      </c>
      <c r="K107">
        <v>-49.75</v>
      </c>
      <c r="L107">
        <v>-49.75</v>
      </c>
      <c r="M107">
        <v>-49.75</v>
      </c>
      <c r="N107" t="s">
        <v>23</v>
      </c>
      <c r="O107" s="3" t="s">
        <v>1482</v>
      </c>
      <c r="P107" s="3" t="s">
        <v>1482</v>
      </c>
      <c r="Q107" s="3" t="s">
        <v>1482</v>
      </c>
      <c r="R107" s="3" t="s">
        <v>1482</v>
      </c>
      <c r="S107" s="3" t="s">
        <v>1482</v>
      </c>
      <c r="T107" s="3" t="s">
        <v>1482</v>
      </c>
    </row>
    <row r="108" spans="2:20">
      <c r="B108" t="s">
        <v>20</v>
      </c>
      <c r="C108" t="s">
        <v>21</v>
      </c>
      <c r="D108" t="s">
        <v>122</v>
      </c>
      <c r="E108" s="2">
        <v>46196</v>
      </c>
      <c r="F108" s="2">
        <v>46196</v>
      </c>
      <c r="G108" t="s">
        <v>20</v>
      </c>
      <c r="H108" s="2">
        <v>46196</v>
      </c>
      <c r="I108" s="2">
        <v>46196</v>
      </c>
      <c r="J108" t="s">
        <v>20</v>
      </c>
      <c r="K108">
        <v>-52.52</v>
      </c>
      <c r="L108">
        <v>-52.52</v>
      </c>
      <c r="M108">
        <v>-52.52</v>
      </c>
      <c r="N108" t="s">
        <v>23</v>
      </c>
      <c r="O108" s="3" t="s">
        <v>1482</v>
      </c>
      <c r="P108" s="3" t="s">
        <v>1482</v>
      </c>
      <c r="Q108" s="3" t="s">
        <v>1482</v>
      </c>
      <c r="R108" s="3" t="s">
        <v>1482</v>
      </c>
      <c r="S108" s="3" t="s">
        <v>1482</v>
      </c>
      <c r="T108" s="3" t="s">
        <v>1482</v>
      </c>
    </row>
    <row r="109" spans="2:20">
      <c r="B109" t="s">
        <v>20</v>
      </c>
      <c r="C109" t="s">
        <v>21</v>
      </c>
      <c r="D109" t="s">
        <v>123</v>
      </c>
      <c r="E109" s="2">
        <v>46163</v>
      </c>
      <c r="F109" s="2">
        <v>46163</v>
      </c>
      <c r="G109" t="s">
        <v>20</v>
      </c>
      <c r="H109" s="2">
        <v>46163</v>
      </c>
      <c r="I109" s="2">
        <v>46163</v>
      </c>
      <c r="J109" t="s">
        <v>20</v>
      </c>
      <c r="K109">
        <v>-31.6</v>
      </c>
      <c r="L109">
        <v>-31.6</v>
      </c>
      <c r="M109">
        <v>-31.6</v>
      </c>
      <c r="N109" t="s">
        <v>23</v>
      </c>
      <c r="O109" s="3" t="s">
        <v>1482</v>
      </c>
      <c r="P109" s="3" t="s">
        <v>1482</v>
      </c>
      <c r="Q109" s="3" t="s">
        <v>1482</v>
      </c>
      <c r="R109" s="3" t="s">
        <v>1482</v>
      </c>
      <c r="S109" s="3" t="s">
        <v>1482</v>
      </c>
      <c r="T109" s="3" t="s">
        <v>1482</v>
      </c>
    </row>
    <row r="110" spans="2:20">
      <c r="B110" t="s">
        <v>20</v>
      </c>
      <c r="C110" t="s">
        <v>21</v>
      </c>
      <c r="D110" t="s">
        <v>124</v>
      </c>
      <c r="E110" s="2">
        <v>46196</v>
      </c>
      <c r="F110" s="2">
        <v>46196</v>
      </c>
      <c r="G110" t="s">
        <v>20</v>
      </c>
      <c r="H110" s="2">
        <v>46196</v>
      </c>
      <c r="I110" s="2">
        <v>46196</v>
      </c>
      <c r="J110" t="s">
        <v>20</v>
      </c>
      <c r="K110">
        <v>-105.03</v>
      </c>
      <c r="L110">
        <v>-105.03</v>
      </c>
      <c r="M110">
        <v>-105.03</v>
      </c>
      <c r="N110" t="s">
        <v>23</v>
      </c>
      <c r="O110" s="3" t="s">
        <v>1482</v>
      </c>
      <c r="P110" s="3" t="s">
        <v>1482</v>
      </c>
      <c r="Q110" s="3" t="s">
        <v>1482</v>
      </c>
      <c r="R110" s="3" t="s">
        <v>1482</v>
      </c>
      <c r="S110" s="3" t="s">
        <v>1482</v>
      </c>
      <c r="T110" s="3" t="s">
        <v>1482</v>
      </c>
    </row>
    <row r="111" spans="2:20">
      <c r="B111" t="s">
        <v>20</v>
      </c>
      <c r="C111" t="s">
        <v>21</v>
      </c>
      <c r="D111" t="s">
        <v>125</v>
      </c>
      <c r="E111" s="2">
        <v>46188</v>
      </c>
      <c r="F111" s="2">
        <v>46188</v>
      </c>
      <c r="G111" t="s">
        <v>20</v>
      </c>
      <c r="H111" s="2">
        <v>46188</v>
      </c>
      <c r="I111" s="2">
        <v>46188</v>
      </c>
      <c r="J111" t="s">
        <v>20</v>
      </c>
      <c r="K111">
        <v>-78.2</v>
      </c>
      <c r="L111">
        <v>-78.2</v>
      </c>
      <c r="M111">
        <v>-78.2</v>
      </c>
      <c r="N111" t="s">
        <v>23</v>
      </c>
      <c r="O111" s="3" t="s">
        <v>1482</v>
      </c>
      <c r="P111" s="3" t="s">
        <v>1482</v>
      </c>
      <c r="Q111" s="3" t="s">
        <v>1482</v>
      </c>
      <c r="R111" s="3" t="s">
        <v>1482</v>
      </c>
      <c r="S111" s="3" t="s">
        <v>1482</v>
      </c>
      <c r="T111" s="3" t="s">
        <v>1482</v>
      </c>
    </row>
    <row r="112" spans="2:20">
      <c r="B112" t="s">
        <v>20</v>
      </c>
      <c r="C112" t="s">
        <v>21</v>
      </c>
      <c r="D112" t="s">
        <v>126</v>
      </c>
      <c r="E112" s="2">
        <v>46196</v>
      </c>
      <c r="F112" s="2">
        <v>46196</v>
      </c>
      <c r="G112" t="s">
        <v>20</v>
      </c>
      <c r="H112" s="2">
        <v>46196</v>
      </c>
      <c r="I112" s="2">
        <v>46196</v>
      </c>
      <c r="J112" t="s">
        <v>20</v>
      </c>
      <c r="K112">
        <v>-132.52000000000001</v>
      </c>
      <c r="L112">
        <v>-132.52000000000001</v>
      </c>
      <c r="M112">
        <v>-132.52000000000001</v>
      </c>
      <c r="N112" t="s">
        <v>23</v>
      </c>
      <c r="O112" s="3" t="s">
        <v>1482</v>
      </c>
      <c r="P112" s="3" t="s">
        <v>1482</v>
      </c>
      <c r="Q112" s="3" t="s">
        <v>1482</v>
      </c>
      <c r="R112" s="3" t="s">
        <v>1482</v>
      </c>
      <c r="S112" s="3" t="s">
        <v>1482</v>
      </c>
      <c r="T112" s="3" t="s">
        <v>1482</v>
      </c>
    </row>
    <row r="113" spans="2:20">
      <c r="B113" t="s">
        <v>20</v>
      </c>
      <c r="C113" t="s">
        <v>21</v>
      </c>
      <c r="D113" t="s">
        <v>127</v>
      </c>
      <c r="E113" s="2">
        <v>46188</v>
      </c>
      <c r="F113" s="2">
        <v>46188</v>
      </c>
      <c r="G113" t="s">
        <v>20</v>
      </c>
      <c r="H113" s="2">
        <v>46188</v>
      </c>
      <c r="I113" s="2">
        <v>46188</v>
      </c>
      <c r="J113" t="s">
        <v>20</v>
      </c>
      <c r="K113">
        <v>-105.23</v>
      </c>
      <c r="L113">
        <v>-105.23</v>
      </c>
      <c r="M113">
        <v>-105.23</v>
      </c>
      <c r="N113" t="s">
        <v>23</v>
      </c>
      <c r="O113" s="3" t="s">
        <v>1482</v>
      </c>
      <c r="P113" s="3" t="s">
        <v>1482</v>
      </c>
      <c r="Q113" s="3" t="s">
        <v>1482</v>
      </c>
      <c r="R113" s="3" t="s">
        <v>1482</v>
      </c>
      <c r="S113" s="3" t="s">
        <v>1482</v>
      </c>
      <c r="T113" s="3" t="s">
        <v>1482</v>
      </c>
    </row>
    <row r="114" spans="2:20">
      <c r="B114" t="s">
        <v>20</v>
      </c>
      <c r="C114" t="s">
        <v>21</v>
      </c>
      <c r="D114" t="s">
        <v>128</v>
      </c>
      <c r="E114" s="2">
        <v>46188</v>
      </c>
      <c r="F114" s="2">
        <v>46188</v>
      </c>
      <c r="G114" t="s">
        <v>20</v>
      </c>
      <c r="H114" s="2">
        <v>46188</v>
      </c>
      <c r="I114" s="2">
        <v>46188</v>
      </c>
      <c r="J114" t="s">
        <v>20</v>
      </c>
      <c r="K114">
        <v>-20.28</v>
      </c>
      <c r="L114">
        <v>-20.28</v>
      </c>
      <c r="M114">
        <v>-20.28</v>
      </c>
      <c r="N114" t="s">
        <v>23</v>
      </c>
      <c r="O114" s="3" t="s">
        <v>1482</v>
      </c>
      <c r="P114" s="3" t="s">
        <v>1482</v>
      </c>
      <c r="Q114" s="3" t="s">
        <v>1482</v>
      </c>
      <c r="R114" s="3" t="s">
        <v>1482</v>
      </c>
      <c r="S114" s="3" t="s">
        <v>1482</v>
      </c>
      <c r="T114" s="3" t="s">
        <v>1482</v>
      </c>
    </row>
    <row r="115" spans="2:20">
      <c r="B115" t="s">
        <v>20</v>
      </c>
      <c r="C115" t="s">
        <v>21</v>
      </c>
      <c r="D115" t="s">
        <v>129</v>
      </c>
      <c r="E115" s="2">
        <v>46196</v>
      </c>
      <c r="F115" s="2">
        <v>46196</v>
      </c>
      <c r="G115" t="s">
        <v>20</v>
      </c>
      <c r="H115" s="2">
        <v>46196</v>
      </c>
      <c r="I115" s="2">
        <v>46196</v>
      </c>
      <c r="J115" t="s">
        <v>20</v>
      </c>
      <c r="K115">
        <v>-50.18</v>
      </c>
      <c r="L115">
        <v>-50.18</v>
      </c>
      <c r="M115">
        <v>-50.18</v>
      </c>
      <c r="N115" t="s">
        <v>23</v>
      </c>
      <c r="O115" s="3" t="s">
        <v>1482</v>
      </c>
      <c r="P115" s="3" t="s">
        <v>1482</v>
      </c>
      <c r="Q115" s="3" t="s">
        <v>1482</v>
      </c>
      <c r="R115" s="3" t="s">
        <v>1482</v>
      </c>
      <c r="S115" s="3" t="s">
        <v>1482</v>
      </c>
      <c r="T115" s="3" t="s">
        <v>1482</v>
      </c>
    </row>
    <row r="116" spans="2:20">
      <c r="B116" t="s">
        <v>20</v>
      </c>
      <c r="C116" t="s">
        <v>21</v>
      </c>
      <c r="D116" t="s">
        <v>130</v>
      </c>
      <c r="E116" s="2">
        <v>46196</v>
      </c>
      <c r="F116" s="2">
        <v>46196</v>
      </c>
      <c r="G116" t="s">
        <v>20</v>
      </c>
      <c r="H116" s="2">
        <v>46196</v>
      </c>
      <c r="I116" s="2">
        <v>46196</v>
      </c>
      <c r="J116" t="s">
        <v>20</v>
      </c>
      <c r="K116">
        <v>-13.08</v>
      </c>
      <c r="L116">
        <v>-13.08</v>
      </c>
      <c r="M116">
        <v>-13.08</v>
      </c>
      <c r="N116" t="s">
        <v>23</v>
      </c>
      <c r="O116" s="3" t="s">
        <v>1482</v>
      </c>
      <c r="P116" s="3" t="s">
        <v>1482</v>
      </c>
      <c r="Q116" s="3" t="s">
        <v>1482</v>
      </c>
      <c r="R116" s="3" t="s">
        <v>1482</v>
      </c>
      <c r="S116" s="3" t="s">
        <v>1482</v>
      </c>
      <c r="T116" s="3" t="s">
        <v>1482</v>
      </c>
    </row>
    <row r="117" spans="2:20">
      <c r="B117" t="s">
        <v>20</v>
      </c>
      <c r="C117" t="s">
        <v>21</v>
      </c>
      <c r="D117" t="s">
        <v>131</v>
      </c>
      <c r="E117" s="2">
        <v>46163</v>
      </c>
      <c r="F117" s="2">
        <v>46163</v>
      </c>
      <c r="G117" t="s">
        <v>20</v>
      </c>
      <c r="H117" s="2">
        <v>46163</v>
      </c>
      <c r="I117" s="2">
        <v>46163</v>
      </c>
      <c r="J117" t="s">
        <v>20</v>
      </c>
      <c r="K117">
        <v>-42.17</v>
      </c>
      <c r="L117">
        <v>-42.17</v>
      </c>
      <c r="M117">
        <v>-42.17</v>
      </c>
      <c r="N117" t="s">
        <v>23</v>
      </c>
      <c r="O117" s="3" t="s">
        <v>1482</v>
      </c>
      <c r="P117" s="3" t="s">
        <v>1482</v>
      </c>
      <c r="Q117" s="3" t="s">
        <v>1482</v>
      </c>
      <c r="R117" s="3" t="s">
        <v>1482</v>
      </c>
      <c r="S117" s="3" t="s">
        <v>1482</v>
      </c>
      <c r="T117" s="3" t="s">
        <v>1482</v>
      </c>
    </row>
    <row r="118" spans="2:20">
      <c r="B118" t="s">
        <v>20</v>
      </c>
      <c r="C118" t="s">
        <v>21</v>
      </c>
      <c r="D118" t="s">
        <v>132</v>
      </c>
      <c r="E118" s="2">
        <v>46196</v>
      </c>
      <c r="F118" s="2">
        <v>46196</v>
      </c>
      <c r="G118" t="s">
        <v>20</v>
      </c>
      <c r="H118" s="2">
        <v>46196</v>
      </c>
      <c r="I118" s="2">
        <v>46196</v>
      </c>
      <c r="J118" t="s">
        <v>20</v>
      </c>
      <c r="K118">
        <v>-33.130000000000003</v>
      </c>
      <c r="L118">
        <v>-33.130000000000003</v>
      </c>
      <c r="M118">
        <v>-33.130000000000003</v>
      </c>
      <c r="N118" t="s">
        <v>23</v>
      </c>
      <c r="O118" s="3" t="s">
        <v>1482</v>
      </c>
      <c r="P118" s="3" t="s">
        <v>1482</v>
      </c>
      <c r="Q118" s="3" t="s">
        <v>1482</v>
      </c>
      <c r="R118" s="3" t="s">
        <v>1482</v>
      </c>
      <c r="S118" s="3" t="s">
        <v>1482</v>
      </c>
      <c r="T118" s="3" t="s">
        <v>1482</v>
      </c>
    </row>
    <row r="119" spans="2:20">
      <c r="B119" t="s">
        <v>20</v>
      </c>
      <c r="C119" t="s">
        <v>21</v>
      </c>
      <c r="D119" t="s">
        <v>133</v>
      </c>
      <c r="E119" s="2">
        <v>46196</v>
      </c>
      <c r="F119" s="2">
        <v>46196</v>
      </c>
      <c r="G119" t="s">
        <v>20</v>
      </c>
      <c r="H119" s="2">
        <v>46196</v>
      </c>
      <c r="I119" s="2">
        <v>46196</v>
      </c>
      <c r="J119" t="s">
        <v>20</v>
      </c>
      <c r="K119">
        <v>-89.45</v>
      </c>
      <c r="L119">
        <v>-89.45</v>
      </c>
      <c r="M119">
        <v>-89.45</v>
      </c>
      <c r="N119" t="s">
        <v>23</v>
      </c>
      <c r="O119" s="3" t="s">
        <v>1482</v>
      </c>
      <c r="P119" s="3" t="s">
        <v>1482</v>
      </c>
      <c r="Q119" s="3" t="s">
        <v>1482</v>
      </c>
      <c r="R119" s="3" t="s">
        <v>1482</v>
      </c>
      <c r="S119" s="3" t="s">
        <v>1482</v>
      </c>
      <c r="T119" s="3" t="s">
        <v>1482</v>
      </c>
    </row>
    <row r="120" spans="2:20">
      <c r="B120" t="s">
        <v>20</v>
      </c>
      <c r="C120" t="s">
        <v>21</v>
      </c>
      <c r="D120" t="s">
        <v>134</v>
      </c>
      <c r="E120" s="2">
        <v>46196</v>
      </c>
      <c r="F120" s="2">
        <v>46196</v>
      </c>
      <c r="G120" t="s">
        <v>20</v>
      </c>
      <c r="H120" s="2">
        <v>46196</v>
      </c>
      <c r="I120" s="2">
        <v>46196</v>
      </c>
      <c r="J120" t="s">
        <v>20</v>
      </c>
      <c r="K120">
        <v>-33.450000000000003</v>
      </c>
      <c r="L120">
        <v>-33.450000000000003</v>
      </c>
      <c r="M120">
        <v>-33.450000000000003</v>
      </c>
      <c r="N120" t="s">
        <v>23</v>
      </c>
      <c r="O120" s="3" t="s">
        <v>1482</v>
      </c>
      <c r="P120" s="3" t="s">
        <v>1482</v>
      </c>
      <c r="Q120" s="3" t="s">
        <v>1482</v>
      </c>
      <c r="R120" s="3" t="s">
        <v>1482</v>
      </c>
      <c r="S120" s="3" t="s">
        <v>1482</v>
      </c>
      <c r="T120" s="3" t="s">
        <v>1482</v>
      </c>
    </row>
    <row r="121" spans="2:20">
      <c r="B121" t="s">
        <v>20</v>
      </c>
      <c r="C121" t="s">
        <v>21</v>
      </c>
      <c r="D121" t="s">
        <v>135</v>
      </c>
      <c r="E121" s="2">
        <v>46196</v>
      </c>
      <c r="F121" s="2">
        <v>46196</v>
      </c>
      <c r="G121" t="s">
        <v>20</v>
      </c>
      <c r="H121" s="2">
        <v>46196</v>
      </c>
      <c r="I121" s="2">
        <v>46196</v>
      </c>
      <c r="J121" t="s">
        <v>20</v>
      </c>
      <c r="K121">
        <v>-154.63999999999999</v>
      </c>
      <c r="L121">
        <v>-154.63999999999999</v>
      </c>
      <c r="M121">
        <v>-154.63999999999999</v>
      </c>
      <c r="N121" t="s">
        <v>23</v>
      </c>
      <c r="O121" s="3" t="s">
        <v>1482</v>
      </c>
      <c r="P121" s="3" t="s">
        <v>1482</v>
      </c>
      <c r="Q121" s="3" t="s">
        <v>1482</v>
      </c>
      <c r="R121" s="3" t="s">
        <v>1482</v>
      </c>
      <c r="S121" s="3" t="s">
        <v>1482</v>
      </c>
      <c r="T121" s="3" t="s">
        <v>1482</v>
      </c>
    </row>
    <row r="122" spans="2:20">
      <c r="B122" t="s">
        <v>20</v>
      </c>
      <c r="C122" t="s">
        <v>21</v>
      </c>
      <c r="D122" t="s">
        <v>136</v>
      </c>
      <c r="E122" s="2">
        <v>46188</v>
      </c>
      <c r="F122" s="2">
        <v>46188</v>
      </c>
      <c r="G122" t="s">
        <v>20</v>
      </c>
      <c r="H122" s="2">
        <v>46188</v>
      </c>
      <c r="I122" s="2">
        <v>46188</v>
      </c>
      <c r="J122" t="s">
        <v>20</v>
      </c>
      <c r="K122">
        <v>-175.39</v>
      </c>
      <c r="L122">
        <v>-175.39</v>
      </c>
      <c r="M122">
        <v>-175.39</v>
      </c>
      <c r="N122" t="s">
        <v>23</v>
      </c>
      <c r="O122" s="3" t="s">
        <v>1482</v>
      </c>
      <c r="P122" s="3" t="s">
        <v>1482</v>
      </c>
      <c r="Q122" s="3" t="s">
        <v>1482</v>
      </c>
      <c r="R122" s="3" t="s">
        <v>1482</v>
      </c>
      <c r="S122" s="3" t="s">
        <v>1482</v>
      </c>
      <c r="T122" s="3" t="s">
        <v>1482</v>
      </c>
    </row>
    <row r="123" spans="2:20">
      <c r="B123" t="s">
        <v>20</v>
      </c>
      <c r="C123" t="s">
        <v>21</v>
      </c>
      <c r="D123" t="s">
        <v>137</v>
      </c>
      <c r="E123" s="2">
        <v>46163</v>
      </c>
      <c r="F123" s="2">
        <v>46163</v>
      </c>
      <c r="G123" t="s">
        <v>20</v>
      </c>
      <c r="H123" s="2">
        <v>46163</v>
      </c>
      <c r="I123" s="2">
        <v>46163</v>
      </c>
      <c r="J123" t="s">
        <v>20</v>
      </c>
      <c r="K123">
        <v>-35.42</v>
      </c>
      <c r="L123">
        <v>-35.42</v>
      </c>
      <c r="M123">
        <v>-35.42</v>
      </c>
      <c r="N123" t="s">
        <v>23</v>
      </c>
      <c r="O123" s="3" t="s">
        <v>1482</v>
      </c>
      <c r="P123" s="3" t="s">
        <v>1482</v>
      </c>
      <c r="Q123" s="3" t="s">
        <v>1482</v>
      </c>
      <c r="R123" s="3" t="s">
        <v>1482</v>
      </c>
      <c r="S123" s="3" t="s">
        <v>1482</v>
      </c>
      <c r="T123" s="3" t="s">
        <v>1482</v>
      </c>
    </row>
    <row r="124" spans="2:20">
      <c r="B124" t="s">
        <v>20</v>
      </c>
      <c r="C124" t="s">
        <v>21</v>
      </c>
      <c r="D124" t="s">
        <v>138</v>
      </c>
      <c r="E124" s="2">
        <v>46163</v>
      </c>
      <c r="F124" s="2">
        <v>46163</v>
      </c>
      <c r="G124" t="s">
        <v>20</v>
      </c>
      <c r="H124" s="2">
        <v>46163</v>
      </c>
      <c r="I124" s="2">
        <v>46163</v>
      </c>
      <c r="J124" t="s">
        <v>20</v>
      </c>
      <c r="K124">
        <v>-70.84</v>
      </c>
      <c r="L124">
        <v>-70.84</v>
      </c>
      <c r="M124">
        <v>-70.84</v>
      </c>
      <c r="N124" t="s">
        <v>23</v>
      </c>
      <c r="O124" s="3" t="s">
        <v>1482</v>
      </c>
      <c r="P124" s="3" t="s">
        <v>1482</v>
      </c>
      <c r="Q124" s="3" t="s">
        <v>1482</v>
      </c>
      <c r="R124" s="3" t="s">
        <v>1482</v>
      </c>
      <c r="S124" s="3" t="s">
        <v>1482</v>
      </c>
      <c r="T124" s="3" t="s">
        <v>1482</v>
      </c>
    </row>
    <row r="125" spans="2:20">
      <c r="B125" t="s">
        <v>20</v>
      </c>
      <c r="C125" t="s">
        <v>21</v>
      </c>
      <c r="D125" t="s">
        <v>139</v>
      </c>
      <c r="E125" s="2">
        <v>46196</v>
      </c>
      <c r="F125" s="2">
        <v>46196</v>
      </c>
      <c r="G125" t="s">
        <v>20</v>
      </c>
      <c r="H125" s="2">
        <v>46196</v>
      </c>
      <c r="I125" s="2">
        <v>46196</v>
      </c>
      <c r="J125" t="s">
        <v>20</v>
      </c>
      <c r="K125">
        <v>-132.52000000000001</v>
      </c>
      <c r="L125">
        <v>-132.52000000000001</v>
      </c>
      <c r="M125">
        <v>-132.52000000000001</v>
      </c>
      <c r="N125" t="s">
        <v>23</v>
      </c>
      <c r="O125" s="3" t="s">
        <v>1482</v>
      </c>
      <c r="P125" s="3" t="s">
        <v>1482</v>
      </c>
      <c r="Q125" s="3" t="s">
        <v>1482</v>
      </c>
      <c r="R125" s="3" t="s">
        <v>1482</v>
      </c>
      <c r="S125" s="3" t="s">
        <v>1482</v>
      </c>
      <c r="T125" s="3" t="s">
        <v>1482</v>
      </c>
    </row>
    <row r="126" spans="2:20">
      <c r="B126" t="s">
        <v>20</v>
      </c>
      <c r="C126" t="s">
        <v>21</v>
      </c>
      <c r="D126" t="s">
        <v>140</v>
      </c>
      <c r="E126" s="2">
        <v>46196</v>
      </c>
      <c r="F126" s="2">
        <v>46196</v>
      </c>
      <c r="G126" t="s">
        <v>20</v>
      </c>
      <c r="H126" s="2">
        <v>46196</v>
      </c>
      <c r="I126" s="2">
        <v>46196</v>
      </c>
      <c r="J126" t="s">
        <v>20</v>
      </c>
      <c r="K126">
        <v>-123.1</v>
      </c>
      <c r="L126">
        <v>-123.1</v>
      </c>
      <c r="M126">
        <v>-123.1</v>
      </c>
      <c r="N126" t="s">
        <v>23</v>
      </c>
      <c r="O126" s="3" t="s">
        <v>1482</v>
      </c>
      <c r="P126" s="3" t="s">
        <v>1482</v>
      </c>
      <c r="Q126" s="3" t="s">
        <v>1482</v>
      </c>
      <c r="R126" s="3" t="s">
        <v>1482</v>
      </c>
      <c r="S126" s="3" t="s">
        <v>1482</v>
      </c>
      <c r="T126" s="3" t="s">
        <v>1482</v>
      </c>
    </row>
    <row r="127" spans="2:20">
      <c r="B127" t="s">
        <v>20</v>
      </c>
      <c r="C127" t="s">
        <v>21</v>
      </c>
      <c r="D127" t="s">
        <v>141</v>
      </c>
      <c r="E127" s="2">
        <v>46196</v>
      </c>
      <c r="F127" s="2">
        <v>46196</v>
      </c>
      <c r="G127" t="s">
        <v>20</v>
      </c>
      <c r="H127" s="2">
        <v>46196</v>
      </c>
      <c r="I127" s="2">
        <v>46196</v>
      </c>
      <c r="J127" t="s">
        <v>20</v>
      </c>
      <c r="K127">
        <v>-149.09</v>
      </c>
      <c r="L127">
        <v>-149.09</v>
      </c>
      <c r="M127">
        <v>-149.09</v>
      </c>
      <c r="N127" t="s">
        <v>23</v>
      </c>
      <c r="O127" s="3" t="s">
        <v>1482</v>
      </c>
      <c r="P127" s="3" t="s">
        <v>1482</v>
      </c>
      <c r="Q127" s="3" t="s">
        <v>1482</v>
      </c>
      <c r="R127" s="3" t="s">
        <v>1482</v>
      </c>
      <c r="S127" s="3" t="s">
        <v>1482</v>
      </c>
      <c r="T127" s="3" t="s">
        <v>1482</v>
      </c>
    </row>
    <row r="128" spans="2:20">
      <c r="B128" t="s">
        <v>20</v>
      </c>
      <c r="C128" t="s">
        <v>21</v>
      </c>
      <c r="D128" t="s">
        <v>142</v>
      </c>
      <c r="E128" s="2">
        <v>46196</v>
      </c>
      <c r="F128" s="2">
        <v>46196</v>
      </c>
      <c r="G128" t="s">
        <v>20</v>
      </c>
      <c r="H128" s="2">
        <v>46196</v>
      </c>
      <c r="I128" s="2">
        <v>46196</v>
      </c>
      <c r="J128" t="s">
        <v>20</v>
      </c>
      <c r="K128">
        <v>-119.27</v>
      </c>
      <c r="L128">
        <v>-119.27</v>
      </c>
      <c r="M128">
        <v>-119.27</v>
      </c>
      <c r="N128" t="s">
        <v>23</v>
      </c>
      <c r="O128" s="3" t="s">
        <v>1482</v>
      </c>
      <c r="P128" s="3" t="s">
        <v>1482</v>
      </c>
      <c r="Q128" s="3" t="s">
        <v>1482</v>
      </c>
      <c r="R128" s="3" t="s">
        <v>1482</v>
      </c>
      <c r="S128" s="3" t="s">
        <v>1482</v>
      </c>
      <c r="T128" s="3" t="s">
        <v>1482</v>
      </c>
    </row>
    <row r="129" spans="1:20">
      <c r="B129" t="s">
        <v>20</v>
      </c>
      <c r="C129" t="s">
        <v>21</v>
      </c>
      <c r="D129" t="s">
        <v>143</v>
      </c>
      <c r="E129" s="2">
        <v>46196</v>
      </c>
      <c r="F129" s="2">
        <v>46196</v>
      </c>
      <c r="G129" t="s">
        <v>20</v>
      </c>
      <c r="H129" s="2">
        <v>46196</v>
      </c>
      <c r="I129" s="2">
        <v>46196</v>
      </c>
      <c r="J129" t="s">
        <v>20</v>
      </c>
      <c r="K129">
        <v>-143.81</v>
      </c>
      <c r="L129">
        <v>-143.81</v>
      </c>
      <c r="M129">
        <v>-143.81</v>
      </c>
      <c r="N129" t="s">
        <v>23</v>
      </c>
      <c r="O129" s="3" t="s">
        <v>1482</v>
      </c>
      <c r="P129" s="3" t="s">
        <v>1482</v>
      </c>
      <c r="Q129" s="3" t="s">
        <v>1482</v>
      </c>
      <c r="R129" s="3" t="s">
        <v>1482</v>
      </c>
      <c r="S129" s="3" t="s">
        <v>1482</v>
      </c>
      <c r="T129" s="3" t="s">
        <v>1482</v>
      </c>
    </row>
    <row r="130" spans="1:20">
      <c r="B130" t="s">
        <v>20</v>
      </c>
      <c r="C130" t="s">
        <v>21</v>
      </c>
      <c r="D130" t="s">
        <v>144</v>
      </c>
      <c r="E130" s="2">
        <v>46163</v>
      </c>
      <c r="F130" s="2">
        <v>46163</v>
      </c>
      <c r="G130" t="s">
        <v>20</v>
      </c>
      <c r="H130" s="2">
        <v>46163</v>
      </c>
      <c r="I130" s="2">
        <v>46163</v>
      </c>
      <c r="J130" t="s">
        <v>20</v>
      </c>
      <c r="K130">
        <v>-175.39</v>
      </c>
      <c r="L130">
        <v>-175.39</v>
      </c>
      <c r="M130">
        <v>-175.39</v>
      </c>
      <c r="N130" t="s">
        <v>23</v>
      </c>
      <c r="O130" s="3" t="s">
        <v>1482</v>
      </c>
      <c r="P130" s="3" t="s">
        <v>1482</v>
      </c>
      <c r="Q130" s="3" t="s">
        <v>1482</v>
      </c>
      <c r="R130" s="3" t="s">
        <v>1482</v>
      </c>
      <c r="S130" s="3" t="s">
        <v>1482</v>
      </c>
      <c r="T130" s="3" t="s">
        <v>1482</v>
      </c>
    </row>
    <row r="131" spans="1:20">
      <c r="B131" t="s">
        <v>20</v>
      </c>
      <c r="C131" t="s">
        <v>21</v>
      </c>
      <c r="D131" t="s">
        <v>145</v>
      </c>
      <c r="E131" s="2">
        <v>46196</v>
      </c>
      <c r="F131" s="2">
        <v>46196</v>
      </c>
      <c r="G131" t="s">
        <v>20</v>
      </c>
      <c r="H131" s="2">
        <v>46196</v>
      </c>
      <c r="I131" s="2">
        <v>46196</v>
      </c>
      <c r="J131" t="s">
        <v>20</v>
      </c>
      <c r="K131">
        <v>-38.659999999999997</v>
      </c>
      <c r="L131">
        <v>-38.659999999999997</v>
      </c>
      <c r="M131">
        <v>-38.659999999999997</v>
      </c>
      <c r="N131" t="s">
        <v>23</v>
      </c>
      <c r="O131" s="3" t="s">
        <v>1482</v>
      </c>
      <c r="P131" s="3" t="s">
        <v>1482</v>
      </c>
      <c r="Q131" s="3" t="s">
        <v>1482</v>
      </c>
      <c r="R131" s="3" t="s">
        <v>1482</v>
      </c>
      <c r="S131" s="3" t="s">
        <v>1482</v>
      </c>
      <c r="T131" s="3" t="s">
        <v>1482</v>
      </c>
    </row>
    <row r="132" spans="1:20">
      <c r="B132" t="s">
        <v>20</v>
      </c>
      <c r="C132" t="s">
        <v>21</v>
      </c>
      <c r="D132" t="s">
        <v>146</v>
      </c>
      <c r="E132" s="2">
        <v>46188</v>
      </c>
      <c r="F132" s="2">
        <v>46188</v>
      </c>
      <c r="G132" t="s">
        <v>20</v>
      </c>
      <c r="H132" s="2">
        <v>46188</v>
      </c>
      <c r="I132" s="2">
        <v>46188</v>
      </c>
      <c r="J132" t="s">
        <v>20</v>
      </c>
      <c r="K132">
        <v>-105.23</v>
      </c>
      <c r="L132">
        <v>-105.23</v>
      </c>
      <c r="M132">
        <v>-105.23</v>
      </c>
      <c r="N132" t="s">
        <v>23</v>
      </c>
      <c r="O132" s="3" t="s">
        <v>1482</v>
      </c>
      <c r="P132" s="3" t="s">
        <v>1482</v>
      </c>
      <c r="Q132" s="3" t="s">
        <v>1482</v>
      </c>
      <c r="R132" s="3" t="s">
        <v>1482</v>
      </c>
      <c r="S132" s="3" t="s">
        <v>1482</v>
      </c>
      <c r="T132" s="3" t="s">
        <v>1482</v>
      </c>
    </row>
    <row r="133" spans="1:20">
      <c r="B133" t="s">
        <v>20</v>
      </c>
      <c r="C133" t="s">
        <v>21</v>
      </c>
      <c r="D133" t="s">
        <v>147</v>
      </c>
      <c r="E133" s="2">
        <v>46196</v>
      </c>
      <c r="F133" s="2">
        <v>46196</v>
      </c>
      <c r="G133" t="s">
        <v>20</v>
      </c>
      <c r="H133" s="2">
        <v>46196</v>
      </c>
      <c r="I133" s="2">
        <v>46196</v>
      </c>
      <c r="J133" t="s">
        <v>20</v>
      </c>
      <c r="K133">
        <v>-73.86</v>
      </c>
      <c r="L133">
        <v>-73.86</v>
      </c>
      <c r="M133">
        <v>-73.86</v>
      </c>
      <c r="N133" t="s">
        <v>23</v>
      </c>
      <c r="O133" s="3" t="s">
        <v>1482</v>
      </c>
      <c r="P133" s="3" t="s">
        <v>1482</v>
      </c>
      <c r="Q133" s="3" t="s">
        <v>1482</v>
      </c>
      <c r="R133" s="3" t="s">
        <v>1482</v>
      </c>
      <c r="S133" s="3" t="s">
        <v>1482</v>
      </c>
      <c r="T133" s="3" t="s">
        <v>1482</v>
      </c>
    </row>
    <row r="134" spans="1:20">
      <c r="B134" t="s">
        <v>20</v>
      </c>
      <c r="C134" t="s">
        <v>21</v>
      </c>
      <c r="D134" t="s">
        <v>148</v>
      </c>
      <c r="E134" s="2">
        <v>46196</v>
      </c>
      <c r="F134" s="2">
        <v>46196</v>
      </c>
      <c r="G134" t="s">
        <v>20</v>
      </c>
      <c r="H134" s="2">
        <v>46196</v>
      </c>
      <c r="I134" s="2">
        <v>46196</v>
      </c>
      <c r="J134" t="s">
        <v>20</v>
      </c>
      <c r="K134">
        <v>-143.81</v>
      </c>
      <c r="L134">
        <v>-143.81</v>
      </c>
      <c r="M134">
        <v>-143.81</v>
      </c>
      <c r="N134" t="s">
        <v>23</v>
      </c>
      <c r="O134" s="3" t="s">
        <v>1482</v>
      </c>
      <c r="P134" s="3" t="s">
        <v>1482</v>
      </c>
      <c r="Q134" s="3" t="s">
        <v>1482</v>
      </c>
      <c r="R134" s="3" t="s">
        <v>1482</v>
      </c>
      <c r="S134" s="3" t="s">
        <v>1482</v>
      </c>
      <c r="T134" s="3" t="s">
        <v>1482</v>
      </c>
    </row>
    <row r="135" spans="1:20">
      <c r="B135" t="s">
        <v>20</v>
      </c>
      <c r="C135" t="s">
        <v>21</v>
      </c>
      <c r="D135" t="s">
        <v>149</v>
      </c>
      <c r="E135" s="2">
        <v>46188</v>
      </c>
      <c r="F135" s="2">
        <v>46188</v>
      </c>
      <c r="G135" t="s">
        <v>20</v>
      </c>
      <c r="H135" s="2">
        <v>46188</v>
      </c>
      <c r="I135" s="2">
        <v>46188</v>
      </c>
      <c r="J135" t="s">
        <v>20</v>
      </c>
      <c r="K135">
        <v>-105.23</v>
      </c>
      <c r="L135">
        <v>-105.23</v>
      </c>
      <c r="M135">
        <v>-105.23</v>
      </c>
      <c r="N135" t="s">
        <v>23</v>
      </c>
      <c r="O135" s="3" t="s">
        <v>1482</v>
      </c>
      <c r="P135" s="3" t="s">
        <v>1482</v>
      </c>
      <c r="Q135" s="3" t="s">
        <v>1482</v>
      </c>
      <c r="R135" s="3" t="s">
        <v>1482</v>
      </c>
      <c r="S135" s="3" t="s">
        <v>1482</v>
      </c>
      <c r="T135" s="3" t="s">
        <v>1482</v>
      </c>
    </row>
    <row r="136" spans="1:20">
      <c r="B136" t="s">
        <v>20</v>
      </c>
      <c r="C136" t="s">
        <v>21</v>
      </c>
      <c r="D136" t="s">
        <v>150</v>
      </c>
      <c r="E136" s="2">
        <v>46196</v>
      </c>
      <c r="F136" s="2">
        <v>46196</v>
      </c>
      <c r="G136" t="s">
        <v>20</v>
      </c>
      <c r="H136" s="2">
        <v>46196</v>
      </c>
      <c r="I136" s="2">
        <v>46196</v>
      </c>
      <c r="J136" t="s">
        <v>20</v>
      </c>
      <c r="K136">
        <v>-26.5</v>
      </c>
      <c r="L136">
        <v>-26.5</v>
      </c>
      <c r="M136">
        <v>-26.5</v>
      </c>
      <c r="N136" t="s">
        <v>23</v>
      </c>
      <c r="O136" s="3" t="s">
        <v>1482</v>
      </c>
      <c r="P136" s="3" t="s">
        <v>1482</v>
      </c>
      <c r="Q136" s="3" t="s">
        <v>1482</v>
      </c>
      <c r="R136" s="3" t="s">
        <v>1482</v>
      </c>
      <c r="S136" s="3" t="s">
        <v>1482</v>
      </c>
      <c r="T136" s="3" t="s">
        <v>1482</v>
      </c>
    </row>
    <row r="137" spans="1:20">
      <c r="B137" t="s">
        <v>20</v>
      </c>
      <c r="C137" t="s">
        <v>21</v>
      </c>
      <c r="D137" t="s">
        <v>151</v>
      </c>
      <c r="E137" s="2">
        <v>46188</v>
      </c>
      <c r="F137" s="2">
        <v>46188</v>
      </c>
      <c r="G137" t="s">
        <v>20</v>
      </c>
      <c r="H137" s="2">
        <v>46188</v>
      </c>
      <c r="I137" s="2">
        <v>46188</v>
      </c>
      <c r="J137" t="s">
        <v>20</v>
      </c>
      <c r="K137">
        <v>-157.85</v>
      </c>
      <c r="L137">
        <v>-157.85</v>
      </c>
      <c r="M137">
        <v>-157.85</v>
      </c>
      <c r="N137" t="s">
        <v>23</v>
      </c>
      <c r="O137" s="3" t="s">
        <v>1482</v>
      </c>
      <c r="P137" s="3" t="s">
        <v>1482</v>
      </c>
      <c r="Q137" s="3" t="s">
        <v>1482</v>
      </c>
      <c r="R137" s="3" t="s">
        <v>1482</v>
      </c>
      <c r="S137" s="3" t="s">
        <v>1482</v>
      </c>
      <c r="T137" s="3" t="s">
        <v>1482</v>
      </c>
    </row>
    <row r="138" spans="1:20">
      <c r="B138" t="s">
        <v>20</v>
      </c>
      <c r="C138" t="s">
        <v>21</v>
      </c>
      <c r="D138" t="s">
        <v>152</v>
      </c>
      <c r="E138" s="2">
        <v>46196</v>
      </c>
      <c r="F138" s="2">
        <v>46196</v>
      </c>
      <c r="G138" t="s">
        <v>20</v>
      </c>
      <c r="H138" s="2">
        <v>46196</v>
      </c>
      <c r="I138" s="2">
        <v>46196</v>
      </c>
      <c r="J138" t="s">
        <v>20</v>
      </c>
      <c r="K138">
        <v>-39.25</v>
      </c>
      <c r="L138">
        <v>-39.25</v>
      </c>
      <c r="M138">
        <v>-39.25</v>
      </c>
      <c r="N138" t="s">
        <v>23</v>
      </c>
      <c r="O138" s="3" t="s">
        <v>1482</v>
      </c>
      <c r="P138" s="3" t="s">
        <v>1482</v>
      </c>
      <c r="Q138" s="3" t="s">
        <v>1482</v>
      </c>
      <c r="R138" s="3" t="s">
        <v>1482</v>
      </c>
      <c r="S138" s="3" t="s">
        <v>1482</v>
      </c>
      <c r="T138" s="3" t="s">
        <v>1482</v>
      </c>
    </row>
    <row r="139" spans="1:20">
      <c r="B139" t="s">
        <v>20</v>
      </c>
      <c r="C139" t="s">
        <v>21</v>
      </c>
      <c r="D139" t="s">
        <v>153</v>
      </c>
      <c r="E139" s="2">
        <v>46196</v>
      </c>
      <c r="F139" s="2">
        <v>46196</v>
      </c>
      <c r="G139" t="s">
        <v>20</v>
      </c>
      <c r="H139" s="2">
        <v>46196</v>
      </c>
      <c r="I139" s="2">
        <v>46196</v>
      </c>
      <c r="J139" t="s">
        <v>20</v>
      </c>
      <c r="K139">
        <v>-26.17</v>
      </c>
      <c r="L139">
        <v>-26.17</v>
      </c>
      <c r="M139">
        <v>-26.17</v>
      </c>
      <c r="N139" t="s">
        <v>23</v>
      </c>
      <c r="O139" s="3" t="s">
        <v>1482</v>
      </c>
      <c r="P139" s="3" t="s">
        <v>1482</v>
      </c>
      <c r="Q139" s="3" t="s">
        <v>1482</v>
      </c>
      <c r="R139" s="3" t="s">
        <v>1482</v>
      </c>
      <c r="S139" s="3" t="s">
        <v>1482</v>
      </c>
      <c r="T139" s="3" t="s">
        <v>1482</v>
      </c>
    </row>
    <row r="140" spans="1:20">
      <c r="B140" t="s">
        <v>20</v>
      </c>
      <c r="C140" t="s">
        <v>21</v>
      </c>
      <c r="D140" t="s">
        <v>154</v>
      </c>
      <c r="E140" s="2">
        <v>46188</v>
      </c>
      <c r="F140" s="2">
        <v>46188</v>
      </c>
      <c r="G140" t="s">
        <v>20</v>
      </c>
      <c r="H140" s="2">
        <v>46188</v>
      </c>
      <c r="I140" s="2">
        <v>46188</v>
      </c>
      <c r="J140" t="s">
        <v>20</v>
      </c>
      <c r="K140">
        <v>-26.07</v>
      </c>
      <c r="L140">
        <v>-26.07</v>
      </c>
      <c r="M140">
        <v>-26.07</v>
      </c>
      <c r="N140" t="s">
        <v>23</v>
      </c>
      <c r="O140" s="3" t="s">
        <v>1482</v>
      </c>
      <c r="P140" s="3" t="s">
        <v>1482</v>
      </c>
      <c r="Q140" s="3" t="s">
        <v>1482</v>
      </c>
      <c r="R140" s="3" t="s">
        <v>1482</v>
      </c>
      <c r="S140" s="3" t="s">
        <v>1482</v>
      </c>
      <c r="T140" s="3" t="s">
        <v>1482</v>
      </c>
    </row>
    <row r="141" spans="1:20">
      <c r="B141" t="s">
        <v>20</v>
      </c>
      <c r="C141" t="s">
        <v>21</v>
      </c>
      <c r="D141" t="s">
        <v>155</v>
      </c>
      <c r="E141" s="2">
        <v>46163</v>
      </c>
      <c r="F141" s="2">
        <v>46163</v>
      </c>
      <c r="G141" t="s">
        <v>20</v>
      </c>
      <c r="H141" s="2">
        <v>46163</v>
      </c>
      <c r="I141" s="2">
        <v>46163</v>
      </c>
      <c r="J141" t="s">
        <v>20</v>
      </c>
      <c r="K141">
        <v>-52.14</v>
      </c>
      <c r="L141">
        <v>-52.14</v>
      </c>
      <c r="M141">
        <v>-52.14</v>
      </c>
      <c r="N141" t="s">
        <v>23</v>
      </c>
      <c r="O141" s="3" t="s">
        <v>1482</v>
      </c>
      <c r="P141" s="3" t="s">
        <v>1482</v>
      </c>
      <c r="Q141" s="3" t="s">
        <v>1482</v>
      </c>
      <c r="R141" s="3" t="s">
        <v>1482</v>
      </c>
      <c r="S141" s="3" t="s">
        <v>1482</v>
      </c>
      <c r="T141" s="3" t="s">
        <v>1482</v>
      </c>
    </row>
    <row r="142" spans="1:20">
      <c r="A142" t="s">
        <v>156</v>
      </c>
      <c r="B142" t="s">
        <v>20</v>
      </c>
      <c r="C142" t="s">
        <v>21</v>
      </c>
      <c r="D142" t="s">
        <v>157</v>
      </c>
      <c r="E142" s="2">
        <v>46169</v>
      </c>
      <c r="F142" s="2">
        <v>46169</v>
      </c>
      <c r="G142" t="s">
        <v>20</v>
      </c>
      <c r="H142" s="2">
        <v>46169</v>
      </c>
      <c r="I142" s="2">
        <v>46169</v>
      </c>
      <c r="J142" t="s">
        <v>20</v>
      </c>
      <c r="K142">
        <v>-78.92</v>
      </c>
      <c r="L142">
        <v>-78.92</v>
      </c>
      <c r="M142">
        <v>-78.92</v>
      </c>
      <c r="N142" t="s">
        <v>158</v>
      </c>
      <c r="O142" s="3" t="s">
        <v>1482</v>
      </c>
      <c r="P142" s="3" t="s">
        <v>1482</v>
      </c>
      <c r="Q142" s="3" t="s">
        <v>1482</v>
      </c>
      <c r="R142" s="3" t="s">
        <v>1482</v>
      </c>
      <c r="S142" s="3" t="s">
        <v>1482</v>
      </c>
      <c r="T142" s="3" t="s">
        <v>1482</v>
      </c>
    </row>
    <row r="143" spans="1:20">
      <c r="A143" t="s">
        <v>159</v>
      </c>
      <c r="B143" t="s">
        <v>20</v>
      </c>
      <c r="C143" t="s">
        <v>21</v>
      </c>
      <c r="D143" t="s">
        <v>160</v>
      </c>
      <c r="E143" s="2">
        <v>46191</v>
      </c>
      <c r="F143" s="2">
        <v>46191</v>
      </c>
      <c r="G143" t="s">
        <v>20</v>
      </c>
      <c r="H143" s="2">
        <v>46191</v>
      </c>
      <c r="I143" s="2">
        <v>46191</v>
      </c>
      <c r="J143" t="s">
        <v>20</v>
      </c>
      <c r="K143">
        <v>-71.03</v>
      </c>
      <c r="L143">
        <v>-71.03</v>
      </c>
      <c r="M143">
        <v>-71.03</v>
      </c>
      <c r="N143" t="s">
        <v>158</v>
      </c>
      <c r="O143" s="3" t="s">
        <v>1482</v>
      </c>
      <c r="P143" s="3" t="s">
        <v>1482</v>
      </c>
      <c r="Q143" s="3" t="s">
        <v>1482</v>
      </c>
      <c r="R143" s="3" t="s">
        <v>1482</v>
      </c>
      <c r="S143" s="3" t="s">
        <v>1482</v>
      </c>
      <c r="T143" s="3" t="s">
        <v>1482</v>
      </c>
    </row>
    <row r="144" spans="1:20">
      <c r="A144" t="s">
        <v>161</v>
      </c>
      <c r="B144" t="s">
        <v>20</v>
      </c>
      <c r="C144" t="s">
        <v>21</v>
      </c>
      <c r="D144" t="s">
        <v>162</v>
      </c>
      <c r="E144" s="2">
        <v>46153</v>
      </c>
      <c r="F144" s="2">
        <v>46153</v>
      </c>
      <c r="G144" t="s">
        <v>20</v>
      </c>
      <c r="H144" s="2">
        <v>46153</v>
      </c>
      <c r="I144" s="2">
        <v>46153</v>
      </c>
      <c r="J144" t="s">
        <v>20</v>
      </c>
      <c r="K144">
        <v>-78.92</v>
      </c>
      <c r="L144">
        <v>-78.92</v>
      </c>
      <c r="M144">
        <v>-78.92</v>
      </c>
      <c r="N144" t="s">
        <v>158</v>
      </c>
      <c r="O144" s="3" t="s">
        <v>1482</v>
      </c>
      <c r="P144" s="3" t="s">
        <v>1482</v>
      </c>
      <c r="Q144" s="3" t="s">
        <v>1482</v>
      </c>
      <c r="R144" s="3" t="s">
        <v>1482</v>
      </c>
      <c r="S144" s="3" t="s">
        <v>1482</v>
      </c>
      <c r="T144" s="3" t="s">
        <v>1482</v>
      </c>
    </row>
    <row r="145" spans="1:20">
      <c r="A145" t="s">
        <v>163</v>
      </c>
      <c r="B145" t="s">
        <v>20</v>
      </c>
      <c r="C145" t="s">
        <v>21</v>
      </c>
      <c r="D145" t="s">
        <v>164</v>
      </c>
      <c r="E145" s="2">
        <v>46169</v>
      </c>
      <c r="F145" s="2">
        <v>46169</v>
      </c>
      <c r="G145" t="s">
        <v>20</v>
      </c>
      <c r="H145" s="2">
        <v>46169</v>
      </c>
      <c r="I145" s="2">
        <v>46169</v>
      </c>
      <c r="J145" t="s">
        <v>20</v>
      </c>
      <c r="K145">
        <v>-105.22</v>
      </c>
      <c r="L145">
        <v>-105.22</v>
      </c>
      <c r="M145">
        <v>-105.22</v>
      </c>
      <c r="N145" t="s">
        <v>158</v>
      </c>
      <c r="O145" s="3" t="s">
        <v>1482</v>
      </c>
      <c r="P145" s="3" t="s">
        <v>1482</v>
      </c>
      <c r="Q145" s="3" t="s">
        <v>1482</v>
      </c>
      <c r="R145" s="3" t="s">
        <v>1482</v>
      </c>
      <c r="S145" s="3" t="s">
        <v>1482</v>
      </c>
      <c r="T145" s="3" t="s">
        <v>1482</v>
      </c>
    </row>
    <row r="146" spans="1:20">
      <c r="A146" t="s">
        <v>165</v>
      </c>
      <c r="B146" t="s">
        <v>20</v>
      </c>
      <c r="C146" t="s">
        <v>21</v>
      </c>
      <c r="D146" t="s">
        <v>157</v>
      </c>
      <c r="E146" s="2">
        <v>46169</v>
      </c>
      <c r="F146" s="2">
        <v>46169</v>
      </c>
      <c r="G146" t="s">
        <v>20</v>
      </c>
      <c r="H146" s="2">
        <v>46169</v>
      </c>
      <c r="I146" s="2">
        <v>46169</v>
      </c>
      <c r="J146" t="s">
        <v>20</v>
      </c>
      <c r="K146">
        <v>-85.42</v>
      </c>
      <c r="L146">
        <v>-85.42</v>
      </c>
      <c r="M146">
        <v>-85.42</v>
      </c>
      <c r="N146" t="s">
        <v>158</v>
      </c>
      <c r="O146" s="3" t="s">
        <v>1482</v>
      </c>
      <c r="P146" s="3" t="s">
        <v>1482</v>
      </c>
      <c r="Q146" s="3" t="s">
        <v>1482</v>
      </c>
      <c r="R146" s="3" t="s">
        <v>1482</v>
      </c>
      <c r="S146" s="3" t="s">
        <v>1482</v>
      </c>
      <c r="T146" s="3" t="s">
        <v>1482</v>
      </c>
    </row>
    <row r="147" spans="1:20">
      <c r="A147" t="s">
        <v>166</v>
      </c>
      <c r="B147" t="s">
        <v>20</v>
      </c>
      <c r="C147" t="s">
        <v>21</v>
      </c>
      <c r="D147" t="s">
        <v>167</v>
      </c>
      <c r="E147" s="2">
        <v>46153</v>
      </c>
      <c r="F147" s="2">
        <v>46153</v>
      </c>
      <c r="G147" t="s">
        <v>20</v>
      </c>
      <c r="H147" s="2">
        <v>46153</v>
      </c>
      <c r="I147" s="2">
        <v>46153</v>
      </c>
      <c r="J147" t="s">
        <v>20</v>
      </c>
      <c r="K147">
        <v>-63.17</v>
      </c>
      <c r="L147">
        <v>-63.17</v>
      </c>
      <c r="M147">
        <v>-63.17</v>
      </c>
      <c r="N147" t="s">
        <v>158</v>
      </c>
      <c r="O147" s="3" t="s">
        <v>1482</v>
      </c>
      <c r="P147" s="3" t="s">
        <v>1482</v>
      </c>
      <c r="Q147" s="3" t="s">
        <v>1482</v>
      </c>
      <c r="R147" s="3" t="s">
        <v>1482</v>
      </c>
      <c r="S147" s="3" t="s">
        <v>1482</v>
      </c>
      <c r="T147" s="3" t="s">
        <v>1482</v>
      </c>
    </row>
    <row r="148" spans="1:20">
      <c r="A148" t="s">
        <v>168</v>
      </c>
      <c r="B148" t="s">
        <v>20</v>
      </c>
      <c r="C148" t="s">
        <v>21</v>
      </c>
      <c r="D148" t="s">
        <v>169</v>
      </c>
      <c r="E148" s="2">
        <v>46191</v>
      </c>
      <c r="F148" s="2">
        <v>46191</v>
      </c>
      <c r="G148" t="s">
        <v>20</v>
      </c>
      <c r="H148" s="2">
        <v>46191</v>
      </c>
      <c r="I148" s="2">
        <v>46191</v>
      </c>
      <c r="J148" t="s">
        <v>20</v>
      </c>
      <c r="K148">
        <v>-85.42</v>
      </c>
      <c r="L148">
        <v>-85.42</v>
      </c>
      <c r="M148">
        <v>-85.42</v>
      </c>
      <c r="N148" t="s">
        <v>158</v>
      </c>
      <c r="O148" s="3" t="s">
        <v>1482</v>
      </c>
      <c r="P148" s="3" t="s">
        <v>1482</v>
      </c>
      <c r="Q148" s="3" t="s">
        <v>1482</v>
      </c>
      <c r="R148" s="3" t="s">
        <v>1482</v>
      </c>
      <c r="S148" s="3" t="s">
        <v>1482</v>
      </c>
      <c r="T148" s="3" t="s">
        <v>1482</v>
      </c>
    </row>
    <row r="149" spans="1:20">
      <c r="A149" t="s">
        <v>170</v>
      </c>
      <c r="B149" t="s">
        <v>20</v>
      </c>
      <c r="C149" t="s">
        <v>21</v>
      </c>
      <c r="D149" t="s">
        <v>169</v>
      </c>
      <c r="E149" s="2">
        <v>46191</v>
      </c>
      <c r="F149" s="2">
        <v>46191</v>
      </c>
      <c r="G149" t="s">
        <v>20</v>
      </c>
      <c r="H149" s="2">
        <v>46191</v>
      </c>
      <c r="I149" s="2">
        <v>46191</v>
      </c>
      <c r="J149" t="s">
        <v>20</v>
      </c>
      <c r="K149">
        <v>-92.72</v>
      </c>
      <c r="L149">
        <v>-92.72</v>
      </c>
      <c r="M149">
        <v>-92.72</v>
      </c>
      <c r="N149" t="s">
        <v>158</v>
      </c>
      <c r="O149" s="3" t="s">
        <v>1482</v>
      </c>
      <c r="P149" s="3" t="s">
        <v>1482</v>
      </c>
      <c r="Q149" s="3" t="s">
        <v>1482</v>
      </c>
      <c r="R149" s="3" t="s">
        <v>1482</v>
      </c>
      <c r="S149" s="3" t="s">
        <v>1482</v>
      </c>
      <c r="T149" s="3" t="s">
        <v>1482</v>
      </c>
    </row>
    <row r="150" spans="1:20">
      <c r="A150" t="s">
        <v>171</v>
      </c>
      <c r="B150" t="s">
        <v>20</v>
      </c>
      <c r="C150" t="s">
        <v>21</v>
      </c>
      <c r="D150" t="s">
        <v>172</v>
      </c>
      <c r="E150" s="2">
        <v>46191</v>
      </c>
      <c r="F150" s="2">
        <v>46191</v>
      </c>
      <c r="G150" t="s">
        <v>20</v>
      </c>
      <c r="H150" s="2">
        <v>46191</v>
      </c>
      <c r="I150" s="2">
        <v>46191</v>
      </c>
      <c r="J150" t="s">
        <v>20</v>
      </c>
      <c r="K150">
        <v>-96.46</v>
      </c>
      <c r="L150">
        <v>-96.46</v>
      </c>
      <c r="M150">
        <v>-96.46</v>
      </c>
      <c r="N150" t="s">
        <v>158</v>
      </c>
      <c r="O150" s="3" t="s">
        <v>1482</v>
      </c>
      <c r="P150" s="3" t="s">
        <v>1482</v>
      </c>
      <c r="Q150" s="3" t="s">
        <v>1482</v>
      </c>
      <c r="R150" s="3" t="s">
        <v>1482</v>
      </c>
      <c r="S150" s="3" t="s">
        <v>1482</v>
      </c>
      <c r="T150" s="3" t="s">
        <v>1482</v>
      </c>
    </row>
    <row r="151" spans="1:20">
      <c r="A151" t="s">
        <v>173</v>
      </c>
      <c r="B151" t="s">
        <v>20</v>
      </c>
      <c r="C151" t="s">
        <v>21</v>
      </c>
      <c r="D151" t="s">
        <v>164</v>
      </c>
      <c r="E151" s="2">
        <v>46169</v>
      </c>
      <c r="F151" s="2">
        <v>46169</v>
      </c>
      <c r="G151" t="s">
        <v>20</v>
      </c>
      <c r="H151" s="2">
        <v>46169</v>
      </c>
      <c r="I151" s="2">
        <v>46169</v>
      </c>
      <c r="J151" t="s">
        <v>20</v>
      </c>
      <c r="K151">
        <v>-92.72</v>
      </c>
      <c r="L151">
        <v>-92.72</v>
      </c>
      <c r="M151">
        <v>-92.72</v>
      </c>
      <c r="N151" t="s">
        <v>158</v>
      </c>
      <c r="O151" s="3" t="s">
        <v>1482</v>
      </c>
      <c r="P151" s="3" t="s">
        <v>1482</v>
      </c>
      <c r="Q151" s="3" t="s">
        <v>1482</v>
      </c>
      <c r="R151" s="3" t="s">
        <v>1482</v>
      </c>
      <c r="S151" s="3" t="s">
        <v>1482</v>
      </c>
      <c r="T151" s="3" t="s">
        <v>1482</v>
      </c>
    </row>
    <row r="152" spans="1:20">
      <c r="A152" t="s">
        <v>174</v>
      </c>
      <c r="B152" t="s">
        <v>20</v>
      </c>
      <c r="C152" t="s">
        <v>21</v>
      </c>
      <c r="D152" t="s">
        <v>175</v>
      </c>
      <c r="E152" s="2">
        <v>46191</v>
      </c>
      <c r="F152" s="2">
        <v>46191</v>
      </c>
      <c r="G152" t="s">
        <v>20</v>
      </c>
      <c r="H152" s="2">
        <v>46191</v>
      </c>
      <c r="I152" s="2">
        <v>46191</v>
      </c>
      <c r="J152" t="s">
        <v>20</v>
      </c>
      <c r="K152">
        <v>-92.72</v>
      </c>
      <c r="L152">
        <v>-92.72</v>
      </c>
      <c r="M152">
        <v>-92.72</v>
      </c>
      <c r="N152" t="s">
        <v>158</v>
      </c>
      <c r="O152" s="3" t="s">
        <v>1482</v>
      </c>
      <c r="P152" s="3" t="s">
        <v>1482</v>
      </c>
      <c r="Q152" s="3" t="s">
        <v>1482</v>
      </c>
      <c r="R152" s="3" t="s">
        <v>1482</v>
      </c>
      <c r="S152" s="3" t="s">
        <v>1482</v>
      </c>
      <c r="T152" s="3" t="s">
        <v>1482</v>
      </c>
    </row>
    <row r="153" spans="1:20">
      <c r="A153" t="s">
        <v>176</v>
      </c>
      <c r="B153" t="s">
        <v>20</v>
      </c>
      <c r="C153" t="s">
        <v>21</v>
      </c>
      <c r="D153" t="s">
        <v>177</v>
      </c>
      <c r="E153" s="2">
        <v>46191</v>
      </c>
      <c r="F153" s="2">
        <v>46191</v>
      </c>
      <c r="G153" t="s">
        <v>20</v>
      </c>
      <c r="H153" s="2">
        <v>46191</v>
      </c>
      <c r="I153" s="2">
        <v>46191</v>
      </c>
      <c r="J153" t="s">
        <v>20</v>
      </c>
      <c r="K153">
        <v>-92.72</v>
      </c>
      <c r="L153">
        <v>-92.72</v>
      </c>
      <c r="M153">
        <v>-92.72</v>
      </c>
      <c r="N153" t="s">
        <v>158</v>
      </c>
      <c r="O153" s="3" t="s">
        <v>1482</v>
      </c>
      <c r="P153" s="3" t="s">
        <v>1482</v>
      </c>
      <c r="Q153" s="3" t="s">
        <v>1482</v>
      </c>
      <c r="R153" s="3" t="s">
        <v>1482</v>
      </c>
      <c r="S153" s="3" t="s">
        <v>1482</v>
      </c>
      <c r="T153" s="3" t="s">
        <v>1482</v>
      </c>
    </row>
    <row r="154" spans="1:20">
      <c r="A154" t="s">
        <v>178</v>
      </c>
      <c r="B154" t="s">
        <v>20</v>
      </c>
      <c r="C154" t="s">
        <v>21</v>
      </c>
      <c r="D154" t="s">
        <v>179</v>
      </c>
      <c r="E154" s="2">
        <v>46153</v>
      </c>
      <c r="F154" s="2">
        <v>46153</v>
      </c>
      <c r="G154" t="s">
        <v>20</v>
      </c>
      <c r="H154" s="2">
        <v>46153</v>
      </c>
      <c r="I154" s="2">
        <v>46153</v>
      </c>
      <c r="J154" t="s">
        <v>20</v>
      </c>
      <c r="K154">
        <v>-92.72</v>
      </c>
      <c r="L154">
        <v>-92.72</v>
      </c>
      <c r="M154">
        <v>-92.72</v>
      </c>
      <c r="N154" t="s">
        <v>158</v>
      </c>
      <c r="O154" s="3" t="s">
        <v>1482</v>
      </c>
      <c r="P154" s="3" t="s">
        <v>1482</v>
      </c>
      <c r="Q154" s="3" t="s">
        <v>1482</v>
      </c>
      <c r="R154" s="3" t="s">
        <v>1482</v>
      </c>
      <c r="S154" s="3" t="s">
        <v>1482</v>
      </c>
      <c r="T154" s="3" t="s">
        <v>1482</v>
      </c>
    </row>
    <row r="155" spans="1:20">
      <c r="A155" t="s">
        <v>180</v>
      </c>
      <c r="B155" t="s">
        <v>20</v>
      </c>
      <c r="C155" t="s">
        <v>21</v>
      </c>
      <c r="D155" t="s">
        <v>164</v>
      </c>
      <c r="E155" s="2">
        <v>46169</v>
      </c>
      <c r="F155" s="2">
        <v>46169</v>
      </c>
      <c r="G155" t="s">
        <v>20</v>
      </c>
      <c r="H155" s="2">
        <v>46169</v>
      </c>
      <c r="I155" s="2">
        <v>46169</v>
      </c>
      <c r="J155" t="s">
        <v>20</v>
      </c>
      <c r="K155">
        <v>-99.21</v>
      </c>
      <c r="L155">
        <v>-99.21</v>
      </c>
      <c r="M155">
        <v>-99.21</v>
      </c>
      <c r="N155" t="s">
        <v>158</v>
      </c>
      <c r="O155" s="3" t="s">
        <v>1482</v>
      </c>
      <c r="P155" s="3" t="s">
        <v>1482</v>
      </c>
      <c r="Q155" s="3" t="s">
        <v>1482</v>
      </c>
      <c r="R155" s="3" t="s">
        <v>1482</v>
      </c>
      <c r="S155" s="3" t="s">
        <v>1482</v>
      </c>
      <c r="T155" s="3" t="s">
        <v>1482</v>
      </c>
    </row>
    <row r="156" spans="1:20">
      <c r="A156" t="s">
        <v>181</v>
      </c>
      <c r="B156" t="s">
        <v>20</v>
      </c>
      <c r="C156" t="s">
        <v>21</v>
      </c>
      <c r="D156" t="s">
        <v>169</v>
      </c>
      <c r="E156" s="2">
        <v>46191</v>
      </c>
      <c r="F156" s="2">
        <v>46191</v>
      </c>
      <c r="G156" t="s">
        <v>20</v>
      </c>
      <c r="H156" s="2">
        <v>46191</v>
      </c>
      <c r="I156" s="2">
        <v>46191</v>
      </c>
      <c r="J156" t="s">
        <v>20</v>
      </c>
      <c r="K156">
        <v>-24.57</v>
      </c>
      <c r="L156">
        <v>-24.57</v>
      </c>
      <c r="M156">
        <v>-24.57</v>
      </c>
      <c r="N156" t="s">
        <v>158</v>
      </c>
      <c r="O156" s="3" t="s">
        <v>1482</v>
      </c>
      <c r="P156" s="3" t="s">
        <v>1482</v>
      </c>
      <c r="Q156" s="3" t="s">
        <v>1482</v>
      </c>
      <c r="R156" s="3" t="s">
        <v>1482</v>
      </c>
      <c r="S156" s="3" t="s">
        <v>1482</v>
      </c>
      <c r="T156" s="3" t="s">
        <v>1482</v>
      </c>
    </row>
    <row r="157" spans="1:20">
      <c r="A157" t="s">
        <v>182</v>
      </c>
      <c r="B157" t="s">
        <v>20</v>
      </c>
      <c r="C157" t="s">
        <v>21</v>
      </c>
      <c r="D157" t="s">
        <v>183</v>
      </c>
      <c r="E157" s="2">
        <v>46181</v>
      </c>
      <c r="F157" s="2">
        <v>46181</v>
      </c>
      <c r="G157" t="s">
        <v>20</v>
      </c>
      <c r="H157" s="2">
        <v>46181</v>
      </c>
      <c r="I157" s="2">
        <v>46181</v>
      </c>
      <c r="J157" t="s">
        <v>20</v>
      </c>
      <c r="K157">
        <v>-175.39</v>
      </c>
      <c r="L157">
        <v>-175.39</v>
      </c>
      <c r="M157">
        <v>-175.39</v>
      </c>
      <c r="N157" t="s">
        <v>158</v>
      </c>
      <c r="O157" s="3" t="s">
        <v>1482</v>
      </c>
      <c r="P157" s="3" t="s">
        <v>1482</v>
      </c>
      <c r="Q157" s="3" t="s">
        <v>1482</v>
      </c>
      <c r="R157" s="3" t="s">
        <v>1482</v>
      </c>
      <c r="S157" s="3" t="s">
        <v>1482</v>
      </c>
      <c r="T157" s="3" t="s">
        <v>1482</v>
      </c>
    </row>
    <row r="158" spans="1:20">
      <c r="A158" t="s">
        <v>184</v>
      </c>
      <c r="B158" t="s">
        <v>20</v>
      </c>
      <c r="C158" t="s">
        <v>21</v>
      </c>
      <c r="D158" t="s">
        <v>185</v>
      </c>
      <c r="E158" s="2">
        <v>46192</v>
      </c>
      <c r="F158" s="2">
        <v>46192</v>
      </c>
      <c r="G158" t="s">
        <v>20</v>
      </c>
      <c r="H158" s="2">
        <v>46192</v>
      </c>
      <c r="I158" s="2">
        <v>46192</v>
      </c>
      <c r="J158" t="s">
        <v>20</v>
      </c>
      <c r="K158">
        <v>-105.23</v>
      </c>
      <c r="L158">
        <v>-105.23</v>
      </c>
      <c r="M158">
        <v>-105.23</v>
      </c>
      <c r="N158" t="s">
        <v>158</v>
      </c>
      <c r="O158" s="3" t="s">
        <v>1482</v>
      </c>
      <c r="P158" s="3" t="s">
        <v>1482</v>
      </c>
      <c r="Q158" s="3" t="s">
        <v>1482</v>
      </c>
      <c r="R158" s="3" t="s">
        <v>1482</v>
      </c>
      <c r="S158" s="3" t="s">
        <v>1482</v>
      </c>
      <c r="T158" s="3" t="s">
        <v>1482</v>
      </c>
    </row>
    <row r="159" spans="1:20">
      <c r="A159" t="s">
        <v>186</v>
      </c>
      <c r="B159" t="s">
        <v>20</v>
      </c>
      <c r="C159" t="s">
        <v>21</v>
      </c>
      <c r="D159" t="s">
        <v>187</v>
      </c>
      <c r="E159" s="2">
        <v>46181</v>
      </c>
      <c r="F159" s="2">
        <v>46181</v>
      </c>
      <c r="G159" t="s">
        <v>20</v>
      </c>
      <c r="H159" s="2">
        <v>46181</v>
      </c>
      <c r="I159" s="2">
        <v>46181</v>
      </c>
      <c r="J159" t="s">
        <v>20</v>
      </c>
      <c r="K159">
        <v>-70.16</v>
      </c>
      <c r="L159">
        <v>-70.16</v>
      </c>
      <c r="M159">
        <v>-70.16</v>
      </c>
      <c r="N159" t="s">
        <v>158</v>
      </c>
      <c r="O159" s="3" t="s">
        <v>1482</v>
      </c>
      <c r="P159" s="3" t="s">
        <v>1482</v>
      </c>
      <c r="Q159" s="3" t="s">
        <v>1482</v>
      </c>
      <c r="R159" s="3" t="s">
        <v>1482</v>
      </c>
      <c r="S159" s="3" t="s">
        <v>1482</v>
      </c>
      <c r="T159" s="3" t="s">
        <v>1482</v>
      </c>
    </row>
    <row r="160" spans="1:20">
      <c r="A160" t="s">
        <v>188</v>
      </c>
      <c r="B160" t="s">
        <v>20</v>
      </c>
      <c r="C160" t="s">
        <v>21</v>
      </c>
      <c r="D160" t="s">
        <v>175</v>
      </c>
      <c r="E160" s="2">
        <v>46191</v>
      </c>
      <c r="F160" s="2">
        <v>46191</v>
      </c>
      <c r="G160" t="s">
        <v>20</v>
      </c>
      <c r="H160" s="2">
        <v>46191</v>
      </c>
      <c r="I160" s="2">
        <v>46191</v>
      </c>
      <c r="J160" t="s">
        <v>20</v>
      </c>
      <c r="K160">
        <v>-35.08</v>
      </c>
      <c r="L160">
        <v>-35.08</v>
      </c>
      <c r="M160">
        <v>-35.08</v>
      </c>
      <c r="N160" t="s">
        <v>158</v>
      </c>
      <c r="O160" s="3" t="s">
        <v>1482</v>
      </c>
      <c r="P160" s="3" t="s">
        <v>1482</v>
      </c>
      <c r="Q160" s="3" t="s">
        <v>1482</v>
      </c>
      <c r="R160" s="3" t="s">
        <v>1482</v>
      </c>
      <c r="S160" s="3" t="s">
        <v>1482</v>
      </c>
      <c r="T160" s="3" t="s">
        <v>1482</v>
      </c>
    </row>
    <row r="161" spans="1:20">
      <c r="A161" t="s">
        <v>189</v>
      </c>
      <c r="B161" t="s">
        <v>20</v>
      </c>
      <c r="C161" t="s">
        <v>21</v>
      </c>
      <c r="D161" t="s">
        <v>190</v>
      </c>
      <c r="E161" s="2">
        <v>46169</v>
      </c>
      <c r="F161" s="2">
        <v>46169</v>
      </c>
      <c r="G161" t="s">
        <v>20</v>
      </c>
      <c r="H161" s="2">
        <v>46169</v>
      </c>
      <c r="I161" s="2">
        <v>46169</v>
      </c>
      <c r="J161" t="s">
        <v>20</v>
      </c>
      <c r="K161">
        <v>-222.41</v>
      </c>
      <c r="L161">
        <v>-222.41</v>
      </c>
      <c r="M161">
        <v>-222.41</v>
      </c>
      <c r="N161" t="s">
        <v>158</v>
      </c>
      <c r="O161" s="3" t="s">
        <v>1482</v>
      </c>
      <c r="P161" s="3" t="s">
        <v>1482</v>
      </c>
      <c r="Q161" s="3" t="s">
        <v>1482</v>
      </c>
      <c r="R161" s="3" t="s">
        <v>1482</v>
      </c>
      <c r="S161" s="3" t="s">
        <v>1482</v>
      </c>
      <c r="T161" s="3" t="s">
        <v>1482</v>
      </c>
    </row>
    <row r="162" spans="1:20">
      <c r="A162" t="s">
        <v>191</v>
      </c>
      <c r="B162" t="s">
        <v>20</v>
      </c>
      <c r="C162" t="s">
        <v>21</v>
      </c>
      <c r="D162" t="s">
        <v>192</v>
      </c>
      <c r="E162" s="2">
        <v>46153</v>
      </c>
      <c r="F162" s="2">
        <v>46153</v>
      </c>
      <c r="G162" t="s">
        <v>20</v>
      </c>
      <c r="H162" s="2">
        <v>46153</v>
      </c>
      <c r="I162" s="2">
        <v>46153</v>
      </c>
      <c r="J162" t="s">
        <v>20</v>
      </c>
      <c r="K162">
        <v>-70.16</v>
      </c>
      <c r="L162">
        <v>-70.16</v>
      </c>
      <c r="M162">
        <v>-70.16</v>
      </c>
      <c r="N162" t="s">
        <v>158</v>
      </c>
      <c r="O162" s="3" t="s">
        <v>1482</v>
      </c>
      <c r="P162" s="3" t="s">
        <v>1482</v>
      </c>
      <c r="Q162" s="3" t="s">
        <v>1482</v>
      </c>
      <c r="R162" s="3" t="s">
        <v>1482</v>
      </c>
      <c r="S162" s="3" t="s">
        <v>1482</v>
      </c>
      <c r="T162" s="3" t="s">
        <v>1482</v>
      </c>
    </row>
    <row r="163" spans="1:20">
      <c r="A163" t="s">
        <v>191</v>
      </c>
      <c r="B163" t="s">
        <v>20</v>
      </c>
      <c r="C163" t="s">
        <v>21</v>
      </c>
      <c r="D163" t="s">
        <v>192</v>
      </c>
      <c r="E163" s="2">
        <v>46181</v>
      </c>
      <c r="F163" s="2">
        <v>46181</v>
      </c>
      <c r="G163" t="s">
        <v>20</v>
      </c>
      <c r="H163" s="2">
        <v>46181</v>
      </c>
      <c r="I163" s="2">
        <v>46181</v>
      </c>
      <c r="J163" t="s">
        <v>20</v>
      </c>
      <c r="K163">
        <v>-70.16</v>
      </c>
      <c r="L163">
        <v>-70.16</v>
      </c>
      <c r="M163">
        <v>-70.16</v>
      </c>
      <c r="N163" t="s">
        <v>158</v>
      </c>
      <c r="O163" s="3" t="s">
        <v>1482</v>
      </c>
      <c r="P163" s="3" t="s">
        <v>1482</v>
      </c>
      <c r="Q163" s="3" t="s">
        <v>1482</v>
      </c>
      <c r="R163" s="3" t="s">
        <v>1482</v>
      </c>
      <c r="S163" s="3" t="s">
        <v>1482</v>
      </c>
      <c r="T163" s="3" t="s">
        <v>1482</v>
      </c>
    </row>
    <row r="164" spans="1:20">
      <c r="A164" t="s">
        <v>193</v>
      </c>
      <c r="B164" t="s">
        <v>20</v>
      </c>
      <c r="C164" t="s">
        <v>21</v>
      </c>
      <c r="D164" t="s">
        <v>194</v>
      </c>
      <c r="E164" s="2">
        <v>46168</v>
      </c>
      <c r="F164" s="2">
        <v>46168</v>
      </c>
      <c r="G164" t="s">
        <v>20</v>
      </c>
      <c r="H164" s="2">
        <v>46168</v>
      </c>
      <c r="I164" s="2">
        <v>46168</v>
      </c>
      <c r="J164" t="s">
        <v>20</v>
      </c>
      <c r="K164">
        <v>-105.23</v>
      </c>
      <c r="L164">
        <v>-105.23</v>
      </c>
      <c r="M164">
        <v>-105.23</v>
      </c>
      <c r="N164" t="s">
        <v>158</v>
      </c>
      <c r="O164" s="3" t="s">
        <v>1482</v>
      </c>
      <c r="P164" s="3" t="s">
        <v>1482</v>
      </c>
      <c r="Q164" s="3" t="s">
        <v>1482</v>
      </c>
      <c r="R164" s="3" t="s">
        <v>1482</v>
      </c>
      <c r="S164" s="3" t="s">
        <v>1482</v>
      </c>
      <c r="T164" s="3" t="s">
        <v>1482</v>
      </c>
    </row>
    <row r="165" spans="1:20">
      <c r="A165" t="s">
        <v>195</v>
      </c>
      <c r="B165" t="s">
        <v>20</v>
      </c>
      <c r="C165" t="s">
        <v>21</v>
      </c>
      <c r="D165" t="s">
        <v>179</v>
      </c>
      <c r="E165" s="2">
        <v>46153</v>
      </c>
      <c r="F165" s="2">
        <v>46153</v>
      </c>
      <c r="G165" t="s">
        <v>20</v>
      </c>
      <c r="H165" s="2">
        <v>46153</v>
      </c>
      <c r="I165" s="2">
        <v>46153</v>
      </c>
      <c r="J165" t="s">
        <v>20</v>
      </c>
      <c r="K165">
        <v>-70.16</v>
      </c>
      <c r="L165">
        <v>-70.16</v>
      </c>
      <c r="M165">
        <v>-70.16</v>
      </c>
      <c r="N165" t="s">
        <v>158</v>
      </c>
      <c r="O165" s="3" t="s">
        <v>1482</v>
      </c>
      <c r="P165" s="3" t="s">
        <v>1482</v>
      </c>
      <c r="Q165" s="3" t="s">
        <v>1482</v>
      </c>
      <c r="R165" s="3" t="s">
        <v>1482</v>
      </c>
      <c r="S165" s="3" t="s">
        <v>1482</v>
      </c>
      <c r="T165" s="3" t="s">
        <v>1482</v>
      </c>
    </row>
    <row r="166" spans="1:20">
      <c r="A166" t="s">
        <v>196</v>
      </c>
      <c r="B166" t="s">
        <v>20</v>
      </c>
      <c r="C166" t="s">
        <v>21</v>
      </c>
      <c r="D166" t="s">
        <v>197</v>
      </c>
      <c r="E166" s="2">
        <v>46169</v>
      </c>
      <c r="F166" s="2">
        <v>46169</v>
      </c>
      <c r="G166" t="s">
        <v>20</v>
      </c>
      <c r="H166" s="2">
        <v>46169</v>
      </c>
      <c r="I166" s="2">
        <v>46169</v>
      </c>
      <c r="J166" t="s">
        <v>20</v>
      </c>
      <c r="K166">
        <v>-104.88</v>
      </c>
      <c r="L166">
        <v>-104.88</v>
      </c>
      <c r="M166">
        <v>-104.88</v>
      </c>
      <c r="N166" t="s">
        <v>158</v>
      </c>
      <c r="O166" s="3" t="s">
        <v>1482</v>
      </c>
      <c r="P166" s="3" t="s">
        <v>1482</v>
      </c>
      <c r="Q166" s="3" t="s">
        <v>1482</v>
      </c>
      <c r="R166" s="3" t="s">
        <v>1482</v>
      </c>
      <c r="S166" s="3" t="s">
        <v>1482</v>
      </c>
      <c r="T166" s="3" t="s">
        <v>1482</v>
      </c>
    </row>
    <row r="167" spans="1:20">
      <c r="A167" t="s">
        <v>198</v>
      </c>
      <c r="B167" t="s">
        <v>20</v>
      </c>
      <c r="C167" t="s">
        <v>21</v>
      </c>
      <c r="D167" t="s">
        <v>199</v>
      </c>
      <c r="E167" s="2">
        <v>46153</v>
      </c>
      <c r="F167" s="2">
        <v>46153</v>
      </c>
      <c r="G167" t="s">
        <v>20</v>
      </c>
      <c r="H167" s="2">
        <v>46153</v>
      </c>
      <c r="I167" s="2">
        <v>46153</v>
      </c>
      <c r="J167" t="s">
        <v>20</v>
      </c>
      <c r="K167">
        <v>-104.88</v>
      </c>
      <c r="L167">
        <v>-104.88</v>
      </c>
      <c r="M167">
        <v>-104.88</v>
      </c>
      <c r="N167" t="s">
        <v>158</v>
      </c>
      <c r="O167" s="3" t="s">
        <v>1482</v>
      </c>
      <c r="P167" s="3" t="s">
        <v>1482</v>
      </c>
      <c r="Q167" s="3" t="s">
        <v>1482</v>
      </c>
      <c r="R167" s="3" t="s">
        <v>1482</v>
      </c>
      <c r="S167" s="3" t="s">
        <v>1482</v>
      </c>
      <c r="T167" s="3" t="s">
        <v>1482</v>
      </c>
    </row>
    <row r="168" spans="1:20">
      <c r="A168" t="s">
        <v>200</v>
      </c>
      <c r="B168" t="s">
        <v>20</v>
      </c>
      <c r="C168" t="s">
        <v>21</v>
      </c>
      <c r="D168" t="s">
        <v>201</v>
      </c>
      <c r="E168" s="2">
        <v>46181</v>
      </c>
      <c r="F168" s="2">
        <v>46181</v>
      </c>
      <c r="G168" t="s">
        <v>20</v>
      </c>
      <c r="H168" s="2">
        <v>46181</v>
      </c>
      <c r="I168" s="2">
        <v>46181</v>
      </c>
      <c r="J168" t="s">
        <v>20</v>
      </c>
      <c r="K168">
        <v>-209.76</v>
      </c>
      <c r="L168">
        <v>-209.76</v>
      </c>
      <c r="M168">
        <v>-209.76</v>
      </c>
      <c r="N168" t="s">
        <v>158</v>
      </c>
      <c r="O168" s="3" t="s">
        <v>1482</v>
      </c>
      <c r="P168" s="3" t="s">
        <v>1482</v>
      </c>
      <c r="Q168" s="3" t="s">
        <v>1482</v>
      </c>
      <c r="R168" s="3" t="s">
        <v>1482</v>
      </c>
      <c r="S168" s="3" t="s">
        <v>1482</v>
      </c>
      <c r="T168" s="3" t="s">
        <v>1482</v>
      </c>
    </row>
    <row r="169" spans="1:20">
      <c r="A169" t="s">
        <v>202</v>
      </c>
      <c r="B169" t="s">
        <v>20</v>
      </c>
      <c r="C169" t="s">
        <v>21</v>
      </c>
      <c r="D169" t="s">
        <v>203</v>
      </c>
      <c r="E169" s="2">
        <v>46153</v>
      </c>
      <c r="F169" s="2">
        <v>46153</v>
      </c>
      <c r="G169" t="s">
        <v>20</v>
      </c>
      <c r="H169" s="2">
        <v>46153</v>
      </c>
      <c r="I169" s="2">
        <v>46153</v>
      </c>
      <c r="J169" t="s">
        <v>20</v>
      </c>
      <c r="K169">
        <v>-126.28</v>
      </c>
      <c r="L169">
        <v>-126.28</v>
      </c>
      <c r="M169">
        <v>-126.28</v>
      </c>
      <c r="N169" t="s">
        <v>158</v>
      </c>
      <c r="O169" s="3" t="s">
        <v>1482</v>
      </c>
      <c r="P169" s="3" t="s">
        <v>1482</v>
      </c>
      <c r="Q169" s="3" t="s">
        <v>1482</v>
      </c>
      <c r="R169" s="3" t="s">
        <v>1482</v>
      </c>
      <c r="S169" s="3" t="s">
        <v>1482</v>
      </c>
      <c r="T169" s="3" t="s">
        <v>1482</v>
      </c>
    </row>
    <row r="170" spans="1:20">
      <c r="A170" t="s">
        <v>204</v>
      </c>
      <c r="B170" t="s">
        <v>20</v>
      </c>
      <c r="C170" t="s">
        <v>21</v>
      </c>
      <c r="D170" t="s">
        <v>205</v>
      </c>
      <c r="E170" s="2">
        <v>46168</v>
      </c>
      <c r="F170" s="2">
        <v>46168</v>
      </c>
      <c r="G170" t="s">
        <v>20</v>
      </c>
      <c r="H170" s="2">
        <v>46168</v>
      </c>
      <c r="I170" s="2">
        <v>46168</v>
      </c>
      <c r="J170" t="s">
        <v>20</v>
      </c>
      <c r="K170">
        <v>-70.16</v>
      </c>
      <c r="L170">
        <v>-70.16</v>
      </c>
      <c r="M170">
        <v>-70.16</v>
      </c>
      <c r="N170" t="s">
        <v>158</v>
      </c>
      <c r="O170" s="3" t="s">
        <v>1482</v>
      </c>
      <c r="P170" s="3" t="s">
        <v>1482</v>
      </c>
      <c r="Q170" s="3" t="s">
        <v>1482</v>
      </c>
      <c r="R170" s="3" t="s">
        <v>1482</v>
      </c>
      <c r="S170" s="3" t="s">
        <v>1482</v>
      </c>
      <c r="T170" s="3" t="s">
        <v>1482</v>
      </c>
    </row>
    <row r="171" spans="1:20">
      <c r="A171" t="s">
        <v>206</v>
      </c>
      <c r="B171" t="s">
        <v>20</v>
      </c>
      <c r="C171" t="s">
        <v>21</v>
      </c>
      <c r="D171" t="s">
        <v>207</v>
      </c>
      <c r="E171" s="2">
        <v>46191</v>
      </c>
      <c r="F171" s="2">
        <v>46191</v>
      </c>
      <c r="G171" t="s">
        <v>20</v>
      </c>
      <c r="H171" s="2">
        <v>46191</v>
      </c>
      <c r="I171" s="2">
        <v>46191</v>
      </c>
      <c r="J171" t="s">
        <v>20</v>
      </c>
      <c r="K171">
        <v>-140.31</v>
      </c>
      <c r="L171">
        <v>-140.31</v>
      </c>
      <c r="M171">
        <v>-140.31</v>
      </c>
      <c r="N171" t="s">
        <v>158</v>
      </c>
      <c r="O171" s="3" t="s">
        <v>1482</v>
      </c>
      <c r="P171" s="3" t="s">
        <v>1482</v>
      </c>
      <c r="Q171" s="3" t="s">
        <v>1482</v>
      </c>
      <c r="R171" s="3" t="s">
        <v>1482</v>
      </c>
      <c r="S171" s="3" t="s">
        <v>1482</v>
      </c>
      <c r="T171" s="3" t="s">
        <v>1482</v>
      </c>
    </row>
    <row r="172" spans="1:20">
      <c r="A172" t="s">
        <v>208</v>
      </c>
      <c r="B172" t="s">
        <v>20</v>
      </c>
      <c r="C172" t="s">
        <v>21</v>
      </c>
      <c r="D172" t="s">
        <v>209</v>
      </c>
      <c r="E172" s="2">
        <v>46169</v>
      </c>
      <c r="F172" s="2">
        <v>46169</v>
      </c>
      <c r="G172" t="s">
        <v>20</v>
      </c>
      <c r="H172" s="2">
        <v>46169</v>
      </c>
      <c r="I172" s="2">
        <v>46169</v>
      </c>
      <c r="J172" t="s">
        <v>20</v>
      </c>
      <c r="K172">
        <v>-35.08</v>
      </c>
      <c r="L172">
        <v>-35.08</v>
      </c>
      <c r="M172">
        <v>-35.08</v>
      </c>
      <c r="N172" t="s">
        <v>158</v>
      </c>
      <c r="O172" s="3" t="s">
        <v>1482</v>
      </c>
      <c r="P172" s="3" t="s">
        <v>1482</v>
      </c>
      <c r="Q172" s="3" t="s">
        <v>1482</v>
      </c>
      <c r="R172" s="3" t="s">
        <v>1482</v>
      </c>
      <c r="S172" s="3" t="s">
        <v>1482</v>
      </c>
      <c r="T172" s="3" t="s">
        <v>1482</v>
      </c>
    </row>
    <row r="173" spans="1:20">
      <c r="A173" t="s">
        <v>210</v>
      </c>
      <c r="B173" t="s">
        <v>20</v>
      </c>
      <c r="C173" t="s">
        <v>21</v>
      </c>
      <c r="D173" t="s">
        <v>211</v>
      </c>
      <c r="E173" s="2">
        <v>46181</v>
      </c>
      <c r="F173" s="2">
        <v>46181</v>
      </c>
      <c r="G173" t="s">
        <v>20</v>
      </c>
      <c r="H173" s="2">
        <v>46181</v>
      </c>
      <c r="I173" s="2">
        <v>46181</v>
      </c>
      <c r="J173" t="s">
        <v>20</v>
      </c>
      <c r="K173">
        <v>-118.31</v>
      </c>
      <c r="L173">
        <v>-118.31</v>
      </c>
      <c r="M173">
        <v>-118.31</v>
      </c>
      <c r="N173" t="s">
        <v>158</v>
      </c>
      <c r="O173" s="3" t="s">
        <v>1482</v>
      </c>
      <c r="P173" s="3" t="s">
        <v>1482</v>
      </c>
      <c r="Q173" s="3" t="s">
        <v>1482</v>
      </c>
      <c r="R173" s="3" t="s">
        <v>1482</v>
      </c>
      <c r="S173" s="3" t="s">
        <v>1482</v>
      </c>
      <c r="T173" s="3" t="s">
        <v>1482</v>
      </c>
    </row>
    <row r="174" spans="1:20">
      <c r="A174" t="s">
        <v>212</v>
      </c>
      <c r="B174" t="s">
        <v>20</v>
      </c>
      <c r="C174" t="s">
        <v>21</v>
      </c>
      <c r="D174" t="s">
        <v>213</v>
      </c>
      <c r="E174" s="2">
        <v>46191</v>
      </c>
      <c r="F174" s="2">
        <v>46191</v>
      </c>
      <c r="G174" t="s">
        <v>20</v>
      </c>
      <c r="H174" s="2">
        <v>46191</v>
      </c>
      <c r="I174" s="2">
        <v>46191</v>
      </c>
      <c r="J174" t="s">
        <v>20</v>
      </c>
      <c r="K174">
        <v>-245.54</v>
      </c>
      <c r="L174">
        <v>-245.54</v>
      </c>
      <c r="M174">
        <v>-245.54</v>
      </c>
      <c r="N174" t="s">
        <v>158</v>
      </c>
      <c r="O174" s="3" t="s">
        <v>1482</v>
      </c>
      <c r="P174" s="3" t="s">
        <v>1482</v>
      </c>
      <c r="Q174" s="3" t="s">
        <v>1482</v>
      </c>
      <c r="R174" s="3" t="s">
        <v>1482</v>
      </c>
      <c r="S174" s="3" t="s">
        <v>1482</v>
      </c>
      <c r="T174" s="3" t="s">
        <v>1482</v>
      </c>
    </row>
    <row r="175" spans="1:20">
      <c r="A175" t="s">
        <v>214</v>
      </c>
      <c r="B175" t="s">
        <v>20</v>
      </c>
      <c r="C175" t="s">
        <v>21</v>
      </c>
      <c r="D175" t="s">
        <v>215</v>
      </c>
      <c r="E175" s="2">
        <v>46191</v>
      </c>
      <c r="F175" s="2">
        <v>46191</v>
      </c>
      <c r="G175" t="s">
        <v>20</v>
      </c>
      <c r="H175" s="2">
        <v>46191</v>
      </c>
      <c r="I175" s="2">
        <v>46191</v>
      </c>
      <c r="J175" t="s">
        <v>20</v>
      </c>
      <c r="K175">
        <v>-175.39</v>
      </c>
      <c r="L175">
        <v>-175.39</v>
      </c>
      <c r="M175">
        <v>-175.39</v>
      </c>
      <c r="N175" t="s">
        <v>158</v>
      </c>
      <c r="O175" s="3" t="s">
        <v>1482</v>
      </c>
      <c r="P175" s="3" t="s">
        <v>1482</v>
      </c>
      <c r="Q175" s="3" t="s">
        <v>1482</v>
      </c>
      <c r="R175" s="3" t="s">
        <v>1482</v>
      </c>
      <c r="S175" s="3" t="s">
        <v>1482</v>
      </c>
      <c r="T175" s="3" t="s">
        <v>1482</v>
      </c>
    </row>
    <row r="176" spans="1:20">
      <c r="A176" t="s">
        <v>216</v>
      </c>
      <c r="B176" t="s">
        <v>20</v>
      </c>
      <c r="C176" t="s">
        <v>21</v>
      </c>
      <c r="D176" t="s">
        <v>217</v>
      </c>
      <c r="E176" s="2">
        <v>46149</v>
      </c>
      <c r="F176" s="2">
        <v>46149</v>
      </c>
      <c r="G176" t="s">
        <v>20</v>
      </c>
      <c r="H176" s="2">
        <v>46149</v>
      </c>
      <c r="I176" s="2">
        <v>46149</v>
      </c>
      <c r="J176" t="s">
        <v>20</v>
      </c>
      <c r="K176">
        <v>-35.08</v>
      </c>
      <c r="L176">
        <v>-35.08</v>
      </c>
      <c r="M176">
        <v>-35.08</v>
      </c>
      <c r="N176" t="s">
        <v>158</v>
      </c>
      <c r="O176" s="3" t="s">
        <v>1482</v>
      </c>
      <c r="P176" s="3" t="s">
        <v>1482</v>
      </c>
      <c r="Q176" s="3" t="s">
        <v>1482</v>
      </c>
      <c r="R176" s="3" t="s">
        <v>1482</v>
      </c>
      <c r="S176" s="3" t="s">
        <v>1482</v>
      </c>
      <c r="T176" s="3" t="s">
        <v>1482</v>
      </c>
    </row>
    <row r="177" spans="1:20">
      <c r="A177" t="s">
        <v>218</v>
      </c>
      <c r="B177" t="s">
        <v>20</v>
      </c>
      <c r="C177" t="s">
        <v>21</v>
      </c>
      <c r="D177" t="s">
        <v>219</v>
      </c>
      <c r="E177" s="2">
        <v>46149</v>
      </c>
      <c r="F177" s="2">
        <v>46149</v>
      </c>
      <c r="G177" t="s">
        <v>20</v>
      </c>
      <c r="H177" s="2">
        <v>46149</v>
      </c>
      <c r="I177" s="2">
        <v>46149</v>
      </c>
      <c r="J177" t="s">
        <v>20</v>
      </c>
      <c r="K177">
        <v>-111.52</v>
      </c>
      <c r="L177">
        <v>-111.52</v>
      </c>
      <c r="M177">
        <v>-111.52</v>
      </c>
      <c r="N177" t="s">
        <v>158</v>
      </c>
      <c r="O177" s="3" t="s">
        <v>1482</v>
      </c>
      <c r="P177" s="3" t="s">
        <v>1482</v>
      </c>
      <c r="Q177" s="3" t="s">
        <v>1482</v>
      </c>
      <c r="R177" s="3" t="s">
        <v>1482</v>
      </c>
      <c r="S177" s="3" t="s">
        <v>1482</v>
      </c>
      <c r="T177" s="3" t="s">
        <v>1482</v>
      </c>
    </row>
    <row r="178" spans="1:20">
      <c r="A178" t="s">
        <v>220</v>
      </c>
      <c r="B178" t="s">
        <v>20</v>
      </c>
      <c r="C178" t="s">
        <v>21</v>
      </c>
      <c r="D178" t="s">
        <v>221</v>
      </c>
      <c r="E178" s="2">
        <v>46149</v>
      </c>
      <c r="F178" s="2">
        <v>46149</v>
      </c>
      <c r="G178" t="s">
        <v>20</v>
      </c>
      <c r="H178" s="2">
        <v>46149</v>
      </c>
      <c r="I178" s="2">
        <v>46149</v>
      </c>
      <c r="J178" t="s">
        <v>20</v>
      </c>
      <c r="K178">
        <v>-59.27</v>
      </c>
      <c r="L178">
        <v>-59.27</v>
      </c>
      <c r="M178">
        <v>-59.27</v>
      </c>
      <c r="N178" t="s">
        <v>158</v>
      </c>
      <c r="O178" s="3" t="s">
        <v>1482</v>
      </c>
      <c r="P178" s="3" t="s">
        <v>1482</v>
      </c>
      <c r="Q178" s="3" t="s">
        <v>1482</v>
      </c>
      <c r="R178" s="3" t="s">
        <v>1482</v>
      </c>
      <c r="S178" s="3" t="s">
        <v>1482</v>
      </c>
      <c r="T178" s="3" t="s">
        <v>1482</v>
      </c>
    </row>
    <row r="179" spans="1:20">
      <c r="A179" t="s">
        <v>222</v>
      </c>
      <c r="B179" t="s">
        <v>20</v>
      </c>
      <c r="C179" t="s">
        <v>21</v>
      </c>
      <c r="D179" t="s">
        <v>223</v>
      </c>
      <c r="E179" s="2">
        <v>46149</v>
      </c>
      <c r="F179" s="2">
        <v>46149</v>
      </c>
      <c r="G179" t="s">
        <v>20</v>
      </c>
      <c r="H179" s="2">
        <v>46149</v>
      </c>
      <c r="I179" s="2">
        <v>46149</v>
      </c>
      <c r="J179" t="s">
        <v>20</v>
      </c>
      <c r="K179">
        <v>-35.08</v>
      </c>
      <c r="L179">
        <v>-35.08</v>
      </c>
      <c r="M179">
        <v>-35.08</v>
      </c>
      <c r="N179" t="s">
        <v>158</v>
      </c>
      <c r="O179" s="3" t="s">
        <v>1482</v>
      </c>
      <c r="P179" s="3" t="s">
        <v>1482</v>
      </c>
      <c r="Q179" s="3" t="s">
        <v>1482</v>
      </c>
      <c r="R179" s="3" t="s">
        <v>1482</v>
      </c>
      <c r="S179" s="3" t="s">
        <v>1482</v>
      </c>
      <c r="T179" s="3" t="s">
        <v>1482</v>
      </c>
    </row>
    <row r="180" spans="1:20">
      <c r="A180" t="s">
        <v>224</v>
      </c>
      <c r="B180" t="s">
        <v>20</v>
      </c>
      <c r="C180" t="s">
        <v>21</v>
      </c>
      <c r="D180" t="s">
        <v>225</v>
      </c>
      <c r="E180" s="2">
        <v>46149</v>
      </c>
      <c r="F180" s="2">
        <v>46149</v>
      </c>
      <c r="G180" t="s">
        <v>20</v>
      </c>
      <c r="H180" s="2">
        <v>46149</v>
      </c>
      <c r="I180" s="2">
        <v>46149</v>
      </c>
      <c r="J180" t="s">
        <v>20</v>
      </c>
      <c r="K180">
        <v>-70.16</v>
      </c>
      <c r="L180">
        <v>-70.16</v>
      </c>
      <c r="M180">
        <v>-70.16</v>
      </c>
      <c r="N180" t="s">
        <v>158</v>
      </c>
      <c r="O180" s="3" t="s">
        <v>1482</v>
      </c>
      <c r="P180" s="3" t="s">
        <v>1482</v>
      </c>
      <c r="Q180" s="3" t="s">
        <v>1482</v>
      </c>
      <c r="R180" s="3" t="s">
        <v>1482</v>
      </c>
      <c r="S180" s="3" t="s">
        <v>1482</v>
      </c>
      <c r="T180" s="3" t="s">
        <v>1482</v>
      </c>
    </row>
    <row r="181" spans="1:20">
      <c r="A181" t="s">
        <v>226</v>
      </c>
      <c r="B181" t="s">
        <v>20</v>
      </c>
      <c r="C181" t="s">
        <v>21</v>
      </c>
      <c r="D181" t="s">
        <v>227</v>
      </c>
      <c r="E181" s="2">
        <v>46149</v>
      </c>
      <c r="F181" s="2">
        <v>46149</v>
      </c>
      <c r="G181" t="s">
        <v>20</v>
      </c>
      <c r="H181" s="2">
        <v>46149</v>
      </c>
      <c r="I181" s="2">
        <v>46149</v>
      </c>
      <c r="J181" t="s">
        <v>20</v>
      </c>
      <c r="K181">
        <v>-40.479999999999997</v>
      </c>
      <c r="L181">
        <v>-40.479999999999997</v>
      </c>
      <c r="M181">
        <v>-40.479999999999997</v>
      </c>
      <c r="N181" t="s">
        <v>158</v>
      </c>
      <c r="O181" s="3" t="s">
        <v>1482</v>
      </c>
      <c r="P181" s="3" t="s">
        <v>1482</v>
      </c>
      <c r="Q181" s="3" t="s">
        <v>1482</v>
      </c>
      <c r="R181" s="3" t="s">
        <v>1482</v>
      </c>
      <c r="S181" s="3" t="s">
        <v>1482</v>
      </c>
      <c r="T181" s="3" t="s">
        <v>1482</v>
      </c>
    </row>
    <row r="182" spans="1:20">
      <c r="A182" t="s">
        <v>228</v>
      </c>
      <c r="B182" t="s">
        <v>20</v>
      </c>
      <c r="C182" t="s">
        <v>21</v>
      </c>
      <c r="D182" t="s">
        <v>229</v>
      </c>
      <c r="E182" s="2">
        <v>46149</v>
      </c>
      <c r="F182" s="2">
        <v>46149</v>
      </c>
      <c r="G182" t="s">
        <v>20</v>
      </c>
      <c r="H182" s="2">
        <v>46149</v>
      </c>
      <c r="I182" s="2">
        <v>46149</v>
      </c>
      <c r="J182" t="s">
        <v>20</v>
      </c>
      <c r="K182">
        <v>-83.41</v>
      </c>
      <c r="L182">
        <v>-83.41</v>
      </c>
      <c r="M182">
        <v>-83.41</v>
      </c>
      <c r="N182" t="s">
        <v>158</v>
      </c>
      <c r="O182" s="3" t="s">
        <v>1482</v>
      </c>
      <c r="P182" s="3" t="s">
        <v>1482</v>
      </c>
      <c r="Q182" s="3" t="s">
        <v>1482</v>
      </c>
      <c r="R182" s="3" t="s">
        <v>1482</v>
      </c>
      <c r="S182" s="3" t="s">
        <v>1482</v>
      </c>
      <c r="T182" s="3" t="s">
        <v>1482</v>
      </c>
    </row>
    <row r="183" spans="1:20">
      <c r="A183" t="s">
        <v>230</v>
      </c>
      <c r="B183" t="s">
        <v>20</v>
      </c>
      <c r="C183" t="s">
        <v>21</v>
      </c>
      <c r="D183" t="s">
        <v>231</v>
      </c>
      <c r="E183" s="2">
        <v>46149</v>
      </c>
      <c r="F183" s="2">
        <v>46149</v>
      </c>
      <c r="G183" t="s">
        <v>20</v>
      </c>
      <c r="H183" s="2">
        <v>46149</v>
      </c>
      <c r="I183" s="2">
        <v>46149</v>
      </c>
      <c r="J183" t="s">
        <v>20</v>
      </c>
      <c r="K183">
        <v>-37.17</v>
      </c>
      <c r="L183">
        <v>-37.17</v>
      </c>
      <c r="M183">
        <v>-37.17</v>
      </c>
      <c r="N183" t="s">
        <v>158</v>
      </c>
      <c r="O183" s="3" t="s">
        <v>1482</v>
      </c>
      <c r="P183" s="3" t="s">
        <v>1482</v>
      </c>
      <c r="Q183" s="3" t="s">
        <v>1482</v>
      </c>
      <c r="R183" s="3" t="s">
        <v>1482</v>
      </c>
      <c r="S183" s="3" t="s">
        <v>1482</v>
      </c>
      <c r="T183" s="3" t="s">
        <v>1482</v>
      </c>
    </row>
    <row r="184" spans="1:20">
      <c r="A184" t="s">
        <v>232</v>
      </c>
      <c r="B184" t="s">
        <v>20</v>
      </c>
      <c r="C184" t="s">
        <v>21</v>
      </c>
      <c r="D184" t="s">
        <v>233</v>
      </c>
      <c r="E184" s="2">
        <v>46149</v>
      </c>
      <c r="F184" s="2">
        <v>46149</v>
      </c>
      <c r="G184" t="s">
        <v>20</v>
      </c>
      <c r="H184" s="2">
        <v>46149</v>
      </c>
      <c r="I184" s="2">
        <v>46149</v>
      </c>
      <c r="J184" t="s">
        <v>20</v>
      </c>
      <c r="K184">
        <v>-31.57</v>
      </c>
      <c r="L184">
        <v>-31.57</v>
      </c>
      <c r="M184">
        <v>-31.57</v>
      </c>
      <c r="N184" t="s">
        <v>158</v>
      </c>
      <c r="O184" s="3" t="s">
        <v>1482</v>
      </c>
      <c r="P184" s="3" t="s">
        <v>1482</v>
      </c>
      <c r="Q184" s="3" t="s">
        <v>1482</v>
      </c>
      <c r="R184" s="3" t="s">
        <v>1482</v>
      </c>
      <c r="S184" s="3" t="s">
        <v>1482</v>
      </c>
      <c r="T184" s="3" t="s">
        <v>1482</v>
      </c>
    </row>
    <row r="185" spans="1:20">
      <c r="A185" t="s">
        <v>234</v>
      </c>
      <c r="B185" t="s">
        <v>20</v>
      </c>
      <c r="C185" t="s">
        <v>21</v>
      </c>
      <c r="D185" t="s">
        <v>235</v>
      </c>
      <c r="E185" s="2">
        <v>46149</v>
      </c>
      <c r="F185" s="2">
        <v>46149</v>
      </c>
      <c r="G185" t="s">
        <v>20</v>
      </c>
      <c r="H185" s="2">
        <v>46149</v>
      </c>
      <c r="I185" s="2">
        <v>46149</v>
      </c>
      <c r="J185" t="s">
        <v>20</v>
      </c>
      <c r="K185">
        <v>-105.23</v>
      </c>
      <c r="L185">
        <v>-105.23</v>
      </c>
      <c r="M185">
        <v>-105.23</v>
      </c>
      <c r="N185" t="s">
        <v>158</v>
      </c>
      <c r="O185" s="3" t="s">
        <v>1482</v>
      </c>
      <c r="P185" s="3" t="s">
        <v>1482</v>
      </c>
      <c r="Q185" s="3" t="s">
        <v>1482</v>
      </c>
      <c r="R185" s="3" t="s">
        <v>1482</v>
      </c>
      <c r="S185" s="3" t="s">
        <v>1482</v>
      </c>
      <c r="T185" s="3" t="s">
        <v>1482</v>
      </c>
    </row>
    <row r="186" spans="1:20">
      <c r="A186" t="s">
        <v>236</v>
      </c>
      <c r="B186" t="s">
        <v>20</v>
      </c>
      <c r="C186" t="s">
        <v>21</v>
      </c>
      <c r="D186" t="s">
        <v>237</v>
      </c>
      <c r="E186" s="2">
        <v>46149</v>
      </c>
      <c r="F186" s="2">
        <v>46149</v>
      </c>
      <c r="G186" t="s">
        <v>20</v>
      </c>
      <c r="H186" s="2">
        <v>46149</v>
      </c>
      <c r="I186" s="2">
        <v>46149</v>
      </c>
      <c r="J186" t="s">
        <v>20</v>
      </c>
      <c r="K186">
        <v>-210.47</v>
      </c>
      <c r="L186">
        <v>-210.47</v>
      </c>
      <c r="M186">
        <v>-210.47</v>
      </c>
      <c r="N186" t="s">
        <v>158</v>
      </c>
      <c r="O186" s="3" t="s">
        <v>1482</v>
      </c>
      <c r="P186" s="3" t="s">
        <v>1482</v>
      </c>
      <c r="Q186" s="3" t="s">
        <v>1482</v>
      </c>
      <c r="R186" s="3" t="s">
        <v>1482</v>
      </c>
      <c r="S186" s="3" t="s">
        <v>1482</v>
      </c>
      <c r="T186" s="3" t="s">
        <v>1482</v>
      </c>
    </row>
    <row r="187" spans="1:20">
      <c r="A187" t="s">
        <v>238</v>
      </c>
      <c r="B187" t="s">
        <v>20</v>
      </c>
      <c r="C187" t="s">
        <v>21</v>
      </c>
      <c r="D187" t="s">
        <v>239</v>
      </c>
      <c r="E187" s="2">
        <v>46149</v>
      </c>
      <c r="F187" s="2">
        <v>46149</v>
      </c>
      <c r="G187" t="s">
        <v>20</v>
      </c>
      <c r="H187" s="2">
        <v>46149</v>
      </c>
      <c r="I187" s="2">
        <v>46149</v>
      </c>
      <c r="J187" t="s">
        <v>20</v>
      </c>
      <c r="K187">
        <v>-35.08</v>
      </c>
      <c r="L187">
        <v>-35.08</v>
      </c>
      <c r="M187">
        <v>-35.08</v>
      </c>
      <c r="N187" t="s">
        <v>158</v>
      </c>
      <c r="O187" s="3" t="s">
        <v>1482</v>
      </c>
      <c r="P187" s="3" t="s">
        <v>1482</v>
      </c>
      <c r="Q187" s="3" t="s">
        <v>1482</v>
      </c>
      <c r="R187" s="3" t="s">
        <v>1482</v>
      </c>
      <c r="S187" s="3" t="s">
        <v>1482</v>
      </c>
      <c r="T187" s="3" t="s">
        <v>1482</v>
      </c>
    </row>
    <row r="188" spans="1:20">
      <c r="A188" t="s">
        <v>240</v>
      </c>
      <c r="B188" t="s">
        <v>20</v>
      </c>
      <c r="C188" t="s">
        <v>21</v>
      </c>
      <c r="D188" t="s">
        <v>241</v>
      </c>
      <c r="E188" s="2">
        <v>46149</v>
      </c>
      <c r="F188" s="2">
        <v>46149</v>
      </c>
      <c r="G188" t="s">
        <v>20</v>
      </c>
      <c r="H188" s="2">
        <v>46149</v>
      </c>
      <c r="I188" s="2">
        <v>46149</v>
      </c>
      <c r="J188" t="s">
        <v>20</v>
      </c>
      <c r="K188">
        <v>-70.16</v>
      </c>
      <c r="L188">
        <v>-70.16</v>
      </c>
      <c r="M188">
        <v>-70.16</v>
      </c>
      <c r="N188" t="s">
        <v>158</v>
      </c>
      <c r="O188" s="3" t="s">
        <v>1482</v>
      </c>
      <c r="P188" s="3" t="s">
        <v>1482</v>
      </c>
      <c r="Q188" s="3" t="s">
        <v>1482</v>
      </c>
      <c r="R188" s="3" t="s">
        <v>1482</v>
      </c>
      <c r="S188" s="3" t="s">
        <v>1482</v>
      </c>
      <c r="T188" s="3" t="s">
        <v>1482</v>
      </c>
    </row>
    <row r="189" spans="1:20">
      <c r="A189" t="s">
        <v>242</v>
      </c>
      <c r="B189" t="s">
        <v>20</v>
      </c>
      <c r="C189" t="s">
        <v>21</v>
      </c>
      <c r="D189" t="s">
        <v>243</v>
      </c>
      <c r="E189" s="2">
        <v>46149</v>
      </c>
      <c r="F189" s="2">
        <v>46149</v>
      </c>
      <c r="G189" t="s">
        <v>20</v>
      </c>
      <c r="H189" s="2">
        <v>46149</v>
      </c>
      <c r="I189" s="2">
        <v>46149</v>
      </c>
      <c r="J189" t="s">
        <v>20</v>
      </c>
      <c r="K189">
        <v>-70.16</v>
      </c>
      <c r="L189">
        <v>-70.16</v>
      </c>
      <c r="M189">
        <v>-70.16</v>
      </c>
      <c r="N189" t="s">
        <v>158</v>
      </c>
      <c r="O189" s="3" t="s">
        <v>1482</v>
      </c>
      <c r="P189" s="3" t="s">
        <v>1482</v>
      </c>
      <c r="Q189" s="3" t="s">
        <v>1482</v>
      </c>
      <c r="R189" s="3" t="s">
        <v>1482</v>
      </c>
      <c r="S189" s="3" t="s">
        <v>1482</v>
      </c>
      <c r="T189" s="3" t="s">
        <v>1482</v>
      </c>
    </row>
    <row r="190" spans="1:20">
      <c r="A190" t="s">
        <v>244</v>
      </c>
      <c r="B190" t="s">
        <v>20</v>
      </c>
      <c r="C190" t="s">
        <v>21</v>
      </c>
      <c r="D190" t="s">
        <v>245</v>
      </c>
      <c r="E190" s="2">
        <v>46149</v>
      </c>
      <c r="F190" s="2">
        <v>46149</v>
      </c>
      <c r="G190" t="s">
        <v>20</v>
      </c>
      <c r="H190" s="2">
        <v>46149</v>
      </c>
      <c r="I190" s="2">
        <v>46149</v>
      </c>
      <c r="J190" t="s">
        <v>20</v>
      </c>
      <c r="K190">
        <v>-105.23</v>
      </c>
      <c r="L190">
        <v>-105.23</v>
      </c>
      <c r="M190">
        <v>-105.23</v>
      </c>
      <c r="N190" t="s">
        <v>158</v>
      </c>
      <c r="O190" s="3" t="s">
        <v>1482</v>
      </c>
      <c r="P190" s="3" t="s">
        <v>1482</v>
      </c>
      <c r="Q190" s="3" t="s">
        <v>1482</v>
      </c>
      <c r="R190" s="3" t="s">
        <v>1482</v>
      </c>
      <c r="S190" s="3" t="s">
        <v>1482</v>
      </c>
      <c r="T190" s="3" t="s">
        <v>1482</v>
      </c>
    </row>
    <row r="191" spans="1:20">
      <c r="A191" t="s">
        <v>246</v>
      </c>
      <c r="B191" t="s">
        <v>20</v>
      </c>
      <c r="C191" t="s">
        <v>21</v>
      </c>
      <c r="D191" t="s">
        <v>247</v>
      </c>
      <c r="E191" s="2">
        <v>46149</v>
      </c>
      <c r="F191" s="2">
        <v>46149</v>
      </c>
      <c r="G191" t="s">
        <v>20</v>
      </c>
      <c r="H191" s="2">
        <v>46149</v>
      </c>
      <c r="I191" s="2">
        <v>46149</v>
      </c>
      <c r="J191" t="s">
        <v>20</v>
      </c>
      <c r="K191">
        <v>-35.08</v>
      </c>
      <c r="L191">
        <v>-35.08</v>
      </c>
      <c r="M191">
        <v>-35.08</v>
      </c>
      <c r="N191" t="s">
        <v>158</v>
      </c>
      <c r="O191" s="3" t="s">
        <v>1482</v>
      </c>
      <c r="P191" s="3" t="s">
        <v>1482</v>
      </c>
      <c r="Q191" s="3" t="s">
        <v>1482</v>
      </c>
      <c r="R191" s="3" t="s">
        <v>1482</v>
      </c>
      <c r="S191" s="3" t="s">
        <v>1482</v>
      </c>
      <c r="T191" s="3" t="s">
        <v>1482</v>
      </c>
    </row>
    <row r="192" spans="1:20">
      <c r="A192" t="s">
        <v>248</v>
      </c>
      <c r="B192" t="s">
        <v>20</v>
      </c>
      <c r="C192" t="s">
        <v>21</v>
      </c>
      <c r="D192" t="s">
        <v>249</v>
      </c>
      <c r="E192" s="2">
        <v>46149</v>
      </c>
      <c r="F192" s="2">
        <v>46149</v>
      </c>
      <c r="G192" t="s">
        <v>20</v>
      </c>
      <c r="H192" s="2">
        <v>46149</v>
      </c>
      <c r="I192" s="2">
        <v>46149</v>
      </c>
      <c r="J192" t="s">
        <v>20</v>
      </c>
      <c r="K192">
        <v>-105.23</v>
      </c>
      <c r="L192">
        <v>-105.23</v>
      </c>
      <c r="M192">
        <v>-105.23</v>
      </c>
      <c r="N192" t="s">
        <v>158</v>
      </c>
      <c r="O192" s="3" t="s">
        <v>1482</v>
      </c>
      <c r="P192" s="3" t="s">
        <v>1482</v>
      </c>
      <c r="Q192" s="3" t="s">
        <v>1482</v>
      </c>
      <c r="R192" s="3" t="s">
        <v>1482</v>
      </c>
      <c r="S192" s="3" t="s">
        <v>1482</v>
      </c>
      <c r="T192" s="3" t="s">
        <v>1482</v>
      </c>
    </row>
    <row r="193" spans="1:20">
      <c r="A193" t="s">
        <v>250</v>
      </c>
      <c r="B193" t="s">
        <v>20</v>
      </c>
      <c r="C193" t="s">
        <v>21</v>
      </c>
      <c r="D193" t="s">
        <v>251</v>
      </c>
      <c r="E193" s="2">
        <v>46149</v>
      </c>
      <c r="F193" s="2">
        <v>46149</v>
      </c>
      <c r="G193" t="s">
        <v>20</v>
      </c>
      <c r="H193" s="2">
        <v>46149</v>
      </c>
      <c r="I193" s="2">
        <v>46149</v>
      </c>
      <c r="J193" t="s">
        <v>20</v>
      </c>
      <c r="K193">
        <v>-139.01</v>
      </c>
      <c r="L193">
        <v>-139.01</v>
      </c>
      <c r="M193">
        <v>-139.01</v>
      </c>
      <c r="N193" t="s">
        <v>158</v>
      </c>
      <c r="O193" s="3" t="s">
        <v>1482</v>
      </c>
      <c r="P193" s="3" t="s">
        <v>1482</v>
      </c>
      <c r="Q193" s="3" t="s">
        <v>1482</v>
      </c>
      <c r="R193" s="3" t="s">
        <v>1482</v>
      </c>
      <c r="S193" s="3" t="s">
        <v>1482</v>
      </c>
      <c r="T193" s="3" t="s">
        <v>1482</v>
      </c>
    </row>
    <row r="194" spans="1:20">
      <c r="A194" t="s">
        <v>252</v>
      </c>
      <c r="B194" t="s">
        <v>20</v>
      </c>
      <c r="C194" t="s">
        <v>21</v>
      </c>
      <c r="D194" t="s">
        <v>253</v>
      </c>
      <c r="E194" s="2">
        <v>46149</v>
      </c>
      <c r="F194" s="2">
        <v>46149</v>
      </c>
      <c r="G194" t="s">
        <v>20</v>
      </c>
      <c r="H194" s="2">
        <v>46149</v>
      </c>
      <c r="I194" s="2">
        <v>46149</v>
      </c>
      <c r="J194" t="s">
        <v>20</v>
      </c>
      <c r="K194">
        <v>-175.39</v>
      </c>
      <c r="L194">
        <v>-175.39</v>
      </c>
      <c r="M194">
        <v>-175.39</v>
      </c>
      <c r="N194" t="s">
        <v>158</v>
      </c>
      <c r="O194" s="3" t="s">
        <v>1482</v>
      </c>
      <c r="P194" s="3" t="s">
        <v>1482</v>
      </c>
      <c r="Q194" s="3" t="s">
        <v>1482</v>
      </c>
      <c r="R194" s="3" t="s">
        <v>1482</v>
      </c>
      <c r="S194" s="3" t="s">
        <v>1482</v>
      </c>
      <c r="T194" s="3" t="s">
        <v>1482</v>
      </c>
    </row>
    <row r="195" spans="1:20">
      <c r="A195" t="s">
        <v>254</v>
      </c>
      <c r="B195" t="s">
        <v>20</v>
      </c>
      <c r="C195" t="s">
        <v>21</v>
      </c>
      <c r="D195" t="s">
        <v>255</v>
      </c>
      <c r="E195" s="2">
        <v>46149</v>
      </c>
      <c r="F195" s="2">
        <v>46149</v>
      </c>
      <c r="G195" t="s">
        <v>20</v>
      </c>
      <c r="H195" s="2">
        <v>46149</v>
      </c>
      <c r="I195" s="2">
        <v>46149</v>
      </c>
      <c r="J195" t="s">
        <v>20</v>
      </c>
      <c r="K195">
        <v>-35.08</v>
      </c>
      <c r="L195">
        <v>-35.08</v>
      </c>
      <c r="M195">
        <v>-35.08</v>
      </c>
      <c r="N195" t="s">
        <v>158</v>
      </c>
      <c r="O195" s="3" t="s">
        <v>1482</v>
      </c>
      <c r="P195" s="3" t="s">
        <v>1482</v>
      </c>
      <c r="Q195" s="3" t="s">
        <v>1482</v>
      </c>
      <c r="R195" s="3" t="s">
        <v>1482</v>
      </c>
      <c r="S195" s="3" t="s">
        <v>1482</v>
      </c>
      <c r="T195" s="3" t="s">
        <v>1482</v>
      </c>
    </row>
    <row r="196" spans="1:20">
      <c r="A196" t="s">
        <v>256</v>
      </c>
      <c r="B196" t="s">
        <v>20</v>
      </c>
      <c r="C196" t="s">
        <v>21</v>
      </c>
      <c r="D196" t="s">
        <v>257</v>
      </c>
      <c r="E196" s="2">
        <v>46149</v>
      </c>
      <c r="F196" s="2">
        <v>46149</v>
      </c>
      <c r="G196" t="s">
        <v>20</v>
      </c>
      <c r="H196" s="2">
        <v>46149</v>
      </c>
      <c r="I196" s="2">
        <v>46149</v>
      </c>
      <c r="J196" t="s">
        <v>20</v>
      </c>
      <c r="K196">
        <v>-70.16</v>
      </c>
      <c r="L196">
        <v>-70.16</v>
      </c>
      <c r="M196">
        <v>-70.16</v>
      </c>
      <c r="N196" t="s">
        <v>158</v>
      </c>
      <c r="O196" s="3" t="s">
        <v>1482</v>
      </c>
      <c r="P196" s="3" t="s">
        <v>1482</v>
      </c>
      <c r="Q196" s="3" t="s">
        <v>1482</v>
      </c>
      <c r="R196" s="3" t="s">
        <v>1482</v>
      </c>
      <c r="S196" s="3" t="s">
        <v>1482</v>
      </c>
      <c r="T196" s="3" t="s">
        <v>1482</v>
      </c>
    </row>
    <row r="197" spans="1:20">
      <c r="A197" t="s">
        <v>258</v>
      </c>
      <c r="B197" t="s">
        <v>20</v>
      </c>
      <c r="C197" t="s">
        <v>21</v>
      </c>
      <c r="D197" t="s">
        <v>259</v>
      </c>
      <c r="E197" s="2">
        <v>46149</v>
      </c>
      <c r="F197" s="2">
        <v>46149</v>
      </c>
      <c r="G197" t="s">
        <v>20</v>
      </c>
      <c r="H197" s="2">
        <v>46149</v>
      </c>
      <c r="I197" s="2">
        <v>46149</v>
      </c>
      <c r="J197" t="s">
        <v>20</v>
      </c>
      <c r="K197">
        <v>-130.34</v>
      </c>
      <c r="L197">
        <v>-130.34</v>
      </c>
      <c r="M197">
        <v>-130.34</v>
      </c>
      <c r="N197" t="s">
        <v>158</v>
      </c>
      <c r="O197" s="3" t="s">
        <v>1482</v>
      </c>
      <c r="P197" s="3" t="s">
        <v>1482</v>
      </c>
      <c r="Q197" s="3" t="s">
        <v>1482</v>
      </c>
      <c r="R197" s="3" t="s">
        <v>1482</v>
      </c>
      <c r="S197" s="3" t="s">
        <v>1482</v>
      </c>
      <c r="T197" s="3" t="s">
        <v>1482</v>
      </c>
    </row>
    <row r="198" spans="1:20">
      <c r="A198" t="s">
        <v>260</v>
      </c>
      <c r="B198" t="s">
        <v>20</v>
      </c>
      <c r="C198" t="s">
        <v>21</v>
      </c>
      <c r="D198" t="s">
        <v>261</v>
      </c>
      <c r="E198" s="2">
        <v>46149</v>
      </c>
      <c r="F198" s="2">
        <v>46149</v>
      </c>
      <c r="G198" t="s">
        <v>20</v>
      </c>
      <c r="H198" s="2">
        <v>46149</v>
      </c>
      <c r="I198" s="2">
        <v>46149</v>
      </c>
      <c r="J198" t="s">
        <v>20</v>
      </c>
      <c r="K198">
        <v>-166.81</v>
      </c>
      <c r="L198">
        <v>-166.81</v>
      </c>
      <c r="M198">
        <v>-166.81</v>
      </c>
      <c r="N198" t="s">
        <v>158</v>
      </c>
      <c r="O198" s="3" t="s">
        <v>1482</v>
      </c>
      <c r="P198" s="3" t="s">
        <v>1482</v>
      </c>
      <c r="Q198" s="3" t="s">
        <v>1482</v>
      </c>
      <c r="R198" s="3" t="s">
        <v>1482</v>
      </c>
      <c r="S198" s="3" t="s">
        <v>1482</v>
      </c>
      <c r="T198" s="3" t="s">
        <v>1482</v>
      </c>
    </row>
    <row r="199" spans="1:20">
      <c r="A199" t="s">
        <v>262</v>
      </c>
      <c r="B199" t="s">
        <v>20</v>
      </c>
      <c r="C199" t="s">
        <v>21</v>
      </c>
      <c r="D199" t="s">
        <v>263</v>
      </c>
      <c r="E199" s="2">
        <v>46149</v>
      </c>
      <c r="F199" s="2">
        <v>46149</v>
      </c>
      <c r="G199" t="s">
        <v>20</v>
      </c>
      <c r="H199" s="2">
        <v>46149</v>
      </c>
      <c r="I199" s="2">
        <v>46149</v>
      </c>
      <c r="J199" t="s">
        <v>20</v>
      </c>
      <c r="K199">
        <v>-31.57</v>
      </c>
      <c r="L199">
        <v>-31.57</v>
      </c>
      <c r="M199">
        <v>-31.57</v>
      </c>
      <c r="N199" t="s">
        <v>158</v>
      </c>
      <c r="O199" s="3" t="s">
        <v>1482</v>
      </c>
      <c r="P199" s="3" t="s">
        <v>1482</v>
      </c>
      <c r="Q199" s="3" t="s">
        <v>1482</v>
      </c>
      <c r="R199" s="3" t="s">
        <v>1482</v>
      </c>
      <c r="S199" s="3" t="s">
        <v>1482</v>
      </c>
      <c r="T199" s="3" t="s">
        <v>1482</v>
      </c>
    </row>
    <row r="200" spans="1:20">
      <c r="A200" t="s">
        <v>264</v>
      </c>
      <c r="B200" t="s">
        <v>20</v>
      </c>
      <c r="C200" t="s">
        <v>21</v>
      </c>
      <c r="D200" t="s">
        <v>265</v>
      </c>
      <c r="E200" s="2">
        <v>46149</v>
      </c>
      <c r="F200" s="2">
        <v>46149</v>
      </c>
      <c r="G200" t="s">
        <v>20</v>
      </c>
      <c r="H200" s="2">
        <v>46149</v>
      </c>
      <c r="I200" s="2">
        <v>46149</v>
      </c>
      <c r="J200" t="s">
        <v>20</v>
      </c>
      <c r="K200">
        <v>-35.08</v>
      </c>
      <c r="L200">
        <v>-35.08</v>
      </c>
      <c r="M200">
        <v>-35.08</v>
      </c>
      <c r="N200" t="s">
        <v>158</v>
      </c>
      <c r="O200" s="3" t="s">
        <v>1482</v>
      </c>
      <c r="P200" s="3" t="s">
        <v>1482</v>
      </c>
      <c r="Q200" s="3" t="s">
        <v>1482</v>
      </c>
      <c r="R200" s="3" t="s">
        <v>1482</v>
      </c>
      <c r="S200" s="3" t="s">
        <v>1482</v>
      </c>
      <c r="T200" s="3" t="s">
        <v>1482</v>
      </c>
    </row>
    <row r="201" spans="1:20">
      <c r="A201" t="s">
        <v>266</v>
      </c>
      <c r="B201" t="s">
        <v>20</v>
      </c>
      <c r="C201" t="s">
        <v>21</v>
      </c>
      <c r="D201" t="s">
        <v>267</v>
      </c>
      <c r="E201" s="2">
        <v>46149</v>
      </c>
      <c r="F201" s="2">
        <v>46149</v>
      </c>
      <c r="G201" t="s">
        <v>20</v>
      </c>
      <c r="H201" s="2">
        <v>46149</v>
      </c>
      <c r="I201" s="2">
        <v>46149</v>
      </c>
      <c r="J201" t="s">
        <v>20</v>
      </c>
      <c r="K201">
        <v>-175.39</v>
      </c>
      <c r="L201">
        <v>-175.39</v>
      </c>
      <c r="M201">
        <v>-175.39</v>
      </c>
      <c r="N201" t="s">
        <v>158</v>
      </c>
      <c r="O201" s="3" t="s">
        <v>1482</v>
      </c>
      <c r="P201" s="3" t="s">
        <v>1482</v>
      </c>
      <c r="Q201" s="3" t="s">
        <v>1482</v>
      </c>
      <c r="R201" s="3" t="s">
        <v>1482</v>
      </c>
      <c r="S201" s="3" t="s">
        <v>1482</v>
      </c>
      <c r="T201" s="3" t="s">
        <v>1482</v>
      </c>
    </row>
    <row r="202" spans="1:20">
      <c r="A202" t="s">
        <v>268</v>
      </c>
      <c r="B202" t="s">
        <v>20</v>
      </c>
      <c r="C202" t="s">
        <v>21</v>
      </c>
      <c r="D202" t="s">
        <v>269</v>
      </c>
      <c r="E202" s="2">
        <v>46149</v>
      </c>
      <c r="F202" s="2">
        <v>46149</v>
      </c>
      <c r="G202" t="s">
        <v>20</v>
      </c>
      <c r="H202" s="2">
        <v>46149</v>
      </c>
      <c r="I202" s="2">
        <v>46149</v>
      </c>
      <c r="J202" t="s">
        <v>20</v>
      </c>
      <c r="K202">
        <v>-210.47</v>
      </c>
      <c r="L202">
        <v>-210.47</v>
      </c>
      <c r="M202">
        <v>-210.47</v>
      </c>
      <c r="N202" t="s">
        <v>158</v>
      </c>
      <c r="O202" s="3" t="s">
        <v>1482</v>
      </c>
      <c r="P202" s="3" t="s">
        <v>1482</v>
      </c>
      <c r="Q202" s="3" t="s">
        <v>1482</v>
      </c>
      <c r="R202" s="3" t="s">
        <v>1482</v>
      </c>
      <c r="S202" s="3" t="s">
        <v>1482</v>
      </c>
      <c r="T202" s="3" t="s">
        <v>1482</v>
      </c>
    </row>
    <row r="203" spans="1:20">
      <c r="A203" t="s">
        <v>270</v>
      </c>
      <c r="B203" t="s">
        <v>20</v>
      </c>
      <c r="C203" t="s">
        <v>21</v>
      </c>
      <c r="D203" t="s">
        <v>271</v>
      </c>
      <c r="E203" s="2">
        <v>46149</v>
      </c>
      <c r="F203" s="2">
        <v>46149</v>
      </c>
      <c r="G203" t="s">
        <v>20</v>
      </c>
      <c r="H203" s="2">
        <v>46149</v>
      </c>
      <c r="I203" s="2">
        <v>46149</v>
      </c>
      <c r="J203" t="s">
        <v>20</v>
      </c>
      <c r="K203">
        <v>-175.39</v>
      </c>
      <c r="L203">
        <v>-175.39</v>
      </c>
      <c r="M203">
        <v>-175.39</v>
      </c>
      <c r="N203" t="s">
        <v>158</v>
      </c>
      <c r="O203" s="3" t="s">
        <v>1482</v>
      </c>
      <c r="P203" s="3" t="s">
        <v>1482</v>
      </c>
      <c r="Q203" s="3" t="s">
        <v>1482</v>
      </c>
      <c r="R203" s="3" t="s">
        <v>1482</v>
      </c>
      <c r="S203" s="3" t="s">
        <v>1482</v>
      </c>
      <c r="T203" s="3" t="s">
        <v>1482</v>
      </c>
    </row>
    <row r="204" spans="1:20">
      <c r="A204" t="s">
        <v>272</v>
      </c>
      <c r="B204" t="s">
        <v>20</v>
      </c>
      <c r="C204" t="s">
        <v>21</v>
      </c>
      <c r="D204" t="s">
        <v>273</v>
      </c>
      <c r="E204" s="2">
        <v>46149</v>
      </c>
      <c r="F204" s="2">
        <v>46149</v>
      </c>
      <c r="G204" t="s">
        <v>20</v>
      </c>
      <c r="H204" s="2">
        <v>46149</v>
      </c>
      <c r="I204" s="2">
        <v>46149</v>
      </c>
      <c r="J204" t="s">
        <v>20</v>
      </c>
      <c r="K204">
        <v>-83.41</v>
      </c>
      <c r="L204">
        <v>-83.41</v>
      </c>
      <c r="M204">
        <v>-83.41</v>
      </c>
      <c r="N204" t="s">
        <v>158</v>
      </c>
      <c r="O204" s="3" t="s">
        <v>1482</v>
      </c>
      <c r="P204" s="3" t="s">
        <v>1482</v>
      </c>
      <c r="Q204" s="3" t="s">
        <v>1482</v>
      </c>
      <c r="R204" s="3" t="s">
        <v>1482</v>
      </c>
      <c r="S204" s="3" t="s">
        <v>1482</v>
      </c>
      <c r="T204" s="3" t="s">
        <v>1482</v>
      </c>
    </row>
    <row r="205" spans="1:20">
      <c r="A205" t="s">
        <v>274</v>
      </c>
      <c r="B205" t="s">
        <v>20</v>
      </c>
      <c r="C205" t="s">
        <v>21</v>
      </c>
      <c r="D205" t="s">
        <v>275</v>
      </c>
      <c r="E205" s="2">
        <v>46149</v>
      </c>
      <c r="F205" s="2">
        <v>46149</v>
      </c>
      <c r="G205" t="s">
        <v>20</v>
      </c>
      <c r="H205" s="2">
        <v>46149</v>
      </c>
      <c r="I205" s="2">
        <v>46149</v>
      </c>
      <c r="J205" t="s">
        <v>20</v>
      </c>
      <c r="K205">
        <v>-31.57</v>
      </c>
      <c r="L205">
        <v>-31.57</v>
      </c>
      <c r="M205">
        <v>-31.57</v>
      </c>
      <c r="N205" t="s">
        <v>158</v>
      </c>
      <c r="O205" s="3" t="s">
        <v>1482</v>
      </c>
      <c r="P205" s="3" t="s">
        <v>1482</v>
      </c>
      <c r="Q205" s="3" t="s">
        <v>1482</v>
      </c>
      <c r="R205" s="3" t="s">
        <v>1482</v>
      </c>
      <c r="S205" s="3" t="s">
        <v>1482</v>
      </c>
      <c r="T205" s="3" t="s">
        <v>1482</v>
      </c>
    </row>
    <row r="206" spans="1:20">
      <c r="A206" t="s">
        <v>276</v>
      </c>
      <c r="B206" t="s">
        <v>20</v>
      </c>
      <c r="C206" t="s">
        <v>21</v>
      </c>
      <c r="D206" t="s">
        <v>277</v>
      </c>
      <c r="E206" s="2">
        <v>46149</v>
      </c>
      <c r="F206" s="2">
        <v>46149</v>
      </c>
      <c r="G206" t="s">
        <v>20</v>
      </c>
      <c r="H206" s="2">
        <v>46149</v>
      </c>
      <c r="I206" s="2">
        <v>46149</v>
      </c>
      <c r="J206" t="s">
        <v>20</v>
      </c>
      <c r="K206">
        <v>-113.11</v>
      </c>
      <c r="L206">
        <v>-113.11</v>
      </c>
      <c r="M206">
        <v>-113.11</v>
      </c>
      <c r="N206" t="s">
        <v>158</v>
      </c>
      <c r="O206" s="3" t="s">
        <v>1482</v>
      </c>
      <c r="P206" s="3" t="s">
        <v>1482</v>
      </c>
      <c r="Q206" s="3" t="s">
        <v>1482</v>
      </c>
      <c r="R206" s="3" t="s">
        <v>1482</v>
      </c>
      <c r="S206" s="3" t="s">
        <v>1482</v>
      </c>
      <c r="T206" s="3" t="s">
        <v>1482</v>
      </c>
    </row>
    <row r="207" spans="1:20">
      <c r="A207" t="s">
        <v>278</v>
      </c>
      <c r="B207" t="s">
        <v>20</v>
      </c>
      <c r="C207" t="s">
        <v>21</v>
      </c>
      <c r="D207" t="s">
        <v>279</v>
      </c>
      <c r="E207" s="2">
        <v>46149</v>
      </c>
      <c r="F207" s="2">
        <v>46149</v>
      </c>
      <c r="G207" t="s">
        <v>20</v>
      </c>
      <c r="H207" s="2">
        <v>46149</v>
      </c>
      <c r="I207" s="2">
        <v>46149</v>
      </c>
      <c r="J207" t="s">
        <v>20</v>
      </c>
      <c r="K207">
        <v>-111.21</v>
      </c>
      <c r="L207">
        <v>-111.21</v>
      </c>
      <c r="M207">
        <v>-111.21</v>
      </c>
      <c r="N207" t="s">
        <v>158</v>
      </c>
      <c r="O207" s="3" t="s">
        <v>1482</v>
      </c>
      <c r="P207" s="3" t="s">
        <v>1482</v>
      </c>
      <c r="Q207" s="3" t="s">
        <v>1482</v>
      </c>
      <c r="R207" s="3" t="s">
        <v>1482</v>
      </c>
      <c r="S207" s="3" t="s">
        <v>1482</v>
      </c>
      <c r="T207" s="3" t="s">
        <v>1482</v>
      </c>
    </row>
    <row r="208" spans="1:20">
      <c r="A208" t="s">
        <v>280</v>
      </c>
      <c r="B208" t="s">
        <v>20</v>
      </c>
      <c r="C208" t="s">
        <v>21</v>
      </c>
      <c r="D208" t="s">
        <v>281</v>
      </c>
      <c r="E208" s="2">
        <v>46149</v>
      </c>
      <c r="F208" s="2">
        <v>46149</v>
      </c>
      <c r="G208" t="s">
        <v>20</v>
      </c>
      <c r="H208" s="2">
        <v>46149</v>
      </c>
      <c r="I208" s="2">
        <v>46149</v>
      </c>
      <c r="J208" t="s">
        <v>20</v>
      </c>
      <c r="K208">
        <v>-175.39</v>
      </c>
      <c r="L208">
        <v>-175.39</v>
      </c>
      <c r="M208">
        <v>-175.39</v>
      </c>
      <c r="N208" t="s">
        <v>158</v>
      </c>
      <c r="O208" s="3" t="s">
        <v>1482</v>
      </c>
      <c r="P208" s="3" t="s">
        <v>1482</v>
      </c>
      <c r="Q208" s="3" t="s">
        <v>1482</v>
      </c>
      <c r="R208" s="3" t="s">
        <v>1482</v>
      </c>
      <c r="S208" s="3" t="s">
        <v>1482</v>
      </c>
      <c r="T208" s="3" t="s">
        <v>1482</v>
      </c>
    </row>
    <row r="209" spans="1:20">
      <c r="A209" t="s">
        <v>282</v>
      </c>
      <c r="B209" t="s">
        <v>20</v>
      </c>
      <c r="C209" t="s">
        <v>21</v>
      </c>
      <c r="D209" t="s">
        <v>283</v>
      </c>
      <c r="E209" s="2">
        <v>46149</v>
      </c>
      <c r="F209" s="2">
        <v>46149</v>
      </c>
      <c r="G209" t="s">
        <v>20</v>
      </c>
      <c r="H209" s="2">
        <v>46149</v>
      </c>
      <c r="I209" s="2">
        <v>46149</v>
      </c>
      <c r="J209" t="s">
        <v>20</v>
      </c>
      <c r="K209">
        <v>-55.6</v>
      </c>
      <c r="L209">
        <v>-55.6</v>
      </c>
      <c r="M209">
        <v>-55.6</v>
      </c>
      <c r="N209" t="s">
        <v>158</v>
      </c>
      <c r="O209" s="3" t="s">
        <v>1482</v>
      </c>
      <c r="P209" s="3" t="s">
        <v>1482</v>
      </c>
      <c r="Q209" s="3" t="s">
        <v>1482</v>
      </c>
      <c r="R209" s="3" t="s">
        <v>1482</v>
      </c>
      <c r="S209" s="3" t="s">
        <v>1482</v>
      </c>
      <c r="T209" s="3" t="s">
        <v>1482</v>
      </c>
    </row>
    <row r="210" spans="1:20">
      <c r="A210" t="s">
        <v>284</v>
      </c>
      <c r="B210" t="s">
        <v>20</v>
      </c>
      <c r="C210" t="s">
        <v>21</v>
      </c>
      <c r="D210" t="s">
        <v>285</v>
      </c>
      <c r="E210" s="2">
        <v>46149</v>
      </c>
      <c r="F210" s="2">
        <v>46149</v>
      </c>
      <c r="G210" t="s">
        <v>20</v>
      </c>
      <c r="H210" s="2">
        <v>46149</v>
      </c>
      <c r="I210" s="2">
        <v>46149</v>
      </c>
      <c r="J210" t="s">
        <v>20</v>
      </c>
      <c r="K210">
        <v>-166.81</v>
      </c>
      <c r="L210">
        <v>-166.81</v>
      </c>
      <c r="M210">
        <v>-166.81</v>
      </c>
      <c r="N210" t="s">
        <v>158</v>
      </c>
      <c r="O210" s="3" t="s">
        <v>1482</v>
      </c>
      <c r="P210" s="3" t="s">
        <v>1482</v>
      </c>
      <c r="Q210" s="3" t="s">
        <v>1482</v>
      </c>
      <c r="R210" s="3" t="s">
        <v>1482</v>
      </c>
      <c r="S210" s="3" t="s">
        <v>1482</v>
      </c>
      <c r="T210" s="3" t="s">
        <v>1482</v>
      </c>
    </row>
    <row r="211" spans="1:20">
      <c r="A211" t="s">
        <v>286</v>
      </c>
      <c r="B211" t="s">
        <v>20</v>
      </c>
      <c r="C211" t="s">
        <v>21</v>
      </c>
      <c r="D211" t="s">
        <v>287</v>
      </c>
      <c r="E211" s="2">
        <v>46149</v>
      </c>
      <c r="F211" s="2">
        <v>46149</v>
      </c>
      <c r="G211" t="s">
        <v>20</v>
      </c>
      <c r="H211" s="2">
        <v>46149</v>
      </c>
      <c r="I211" s="2">
        <v>46149</v>
      </c>
      <c r="J211" t="s">
        <v>20</v>
      </c>
      <c r="K211">
        <v>-35.08</v>
      </c>
      <c r="L211">
        <v>-35.08</v>
      </c>
      <c r="M211">
        <v>-35.08</v>
      </c>
      <c r="N211" t="s">
        <v>158</v>
      </c>
      <c r="O211" s="3" t="s">
        <v>1482</v>
      </c>
      <c r="P211" s="3" t="s">
        <v>1482</v>
      </c>
      <c r="Q211" s="3" t="s">
        <v>1482</v>
      </c>
      <c r="R211" s="3" t="s">
        <v>1482</v>
      </c>
      <c r="S211" s="3" t="s">
        <v>1482</v>
      </c>
      <c r="T211" s="3" t="s">
        <v>1482</v>
      </c>
    </row>
    <row r="212" spans="1:20">
      <c r="A212" t="s">
        <v>288</v>
      </c>
      <c r="B212" t="s">
        <v>20</v>
      </c>
      <c r="C212" t="s">
        <v>21</v>
      </c>
      <c r="D212" t="s">
        <v>289</v>
      </c>
      <c r="E212" s="2">
        <v>46149</v>
      </c>
      <c r="F212" s="2">
        <v>46149</v>
      </c>
      <c r="G212" t="s">
        <v>20</v>
      </c>
      <c r="H212" s="2">
        <v>46149</v>
      </c>
      <c r="I212" s="2">
        <v>46149</v>
      </c>
      <c r="J212" t="s">
        <v>20</v>
      </c>
      <c r="K212">
        <v>-59.27</v>
      </c>
      <c r="L212">
        <v>-59.27</v>
      </c>
      <c r="M212">
        <v>-59.27</v>
      </c>
      <c r="N212" t="s">
        <v>158</v>
      </c>
      <c r="O212" s="3" t="s">
        <v>1482</v>
      </c>
      <c r="P212" s="3" t="s">
        <v>1482</v>
      </c>
      <c r="Q212" s="3" t="s">
        <v>1482</v>
      </c>
      <c r="R212" s="3" t="s">
        <v>1482</v>
      </c>
      <c r="S212" s="3" t="s">
        <v>1482</v>
      </c>
      <c r="T212" s="3" t="s">
        <v>1482</v>
      </c>
    </row>
    <row r="213" spans="1:20">
      <c r="A213" t="s">
        <v>290</v>
      </c>
      <c r="B213" t="s">
        <v>20</v>
      </c>
      <c r="C213" t="s">
        <v>21</v>
      </c>
      <c r="D213" t="s">
        <v>291</v>
      </c>
      <c r="E213" s="2">
        <v>46149</v>
      </c>
      <c r="F213" s="2">
        <v>46149</v>
      </c>
      <c r="G213" t="s">
        <v>20</v>
      </c>
      <c r="H213" s="2">
        <v>46149</v>
      </c>
      <c r="I213" s="2">
        <v>46149</v>
      </c>
      <c r="J213" t="s">
        <v>20</v>
      </c>
      <c r="K213">
        <v>-70.16</v>
      </c>
      <c r="L213">
        <v>-70.16</v>
      </c>
      <c r="M213">
        <v>-70.16</v>
      </c>
      <c r="N213" t="s">
        <v>158</v>
      </c>
      <c r="O213" s="3" t="s">
        <v>1482</v>
      </c>
      <c r="P213" s="3" t="s">
        <v>1482</v>
      </c>
      <c r="Q213" s="3" t="s">
        <v>1482</v>
      </c>
      <c r="R213" s="3" t="s">
        <v>1482</v>
      </c>
      <c r="S213" s="3" t="s">
        <v>1482</v>
      </c>
      <c r="T213" s="3" t="s">
        <v>1482</v>
      </c>
    </row>
    <row r="214" spans="1:20">
      <c r="A214" t="s">
        <v>292</v>
      </c>
      <c r="B214" t="s">
        <v>20</v>
      </c>
      <c r="C214" t="s">
        <v>21</v>
      </c>
      <c r="D214" t="s">
        <v>293</v>
      </c>
      <c r="E214" s="2">
        <v>46149</v>
      </c>
      <c r="F214" s="2">
        <v>46149</v>
      </c>
      <c r="G214" t="s">
        <v>20</v>
      </c>
      <c r="H214" s="2">
        <v>46149</v>
      </c>
      <c r="I214" s="2">
        <v>46149</v>
      </c>
      <c r="J214" t="s">
        <v>20</v>
      </c>
      <c r="K214">
        <v>-35.08</v>
      </c>
      <c r="L214">
        <v>-35.08</v>
      </c>
      <c r="M214">
        <v>-35.08</v>
      </c>
      <c r="N214" t="s">
        <v>158</v>
      </c>
      <c r="O214" s="3" t="s">
        <v>1482</v>
      </c>
      <c r="P214" s="3" t="s">
        <v>1482</v>
      </c>
      <c r="Q214" s="3" t="s">
        <v>1482</v>
      </c>
      <c r="R214" s="3" t="s">
        <v>1482</v>
      </c>
      <c r="S214" s="3" t="s">
        <v>1482</v>
      </c>
      <c r="T214" s="3" t="s">
        <v>1482</v>
      </c>
    </row>
    <row r="215" spans="1:20">
      <c r="A215" t="s">
        <v>294</v>
      </c>
      <c r="B215" t="s">
        <v>20</v>
      </c>
      <c r="C215" t="s">
        <v>21</v>
      </c>
      <c r="D215" t="s">
        <v>295</v>
      </c>
      <c r="E215" s="2">
        <v>46149</v>
      </c>
      <c r="F215" s="2">
        <v>46149</v>
      </c>
      <c r="G215" t="s">
        <v>20</v>
      </c>
      <c r="H215" s="2">
        <v>46149</v>
      </c>
      <c r="I215" s="2">
        <v>46149</v>
      </c>
      <c r="J215" t="s">
        <v>20</v>
      </c>
      <c r="K215">
        <v>-70.16</v>
      </c>
      <c r="L215">
        <v>-70.16</v>
      </c>
      <c r="M215">
        <v>-70.16</v>
      </c>
      <c r="N215" t="s">
        <v>158</v>
      </c>
      <c r="O215" s="3" t="s">
        <v>1482</v>
      </c>
      <c r="P215" s="3" t="s">
        <v>1482</v>
      </c>
      <c r="Q215" s="3" t="s">
        <v>1482</v>
      </c>
      <c r="R215" s="3" t="s">
        <v>1482</v>
      </c>
      <c r="S215" s="3" t="s">
        <v>1482</v>
      </c>
      <c r="T215" s="3" t="s">
        <v>1482</v>
      </c>
    </row>
    <row r="216" spans="1:20">
      <c r="A216" t="s">
        <v>296</v>
      </c>
      <c r="B216" t="s">
        <v>20</v>
      </c>
      <c r="C216" t="s">
        <v>21</v>
      </c>
      <c r="D216" t="s">
        <v>297</v>
      </c>
      <c r="E216" s="2">
        <v>46149</v>
      </c>
      <c r="F216" s="2">
        <v>46149</v>
      </c>
      <c r="G216" t="s">
        <v>20</v>
      </c>
      <c r="H216" s="2">
        <v>46149</v>
      </c>
      <c r="I216" s="2">
        <v>46149</v>
      </c>
      <c r="J216" t="s">
        <v>20</v>
      </c>
      <c r="K216">
        <v>-140.31</v>
      </c>
      <c r="L216">
        <v>-140.31</v>
      </c>
      <c r="M216">
        <v>-140.31</v>
      </c>
      <c r="N216" t="s">
        <v>158</v>
      </c>
      <c r="O216" s="3" t="s">
        <v>1482</v>
      </c>
      <c r="P216" s="3" t="s">
        <v>1482</v>
      </c>
      <c r="Q216" s="3" t="s">
        <v>1482</v>
      </c>
      <c r="R216" s="3" t="s">
        <v>1482</v>
      </c>
      <c r="S216" s="3" t="s">
        <v>1482</v>
      </c>
      <c r="T216" s="3" t="s">
        <v>1482</v>
      </c>
    </row>
    <row r="217" spans="1:20">
      <c r="A217" t="s">
        <v>298</v>
      </c>
      <c r="B217" t="s">
        <v>20</v>
      </c>
      <c r="C217" t="s">
        <v>21</v>
      </c>
      <c r="D217" t="s">
        <v>299</v>
      </c>
      <c r="E217" s="2">
        <v>46149</v>
      </c>
      <c r="F217" s="2">
        <v>46149</v>
      </c>
      <c r="G217" t="s">
        <v>20</v>
      </c>
      <c r="H217" s="2">
        <v>46149</v>
      </c>
      <c r="I217" s="2">
        <v>46149</v>
      </c>
      <c r="J217" t="s">
        <v>20</v>
      </c>
      <c r="K217">
        <v>-76.13</v>
      </c>
      <c r="L217">
        <v>-76.13</v>
      </c>
      <c r="M217">
        <v>-76.13</v>
      </c>
      <c r="N217" t="s">
        <v>158</v>
      </c>
      <c r="O217" s="3" t="s">
        <v>1482</v>
      </c>
      <c r="P217" s="3" t="s">
        <v>1482</v>
      </c>
      <c r="Q217" s="3" t="s">
        <v>1482</v>
      </c>
      <c r="R217" s="3" t="s">
        <v>1482</v>
      </c>
      <c r="S217" s="3" t="s">
        <v>1482</v>
      </c>
      <c r="T217" s="3" t="s">
        <v>1482</v>
      </c>
    </row>
    <row r="218" spans="1:20">
      <c r="A218" t="s">
        <v>300</v>
      </c>
      <c r="B218" t="s">
        <v>20</v>
      </c>
      <c r="C218" t="s">
        <v>21</v>
      </c>
      <c r="D218" t="s">
        <v>301</v>
      </c>
      <c r="E218" s="2">
        <v>46149</v>
      </c>
      <c r="F218" s="2">
        <v>46149</v>
      </c>
      <c r="G218" t="s">
        <v>20</v>
      </c>
      <c r="H218" s="2">
        <v>46149</v>
      </c>
      <c r="I218" s="2">
        <v>46149</v>
      </c>
      <c r="J218" t="s">
        <v>20</v>
      </c>
      <c r="K218">
        <v>-88.91</v>
      </c>
      <c r="L218">
        <v>-88.91</v>
      </c>
      <c r="M218">
        <v>-88.91</v>
      </c>
      <c r="N218" t="s">
        <v>158</v>
      </c>
      <c r="O218" s="3" t="s">
        <v>1482</v>
      </c>
      <c r="P218" s="3" t="s">
        <v>1482</v>
      </c>
      <c r="Q218" s="3" t="s">
        <v>1482</v>
      </c>
      <c r="R218" s="3" t="s">
        <v>1482</v>
      </c>
      <c r="S218" s="3" t="s">
        <v>1482</v>
      </c>
      <c r="T218" s="3" t="s">
        <v>1482</v>
      </c>
    </row>
    <row r="219" spans="1:20">
      <c r="A219" t="s">
        <v>302</v>
      </c>
      <c r="B219" t="s">
        <v>20</v>
      </c>
      <c r="C219" t="s">
        <v>21</v>
      </c>
      <c r="D219" t="s">
        <v>303</v>
      </c>
      <c r="E219" s="2">
        <v>46149</v>
      </c>
      <c r="F219" s="2">
        <v>46149</v>
      </c>
      <c r="G219" t="s">
        <v>20</v>
      </c>
      <c r="H219" s="2">
        <v>46149</v>
      </c>
      <c r="I219" s="2">
        <v>46149</v>
      </c>
      <c r="J219" t="s">
        <v>20</v>
      </c>
      <c r="K219">
        <v>-35.08</v>
      </c>
      <c r="L219">
        <v>-35.08</v>
      </c>
      <c r="M219">
        <v>-35.08</v>
      </c>
      <c r="N219" t="s">
        <v>158</v>
      </c>
      <c r="O219" s="3" t="s">
        <v>1482</v>
      </c>
      <c r="P219" s="3" t="s">
        <v>1482</v>
      </c>
      <c r="Q219" s="3" t="s">
        <v>1482</v>
      </c>
      <c r="R219" s="3" t="s">
        <v>1482</v>
      </c>
      <c r="S219" s="3" t="s">
        <v>1482</v>
      </c>
      <c r="T219" s="3" t="s">
        <v>1482</v>
      </c>
    </row>
    <row r="220" spans="1:20">
      <c r="A220" t="s">
        <v>304</v>
      </c>
      <c r="B220" t="s">
        <v>20</v>
      </c>
      <c r="C220" t="s">
        <v>21</v>
      </c>
      <c r="D220" t="s">
        <v>305</v>
      </c>
      <c r="E220" s="2">
        <v>46149</v>
      </c>
      <c r="F220" s="2">
        <v>46149</v>
      </c>
      <c r="G220" t="s">
        <v>20</v>
      </c>
      <c r="H220" s="2">
        <v>46149</v>
      </c>
      <c r="I220" s="2">
        <v>46149</v>
      </c>
      <c r="J220" t="s">
        <v>20</v>
      </c>
      <c r="K220">
        <v>-140.31</v>
      </c>
      <c r="L220">
        <v>-140.31</v>
      </c>
      <c r="M220">
        <v>-140.31</v>
      </c>
      <c r="N220" t="s">
        <v>158</v>
      </c>
      <c r="O220" s="3" t="s">
        <v>1482</v>
      </c>
      <c r="P220" s="3" t="s">
        <v>1482</v>
      </c>
      <c r="Q220" s="3" t="s">
        <v>1482</v>
      </c>
      <c r="R220" s="3" t="s">
        <v>1482</v>
      </c>
      <c r="S220" s="3" t="s">
        <v>1482</v>
      </c>
      <c r="T220" s="3" t="s">
        <v>1482</v>
      </c>
    </row>
    <row r="221" spans="1:20">
      <c r="A221" t="s">
        <v>306</v>
      </c>
      <c r="B221" t="s">
        <v>20</v>
      </c>
      <c r="C221" t="s">
        <v>21</v>
      </c>
      <c r="D221" t="s">
        <v>307</v>
      </c>
      <c r="E221" s="2">
        <v>46149</v>
      </c>
      <c r="F221" s="2">
        <v>46149</v>
      </c>
      <c r="G221" t="s">
        <v>20</v>
      </c>
      <c r="H221" s="2">
        <v>46149</v>
      </c>
      <c r="I221" s="2">
        <v>46149</v>
      </c>
      <c r="J221" t="s">
        <v>20</v>
      </c>
      <c r="K221">
        <v>-35.08</v>
      </c>
      <c r="L221">
        <v>-35.08</v>
      </c>
      <c r="M221">
        <v>-35.08</v>
      </c>
      <c r="N221" t="s">
        <v>158</v>
      </c>
      <c r="O221" s="3" t="s">
        <v>1482</v>
      </c>
      <c r="P221" s="3" t="s">
        <v>1482</v>
      </c>
      <c r="Q221" s="3" t="s">
        <v>1482</v>
      </c>
      <c r="R221" s="3" t="s">
        <v>1482</v>
      </c>
      <c r="S221" s="3" t="s">
        <v>1482</v>
      </c>
      <c r="T221" s="3" t="s">
        <v>1482</v>
      </c>
    </row>
    <row r="222" spans="1:20">
      <c r="A222" t="s">
        <v>308</v>
      </c>
      <c r="B222" t="s">
        <v>20</v>
      </c>
      <c r="C222" t="s">
        <v>21</v>
      </c>
      <c r="D222" t="s">
        <v>309</v>
      </c>
      <c r="E222" s="2">
        <v>46149</v>
      </c>
      <c r="F222" s="2">
        <v>46149</v>
      </c>
      <c r="G222" t="s">
        <v>20</v>
      </c>
      <c r="H222" s="2">
        <v>46149</v>
      </c>
      <c r="I222" s="2">
        <v>46149</v>
      </c>
      <c r="J222" t="s">
        <v>20</v>
      </c>
      <c r="K222">
        <v>-84.19</v>
      </c>
      <c r="L222">
        <v>-84.19</v>
      </c>
      <c r="M222">
        <v>-84.19</v>
      </c>
      <c r="N222" t="s">
        <v>158</v>
      </c>
      <c r="O222" s="3" t="s">
        <v>1482</v>
      </c>
      <c r="P222" s="3" t="s">
        <v>1482</v>
      </c>
      <c r="Q222" s="3" t="s">
        <v>1482</v>
      </c>
      <c r="R222" s="3" t="s">
        <v>1482</v>
      </c>
      <c r="S222" s="3" t="s">
        <v>1482</v>
      </c>
      <c r="T222" s="3" t="s">
        <v>1482</v>
      </c>
    </row>
    <row r="223" spans="1:20">
      <c r="A223" t="s">
        <v>310</v>
      </c>
      <c r="B223" t="s">
        <v>20</v>
      </c>
      <c r="C223" t="s">
        <v>21</v>
      </c>
      <c r="D223" t="s">
        <v>311</v>
      </c>
      <c r="E223" s="2">
        <v>46149</v>
      </c>
      <c r="F223" s="2">
        <v>46149</v>
      </c>
      <c r="G223" t="s">
        <v>20</v>
      </c>
      <c r="H223" s="2">
        <v>46149</v>
      </c>
      <c r="I223" s="2">
        <v>46149</v>
      </c>
      <c r="J223" t="s">
        <v>20</v>
      </c>
      <c r="K223">
        <v>-175.39</v>
      </c>
      <c r="L223">
        <v>-175.39</v>
      </c>
      <c r="M223">
        <v>-175.39</v>
      </c>
      <c r="N223" t="s">
        <v>158</v>
      </c>
      <c r="O223" s="3" t="s">
        <v>1482</v>
      </c>
      <c r="P223" s="3" t="s">
        <v>1482</v>
      </c>
      <c r="Q223" s="3" t="s">
        <v>1482</v>
      </c>
      <c r="R223" s="3" t="s">
        <v>1482</v>
      </c>
      <c r="S223" s="3" t="s">
        <v>1482</v>
      </c>
      <c r="T223" s="3" t="s">
        <v>1482</v>
      </c>
    </row>
    <row r="224" spans="1:20">
      <c r="A224" t="s">
        <v>312</v>
      </c>
      <c r="B224" t="s">
        <v>20</v>
      </c>
      <c r="C224" t="s">
        <v>21</v>
      </c>
      <c r="D224" t="s">
        <v>313</v>
      </c>
      <c r="E224" s="2">
        <v>46149</v>
      </c>
      <c r="F224" s="2">
        <v>46149</v>
      </c>
      <c r="G224" t="s">
        <v>20</v>
      </c>
      <c r="H224" s="2">
        <v>46149</v>
      </c>
      <c r="I224" s="2">
        <v>46149</v>
      </c>
      <c r="J224" t="s">
        <v>20</v>
      </c>
      <c r="K224">
        <v>-35.08</v>
      </c>
      <c r="L224">
        <v>-35.08</v>
      </c>
      <c r="M224">
        <v>-35.08</v>
      </c>
      <c r="N224" t="s">
        <v>158</v>
      </c>
      <c r="O224" s="3" t="s">
        <v>1482</v>
      </c>
      <c r="P224" s="3" t="s">
        <v>1482</v>
      </c>
      <c r="Q224" s="3" t="s">
        <v>1482</v>
      </c>
      <c r="R224" s="3" t="s">
        <v>1482</v>
      </c>
      <c r="S224" s="3" t="s">
        <v>1482</v>
      </c>
      <c r="T224" s="3" t="s">
        <v>1482</v>
      </c>
    </row>
    <row r="225" spans="1:20">
      <c r="A225" t="s">
        <v>314</v>
      </c>
      <c r="B225" t="s">
        <v>20</v>
      </c>
      <c r="C225" t="s">
        <v>21</v>
      </c>
      <c r="D225" t="s">
        <v>315</v>
      </c>
      <c r="E225" s="2">
        <v>46149</v>
      </c>
      <c r="F225" s="2">
        <v>46149</v>
      </c>
      <c r="G225" t="s">
        <v>20</v>
      </c>
      <c r="H225" s="2">
        <v>46149</v>
      </c>
      <c r="I225" s="2">
        <v>46149</v>
      </c>
      <c r="J225" t="s">
        <v>20</v>
      </c>
      <c r="K225">
        <v>-76.13</v>
      </c>
      <c r="L225">
        <v>-76.13</v>
      </c>
      <c r="M225">
        <v>-76.13</v>
      </c>
      <c r="N225" t="s">
        <v>158</v>
      </c>
      <c r="O225" s="3" t="s">
        <v>1482</v>
      </c>
      <c r="P225" s="3" t="s">
        <v>1482</v>
      </c>
      <c r="Q225" s="3" t="s">
        <v>1482</v>
      </c>
      <c r="R225" s="3" t="s">
        <v>1482</v>
      </c>
      <c r="S225" s="3" t="s">
        <v>1482</v>
      </c>
      <c r="T225" s="3" t="s">
        <v>1482</v>
      </c>
    </row>
    <row r="226" spans="1:20">
      <c r="A226" t="s">
        <v>316</v>
      </c>
      <c r="B226" t="s">
        <v>20</v>
      </c>
      <c r="C226" t="s">
        <v>21</v>
      </c>
      <c r="D226" t="s">
        <v>317</v>
      </c>
      <c r="E226" s="2">
        <v>46149</v>
      </c>
      <c r="F226" s="2">
        <v>46149</v>
      </c>
      <c r="G226" t="s">
        <v>20</v>
      </c>
      <c r="H226" s="2">
        <v>46149</v>
      </c>
      <c r="I226" s="2">
        <v>46149</v>
      </c>
      <c r="J226" t="s">
        <v>20</v>
      </c>
      <c r="K226">
        <v>-175.39</v>
      </c>
      <c r="L226">
        <v>-175.39</v>
      </c>
      <c r="M226">
        <v>-175.39</v>
      </c>
      <c r="N226" t="s">
        <v>158</v>
      </c>
      <c r="O226" s="3" t="s">
        <v>1482</v>
      </c>
      <c r="P226" s="3" t="s">
        <v>1482</v>
      </c>
      <c r="Q226" s="3" t="s">
        <v>1482</v>
      </c>
      <c r="R226" s="3" t="s">
        <v>1482</v>
      </c>
      <c r="S226" s="3" t="s">
        <v>1482</v>
      </c>
      <c r="T226" s="3" t="s">
        <v>1482</v>
      </c>
    </row>
    <row r="227" spans="1:20">
      <c r="A227" t="s">
        <v>318</v>
      </c>
      <c r="B227" t="s">
        <v>20</v>
      </c>
      <c r="C227" t="s">
        <v>21</v>
      </c>
      <c r="D227" t="s">
        <v>319</v>
      </c>
      <c r="E227" s="2">
        <v>46149</v>
      </c>
      <c r="F227" s="2">
        <v>46149</v>
      </c>
      <c r="G227" t="s">
        <v>20</v>
      </c>
      <c r="H227" s="2">
        <v>46149</v>
      </c>
      <c r="I227" s="2">
        <v>46149</v>
      </c>
      <c r="J227" t="s">
        <v>20</v>
      </c>
      <c r="K227">
        <v>-70.16</v>
      </c>
      <c r="L227">
        <v>-70.16</v>
      </c>
      <c r="M227">
        <v>-70.16</v>
      </c>
      <c r="N227" t="s">
        <v>158</v>
      </c>
      <c r="O227" s="3" t="s">
        <v>1482</v>
      </c>
      <c r="P227" s="3" t="s">
        <v>1482</v>
      </c>
      <c r="Q227" s="3" t="s">
        <v>1482</v>
      </c>
      <c r="R227" s="3" t="s">
        <v>1482</v>
      </c>
      <c r="S227" s="3" t="s">
        <v>1482</v>
      </c>
      <c r="T227" s="3" t="s">
        <v>1482</v>
      </c>
    </row>
    <row r="228" spans="1:20">
      <c r="A228" t="s">
        <v>320</v>
      </c>
      <c r="B228" t="s">
        <v>20</v>
      </c>
      <c r="C228" t="s">
        <v>21</v>
      </c>
      <c r="D228" t="s">
        <v>321</v>
      </c>
      <c r="E228" s="2">
        <v>46149</v>
      </c>
      <c r="F228" s="2">
        <v>46149</v>
      </c>
      <c r="G228" t="s">
        <v>20</v>
      </c>
      <c r="H228" s="2">
        <v>46149</v>
      </c>
      <c r="I228" s="2">
        <v>46149</v>
      </c>
      <c r="J228" t="s">
        <v>20</v>
      </c>
      <c r="K228">
        <v>-94.71</v>
      </c>
      <c r="L228">
        <v>-94.71</v>
      </c>
      <c r="M228">
        <v>-94.71</v>
      </c>
      <c r="N228" t="s">
        <v>158</v>
      </c>
      <c r="O228" s="3" t="s">
        <v>1482</v>
      </c>
      <c r="P228" s="3" t="s">
        <v>1482</v>
      </c>
      <c r="Q228" s="3" t="s">
        <v>1482</v>
      </c>
      <c r="R228" s="3" t="s">
        <v>1482</v>
      </c>
      <c r="S228" s="3" t="s">
        <v>1482</v>
      </c>
      <c r="T228" s="3" t="s">
        <v>1482</v>
      </c>
    </row>
    <row r="229" spans="1:20">
      <c r="A229" t="s">
        <v>322</v>
      </c>
      <c r="B229" t="s">
        <v>20</v>
      </c>
      <c r="C229" t="s">
        <v>21</v>
      </c>
      <c r="D229" t="s">
        <v>323</v>
      </c>
      <c r="E229" s="2">
        <v>46149</v>
      </c>
      <c r="F229" s="2">
        <v>46149</v>
      </c>
      <c r="G229" t="s">
        <v>20</v>
      </c>
      <c r="H229" s="2">
        <v>46149</v>
      </c>
      <c r="I229" s="2">
        <v>46149</v>
      </c>
      <c r="J229" t="s">
        <v>20</v>
      </c>
      <c r="K229">
        <v>-175.39</v>
      </c>
      <c r="L229">
        <v>-175.39</v>
      </c>
      <c r="M229">
        <v>-175.39</v>
      </c>
      <c r="N229" t="s">
        <v>158</v>
      </c>
      <c r="O229" s="3" t="s">
        <v>1482</v>
      </c>
      <c r="P229" s="3" t="s">
        <v>1482</v>
      </c>
      <c r="Q229" s="3" t="s">
        <v>1482</v>
      </c>
      <c r="R229" s="3" t="s">
        <v>1482</v>
      </c>
      <c r="S229" s="3" t="s">
        <v>1482</v>
      </c>
      <c r="T229" s="3" t="s">
        <v>1482</v>
      </c>
    </row>
    <row r="230" spans="1:20">
      <c r="A230" t="s">
        <v>324</v>
      </c>
      <c r="B230" t="s">
        <v>20</v>
      </c>
      <c r="C230" t="s">
        <v>21</v>
      </c>
      <c r="D230" t="s">
        <v>325</v>
      </c>
      <c r="E230" s="2">
        <v>46149</v>
      </c>
      <c r="F230" s="2">
        <v>46149</v>
      </c>
      <c r="G230" t="s">
        <v>20</v>
      </c>
      <c r="H230" s="2">
        <v>46149</v>
      </c>
      <c r="I230" s="2">
        <v>46149</v>
      </c>
      <c r="J230" t="s">
        <v>20</v>
      </c>
      <c r="K230">
        <v>-140.31</v>
      </c>
      <c r="L230">
        <v>-140.31</v>
      </c>
      <c r="M230">
        <v>-140.31</v>
      </c>
      <c r="N230" t="s">
        <v>158</v>
      </c>
      <c r="O230" s="3" t="s">
        <v>1482</v>
      </c>
      <c r="P230" s="3" t="s">
        <v>1482</v>
      </c>
      <c r="Q230" s="3" t="s">
        <v>1482</v>
      </c>
      <c r="R230" s="3" t="s">
        <v>1482</v>
      </c>
      <c r="S230" s="3" t="s">
        <v>1482</v>
      </c>
      <c r="T230" s="3" t="s">
        <v>1482</v>
      </c>
    </row>
    <row r="231" spans="1:20">
      <c r="A231" t="s">
        <v>326</v>
      </c>
      <c r="B231" t="s">
        <v>20</v>
      </c>
      <c r="C231" t="s">
        <v>21</v>
      </c>
      <c r="D231" t="s">
        <v>327</v>
      </c>
      <c r="E231" s="2">
        <v>46149</v>
      </c>
      <c r="F231" s="2">
        <v>46149</v>
      </c>
      <c r="G231" t="s">
        <v>20</v>
      </c>
      <c r="H231" s="2">
        <v>46149</v>
      </c>
      <c r="I231" s="2">
        <v>46149</v>
      </c>
      <c r="J231" t="s">
        <v>20</v>
      </c>
      <c r="K231">
        <v>-35.08</v>
      </c>
      <c r="L231">
        <v>-35.08</v>
      </c>
      <c r="M231">
        <v>-35.08</v>
      </c>
      <c r="N231" t="s">
        <v>158</v>
      </c>
      <c r="O231" s="3" t="s">
        <v>1482</v>
      </c>
      <c r="P231" s="3" t="s">
        <v>1482</v>
      </c>
      <c r="Q231" s="3" t="s">
        <v>1482</v>
      </c>
      <c r="R231" s="3" t="s">
        <v>1482</v>
      </c>
      <c r="S231" s="3" t="s">
        <v>1482</v>
      </c>
      <c r="T231" s="3" t="s">
        <v>1482</v>
      </c>
    </row>
    <row r="232" spans="1:20">
      <c r="A232" t="s">
        <v>328</v>
      </c>
      <c r="B232" t="s">
        <v>20</v>
      </c>
      <c r="C232" t="s">
        <v>21</v>
      </c>
      <c r="D232" t="s">
        <v>329</v>
      </c>
      <c r="E232" s="2">
        <v>46149</v>
      </c>
      <c r="F232" s="2">
        <v>46149</v>
      </c>
      <c r="G232" t="s">
        <v>20</v>
      </c>
      <c r="H232" s="2">
        <v>46149</v>
      </c>
      <c r="I232" s="2">
        <v>46149</v>
      </c>
      <c r="J232" t="s">
        <v>20</v>
      </c>
      <c r="K232">
        <v>-35.08</v>
      </c>
      <c r="L232">
        <v>-35.08</v>
      </c>
      <c r="M232">
        <v>-35.08</v>
      </c>
      <c r="N232" t="s">
        <v>158</v>
      </c>
      <c r="O232" s="3" t="s">
        <v>1482</v>
      </c>
      <c r="P232" s="3" t="s">
        <v>1482</v>
      </c>
      <c r="Q232" s="3" t="s">
        <v>1482</v>
      </c>
      <c r="R232" s="3" t="s">
        <v>1482</v>
      </c>
      <c r="S232" s="3" t="s">
        <v>1482</v>
      </c>
      <c r="T232" s="3" t="s">
        <v>1482</v>
      </c>
    </row>
    <row r="233" spans="1:20">
      <c r="A233" t="s">
        <v>330</v>
      </c>
      <c r="B233" t="s">
        <v>20</v>
      </c>
      <c r="C233" t="s">
        <v>21</v>
      </c>
      <c r="D233" t="s">
        <v>331</v>
      </c>
      <c r="E233" s="2">
        <v>46149</v>
      </c>
      <c r="F233" s="2">
        <v>46149</v>
      </c>
      <c r="G233" t="s">
        <v>20</v>
      </c>
      <c r="H233" s="2">
        <v>46149</v>
      </c>
      <c r="I233" s="2">
        <v>46149</v>
      </c>
      <c r="J233" t="s">
        <v>20</v>
      </c>
      <c r="K233">
        <v>-140.31</v>
      </c>
      <c r="L233">
        <v>-140.31</v>
      </c>
      <c r="M233">
        <v>-140.31</v>
      </c>
      <c r="N233" t="s">
        <v>158</v>
      </c>
      <c r="O233" s="3" t="s">
        <v>1482</v>
      </c>
      <c r="P233" s="3" t="s">
        <v>1482</v>
      </c>
      <c r="Q233" s="3" t="s">
        <v>1482</v>
      </c>
      <c r="R233" s="3" t="s">
        <v>1482</v>
      </c>
      <c r="S233" s="3" t="s">
        <v>1482</v>
      </c>
      <c r="T233" s="3" t="s">
        <v>1482</v>
      </c>
    </row>
    <row r="234" spans="1:20">
      <c r="A234" t="s">
        <v>332</v>
      </c>
      <c r="B234" t="s">
        <v>20</v>
      </c>
      <c r="C234" t="s">
        <v>21</v>
      </c>
      <c r="D234" t="s">
        <v>333</v>
      </c>
      <c r="E234" s="2">
        <v>46149</v>
      </c>
      <c r="F234" s="2">
        <v>46149</v>
      </c>
      <c r="G234" t="s">
        <v>20</v>
      </c>
      <c r="H234" s="2">
        <v>46149</v>
      </c>
      <c r="I234" s="2">
        <v>46149</v>
      </c>
      <c r="J234" t="s">
        <v>20</v>
      </c>
      <c r="K234">
        <v>-35.08</v>
      </c>
      <c r="L234">
        <v>-35.08</v>
      </c>
      <c r="M234">
        <v>-35.08</v>
      </c>
      <c r="N234" t="s">
        <v>158</v>
      </c>
      <c r="O234" s="3" t="s">
        <v>1482</v>
      </c>
      <c r="P234" s="3" t="s">
        <v>1482</v>
      </c>
      <c r="Q234" s="3" t="s">
        <v>1482</v>
      </c>
      <c r="R234" s="3" t="s">
        <v>1482</v>
      </c>
      <c r="S234" s="3" t="s">
        <v>1482</v>
      </c>
      <c r="T234" s="3" t="s">
        <v>1482</v>
      </c>
    </row>
    <row r="235" spans="1:20">
      <c r="A235" t="s">
        <v>334</v>
      </c>
      <c r="B235" t="s">
        <v>20</v>
      </c>
      <c r="C235" t="s">
        <v>21</v>
      </c>
      <c r="D235" t="s">
        <v>335</v>
      </c>
      <c r="E235" s="2">
        <v>46149</v>
      </c>
      <c r="F235" s="2">
        <v>46149</v>
      </c>
      <c r="G235" t="s">
        <v>20</v>
      </c>
      <c r="H235" s="2">
        <v>46149</v>
      </c>
      <c r="I235" s="2">
        <v>46149</v>
      </c>
      <c r="J235" t="s">
        <v>20</v>
      </c>
      <c r="K235">
        <v>-104.27</v>
      </c>
      <c r="L235">
        <v>-104.27</v>
      </c>
      <c r="M235">
        <v>-104.27</v>
      </c>
      <c r="N235" t="s">
        <v>158</v>
      </c>
      <c r="O235" s="3" t="s">
        <v>1482</v>
      </c>
      <c r="P235" s="3" t="s">
        <v>1482</v>
      </c>
      <c r="Q235" s="3" t="s">
        <v>1482</v>
      </c>
      <c r="R235" s="3" t="s">
        <v>1482</v>
      </c>
      <c r="S235" s="3" t="s">
        <v>1482</v>
      </c>
      <c r="T235" s="3" t="s">
        <v>1482</v>
      </c>
    </row>
    <row r="236" spans="1:20">
      <c r="A236" t="s">
        <v>336</v>
      </c>
      <c r="B236" t="s">
        <v>20</v>
      </c>
      <c r="C236" t="s">
        <v>21</v>
      </c>
      <c r="D236" t="s">
        <v>337</v>
      </c>
      <c r="E236" s="2">
        <v>46149</v>
      </c>
      <c r="F236" s="2">
        <v>46149</v>
      </c>
      <c r="G236" t="s">
        <v>20</v>
      </c>
      <c r="H236" s="2">
        <v>46149</v>
      </c>
      <c r="I236" s="2">
        <v>46149</v>
      </c>
      <c r="J236" t="s">
        <v>20</v>
      </c>
      <c r="K236">
        <v>-83.41</v>
      </c>
      <c r="L236">
        <v>-83.41</v>
      </c>
      <c r="M236">
        <v>-83.41</v>
      </c>
      <c r="N236" t="s">
        <v>158</v>
      </c>
      <c r="O236" s="3" t="s">
        <v>1482</v>
      </c>
      <c r="P236" s="3" t="s">
        <v>1482</v>
      </c>
      <c r="Q236" s="3" t="s">
        <v>1482</v>
      </c>
      <c r="R236" s="3" t="s">
        <v>1482</v>
      </c>
      <c r="S236" s="3" t="s">
        <v>1482</v>
      </c>
      <c r="T236" s="3" t="s">
        <v>1482</v>
      </c>
    </row>
    <row r="237" spans="1:20">
      <c r="A237" t="s">
        <v>338</v>
      </c>
      <c r="B237" t="s">
        <v>20</v>
      </c>
      <c r="C237" t="s">
        <v>21</v>
      </c>
      <c r="D237" t="s">
        <v>339</v>
      </c>
      <c r="E237" s="2">
        <v>46149</v>
      </c>
      <c r="F237" s="2">
        <v>46149</v>
      </c>
      <c r="G237" t="s">
        <v>20</v>
      </c>
      <c r="H237" s="2">
        <v>46149</v>
      </c>
      <c r="I237" s="2">
        <v>46149</v>
      </c>
      <c r="J237" t="s">
        <v>20</v>
      </c>
      <c r="K237">
        <v>-35.08</v>
      </c>
      <c r="L237">
        <v>-35.08</v>
      </c>
      <c r="M237">
        <v>-35.08</v>
      </c>
      <c r="N237" t="s">
        <v>158</v>
      </c>
      <c r="O237" s="3" t="s">
        <v>1482</v>
      </c>
      <c r="P237" s="3" t="s">
        <v>1482</v>
      </c>
      <c r="Q237" s="3" t="s">
        <v>1482</v>
      </c>
      <c r="R237" s="3" t="s">
        <v>1482</v>
      </c>
      <c r="S237" s="3" t="s">
        <v>1482</v>
      </c>
      <c r="T237" s="3" t="s">
        <v>1482</v>
      </c>
    </row>
    <row r="238" spans="1:20">
      <c r="A238" t="s">
        <v>340</v>
      </c>
      <c r="B238" t="s">
        <v>20</v>
      </c>
      <c r="C238" t="s">
        <v>21</v>
      </c>
      <c r="D238" t="s">
        <v>341</v>
      </c>
      <c r="E238" s="2">
        <v>46149</v>
      </c>
      <c r="F238" s="2">
        <v>46149</v>
      </c>
      <c r="G238" t="s">
        <v>20</v>
      </c>
      <c r="H238" s="2">
        <v>46149</v>
      </c>
      <c r="I238" s="2">
        <v>46149</v>
      </c>
      <c r="J238" t="s">
        <v>20</v>
      </c>
      <c r="K238">
        <v>-27.8</v>
      </c>
      <c r="L238">
        <v>-27.8</v>
      </c>
      <c r="M238">
        <v>-27.8</v>
      </c>
      <c r="N238" t="s">
        <v>158</v>
      </c>
      <c r="O238" s="3" t="s">
        <v>1482</v>
      </c>
      <c r="P238" s="3" t="s">
        <v>1482</v>
      </c>
      <c r="Q238" s="3" t="s">
        <v>1482</v>
      </c>
      <c r="R238" s="3" t="s">
        <v>1482</v>
      </c>
      <c r="S238" s="3" t="s">
        <v>1482</v>
      </c>
      <c r="T238" s="3" t="s">
        <v>1482</v>
      </c>
    </row>
    <row r="239" spans="1:20">
      <c r="A239" t="s">
        <v>342</v>
      </c>
      <c r="B239" t="s">
        <v>20</v>
      </c>
      <c r="C239" t="s">
        <v>21</v>
      </c>
      <c r="D239" t="s">
        <v>343</v>
      </c>
      <c r="E239" s="2">
        <v>46149</v>
      </c>
      <c r="F239" s="2">
        <v>46149</v>
      </c>
      <c r="G239" t="s">
        <v>20</v>
      </c>
      <c r="H239" s="2">
        <v>46149</v>
      </c>
      <c r="I239" s="2">
        <v>46149</v>
      </c>
      <c r="J239" t="s">
        <v>20</v>
      </c>
      <c r="K239">
        <v>-105.23</v>
      </c>
      <c r="L239">
        <v>-105.23</v>
      </c>
      <c r="M239">
        <v>-105.23</v>
      </c>
      <c r="N239" t="s">
        <v>158</v>
      </c>
      <c r="O239" s="3" t="s">
        <v>1482</v>
      </c>
      <c r="P239" s="3" t="s">
        <v>1482</v>
      </c>
      <c r="Q239" s="3" t="s">
        <v>1482</v>
      </c>
      <c r="R239" s="3" t="s">
        <v>1482</v>
      </c>
      <c r="S239" s="3" t="s">
        <v>1482</v>
      </c>
      <c r="T239" s="3" t="s">
        <v>1482</v>
      </c>
    </row>
    <row r="240" spans="1:20">
      <c r="A240" t="s">
        <v>344</v>
      </c>
      <c r="B240" t="s">
        <v>20</v>
      </c>
      <c r="C240" t="s">
        <v>21</v>
      </c>
      <c r="D240" t="s">
        <v>345</v>
      </c>
      <c r="E240" s="2">
        <v>46149</v>
      </c>
      <c r="F240" s="2">
        <v>46149</v>
      </c>
      <c r="G240" t="s">
        <v>20</v>
      </c>
      <c r="H240" s="2">
        <v>46149</v>
      </c>
      <c r="I240" s="2">
        <v>46149</v>
      </c>
      <c r="J240" t="s">
        <v>20</v>
      </c>
      <c r="K240">
        <v>-105.23</v>
      </c>
      <c r="L240">
        <v>-105.23</v>
      </c>
      <c r="M240">
        <v>-105.23</v>
      </c>
      <c r="N240" t="s">
        <v>158</v>
      </c>
      <c r="O240" s="3" t="s">
        <v>1482</v>
      </c>
      <c r="P240" s="3" t="s">
        <v>1482</v>
      </c>
      <c r="Q240" s="3" t="s">
        <v>1482</v>
      </c>
      <c r="R240" s="3" t="s">
        <v>1482</v>
      </c>
      <c r="S240" s="3" t="s">
        <v>1482</v>
      </c>
      <c r="T240" s="3" t="s">
        <v>1482</v>
      </c>
    </row>
    <row r="241" spans="1:20">
      <c r="A241" t="s">
        <v>346</v>
      </c>
      <c r="B241" t="s">
        <v>20</v>
      </c>
      <c r="C241" t="s">
        <v>21</v>
      </c>
      <c r="D241" t="s">
        <v>347</v>
      </c>
      <c r="E241" s="2">
        <v>46149</v>
      </c>
      <c r="F241" s="2">
        <v>46149</v>
      </c>
      <c r="G241" t="s">
        <v>20</v>
      </c>
      <c r="H241" s="2">
        <v>46149</v>
      </c>
      <c r="I241" s="2">
        <v>46149</v>
      </c>
      <c r="J241" t="s">
        <v>20</v>
      </c>
      <c r="K241">
        <v>-35.08</v>
      </c>
      <c r="L241">
        <v>-35.08</v>
      </c>
      <c r="M241">
        <v>-35.08</v>
      </c>
      <c r="N241" t="s">
        <v>158</v>
      </c>
      <c r="O241" s="3" t="s">
        <v>1482</v>
      </c>
      <c r="P241" s="3" t="s">
        <v>1482</v>
      </c>
      <c r="Q241" s="3" t="s">
        <v>1482</v>
      </c>
      <c r="R241" s="3" t="s">
        <v>1482</v>
      </c>
      <c r="S241" s="3" t="s">
        <v>1482</v>
      </c>
      <c r="T241" s="3" t="s">
        <v>1482</v>
      </c>
    </row>
    <row r="242" spans="1:20">
      <c r="A242" t="s">
        <v>348</v>
      </c>
      <c r="B242" t="s">
        <v>20</v>
      </c>
      <c r="C242" t="s">
        <v>21</v>
      </c>
      <c r="D242" t="s">
        <v>349</v>
      </c>
      <c r="E242" s="2">
        <v>46149</v>
      </c>
      <c r="F242" s="2">
        <v>46149</v>
      </c>
      <c r="G242" t="s">
        <v>20</v>
      </c>
      <c r="H242" s="2">
        <v>46149</v>
      </c>
      <c r="I242" s="2">
        <v>46149</v>
      </c>
      <c r="J242" t="s">
        <v>20</v>
      </c>
      <c r="K242">
        <v>-35.08</v>
      </c>
      <c r="L242">
        <v>-35.08</v>
      </c>
      <c r="M242">
        <v>-35.08</v>
      </c>
      <c r="N242" t="s">
        <v>158</v>
      </c>
      <c r="O242" s="3" t="s">
        <v>1482</v>
      </c>
      <c r="P242" s="3" t="s">
        <v>1482</v>
      </c>
      <c r="Q242" s="3" t="s">
        <v>1482</v>
      </c>
      <c r="R242" s="3" t="s">
        <v>1482</v>
      </c>
      <c r="S242" s="3" t="s">
        <v>1482</v>
      </c>
      <c r="T242" s="3" t="s">
        <v>1482</v>
      </c>
    </row>
    <row r="243" spans="1:20">
      <c r="A243" t="s">
        <v>350</v>
      </c>
      <c r="B243" t="s">
        <v>20</v>
      </c>
      <c r="C243" t="s">
        <v>21</v>
      </c>
      <c r="D243" t="s">
        <v>351</v>
      </c>
      <c r="E243" s="2">
        <v>46149</v>
      </c>
      <c r="F243" s="2">
        <v>46149</v>
      </c>
      <c r="G243" t="s">
        <v>20</v>
      </c>
      <c r="H243" s="2">
        <v>46149</v>
      </c>
      <c r="I243" s="2">
        <v>46149</v>
      </c>
      <c r="J243" t="s">
        <v>20</v>
      </c>
      <c r="K243">
        <v>-27.8</v>
      </c>
      <c r="L243">
        <v>-27.8</v>
      </c>
      <c r="M243">
        <v>-27.8</v>
      </c>
      <c r="N243" t="s">
        <v>158</v>
      </c>
      <c r="O243" s="3" t="s">
        <v>1482</v>
      </c>
      <c r="P243" s="3" t="s">
        <v>1482</v>
      </c>
      <c r="Q243" s="3" t="s">
        <v>1482</v>
      </c>
      <c r="R243" s="3" t="s">
        <v>1482</v>
      </c>
      <c r="S243" s="3" t="s">
        <v>1482</v>
      </c>
      <c r="T243" s="3" t="s">
        <v>1482</v>
      </c>
    </row>
    <row r="244" spans="1:20">
      <c r="A244" t="s">
        <v>352</v>
      </c>
      <c r="B244" t="s">
        <v>20</v>
      </c>
      <c r="C244" t="s">
        <v>21</v>
      </c>
      <c r="D244" t="s">
        <v>353</v>
      </c>
      <c r="E244" s="2">
        <v>46149</v>
      </c>
      <c r="F244" s="2">
        <v>46149</v>
      </c>
      <c r="G244" t="s">
        <v>20</v>
      </c>
      <c r="H244" s="2">
        <v>46149</v>
      </c>
      <c r="I244" s="2">
        <v>46149</v>
      </c>
      <c r="J244" t="s">
        <v>20</v>
      </c>
      <c r="K244">
        <v>-105.23</v>
      </c>
      <c r="L244">
        <v>-105.23</v>
      </c>
      <c r="M244">
        <v>-105.23</v>
      </c>
      <c r="N244" t="s">
        <v>158</v>
      </c>
      <c r="O244" s="3" t="s">
        <v>1482</v>
      </c>
      <c r="P244" s="3" t="s">
        <v>1482</v>
      </c>
      <c r="Q244" s="3" t="s">
        <v>1482</v>
      </c>
      <c r="R244" s="3" t="s">
        <v>1482</v>
      </c>
      <c r="S244" s="3" t="s">
        <v>1482</v>
      </c>
      <c r="T244" s="3" t="s">
        <v>1482</v>
      </c>
    </row>
    <row r="245" spans="1:20">
      <c r="A245" t="s">
        <v>354</v>
      </c>
      <c r="B245" t="s">
        <v>20</v>
      </c>
      <c r="C245" t="s">
        <v>21</v>
      </c>
      <c r="D245" t="s">
        <v>355</v>
      </c>
      <c r="E245" s="2">
        <v>46149</v>
      </c>
      <c r="F245" s="2">
        <v>46149</v>
      </c>
      <c r="G245" t="s">
        <v>20</v>
      </c>
      <c r="H245" s="2">
        <v>46149</v>
      </c>
      <c r="I245" s="2">
        <v>46149</v>
      </c>
      <c r="J245" t="s">
        <v>20</v>
      </c>
      <c r="K245">
        <v>-157.85</v>
      </c>
      <c r="L245">
        <v>-157.85</v>
      </c>
      <c r="M245">
        <v>-157.85</v>
      </c>
      <c r="N245" t="s">
        <v>158</v>
      </c>
      <c r="O245" s="3" t="s">
        <v>1482</v>
      </c>
      <c r="P245" s="3" t="s">
        <v>1482</v>
      </c>
      <c r="Q245" s="3" t="s">
        <v>1482</v>
      </c>
      <c r="R245" s="3" t="s">
        <v>1482</v>
      </c>
      <c r="S245" s="3" t="s">
        <v>1482</v>
      </c>
      <c r="T245" s="3" t="s">
        <v>1482</v>
      </c>
    </row>
    <row r="246" spans="1:20">
      <c r="A246" t="s">
        <v>356</v>
      </c>
      <c r="B246" t="s">
        <v>20</v>
      </c>
      <c r="C246" t="s">
        <v>21</v>
      </c>
      <c r="D246" t="s">
        <v>357</v>
      </c>
      <c r="E246" s="2">
        <v>46149</v>
      </c>
      <c r="F246" s="2">
        <v>46149</v>
      </c>
      <c r="G246" t="s">
        <v>20</v>
      </c>
      <c r="H246" s="2">
        <v>46149</v>
      </c>
      <c r="I246" s="2">
        <v>46149</v>
      </c>
      <c r="J246" t="s">
        <v>20</v>
      </c>
      <c r="K246">
        <v>-35.08</v>
      </c>
      <c r="L246">
        <v>-35.08</v>
      </c>
      <c r="M246">
        <v>-35.08</v>
      </c>
      <c r="N246" t="s">
        <v>158</v>
      </c>
      <c r="O246" s="3" t="s">
        <v>1482</v>
      </c>
      <c r="P246" s="3" t="s">
        <v>1482</v>
      </c>
      <c r="Q246" s="3" t="s">
        <v>1482</v>
      </c>
      <c r="R246" s="3" t="s">
        <v>1482</v>
      </c>
      <c r="S246" s="3" t="s">
        <v>1482</v>
      </c>
      <c r="T246" s="3" t="s">
        <v>1482</v>
      </c>
    </row>
    <row r="247" spans="1:20">
      <c r="A247" t="s">
        <v>358</v>
      </c>
      <c r="B247" t="s">
        <v>20</v>
      </c>
      <c r="C247" t="s">
        <v>21</v>
      </c>
      <c r="D247" t="s">
        <v>359</v>
      </c>
      <c r="E247" s="2">
        <v>46149</v>
      </c>
      <c r="F247" s="2">
        <v>46149</v>
      </c>
      <c r="G247" t="s">
        <v>20</v>
      </c>
      <c r="H247" s="2">
        <v>46149</v>
      </c>
      <c r="I247" s="2">
        <v>46149</v>
      </c>
      <c r="J247" t="s">
        <v>20</v>
      </c>
      <c r="K247">
        <v>-105.23</v>
      </c>
      <c r="L247">
        <v>-105.23</v>
      </c>
      <c r="M247">
        <v>-105.23</v>
      </c>
      <c r="N247" t="s">
        <v>158</v>
      </c>
      <c r="O247" s="3" t="s">
        <v>1482</v>
      </c>
      <c r="P247" s="3" t="s">
        <v>1482</v>
      </c>
      <c r="Q247" s="3" t="s">
        <v>1482</v>
      </c>
      <c r="R247" s="3" t="s">
        <v>1482</v>
      </c>
      <c r="S247" s="3" t="s">
        <v>1482</v>
      </c>
      <c r="T247" s="3" t="s">
        <v>1482</v>
      </c>
    </row>
    <row r="248" spans="1:20">
      <c r="A248" t="s">
        <v>360</v>
      </c>
      <c r="B248" t="s">
        <v>20</v>
      </c>
      <c r="C248" t="s">
        <v>21</v>
      </c>
      <c r="D248" t="s">
        <v>361</v>
      </c>
      <c r="E248" s="2">
        <v>46149</v>
      </c>
      <c r="F248" s="2">
        <v>46149</v>
      </c>
      <c r="G248" t="s">
        <v>20</v>
      </c>
      <c r="H248" s="2">
        <v>46149</v>
      </c>
      <c r="I248" s="2">
        <v>46149</v>
      </c>
      <c r="J248" t="s">
        <v>20</v>
      </c>
      <c r="K248">
        <v>-35.08</v>
      </c>
      <c r="L248">
        <v>-35.08</v>
      </c>
      <c r="M248">
        <v>-35.08</v>
      </c>
      <c r="N248" t="s">
        <v>158</v>
      </c>
      <c r="O248" s="3" t="s">
        <v>1482</v>
      </c>
      <c r="P248" s="3" t="s">
        <v>1482</v>
      </c>
      <c r="Q248" s="3" t="s">
        <v>1482</v>
      </c>
      <c r="R248" s="3" t="s">
        <v>1482</v>
      </c>
      <c r="S248" s="3" t="s">
        <v>1482</v>
      </c>
      <c r="T248" s="3" t="s">
        <v>1482</v>
      </c>
    </row>
    <row r="249" spans="1:20">
      <c r="A249" t="s">
        <v>362</v>
      </c>
      <c r="B249" t="s">
        <v>20</v>
      </c>
      <c r="C249" t="s">
        <v>21</v>
      </c>
      <c r="D249" t="s">
        <v>363</v>
      </c>
      <c r="E249" s="2">
        <v>46149</v>
      </c>
      <c r="F249" s="2">
        <v>46149</v>
      </c>
      <c r="G249" t="s">
        <v>20</v>
      </c>
      <c r="H249" s="2">
        <v>46149</v>
      </c>
      <c r="I249" s="2">
        <v>46149</v>
      </c>
      <c r="J249" t="s">
        <v>20</v>
      </c>
      <c r="K249">
        <v>-35.08</v>
      </c>
      <c r="L249">
        <v>-35.08</v>
      </c>
      <c r="M249">
        <v>-35.08</v>
      </c>
      <c r="N249" t="s">
        <v>158</v>
      </c>
      <c r="O249" s="3" t="s">
        <v>1482</v>
      </c>
      <c r="P249" s="3" t="s">
        <v>1482</v>
      </c>
      <c r="Q249" s="3" t="s">
        <v>1482</v>
      </c>
      <c r="R249" s="3" t="s">
        <v>1482</v>
      </c>
      <c r="S249" s="3" t="s">
        <v>1482</v>
      </c>
      <c r="T249" s="3" t="s">
        <v>1482</v>
      </c>
    </row>
    <row r="250" spans="1:20">
      <c r="A250" t="s">
        <v>364</v>
      </c>
      <c r="B250" t="s">
        <v>20</v>
      </c>
      <c r="C250" t="s">
        <v>21</v>
      </c>
      <c r="D250" t="s">
        <v>365</v>
      </c>
      <c r="E250" s="2">
        <v>46149</v>
      </c>
      <c r="F250" s="2">
        <v>46149</v>
      </c>
      <c r="G250" t="s">
        <v>20</v>
      </c>
      <c r="H250" s="2">
        <v>46149</v>
      </c>
      <c r="I250" s="2">
        <v>46149</v>
      </c>
      <c r="J250" t="s">
        <v>20</v>
      </c>
      <c r="K250">
        <v>-35.08</v>
      </c>
      <c r="L250">
        <v>-35.08</v>
      </c>
      <c r="M250">
        <v>-35.08</v>
      </c>
      <c r="N250" t="s">
        <v>158</v>
      </c>
      <c r="O250" s="3" t="s">
        <v>1482</v>
      </c>
      <c r="P250" s="3" t="s">
        <v>1482</v>
      </c>
      <c r="Q250" s="3" t="s">
        <v>1482</v>
      </c>
      <c r="R250" s="3" t="s">
        <v>1482</v>
      </c>
      <c r="S250" s="3" t="s">
        <v>1482</v>
      </c>
      <c r="T250" s="3" t="s">
        <v>1482</v>
      </c>
    </row>
    <row r="251" spans="1:20">
      <c r="A251" t="s">
        <v>366</v>
      </c>
      <c r="B251" t="s">
        <v>20</v>
      </c>
      <c r="C251" t="s">
        <v>21</v>
      </c>
      <c r="D251" t="s">
        <v>367</v>
      </c>
      <c r="E251" s="2">
        <v>46149</v>
      </c>
      <c r="F251" s="2">
        <v>46149</v>
      </c>
      <c r="G251" t="s">
        <v>20</v>
      </c>
      <c r="H251" s="2">
        <v>46149</v>
      </c>
      <c r="I251" s="2">
        <v>46149</v>
      </c>
      <c r="J251" t="s">
        <v>20</v>
      </c>
      <c r="K251">
        <v>-83.41</v>
      </c>
      <c r="L251">
        <v>-83.41</v>
      </c>
      <c r="M251">
        <v>-83.41</v>
      </c>
      <c r="N251" t="s">
        <v>158</v>
      </c>
      <c r="O251" s="3" t="s">
        <v>1482</v>
      </c>
      <c r="P251" s="3" t="s">
        <v>1482</v>
      </c>
      <c r="Q251" s="3" t="s">
        <v>1482</v>
      </c>
      <c r="R251" s="3" t="s">
        <v>1482</v>
      </c>
      <c r="S251" s="3" t="s">
        <v>1482</v>
      </c>
      <c r="T251" s="3" t="s">
        <v>1482</v>
      </c>
    </row>
    <row r="252" spans="1:20">
      <c r="A252" t="s">
        <v>368</v>
      </c>
      <c r="B252" t="s">
        <v>20</v>
      </c>
      <c r="C252" t="s">
        <v>21</v>
      </c>
      <c r="D252" t="s">
        <v>369</v>
      </c>
      <c r="E252" s="2">
        <v>46149</v>
      </c>
      <c r="F252" s="2">
        <v>46149</v>
      </c>
      <c r="G252" t="s">
        <v>20</v>
      </c>
      <c r="H252" s="2">
        <v>46149</v>
      </c>
      <c r="I252" s="2">
        <v>46149</v>
      </c>
      <c r="J252" t="s">
        <v>20</v>
      </c>
      <c r="K252">
        <v>-25.72</v>
      </c>
      <c r="L252">
        <v>-25.72</v>
      </c>
      <c r="M252">
        <v>-25.72</v>
      </c>
      <c r="N252" t="s">
        <v>158</v>
      </c>
      <c r="O252" s="3" t="s">
        <v>1482</v>
      </c>
      <c r="P252" s="3" t="s">
        <v>1482</v>
      </c>
      <c r="Q252" s="3" t="s">
        <v>1482</v>
      </c>
      <c r="R252" s="3" t="s">
        <v>1482</v>
      </c>
      <c r="S252" s="3" t="s">
        <v>1482</v>
      </c>
      <c r="T252" s="3" t="s">
        <v>1482</v>
      </c>
    </row>
    <row r="253" spans="1:20">
      <c r="A253" t="s">
        <v>370</v>
      </c>
      <c r="B253" t="s">
        <v>20</v>
      </c>
      <c r="C253" t="s">
        <v>21</v>
      </c>
      <c r="D253" t="s">
        <v>371</v>
      </c>
      <c r="E253" s="2">
        <v>46149</v>
      </c>
      <c r="F253" s="2">
        <v>46149</v>
      </c>
      <c r="G253" t="s">
        <v>20</v>
      </c>
      <c r="H253" s="2">
        <v>46149</v>
      </c>
      <c r="I253" s="2">
        <v>46149</v>
      </c>
      <c r="J253" t="s">
        <v>20</v>
      </c>
      <c r="K253">
        <v>-156.41</v>
      </c>
      <c r="L253">
        <v>-156.41</v>
      </c>
      <c r="M253">
        <v>-156.41</v>
      </c>
      <c r="N253" t="s">
        <v>158</v>
      </c>
      <c r="O253" s="3" t="s">
        <v>1482</v>
      </c>
      <c r="P253" s="3" t="s">
        <v>1482</v>
      </c>
      <c r="Q253" s="3" t="s">
        <v>1482</v>
      </c>
      <c r="R253" s="3" t="s">
        <v>1482</v>
      </c>
      <c r="S253" s="3" t="s">
        <v>1482</v>
      </c>
      <c r="T253" s="3" t="s">
        <v>1482</v>
      </c>
    </row>
    <row r="254" spans="1:20">
      <c r="A254" t="s">
        <v>372</v>
      </c>
      <c r="B254" t="s">
        <v>20</v>
      </c>
      <c r="C254" t="s">
        <v>21</v>
      </c>
      <c r="D254" t="s">
        <v>373</v>
      </c>
      <c r="E254" s="2">
        <v>46149</v>
      </c>
      <c r="F254" s="2">
        <v>46149</v>
      </c>
      <c r="G254" t="s">
        <v>20</v>
      </c>
      <c r="H254" s="2">
        <v>46149</v>
      </c>
      <c r="I254" s="2">
        <v>46149</v>
      </c>
      <c r="J254" t="s">
        <v>20</v>
      </c>
      <c r="K254">
        <v>-175.39</v>
      </c>
      <c r="L254">
        <v>-175.39</v>
      </c>
      <c r="M254">
        <v>-175.39</v>
      </c>
      <c r="N254" t="s">
        <v>158</v>
      </c>
      <c r="O254" s="3" t="s">
        <v>1482</v>
      </c>
      <c r="P254" s="3" t="s">
        <v>1482</v>
      </c>
      <c r="Q254" s="3" t="s">
        <v>1482</v>
      </c>
      <c r="R254" s="3" t="s">
        <v>1482</v>
      </c>
      <c r="S254" s="3" t="s">
        <v>1482</v>
      </c>
      <c r="T254" s="3" t="s">
        <v>1482</v>
      </c>
    </row>
    <row r="255" spans="1:20">
      <c r="A255" t="s">
        <v>374</v>
      </c>
      <c r="B255" t="s">
        <v>20</v>
      </c>
      <c r="C255" t="s">
        <v>21</v>
      </c>
      <c r="D255" t="s">
        <v>375</v>
      </c>
      <c r="E255" s="2">
        <v>46149</v>
      </c>
      <c r="F255" s="2">
        <v>46149</v>
      </c>
      <c r="G255" t="s">
        <v>20</v>
      </c>
      <c r="H255" s="2">
        <v>46149</v>
      </c>
      <c r="I255" s="2">
        <v>46149</v>
      </c>
      <c r="J255" t="s">
        <v>20</v>
      </c>
      <c r="K255">
        <v>-27.8</v>
      </c>
      <c r="L255">
        <v>-27.8</v>
      </c>
      <c r="M255">
        <v>-27.8</v>
      </c>
      <c r="N255" t="s">
        <v>158</v>
      </c>
      <c r="O255" s="3" t="s">
        <v>1482</v>
      </c>
      <c r="P255" s="3" t="s">
        <v>1482</v>
      </c>
      <c r="Q255" s="3" t="s">
        <v>1482</v>
      </c>
      <c r="R255" s="3" t="s">
        <v>1482</v>
      </c>
      <c r="S255" s="3" t="s">
        <v>1482</v>
      </c>
      <c r="T255" s="3" t="s">
        <v>1482</v>
      </c>
    </row>
    <row r="256" spans="1:20">
      <c r="A256" t="s">
        <v>376</v>
      </c>
      <c r="B256" t="s">
        <v>20</v>
      </c>
      <c r="C256" t="s">
        <v>21</v>
      </c>
      <c r="D256" t="s">
        <v>169</v>
      </c>
      <c r="E256" s="2">
        <v>46149</v>
      </c>
      <c r="F256" s="2">
        <v>46149</v>
      </c>
      <c r="G256" t="s">
        <v>20</v>
      </c>
      <c r="H256" s="2">
        <v>46149</v>
      </c>
      <c r="I256" s="2">
        <v>46149</v>
      </c>
      <c r="J256" t="s">
        <v>20</v>
      </c>
      <c r="K256">
        <v>-26.07</v>
      </c>
      <c r="L256">
        <v>-26.07</v>
      </c>
      <c r="M256">
        <v>-26.07</v>
      </c>
      <c r="N256" t="s">
        <v>158</v>
      </c>
      <c r="O256" s="3" t="s">
        <v>1482</v>
      </c>
      <c r="P256" s="3" t="s">
        <v>1482</v>
      </c>
      <c r="Q256" s="3" t="s">
        <v>1482</v>
      </c>
      <c r="R256" s="3" t="s">
        <v>1482</v>
      </c>
      <c r="S256" s="3" t="s">
        <v>1482</v>
      </c>
      <c r="T256" s="3" t="s">
        <v>1482</v>
      </c>
    </row>
    <row r="257" spans="1:20">
      <c r="A257" t="s">
        <v>377</v>
      </c>
      <c r="B257" t="s">
        <v>20</v>
      </c>
      <c r="C257" t="s">
        <v>21</v>
      </c>
      <c r="D257" t="s">
        <v>378</v>
      </c>
      <c r="E257" s="2">
        <v>46149</v>
      </c>
      <c r="F257" s="2">
        <v>46149</v>
      </c>
      <c r="G257" t="s">
        <v>20</v>
      </c>
      <c r="H257" s="2">
        <v>46149</v>
      </c>
      <c r="I257" s="2">
        <v>46149</v>
      </c>
      <c r="J257" t="s">
        <v>20</v>
      </c>
      <c r="K257">
        <v>-175.39</v>
      </c>
      <c r="L257">
        <v>-175.39</v>
      </c>
      <c r="M257">
        <v>-175.39</v>
      </c>
      <c r="N257" t="s">
        <v>158</v>
      </c>
      <c r="O257" s="3" t="s">
        <v>1482</v>
      </c>
      <c r="P257" s="3" t="s">
        <v>1482</v>
      </c>
      <c r="Q257" s="3" t="s">
        <v>1482</v>
      </c>
      <c r="R257" s="3" t="s">
        <v>1482</v>
      </c>
      <c r="S257" s="3" t="s">
        <v>1482</v>
      </c>
      <c r="T257" s="3" t="s">
        <v>1482</v>
      </c>
    </row>
    <row r="258" spans="1:20">
      <c r="A258" t="s">
        <v>379</v>
      </c>
      <c r="B258" t="s">
        <v>20</v>
      </c>
      <c r="C258" t="s">
        <v>21</v>
      </c>
      <c r="D258" t="s">
        <v>380</v>
      </c>
      <c r="E258" s="2">
        <v>46149</v>
      </c>
      <c r="F258" s="2">
        <v>46149</v>
      </c>
      <c r="G258" t="s">
        <v>20</v>
      </c>
      <c r="H258" s="2">
        <v>46149</v>
      </c>
      <c r="I258" s="2">
        <v>46149</v>
      </c>
      <c r="J258" t="s">
        <v>20</v>
      </c>
      <c r="K258">
        <v>-78.2</v>
      </c>
      <c r="L258">
        <v>-78.2</v>
      </c>
      <c r="M258">
        <v>-78.2</v>
      </c>
      <c r="N258" t="s">
        <v>158</v>
      </c>
      <c r="O258" s="3" t="s">
        <v>1482</v>
      </c>
      <c r="P258" s="3" t="s">
        <v>1482</v>
      </c>
      <c r="Q258" s="3" t="s">
        <v>1482</v>
      </c>
      <c r="R258" s="3" t="s">
        <v>1482</v>
      </c>
      <c r="S258" s="3" t="s">
        <v>1482</v>
      </c>
      <c r="T258" s="3" t="s">
        <v>1482</v>
      </c>
    </row>
    <row r="259" spans="1:20">
      <c r="A259" t="s">
        <v>381</v>
      </c>
      <c r="B259" t="s">
        <v>20</v>
      </c>
      <c r="C259" t="s">
        <v>21</v>
      </c>
      <c r="D259" t="s">
        <v>382</v>
      </c>
      <c r="E259" s="2">
        <v>46149</v>
      </c>
      <c r="F259" s="2">
        <v>46149</v>
      </c>
      <c r="G259" t="s">
        <v>20</v>
      </c>
      <c r="H259" s="2">
        <v>46149</v>
      </c>
      <c r="I259" s="2">
        <v>46149</v>
      </c>
      <c r="J259" t="s">
        <v>20</v>
      </c>
      <c r="K259">
        <v>-50.75</v>
      </c>
      <c r="L259">
        <v>-50.75</v>
      </c>
      <c r="M259">
        <v>-50.75</v>
      </c>
      <c r="N259" t="s">
        <v>158</v>
      </c>
      <c r="O259" s="3" t="s">
        <v>1482</v>
      </c>
      <c r="P259" s="3" t="s">
        <v>1482</v>
      </c>
      <c r="Q259" s="3" t="s">
        <v>1482</v>
      </c>
      <c r="R259" s="3" t="s">
        <v>1482</v>
      </c>
      <c r="S259" s="3" t="s">
        <v>1482</v>
      </c>
      <c r="T259" s="3" t="s">
        <v>1482</v>
      </c>
    </row>
    <row r="260" spans="1:20">
      <c r="A260" t="s">
        <v>383</v>
      </c>
      <c r="B260" t="s">
        <v>20</v>
      </c>
      <c r="C260" t="s">
        <v>21</v>
      </c>
      <c r="D260" t="s">
        <v>384</v>
      </c>
      <c r="E260" s="2">
        <v>46149</v>
      </c>
      <c r="F260" s="2">
        <v>46149</v>
      </c>
      <c r="G260" t="s">
        <v>20</v>
      </c>
      <c r="H260" s="2">
        <v>46149</v>
      </c>
      <c r="I260" s="2">
        <v>46149</v>
      </c>
      <c r="J260" t="s">
        <v>20</v>
      </c>
      <c r="K260">
        <v>-95.39</v>
      </c>
      <c r="L260">
        <v>-95.39</v>
      </c>
      <c r="M260">
        <v>-95.39</v>
      </c>
      <c r="N260" t="s">
        <v>158</v>
      </c>
      <c r="O260" s="3" t="s">
        <v>1482</v>
      </c>
      <c r="P260" s="3" t="s">
        <v>1482</v>
      </c>
      <c r="Q260" s="3" t="s">
        <v>1482</v>
      </c>
      <c r="R260" s="3" t="s">
        <v>1482</v>
      </c>
      <c r="S260" s="3" t="s">
        <v>1482</v>
      </c>
      <c r="T260" s="3" t="s">
        <v>1482</v>
      </c>
    </row>
    <row r="261" spans="1:20">
      <c r="A261" t="s">
        <v>385</v>
      </c>
      <c r="B261" t="s">
        <v>20</v>
      </c>
      <c r="C261" t="s">
        <v>21</v>
      </c>
      <c r="D261" t="s">
        <v>386</v>
      </c>
      <c r="E261" s="2">
        <v>46149</v>
      </c>
      <c r="F261" s="2">
        <v>46149</v>
      </c>
      <c r="G261" t="s">
        <v>20</v>
      </c>
      <c r="H261" s="2">
        <v>46149</v>
      </c>
      <c r="I261" s="2">
        <v>46149</v>
      </c>
      <c r="J261" t="s">
        <v>20</v>
      </c>
      <c r="K261">
        <v>-35.08</v>
      </c>
      <c r="L261">
        <v>-35.08</v>
      </c>
      <c r="M261">
        <v>-35.08</v>
      </c>
      <c r="N261" t="s">
        <v>158</v>
      </c>
      <c r="O261" s="3" t="s">
        <v>1482</v>
      </c>
      <c r="P261" s="3" t="s">
        <v>1482</v>
      </c>
      <c r="Q261" s="3" t="s">
        <v>1482</v>
      </c>
      <c r="R261" s="3" t="s">
        <v>1482</v>
      </c>
      <c r="S261" s="3" t="s">
        <v>1482</v>
      </c>
      <c r="T261" s="3" t="s">
        <v>1482</v>
      </c>
    </row>
    <row r="262" spans="1:20">
      <c r="A262" t="s">
        <v>387</v>
      </c>
      <c r="B262" t="s">
        <v>20</v>
      </c>
      <c r="C262" t="s">
        <v>21</v>
      </c>
      <c r="D262" t="s">
        <v>388</v>
      </c>
      <c r="E262" s="2">
        <v>46149</v>
      </c>
      <c r="F262" s="2">
        <v>46149</v>
      </c>
      <c r="G262" t="s">
        <v>20</v>
      </c>
      <c r="H262" s="2">
        <v>46149</v>
      </c>
      <c r="I262" s="2">
        <v>46149</v>
      </c>
      <c r="J262" t="s">
        <v>20</v>
      </c>
      <c r="K262">
        <v>-84.19</v>
      </c>
      <c r="L262">
        <v>-84.19</v>
      </c>
      <c r="M262">
        <v>-84.19</v>
      </c>
      <c r="N262" t="s">
        <v>158</v>
      </c>
      <c r="O262" s="3" t="s">
        <v>1482</v>
      </c>
      <c r="P262" s="3" t="s">
        <v>1482</v>
      </c>
      <c r="Q262" s="3" t="s">
        <v>1482</v>
      </c>
      <c r="R262" s="3" t="s">
        <v>1482</v>
      </c>
      <c r="S262" s="3" t="s">
        <v>1482</v>
      </c>
      <c r="T262" s="3" t="s">
        <v>1482</v>
      </c>
    </row>
    <row r="263" spans="1:20">
      <c r="A263" t="s">
        <v>389</v>
      </c>
      <c r="B263" t="s">
        <v>20</v>
      </c>
      <c r="C263" t="s">
        <v>21</v>
      </c>
      <c r="D263" t="s">
        <v>390</v>
      </c>
      <c r="E263" s="2">
        <v>46149</v>
      </c>
      <c r="F263" s="2">
        <v>46149</v>
      </c>
      <c r="G263" t="s">
        <v>20</v>
      </c>
      <c r="H263" s="2">
        <v>46149</v>
      </c>
      <c r="I263" s="2">
        <v>46149</v>
      </c>
      <c r="J263" t="s">
        <v>20</v>
      </c>
      <c r="K263">
        <v>-105.23</v>
      </c>
      <c r="L263">
        <v>-105.23</v>
      </c>
      <c r="M263">
        <v>-105.23</v>
      </c>
      <c r="N263" t="s">
        <v>158</v>
      </c>
      <c r="O263" s="3" t="s">
        <v>1482</v>
      </c>
      <c r="P263" s="3" t="s">
        <v>1482</v>
      </c>
      <c r="Q263" s="3" t="s">
        <v>1482</v>
      </c>
      <c r="R263" s="3" t="s">
        <v>1482</v>
      </c>
      <c r="S263" s="3" t="s">
        <v>1482</v>
      </c>
      <c r="T263" s="3" t="s">
        <v>1482</v>
      </c>
    </row>
    <row r="264" spans="1:20">
      <c r="A264" t="s">
        <v>391</v>
      </c>
      <c r="B264" t="s">
        <v>20</v>
      </c>
      <c r="C264" t="s">
        <v>21</v>
      </c>
      <c r="D264" t="s">
        <v>392</v>
      </c>
      <c r="E264" s="2">
        <v>46149</v>
      </c>
      <c r="F264" s="2">
        <v>46149</v>
      </c>
      <c r="G264" t="s">
        <v>20</v>
      </c>
      <c r="H264" s="2">
        <v>46149</v>
      </c>
      <c r="I264" s="2">
        <v>46149</v>
      </c>
      <c r="J264" t="s">
        <v>20</v>
      </c>
      <c r="K264">
        <v>-83.41</v>
      </c>
      <c r="L264">
        <v>-83.41</v>
      </c>
      <c r="M264">
        <v>-83.41</v>
      </c>
      <c r="N264" t="s">
        <v>158</v>
      </c>
      <c r="O264" s="3" t="s">
        <v>1482</v>
      </c>
      <c r="P264" s="3" t="s">
        <v>1482</v>
      </c>
      <c r="Q264" s="3" t="s">
        <v>1482</v>
      </c>
      <c r="R264" s="3" t="s">
        <v>1482</v>
      </c>
      <c r="S264" s="3" t="s">
        <v>1482</v>
      </c>
      <c r="T264" s="3" t="s">
        <v>1482</v>
      </c>
    </row>
    <row r="265" spans="1:20">
      <c r="A265" t="s">
        <v>393</v>
      </c>
      <c r="B265" t="s">
        <v>20</v>
      </c>
      <c r="C265" t="s">
        <v>21</v>
      </c>
      <c r="D265" t="s">
        <v>394</v>
      </c>
      <c r="E265" s="2">
        <v>46149</v>
      </c>
      <c r="F265" s="2">
        <v>46149</v>
      </c>
      <c r="G265" t="s">
        <v>20</v>
      </c>
      <c r="H265" s="2">
        <v>46149</v>
      </c>
      <c r="I265" s="2">
        <v>46149</v>
      </c>
      <c r="J265" t="s">
        <v>20</v>
      </c>
      <c r="K265">
        <v>-35.08</v>
      </c>
      <c r="L265">
        <v>-35.08</v>
      </c>
      <c r="M265">
        <v>-35.08</v>
      </c>
      <c r="N265" t="s">
        <v>158</v>
      </c>
      <c r="O265" s="3" t="s">
        <v>1482</v>
      </c>
      <c r="P265" s="3" t="s">
        <v>1482</v>
      </c>
      <c r="Q265" s="3" t="s">
        <v>1482</v>
      </c>
      <c r="R265" s="3" t="s">
        <v>1482</v>
      </c>
      <c r="S265" s="3" t="s">
        <v>1482</v>
      </c>
      <c r="T265" s="3" t="s">
        <v>1482</v>
      </c>
    </row>
    <row r="266" spans="1:20">
      <c r="A266" t="s">
        <v>395</v>
      </c>
      <c r="B266" t="s">
        <v>20</v>
      </c>
      <c r="C266" t="s">
        <v>21</v>
      </c>
      <c r="D266" t="s">
        <v>396</v>
      </c>
      <c r="E266" s="2">
        <v>46149</v>
      </c>
      <c r="F266" s="2">
        <v>46149</v>
      </c>
      <c r="G266" t="s">
        <v>20</v>
      </c>
      <c r="H266" s="2">
        <v>46149</v>
      </c>
      <c r="I266" s="2">
        <v>46149</v>
      </c>
      <c r="J266" t="s">
        <v>20</v>
      </c>
      <c r="K266">
        <v>-175.39</v>
      </c>
      <c r="L266">
        <v>-175.39</v>
      </c>
      <c r="M266">
        <v>-175.39</v>
      </c>
      <c r="N266" t="s">
        <v>158</v>
      </c>
      <c r="O266" s="3" t="s">
        <v>1482</v>
      </c>
      <c r="P266" s="3" t="s">
        <v>1482</v>
      </c>
      <c r="Q266" s="3" t="s">
        <v>1482</v>
      </c>
      <c r="R266" s="3" t="s">
        <v>1482</v>
      </c>
      <c r="S266" s="3" t="s">
        <v>1482</v>
      </c>
      <c r="T266" s="3" t="s">
        <v>1482</v>
      </c>
    </row>
    <row r="267" spans="1:20">
      <c r="A267" t="s">
        <v>397</v>
      </c>
      <c r="B267" t="s">
        <v>20</v>
      </c>
      <c r="C267" t="s">
        <v>21</v>
      </c>
      <c r="D267" t="s">
        <v>398</v>
      </c>
      <c r="E267" s="2">
        <v>46149</v>
      </c>
      <c r="F267" s="2">
        <v>46149</v>
      </c>
      <c r="G267" t="s">
        <v>20</v>
      </c>
      <c r="H267" s="2">
        <v>46149</v>
      </c>
      <c r="I267" s="2">
        <v>46149</v>
      </c>
      <c r="J267" t="s">
        <v>20</v>
      </c>
      <c r="K267">
        <v>-158.44999999999999</v>
      </c>
      <c r="L267">
        <v>-158.44999999999999</v>
      </c>
      <c r="M267">
        <v>-158.44999999999999</v>
      </c>
      <c r="N267" t="s">
        <v>158</v>
      </c>
      <c r="O267" s="3" t="s">
        <v>1482</v>
      </c>
      <c r="P267" s="3" t="s">
        <v>1482</v>
      </c>
      <c r="Q267" s="3" t="s">
        <v>1482</v>
      </c>
      <c r="R267" s="3" t="s">
        <v>1482</v>
      </c>
      <c r="S267" s="3" t="s">
        <v>1482</v>
      </c>
      <c r="T267" s="3" t="s">
        <v>1482</v>
      </c>
    </row>
    <row r="268" spans="1:20">
      <c r="A268" t="s">
        <v>399</v>
      </c>
      <c r="B268" t="s">
        <v>20</v>
      </c>
      <c r="C268" t="s">
        <v>21</v>
      </c>
      <c r="D268" t="s">
        <v>400</v>
      </c>
      <c r="E268" s="2">
        <v>46149</v>
      </c>
      <c r="F268" s="2">
        <v>46149</v>
      </c>
      <c r="G268" t="s">
        <v>20</v>
      </c>
      <c r="H268" s="2">
        <v>46149</v>
      </c>
      <c r="I268" s="2">
        <v>46149</v>
      </c>
      <c r="J268" t="s">
        <v>20</v>
      </c>
      <c r="K268">
        <v>-94.71</v>
      </c>
      <c r="L268">
        <v>-94.71</v>
      </c>
      <c r="M268">
        <v>-94.71</v>
      </c>
      <c r="N268" t="s">
        <v>158</v>
      </c>
      <c r="O268" s="3" t="s">
        <v>1482</v>
      </c>
      <c r="P268" s="3" t="s">
        <v>1482</v>
      </c>
      <c r="Q268" s="3" t="s">
        <v>1482</v>
      </c>
      <c r="R268" s="3" t="s">
        <v>1482</v>
      </c>
      <c r="S268" s="3" t="s">
        <v>1482</v>
      </c>
      <c r="T268" s="3" t="s">
        <v>1482</v>
      </c>
    </row>
    <row r="269" spans="1:20">
      <c r="A269" t="s">
        <v>401</v>
      </c>
      <c r="B269" t="s">
        <v>20</v>
      </c>
      <c r="C269" t="s">
        <v>21</v>
      </c>
      <c r="D269" t="s">
        <v>402</v>
      </c>
      <c r="E269" s="2">
        <v>46149</v>
      </c>
      <c r="F269" s="2">
        <v>46149</v>
      </c>
      <c r="G269" t="s">
        <v>20</v>
      </c>
      <c r="H269" s="2">
        <v>46149</v>
      </c>
      <c r="I269" s="2">
        <v>46149</v>
      </c>
      <c r="J269" t="s">
        <v>20</v>
      </c>
      <c r="K269">
        <v>-55.6</v>
      </c>
      <c r="L269">
        <v>-55.6</v>
      </c>
      <c r="M269">
        <v>-55.6</v>
      </c>
      <c r="N269" t="s">
        <v>158</v>
      </c>
      <c r="O269" s="3" t="s">
        <v>1482</v>
      </c>
      <c r="P269" s="3" t="s">
        <v>1482</v>
      </c>
      <c r="Q269" s="3" t="s">
        <v>1482</v>
      </c>
      <c r="R269" s="3" t="s">
        <v>1482</v>
      </c>
      <c r="S269" s="3" t="s">
        <v>1482</v>
      </c>
      <c r="T269" s="3" t="s">
        <v>1482</v>
      </c>
    </row>
    <row r="270" spans="1:20">
      <c r="A270" t="s">
        <v>403</v>
      </c>
      <c r="B270" t="s">
        <v>20</v>
      </c>
      <c r="C270" t="s">
        <v>21</v>
      </c>
      <c r="D270" t="s">
        <v>404</v>
      </c>
      <c r="E270" s="2">
        <v>46149</v>
      </c>
      <c r="F270" s="2">
        <v>46149</v>
      </c>
      <c r="G270" t="s">
        <v>20</v>
      </c>
      <c r="H270" s="2">
        <v>46149</v>
      </c>
      <c r="I270" s="2">
        <v>46149</v>
      </c>
      <c r="J270" t="s">
        <v>20</v>
      </c>
      <c r="K270">
        <v>-105.23</v>
      </c>
      <c r="L270">
        <v>-105.23</v>
      </c>
      <c r="M270">
        <v>-105.23</v>
      </c>
      <c r="N270" t="s">
        <v>158</v>
      </c>
      <c r="O270" s="3" t="s">
        <v>1482</v>
      </c>
      <c r="P270" s="3" t="s">
        <v>1482</v>
      </c>
      <c r="Q270" s="3" t="s">
        <v>1482</v>
      </c>
      <c r="R270" s="3" t="s">
        <v>1482</v>
      </c>
      <c r="S270" s="3" t="s">
        <v>1482</v>
      </c>
      <c r="T270" s="3" t="s">
        <v>1482</v>
      </c>
    </row>
    <row r="271" spans="1:20">
      <c r="A271" t="s">
        <v>405</v>
      </c>
      <c r="B271" t="s">
        <v>20</v>
      </c>
      <c r="C271" t="s">
        <v>21</v>
      </c>
      <c r="D271" t="s">
        <v>406</v>
      </c>
      <c r="E271" s="2">
        <v>46149</v>
      </c>
      <c r="F271" s="2">
        <v>46149</v>
      </c>
      <c r="G271" t="s">
        <v>20</v>
      </c>
      <c r="H271" s="2">
        <v>46149</v>
      </c>
      <c r="I271" s="2">
        <v>46149</v>
      </c>
      <c r="J271" t="s">
        <v>20</v>
      </c>
      <c r="K271">
        <v>-31.57</v>
      </c>
      <c r="L271">
        <v>-31.57</v>
      </c>
      <c r="M271">
        <v>-31.57</v>
      </c>
      <c r="N271" t="s">
        <v>158</v>
      </c>
      <c r="O271" s="3" t="s">
        <v>1482</v>
      </c>
      <c r="P271" s="3" t="s">
        <v>1482</v>
      </c>
      <c r="Q271" s="3" t="s">
        <v>1482</v>
      </c>
      <c r="R271" s="3" t="s">
        <v>1482</v>
      </c>
      <c r="S271" s="3" t="s">
        <v>1482</v>
      </c>
      <c r="T271" s="3" t="s">
        <v>1482</v>
      </c>
    </row>
    <row r="272" spans="1:20">
      <c r="A272" t="s">
        <v>407</v>
      </c>
      <c r="B272" t="s">
        <v>20</v>
      </c>
      <c r="C272" t="s">
        <v>21</v>
      </c>
      <c r="D272" t="s">
        <v>408</v>
      </c>
      <c r="E272" s="2">
        <v>46179</v>
      </c>
      <c r="F272" s="2">
        <v>46179</v>
      </c>
      <c r="G272" t="s">
        <v>20</v>
      </c>
      <c r="H272" s="2">
        <v>46179</v>
      </c>
      <c r="I272" s="2">
        <v>46179</v>
      </c>
      <c r="J272" t="s">
        <v>20</v>
      </c>
      <c r="K272">
        <v>-99.39</v>
      </c>
      <c r="L272">
        <v>-99.39</v>
      </c>
      <c r="M272">
        <v>-99.39</v>
      </c>
      <c r="N272" t="s">
        <v>158</v>
      </c>
      <c r="O272" s="3" t="s">
        <v>1482</v>
      </c>
      <c r="P272" s="3" t="s">
        <v>1482</v>
      </c>
      <c r="Q272" s="3" t="s">
        <v>1482</v>
      </c>
      <c r="R272" s="3" t="s">
        <v>1482</v>
      </c>
      <c r="S272" s="3" t="s">
        <v>1482</v>
      </c>
      <c r="T272" s="3" t="s">
        <v>1482</v>
      </c>
    </row>
    <row r="273" spans="1:20">
      <c r="A273" t="s">
        <v>409</v>
      </c>
      <c r="B273" t="s">
        <v>20</v>
      </c>
      <c r="C273" t="s">
        <v>21</v>
      </c>
      <c r="D273" t="s">
        <v>410</v>
      </c>
      <c r="E273" s="2">
        <v>46179</v>
      </c>
      <c r="F273" s="2">
        <v>46179</v>
      </c>
      <c r="G273" t="s">
        <v>20</v>
      </c>
      <c r="H273" s="2">
        <v>46179</v>
      </c>
      <c r="I273" s="2">
        <v>46179</v>
      </c>
      <c r="J273" t="s">
        <v>20</v>
      </c>
      <c r="K273">
        <v>-131.29</v>
      </c>
      <c r="L273">
        <v>-131.29</v>
      </c>
      <c r="M273">
        <v>-131.29</v>
      </c>
      <c r="N273" t="s">
        <v>158</v>
      </c>
      <c r="O273" s="3" t="s">
        <v>1482</v>
      </c>
      <c r="P273" s="3" t="s">
        <v>1482</v>
      </c>
      <c r="Q273" s="3" t="s">
        <v>1482</v>
      </c>
      <c r="R273" s="3" t="s">
        <v>1482</v>
      </c>
      <c r="S273" s="3" t="s">
        <v>1482</v>
      </c>
      <c r="T273" s="3" t="s">
        <v>1482</v>
      </c>
    </row>
    <row r="274" spans="1:20">
      <c r="A274" t="s">
        <v>411</v>
      </c>
      <c r="B274" t="s">
        <v>20</v>
      </c>
      <c r="C274" t="s">
        <v>21</v>
      </c>
      <c r="D274" t="s">
        <v>412</v>
      </c>
      <c r="E274" s="2">
        <v>46179</v>
      </c>
      <c r="F274" s="2">
        <v>46179</v>
      </c>
      <c r="G274" t="s">
        <v>20</v>
      </c>
      <c r="H274" s="2">
        <v>46179</v>
      </c>
      <c r="I274" s="2">
        <v>46179</v>
      </c>
      <c r="J274" t="s">
        <v>20</v>
      </c>
      <c r="K274">
        <v>-165.65</v>
      </c>
      <c r="L274">
        <v>-165.65</v>
      </c>
      <c r="M274">
        <v>-165.65</v>
      </c>
      <c r="N274" t="s">
        <v>158</v>
      </c>
      <c r="O274" s="3" t="s">
        <v>1482</v>
      </c>
      <c r="P274" s="3" t="s">
        <v>1482</v>
      </c>
      <c r="Q274" s="3" t="s">
        <v>1482</v>
      </c>
      <c r="R274" s="3" t="s">
        <v>1482</v>
      </c>
      <c r="S274" s="3" t="s">
        <v>1482</v>
      </c>
      <c r="T274" s="3" t="s">
        <v>1482</v>
      </c>
    </row>
    <row r="275" spans="1:20">
      <c r="A275" t="s">
        <v>413</v>
      </c>
      <c r="B275" t="s">
        <v>20</v>
      </c>
      <c r="C275" t="s">
        <v>21</v>
      </c>
      <c r="D275" t="s">
        <v>414</v>
      </c>
      <c r="E275" s="2">
        <v>46179</v>
      </c>
      <c r="F275" s="2">
        <v>46179</v>
      </c>
      <c r="G275" t="s">
        <v>20</v>
      </c>
      <c r="H275" s="2">
        <v>46179</v>
      </c>
      <c r="I275" s="2">
        <v>46179</v>
      </c>
      <c r="J275" t="s">
        <v>20</v>
      </c>
      <c r="K275">
        <v>-137.87</v>
      </c>
      <c r="L275">
        <v>-137.87</v>
      </c>
      <c r="M275">
        <v>-137.87</v>
      </c>
      <c r="N275" t="s">
        <v>158</v>
      </c>
      <c r="O275" s="3" t="s">
        <v>1482</v>
      </c>
      <c r="P275" s="3" t="s">
        <v>1482</v>
      </c>
      <c r="Q275" s="3" t="s">
        <v>1482</v>
      </c>
      <c r="R275" s="3" t="s">
        <v>1482</v>
      </c>
      <c r="S275" s="3" t="s">
        <v>1482</v>
      </c>
      <c r="T275" s="3" t="s">
        <v>1482</v>
      </c>
    </row>
    <row r="276" spans="1:20">
      <c r="A276" t="s">
        <v>415</v>
      </c>
      <c r="B276" t="s">
        <v>20</v>
      </c>
      <c r="C276" t="s">
        <v>21</v>
      </c>
      <c r="D276" t="s">
        <v>416</v>
      </c>
      <c r="E276" s="2">
        <v>46179</v>
      </c>
      <c r="F276" s="2">
        <v>46179</v>
      </c>
      <c r="G276" t="s">
        <v>20</v>
      </c>
      <c r="H276" s="2">
        <v>46179</v>
      </c>
      <c r="I276" s="2">
        <v>46179</v>
      </c>
      <c r="J276" t="s">
        <v>20</v>
      </c>
      <c r="K276">
        <v>-37.950000000000003</v>
      </c>
      <c r="L276">
        <v>-37.950000000000003</v>
      </c>
      <c r="M276">
        <v>-37.950000000000003</v>
      </c>
      <c r="N276" t="s">
        <v>158</v>
      </c>
      <c r="O276" s="3" t="s">
        <v>1482</v>
      </c>
      <c r="P276" s="3" t="s">
        <v>1482</v>
      </c>
      <c r="Q276" s="3" t="s">
        <v>1482</v>
      </c>
      <c r="R276" s="3" t="s">
        <v>1482</v>
      </c>
      <c r="S276" s="3" t="s">
        <v>1482</v>
      </c>
      <c r="T276" s="3" t="s">
        <v>1482</v>
      </c>
    </row>
    <row r="277" spans="1:20">
      <c r="A277" t="s">
        <v>417</v>
      </c>
      <c r="B277" t="s">
        <v>20</v>
      </c>
      <c r="C277" t="s">
        <v>21</v>
      </c>
      <c r="D277" t="s">
        <v>418</v>
      </c>
      <c r="E277" s="2">
        <v>46179</v>
      </c>
      <c r="F277" s="2">
        <v>46179</v>
      </c>
      <c r="G277" t="s">
        <v>20</v>
      </c>
      <c r="H277" s="2">
        <v>46179</v>
      </c>
      <c r="I277" s="2">
        <v>46179</v>
      </c>
      <c r="J277" t="s">
        <v>20</v>
      </c>
      <c r="K277">
        <v>-23.97</v>
      </c>
      <c r="L277">
        <v>-23.97</v>
      </c>
      <c r="M277">
        <v>-23.97</v>
      </c>
      <c r="N277" t="s">
        <v>158</v>
      </c>
      <c r="O277" s="3" t="s">
        <v>1482</v>
      </c>
      <c r="P277" s="3" t="s">
        <v>1482</v>
      </c>
      <c r="Q277" s="3" t="s">
        <v>1482</v>
      </c>
      <c r="R277" s="3" t="s">
        <v>1482</v>
      </c>
      <c r="S277" s="3" t="s">
        <v>1482</v>
      </c>
      <c r="T277" s="3" t="s">
        <v>1482</v>
      </c>
    </row>
    <row r="278" spans="1:20">
      <c r="A278" t="s">
        <v>419</v>
      </c>
      <c r="B278" t="s">
        <v>20</v>
      </c>
      <c r="C278" t="s">
        <v>21</v>
      </c>
      <c r="D278" t="s">
        <v>420</v>
      </c>
      <c r="E278" s="2">
        <v>46179</v>
      </c>
      <c r="F278" s="2">
        <v>46179</v>
      </c>
      <c r="G278" t="s">
        <v>20</v>
      </c>
      <c r="H278" s="2">
        <v>46179</v>
      </c>
      <c r="I278" s="2">
        <v>46179</v>
      </c>
      <c r="J278" t="s">
        <v>20</v>
      </c>
      <c r="K278">
        <v>-132.52000000000001</v>
      </c>
      <c r="L278">
        <v>-132.52000000000001</v>
      </c>
      <c r="M278">
        <v>-132.52000000000001</v>
      </c>
      <c r="N278" t="s">
        <v>158</v>
      </c>
      <c r="O278" s="3" t="s">
        <v>1482</v>
      </c>
      <c r="P278" s="3" t="s">
        <v>1482</v>
      </c>
      <c r="Q278" s="3" t="s">
        <v>1482</v>
      </c>
      <c r="R278" s="3" t="s">
        <v>1482</v>
      </c>
      <c r="S278" s="3" t="s">
        <v>1482</v>
      </c>
      <c r="T278" s="3" t="s">
        <v>1482</v>
      </c>
    </row>
    <row r="279" spans="1:20">
      <c r="A279" t="s">
        <v>421</v>
      </c>
      <c r="B279" t="s">
        <v>20</v>
      </c>
      <c r="C279" t="s">
        <v>21</v>
      </c>
      <c r="D279" t="s">
        <v>422</v>
      </c>
      <c r="E279" s="2">
        <v>46179</v>
      </c>
      <c r="F279" s="2">
        <v>46179</v>
      </c>
      <c r="G279" t="s">
        <v>20</v>
      </c>
      <c r="H279" s="2">
        <v>46179</v>
      </c>
      <c r="I279" s="2">
        <v>46179</v>
      </c>
      <c r="J279" t="s">
        <v>20</v>
      </c>
      <c r="K279">
        <v>-165.65</v>
      </c>
      <c r="L279">
        <v>-165.65</v>
      </c>
      <c r="M279">
        <v>-165.65</v>
      </c>
      <c r="N279" t="s">
        <v>158</v>
      </c>
      <c r="O279" s="3" t="s">
        <v>1482</v>
      </c>
      <c r="P279" s="3" t="s">
        <v>1482</v>
      </c>
      <c r="Q279" s="3" t="s">
        <v>1482</v>
      </c>
      <c r="R279" s="3" t="s">
        <v>1482</v>
      </c>
      <c r="S279" s="3" t="s">
        <v>1482</v>
      </c>
      <c r="T279" s="3" t="s">
        <v>1482</v>
      </c>
    </row>
    <row r="280" spans="1:20">
      <c r="A280" t="s">
        <v>423</v>
      </c>
      <c r="B280" t="s">
        <v>20</v>
      </c>
      <c r="C280" t="s">
        <v>21</v>
      </c>
      <c r="D280" t="s">
        <v>424</v>
      </c>
      <c r="E280" s="2">
        <v>46179</v>
      </c>
      <c r="F280" s="2">
        <v>46179</v>
      </c>
      <c r="G280" t="s">
        <v>20</v>
      </c>
      <c r="H280" s="2">
        <v>46179</v>
      </c>
      <c r="I280" s="2">
        <v>46179</v>
      </c>
      <c r="J280" t="s">
        <v>20</v>
      </c>
      <c r="K280">
        <v>-132.52000000000001</v>
      </c>
      <c r="L280">
        <v>-132.52000000000001</v>
      </c>
      <c r="M280">
        <v>-132.52000000000001</v>
      </c>
      <c r="N280" t="s">
        <v>158</v>
      </c>
      <c r="O280" s="3" t="s">
        <v>1482</v>
      </c>
      <c r="P280" s="3" t="s">
        <v>1482</v>
      </c>
      <c r="Q280" s="3" t="s">
        <v>1482</v>
      </c>
      <c r="R280" s="3" t="s">
        <v>1482</v>
      </c>
      <c r="S280" s="3" t="s">
        <v>1482</v>
      </c>
      <c r="T280" s="3" t="s">
        <v>1482</v>
      </c>
    </row>
    <row r="281" spans="1:20">
      <c r="A281" t="s">
        <v>425</v>
      </c>
      <c r="B281" t="s">
        <v>20</v>
      </c>
      <c r="C281" t="s">
        <v>21</v>
      </c>
      <c r="D281" t="s">
        <v>426</v>
      </c>
      <c r="E281" s="2">
        <v>46179</v>
      </c>
      <c r="F281" s="2">
        <v>46179</v>
      </c>
      <c r="G281" t="s">
        <v>20</v>
      </c>
      <c r="H281" s="2">
        <v>46179</v>
      </c>
      <c r="I281" s="2">
        <v>46179</v>
      </c>
      <c r="J281" t="s">
        <v>20</v>
      </c>
      <c r="K281">
        <v>-42.73</v>
      </c>
      <c r="L281">
        <v>-42.73</v>
      </c>
      <c r="M281">
        <v>-42.73</v>
      </c>
      <c r="N281" t="s">
        <v>158</v>
      </c>
      <c r="O281" s="3" t="s">
        <v>1482</v>
      </c>
      <c r="P281" s="3" t="s">
        <v>1482</v>
      </c>
      <c r="Q281" s="3" t="s">
        <v>1482</v>
      </c>
      <c r="R281" s="3" t="s">
        <v>1482</v>
      </c>
      <c r="S281" s="3" t="s">
        <v>1482</v>
      </c>
      <c r="T281" s="3" t="s">
        <v>1482</v>
      </c>
    </row>
    <row r="282" spans="1:20">
      <c r="A282" t="s">
        <v>427</v>
      </c>
      <c r="B282" t="s">
        <v>20</v>
      </c>
      <c r="C282" t="s">
        <v>21</v>
      </c>
      <c r="D282" t="s">
        <v>428</v>
      </c>
      <c r="E282" s="2">
        <v>46179</v>
      </c>
      <c r="F282" s="2">
        <v>46179</v>
      </c>
      <c r="G282" t="s">
        <v>20</v>
      </c>
      <c r="H282" s="2">
        <v>46179</v>
      </c>
      <c r="I282" s="2">
        <v>46179</v>
      </c>
      <c r="J282" t="s">
        <v>20</v>
      </c>
      <c r="K282">
        <v>-99.39</v>
      </c>
      <c r="L282">
        <v>-99.39</v>
      </c>
      <c r="M282">
        <v>-99.39</v>
      </c>
      <c r="N282" t="s">
        <v>158</v>
      </c>
      <c r="O282" s="3" t="s">
        <v>1482</v>
      </c>
      <c r="P282" s="3" t="s">
        <v>1482</v>
      </c>
      <c r="Q282" s="3" t="s">
        <v>1482</v>
      </c>
      <c r="R282" s="3" t="s">
        <v>1482</v>
      </c>
      <c r="S282" s="3" t="s">
        <v>1482</v>
      </c>
      <c r="T282" s="3" t="s">
        <v>1482</v>
      </c>
    </row>
    <row r="283" spans="1:20">
      <c r="A283" t="s">
        <v>429</v>
      </c>
      <c r="B283" t="s">
        <v>20</v>
      </c>
      <c r="C283" t="s">
        <v>21</v>
      </c>
      <c r="D283" t="s">
        <v>430</v>
      </c>
      <c r="E283" s="2">
        <v>46179</v>
      </c>
      <c r="F283" s="2">
        <v>46179</v>
      </c>
      <c r="G283" t="s">
        <v>20</v>
      </c>
      <c r="H283" s="2">
        <v>46179</v>
      </c>
      <c r="I283" s="2">
        <v>46179</v>
      </c>
      <c r="J283" t="s">
        <v>20</v>
      </c>
      <c r="K283">
        <v>-33.130000000000003</v>
      </c>
      <c r="L283">
        <v>-33.130000000000003</v>
      </c>
      <c r="M283">
        <v>-33.130000000000003</v>
      </c>
      <c r="N283" t="s">
        <v>158</v>
      </c>
      <c r="O283" s="3" t="s">
        <v>1482</v>
      </c>
      <c r="P283" s="3" t="s">
        <v>1482</v>
      </c>
      <c r="Q283" s="3" t="s">
        <v>1482</v>
      </c>
      <c r="R283" s="3" t="s">
        <v>1482</v>
      </c>
      <c r="S283" s="3" t="s">
        <v>1482</v>
      </c>
      <c r="T283" s="3" t="s">
        <v>1482</v>
      </c>
    </row>
    <row r="284" spans="1:20">
      <c r="A284" t="s">
        <v>431</v>
      </c>
      <c r="B284" t="s">
        <v>20</v>
      </c>
      <c r="C284" t="s">
        <v>21</v>
      </c>
      <c r="D284" t="s">
        <v>432</v>
      </c>
      <c r="E284" s="2">
        <v>46179</v>
      </c>
      <c r="F284" s="2">
        <v>46179</v>
      </c>
      <c r="G284" t="s">
        <v>20</v>
      </c>
      <c r="H284" s="2">
        <v>46179</v>
      </c>
      <c r="I284" s="2">
        <v>46179</v>
      </c>
      <c r="J284" t="s">
        <v>20</v>
      </c>
      <c r="K284">
        <v>-32.369999999999997</v>
      </c>
      <c r="L284">
        <v>-32.369999999999997</v>
      </c>
      <c r="M284">
        <v>-32.369999999999997</v>
      </c>
      <c r="N284" t="s">
        <v>158</v>
      </c>
      <c r="O284" s="3" t="s">
        <v>1482</v>
      </c>
      <c r="P284" s="3" t="s">
        <v>1482</v>
      </c>
      <c r="Q284" s="3" t="s">
        <v>1482</v>
      </c>
      <c r="R284" s="3" t="s">
        <v>1482</v>
      </c>
      <c r="S284" s="3" t="s">
        <v>1482</v>
      </c>
      <c r="T284" s="3" t="s">
        <v>1482</v>
      </c>
    </row>
    <row r="285" spans="1:20">
      <c r="A285" t="s">
        <v>433</v>
      </c>
      <c r="B285" t="s">
        <v>20</v>
      </c>
      <c r="C285" t="s">
        <v>21</v>
      </c>
      <c r="D285" t="s">
        <v>434</v>
      </c>
      <c r="E285" s="2">
        <v>46179</v>
      </c>
      <c r="F285" s="2">
        <v>46179</v>
      </c>
      <c r="G285" t="s">
        <v>20</v>
      </c>
      <c r="H285" s="2">
        <v>46179</v>
      </c>
      <c r="I285" s="2">
        <v>46179</v>
      </c>
      <c r="J285" t="s">
        <v>20</v>
      </c>
      <c r="K285">
        <v>-99.39</v>
      </c>
      <c r="L285">
        <v>-99.39</v>
      </c>
      <c r="M285">
        <v>-99.39</v>
      </c>
      <c r="N285" t="s">
        <v>158</v>
      </c>
      <c r="O285" s="3" t="s">
        <v>1482</v>
      </c>
      <c r="P285" s="3" t="s">
        <v>1482</v>
      </c>
      <c r="Q285" s="3" t="s">
        <v>1482</v>
      </c>
      <c r="R285" s="3" t="s">
        <v>1482</v>
      </c>
      <c r="S285" s="3" t="s">
        <v>1482</v>
      </c>
      <c r="T285" s="3" t="s">
        <v>1482</v>
      </c>
    </row>
    <row r="286" spans="1:20">
      <c r="A286" t="s">
        <v>435</v>
      </c>
      <c r="B286" t="s">
        <v>20</v>
      </c>
      <c r="C286" t="s">
        <v>21</v>
      </c>
      <c r="D286" t="s">
        <v>436</v>
      </c>
      <c r="E286" s="2">
        <v>46179</v>
      </c>
      <c r="F286" s="2">
        <v>46179</v>
      </c>
      <c r="G286" t="s">
        <v>20</v>
      </c>
      <c r="H286" s="2">
        <v>46179</v>
      </c>
      <c r="I286" s="2">
        <v>46179</v>
      </c>
      <c r="J286" t="s">
        <v>20</v>
      </c>
      <c r="K286">
        <v>-99.39</v>
      </c>
      <c r="L286">
        <v>-99.39</v>
      </c>
      <c r="M286">
        <v>-99.39</v>
      </c>
      <c r="N286" t="s">
        <v>158</v>
      </c>
      <c r="O286" s="3" t="s">
        <v>1482</v>
      </c>
      <c r="P286" s="3" t="s">
        <v>1482</v>
      </c>
      <c r="Q286" s="3" t="s">
        <v>1482</v>
      </c>
      <c r="R286" s="3" t="s">
        <v>1482</v>
      </c>
      <c r="S286" s="3" t="s">
        <v>1482</v>
      </c>
      <c r="T286" s="3" t="s">
        <v>1482</v>
      </c>
    </row>
    <row r="287" spans="1:20">
      <c r="A287" t="s">
        <v>437</v>
      </c>
      <c r="B287" t="s">
        <v>20</v>
      </c>
      <c r="C287" t="s">
        <v>21</v>
      </c>
      <c r="D287" t="s">
        <v>438</v>
      </c>
      <c r="E287" s="2">
        <v>46179</v>
      </c>
      <c r="F287" s="2">
        <v>46179</v>
      </c>
      <c r="G287" t="s">
        <v>20</v>
      </c>
      <c r="H287" s="2">
        <v>46179</v>
      </c>
      <c r="I287" s="2">
        <v>46179</v>
      </c>
      <c r="J287" t="s">
        <v>20</v>
      </c>
      <c r="K287">
        <v>-66.260000000000005</v>
      </c>
      <c r="L287">
        <v>-66.260000000000005</v>
      </c>
      <c r="M287">
        <v>-66.260000000000005</v>
      </c>
      <c r="N287" t="s">
        <v>158</v>
      </c>
      <c r="O287" s="3" t="s">
        <v>1482</v>
      </c>
      <c r="P287" s="3" t="s">
        <v>1482</v>
      </c>
      <c r="Q287" s="3" t="s">
        <v>1482</v>
      </c>
      <c r="R287" s="3" t="s">
        <v>1482</v>
      </c>
      <c r="S287" s="3" t="s">
        <v>1482</v>
      </c>
      <c r="T287" s="3" t="s">
        <v>1482</v>
      </c>
    </row>
    <row r="288" spans="1:20">
      <c r="A288" t="s">
        <v>439</v>
      </c>
      <c r="B288" t="s">
        <v>20</v>
      </c>
      <c r="C288" t="s">
        <v>21</v>
      </c>
      <c r="D288" t="s">
        <v>440</v>
      </c>
      <c r="E288" s="2">
        <v>46179</v>
      </c>
      <c r="F288" s="2">
        <v>46179</v>
      </c>
      <c r="G288" t="s">
        <v>20</v>
      </c>
      <c r="H288" s="2">
        <v>46179</v>
      </c>
      <c r="I288" s="2">
        <v>46179</v>
      </c>
      <c r="J288" t="s">
        <v>20</v>
      </c>
      <c r="K288">
        <v>-64.739999999999995</v>
      </c>
      <c r="L288">
        <v>-64.739999999999995</v>
      </c>
      <c r="M288">
        <v>-64.739999999999995</v>
      </c>
      <c r="N288" t="s">
        <v>158</v>
      </c>
      <c r="O288" s="3" t="s">
        <v>1482</v>
      </c>
      <c r="P288" s="3" t="s">
        <v>1482</v>
      </c>
      <c r="Q288" s="3" t="s">
        <v>1482</v>
      </c>
      <c r="R288" s="3" t="s">
        <v>1482</v>
      </c>
      <c r="S288" s="3" t="s">
        <v>1482</v>
      </c>
      <c r="T288" s="3" t="s">
        <v>1482</v>
      </c>
    </row>
    <row r="289" spans="1:20">
      <c r="A289" t="s">
        <v>441</v>
      </c>
      <c r="B289" t="s">
        <v>20</v>
      </c>
      <c r="C289" t="s">
        <v>21</v>
      </c>
      <c r="D289" t="s">
        <v>442</v>
      </c>
      <c r="E289" s="2">
        <v>46179</v>
      </c>
      <c r="F289" s="2">
        <v>46179</v>
      </c>
      <c r="G289" t="s">
        <v>20</v>
      </c>
      <c r="H289" s="2">
        <v>46179</v>
      </c>
      <c r="I289" s="2">
        <v>46179</v>
      </c>
      <c r="J289" t="s">
        <v>20</v>
      </c>
      <c r="K289">
        <v>-33.130000000000003</v>
      </c>
      <c r="L289">
        <v>-33.130000000000003</v>
      </c>
      <c r="M289">
        <v>-33.130000000000003</v>
      </c>
      <c r="N289" t="s">
        <v>158</v>
      </c>
      <c r="O289" s="3" t="s">
        <v>1482</v>
      </c>
      <c r="P289" s="3" t="s">
        <v>1482</v>
      </c>
      <c r="Q289" s="3" t="s">
        <v>1482</v>
      </c>
      <c r="R289" s="3" t="s">
        <v>1482</v>
      </c>
      <c r="S289" s="3" t="s">
        <v>1482</v>
      </c>
      <c r="T289" s="3" t="s">
        <v>1482</v>
      </c>
    </row>
    <row r="290" spans="1:20">
      <c r="A290" t="s">
        <v>443</v>
      </c>
      <c r="B290" t="s">
        <v>20</v>
      </c>
      <c r="C290" t="s">
        <v>21</v>
      </c>
      <c r="D290" t="s">
        <v>444</v>
      </c>
      <c r="E290" s="2">
        <v>46179</v>
      </c>
      <c r="F290" s="2">
        <v>46179</v>
      </c>
      <c r="G290" t="s">
        <v>20</v>
      </c>
      <c r="H290" s="2">
        <v>46179</v>
      </c>
      <c r="I290" s="2">
        <v>46179</v>
      </c>
      <c r="J290" t="s">
        <v>20</v>
      </c>
      <c r="K290">
        <v>-33.130000000000003</v>
      </c>
      <c r="L290">
        <v>-33.130000000000003</v>
      </c>
      <c r="M290">
        <v>-33.130000000000003</v>
      </c>
      <c r="N290" t="s">
        <v>158</v>
      </c>
      <c r="O290" s="3" t="s">
        <v>1482</v>
      </c>
      <c r="P290" s="3" t="s">
        <v>1482</v>
      </c>
      <c r="Q290" s="3" t="s">
        <v>1482</v>
      </c>
      <c r="R290" s="3" t="s">
        <v>1482</v>
      </c>
      <c r="S290" s="3" t="s">
        <v>1482</v>
      </c>
      <c r="T290" s="3" t="s">
        <v>1482</v>
      </c>
    </row>
    <row r="291" spans="1:20">
      <c r="A291" t="s">
        <v>445</v>
      </c>
      <c r="B291" t="s">
        <v>20</v>
      </c>
      <c r="C291" t="s">
        <v>21</v>
      </c>
      <c r="D291" t="s">
        <v>446</v>
      </c>
      <c r="E291" s="2">
        <v>46179</v>
      </c>
      <c r="F291" s="2">
        <v>46179</v>
      </c>
      <c r="G291" t="s">
        <v>20</v>
      </c>
      <c r="H291" s="2">
        <v>46179</v>
      </c>
      <c r="I291" s="2">
        <v>46179</v>
      </c>
      <c r="J291" t="s">
        <v>20</v>
      </c>
      <c r="K291">
        <v>-52.52</v>
      </c>
      <c r="L291">
        <v>-52.52</v>
      </c>
      <c r="M291">
        <v>-52.52</v>
      </c>
      <c r="N291" t="s">
        <v>158</v>
      </c>
      <c r="O291" s="3" t="s">
        <v>1482</v>
      </c>
      <c r="P291" s="3" t="s">
        <v>1482</v>
      </c>
      <c r="Q291" s="3" t="s">
        <v>1482</v>
      </c>
      <c r="R291" s="3" t="s">
        <v>1482</v>
      </c>
      <c r="S291" s="3" t="s">
        <v>1482</v>
      </c>
      <c r="T291" s="3" t="s">
        <v>1482</v>
      </c>
    </row>
    <row r="292" spans="1:20">
      <c r="A292" t="s">
        <v>447</v>
      </c>
      <c r="B292" t="s">
        <v>20</v>
      </c>
      <c r="C292" t="s">
        <v>21</v>
      </c>
      <c r="D292" t="s">
        <v>448</v>
      </c>
      <c r="E292" s="2">
        <v>46179</v>
      </c>
      <c r="F292" s="2">
        <v>46179</v>
      </c>
      <c r="G292" t="s">
        <v>20</v>
      </c>
      <c r="H292" s="2">
        <v>46179</v>
      </c>
      <c r="I292" s="2">
        <v>46179</v>
      </c>
      <c r="J292" t="s">
        <v>20</v>
      </c>
      <c r="K292">
        <v>-108.96</v>
      </c>
      <c r="L292">
        <v>-108.96</v>
      </c>
      <c r="M292">
        <v>-108.96</v>
      </c>
      <c r="N292" t="s">
        <v>158</v>
      </c>
      <c r="O292" s="3" t="s">
        <v>1482</v>
      </c>
      <c r="P292" s="3" t="s">
        <v>1482</v>
      </c>
      <c r="Q292" s="3" t="s">
        <v>1482</v>
      </c>
      <c r="R292" s="3" t="s">
        <v>1482</v>
      </c>
      <c r="S292" s="3" t="s">
        <v>1482</v>
      </c>
      <c r="T292" s="3" t="s">
        <v>1482</v>
      </c>
    </row>
    <row r="293" spans="1:20">
      <c r="A293" t="s">
        <v>449</v>
      </c>
      <c r="B293" t="s">
        <v>20</v>
      </c>
      <c r="C293" t="s">
        <v>21</v>
      </c>
      <c r="D293" t="s">
        <v>450</v>
      </c>
      <c r="E293" s="2">
        <v>46179</v>
      </c>
      <c r="F293" s="2">
        <v>46179</v>
      </c>
      <c r="G293" t="s">
        <v>20</v>
      </c>
      <c r="H293" s="2">
        <v>46179</v>
      </c>
      <c r="I293" s="2">
        <v>46179</v>
      </c>
      <c r="J293" t="s">
        <v>20</v>
      </c>
      <c r="K293">
        <v>-30.03</v>
      </c>
      <c r="L293">
        <v>-30.03</v>
      </c>
      <c r="M293">
        <v>-30.03</v>
      </c>
      <c r="N293" t="s">
        <v>158</v>
      </c>
      <c r="O293" s="3" t="s">
        <v>1482</v>
      </c>
      <c r="P293" s="3" t="s">
        <v>1482</v>
      </c>
      <c r="Q293" s="3" t="s">
        <v>1482</v>
      </c>
      <c r="R293" s="3" t="s">
        <v>1482</v>
      </c>
      <c r="S293" s="3" t="s">
        <v>1482</v>
      </c>
      <c r="T293" s="3" t="s">
        <v>1482</v>
      </c>
    </row>
    <row r="294" spans="1:20">
      <c r="A294" t="s">
        <v>451</v>
      </c>
      <c r="B294" t="s">
        <v>20</v>
      </c>
      <c r="C294" t="s">
        <v>21</v>
      </c>
      <c r="D294" t="s">
        <v>452</v>
      </c>
      <c r="E294" s="2">
        <v>46179</v>
      </c>
      <c r="F294" s="2">
        <v>46179</v>
      </c>
      <c r="G294" t="s">
        <v>20</v>
      </c>
      <c r="H294" s="2">
        <v>46179</v>
      </c>
      <c r="I294" s="2">
        <v>46179</v>
      </c>
      <c r="J294" t="s">
        <v>20</v>
      </c>
      <c r="K294">
        <v>-193.3</v>
      </c>
      <c r="L294">
        <v>-193.3</v>
      </c>
      <c r="M294">
        <v>-193.3</v>
      </c>
      <c r="N294" t="s">
        <v>158</v>
      </c>
      <c r="O294" s="3" t="s">
        <v>1482</v>
      </c>
      <c r="P294" s="3" t="s">
        <v>1482</v>
      </c>
      <c r="Q294" s="3" t="s">
        <v>1482</v>
      </c>
      <c r="R294" s="3" t="s">
        <v>1482</v>
      </c>
      <c r="S294" s="3" t="s">
        <v>1482</v>
      </c>
      <c r="T294" s="3" t="s">
        <v>1482</v>
      </c>
    </row>
    <row r="295" spans="1:20">
      <c r="A295" t="s">
        <v>453</v>
      </c>
      <c r="B295" t="s">
        <v>20</v>
      </c>
      <c r="C295" t="s">
        <v>21</v>
      </c>
      <c r="D295" t="s">
        <v>454</v>
      </c>
      <c r="E295" s="2">
        <v>46179</v>
      </c>
      <c r="F295" s="2">
        <v>46179</v>
      </c>
      <c r="G295" t="s">
        <v>20</v>
      </c>
      <c r="H295" s="2">
        <v>46179</v>
      </c>
      <c r="I295" s="2">
        <v>46179</v>
      </c>
      <c r="J295" t="s">
        <v>20</v>
      </c>
      <c r="K295">
        <v>-99.39</v>
      </c>
      <c r="L295">
        <v>-99.39</v>
      </c>
      <c r="M295">
        <v>-99.39</v>
      </c>
      <c r="N295" t="s">
        <v>158</v>
      </c>
      <c r="O295" s="3" t="s">
        <v>1482</v>
      </c>
      <c r="P295" s="3" t="s">
        <v>1482</v>
      </c>
      <c r="Q295" s="3" t="s">
        <v>1482</v>
      </c>
      <c r="R295" s="3" t="s">
        <v>1482</v>
      </c>
      <c r="S295" s="3" t="s">
        <v>1482</v>
      </c>
      <c r="T295" s="3" t="s">
        <v>1482</v>
      </c>
    </row>
    <row r="296" spans="1:20">
      <c r="A296" t="s">
        <v>455</v>
      </c>
      <c r="B296" t="s">
        <v>20</v>
      </c>
      <c r="C296" t="s">
        <v>21</v>
      </c>
      <c r="D296" t="s">
        <v>456</v>
      </c>
      <c r="E296" s="2">
        <v>46179</v>
      </c>
      <c r="F296" s="2">
        <v>46179</v>
      </c>
      <c r="G296" t="s">
        <v>20</v>
      </c>
      <c r="H296" s="2">
        <v>46179</v>
      </c>
      <c r="I296" s="2">
        <v>46179</v>
      </c>
      <c r="J296" t="s">
        <v>20</v>
      </c>
      <c r="K296">
        <v>-13.29</v>
      </c>
      <c r="L296">
        <v>-13.29</v>
      </c>
      <c r="M296">
        <v>-13.29</v>
      </c>
      <c r="N296" t="s">
        <v>158</v>
      </c>
      <c r="O296" s="3" t="s">
        <v>1482</v>
      </c>
      <c r="P296" s="3" t="s">
        <v>1482</v>
      </c>
      <c r="Q296" s="3" t="s">
        <v>1482</v>
      </c>
      <c r="R296" s="3" t="s">
        <v>1482</v>
      </c>
      <c r="S296" s="3" t="s">
        <v>1482</v>
      </c>
      <c r="T296" s="3" t="s">
        <v>1482</v>
      </c>
    </row>
    <row r="297" spans="1:20">
      <c r="A297" t="s">
        <v>457</v>
      </c>
      <c r="B297" t="s">
        <v>20</v>
      </c>
      <c r="C297" t="s">
        <v>21</v>
      </c>
      <c r="D297" t="s">
        <v>458</v>
      </c>
      <c r="E297" s="2">
        <v>46179</v>
      </c>
      <c r="F297" s="2">
        <v>46179</v>
      </c>
      <c r="G297" t="s">
        <v>20</v>
      </c>
      <c r="H297" s="2">
        <v>46179</v>
      </c>
      <c r="I297" s="2">
        <v>46179</v>
      </c>
      <c r="J297" t="s">
        <v>20</v>
      </c>
      <c r="K297">
        <v>-165.65</v>
      </c>
      <c r="L297">
        <v>-165.65</v>
      </c>
      <c r="M297">
        <v>-165.65</v>
      </c>
      <c r="N297" t="s">
        <v>158</v>
      </c>
      <c r="O297" s="3" t="s">
        <v>1482</v>
      </c>
      <c r="P297" s="3" t="s">
        <v>1482</v>
      </c>
      <c r="Q297" s="3" t="s">
        <v>1482</v>
      </c>
      <c r="R297" s="3" t="s">
        <v>1482</v>
      </c>
      <c r="S297" s="3" t="s">
        <v>1482</v>
      </c>
      <c r="T297" s="3" t="s">
        <v>1482</v>
      </c>
    </row>
    <row r="298" spans="1:20">
      <c r="A298" t="s">
        <v>459</v>
      </c>
      <c r="B298" t="s">
        <v>20</v>
      </c>
      <c r="C298" t="s">
        <v>21</v>
      </c>
      <c r="D298" t="s">
        <v>460</v>
      </c>
      <c r="E298" s="2">
        <v>46179</v>
      </c>
      <c r="F298" s="2">
        <v>46179</v>
      </c>
      <c r="G298" t="s">
        <v>20</v>
      </c>
      <c r="H298" s="2">
        <v>46179</v>
      </c>
      <c r="I298" s="2">
        <v>46179</v>
      </c>
      <c r="J298" t="s">
        <v>20</v>
      </c>
      <c r="K298">
        <v>-23.97</v>
      </c>
      <c r="L298">
        <v>-23.97</v>
      </c>
      <c r="M298">
        <v>-23.97</v>
      </c>
      <c r="N298" t="s">
        <v>158</v>
      </c>
      <c r="O298" s="3" t="s">
        <v>1482</v>
      </c>
      <c r="P298" s="3" t="s">
        <v>1482</v>
      </c>
      <c r="Q298" s="3" t="s">
        <v>1482</v>
      </c>
      <c r="R298" s="3" t="s">
        <v>1482</v>
      </c>
      <c r="S298" s="3" t="s">
        <v>1482</v>
      </c>
      <c r="T298" s="3" t="s">
        <v>1482</v>
      </c>
    </row>
    <row r="299" spans="1:20">
      <c r="A299" t="s">
        <v>461</v>
      </c>
      <c r="B299" t="s">
        <v>20</v>
      </c>
      <c r="C299" t="s">
        <v>21</v>
      </c>
      <c r="D299" t="s">
        <v>462</v>
      </c>
      <c r="E299" s="2">
        <v>46179</v>
      </c>
      <c r="F299" s="2">
        <v>46179</v>
      </c>
      <c r="G299" t="s">
        <v>20</v>
      </c>
      <c r="H299" s="2">
        <v>46179</v>
      </c>
      <c r="I299" s="2">
        <v>46179</v>
      </c>
      <c r="J299" t="s">
        <v>20</v>
      </c>
      <c r="K299">
        <v>-165.65</v>
      </c>
      <c r="L299">
        <v>-165.65</v>
      </c>
      <c r="M299">
        <v>-165.65</v>
      </c>
      <c r="N299" t="s">
        <v>158</v>
      </c>
      <c r="O299" s="3" t="s">
        <v>1482</v>
      </c>
      <c r="P299" s="3" t="s">
        <v>1482</v>
      </c>
      <c r="Q299" s="3" t="s">
        <v>1482</v>
      </c>
      <c r="R299" s="3" t="s">
        <v>1482</v>
      </c>
      <c r="S299" s="3" t="s">
        <v>1482</v>
      </c>
      <c r="T299" s="3" t="s">
        <v>1482</v>
      </c>
    </row>
    <row r="300" spans="1:20">
      <c r="A300" t="s">
        <v>463</v>
      </c>
      <c r="B300" t="s">
        <v>20</v>
      </c>
      <c r="C300" t="s">
        <v>21</v>
      </c>
      <c r="D300" t="s">
        <v>464</v>
      </c>
      <c r="E300" s="2">
        <v>46179</v>
      </c>
      <c r="F300" s="2">
        <v>46179</v>
      </c>
      <c r="G300" t="s">
        <v>20</v>
      </c>
      <c r="H300" s="2">
        <v>46179</v>
      </c>
      <c r="I300" s="2">
        <v>46179</v>
      </c>
      <c r="J300" t="s">
        <v>20</v>
      </c>
      <c r="K300">
        <v>-119.27</v>
      </c>
      <c r="L300">
        <v>-119.27</v>
      </c>
      <c r="M300">
        <v>-119.27</v>
      </c>
      <c r="N300" t="s">
        <v>158</v>
      </c>
      <c r="O300" s="3" t="s">
        <v>1482</v>
      </c>
      <c r="P300" s="3" t="s">
        <v>1482</v>
      </c>
      <c r="Q300" s="3" t="s">
        <v>1482</v>
      </c>
      <c r="R300" s="3" t="s">
        <v>1482</v>
      </c>
      <c r="S300" s="3" t="s">
        <v>1482</v>
      </c>
      <c r="T300" s="3" t="s">
        <v>1482</v>
      </c>
    </row>
    <row r="301" spans="1:20">
      <c r="A301" t="s">
        <v>465</v>
      </c>
      <c r="B301" t="s">
        <v>20</v>
      </c>
      <c r="C301" t="s">
        <v>21</v>
      </c>
      <c r="D301" t="s">
        <v>466</v>
      </c>
      <c r="E301" s="2">
        <v>46179</v>
      </c>
      <c r="F301" s="2">
        <v>46179</v>
      </c>
      <c r="G301" t="s">
        <v>20</v>
      </c>
      <c r="H301" s="2">
        <v>46179</v>
      </c>
      <c r="I301" s="2">
        <v>46179</v>
      </c>
      <c r="J301" t="s">
        <v>20</v>
      </c>
      <c r="K301">
        <v>-52.52</v>
      </c>
      <c r="L301">
        <v>-52.52</v>
      </c>
      <c r="M301">
        <v>-52.52</v>
      </c>
      <c r="N301" t="s">
        <v>158</v>
      </c>
      <c r="O301" s="3" t="s">
        <v>1482</v>
      </c>
      <c r="P301" s="3" t="s">
        <v>1482</v>
      </c>
      <c r="Q301" s="3" t="s">
        <v>1482</v>
      </c>
      <c r="R301" s="3" t="s">
        <v>1482</v>
      </c>
      <c r="S301" s="3" t="s">
        <v>1482</v>
      </c>
      <c r="T301" s="3" t="s">
        <v>1482</v>
      </c>
    </row>
    <row r="302" spans="1:20">
      <c r="A302" t="s">
        <v>467</v>
      </c>
      <c r="B302" t="s">
        <v>20</v>
      </c>
      <c r="C302" t="s">
        <v>21</v>
      </c>
      <c r="D302" t="s">
        <v>468</v>
      </c>
      <c r="E302" s="2">
        <v>46179</v>
      </c>
      <c r="F302" s="2">
        <v>46179</v>
      </c>
      <c r="G302" t="s">
        <v>20</v>
      </c>
      <c r="H302" s="2">
        <v>46179</v>
      </c>
      <c r="I302" s="2">
        <v>46179</v>
      </c>
      <c r="J302" t="s">
        <v>20</v>
      </c>
      <c r="K302">
        <v>-66.260000000000005</v>
      </c>
      <c r="L302">
        <v>-66.260000000000005</v>
      </c>
      <c r="M302">
        <v>-66.260000000000005</v>
      </c>
      <c r="N302" t="s">
        <v>158</v>
      </c>
      <c r="O302" s="3" t="s">
        <v>1482</v>
      </c>
      <c r="P302" s="3" t="s">
        <v>1482</v>
      </c>
      <c r="Q302" s="3" t="s">
        <v>1482</v>
      </c>
      <c r="R302" s="3" t="s">
        <v>1482</v>
      </c>
      <c r="S302" s="3" t="s">
        <v>1482</v>
      </c>
      <c r="T302" s="3" t="s">
        <v>1482</v>
      </c>
    </row>
    <row r="303" spans="1:20">
      <c r="A303" t="s">
        <v>469</v>
      </c>
      <c r="B303" t="s">
        <v>20</v>
      </c>
      <c r="C303" t="s">
        <v>21</v>
      </c>
      <c r="D303" t="s">
        <v>470</v>
      </c>
      <c r="E303" s="2">
        <v>46179</v>
      </c>
      <c r="F303" s="2">
        <v>46179</v>
      </c>
      <c r="G303" t="s">
        <v>20</v>
      </c>
      <c r="H303" s="2">
        <v>46179</v>
      </c>
      <c r="I303" s="2">
        <v>46179</v>
      </c>
      <c r="J303" t="s">
        <v>20</v>
      </c>
      <c r="K303">
        <v>-99.39</v>
      </c>
      <c r="L303">
        <v>-99.39</v>
      </c>
      <c r="M303">
        <v>-99.39</v>
      </c>
      <c r="N303" t="s">
        <v>158</v>
      </c>
      <c r="O303" s="3" t="s">
        <v>1482</v>
      </c>
      <c r="P303" s="3" t="s">
        <v>1482</v>
      </c>
      <c r="Q303" s="3" t="s">
        <v>1482</v>
      </c>
      <c r="R303" s="3" t="s">
        <v>1482</v>
      </c>
      <c r="S303" s="3" t="s">
        <v>1482</v>
      </c>
      <c r="T303" s="3" t="s">
        <v>1482</v>
      </c>
    </row>
    <row r="304" spans="1:20">
      <c r="A304" t="s">
        <v>471</v>
      </c>
      <c r="B304" t="s">
        <v>20</v>
      </c>
      <c r="C304" t="s">
        <v>21</v>
      </c>
      <c r="D304" t="s">
        <v>472</v>
      </c>
      <c r="E304" s="2">
        <v>46179</v>
      </c>
      <c r="F304" s="2">
        <v>46179</v>
      </c>
      <c r="G304" t="s">
        <v>20</v>
      </c>
      <c r="H304" s="2">
        <v>46179</v>
      </c>
      <c r="I304" s="2">
        <v>46179</v>
      </c>
      <c r="J304" t="s">
        <v>20</v>
      </c>
      <c r="K304">
        <v>-132.52000000000001</v>
      </c>
      <c r="L304">
        <v>-132.52000000000001</v>
      </c>
      <c r="M304">
        <v>-132.52000000000001</v>
      </c>
      <c r="N304" t="s">
        <v>158</v>
      </c>
      <c r="O304" s="3" t="s">
        <v>1482</v>
      </c>
      <c r="P304" s="3" t="s">
        <v>1482</v>
      </c>
      <c r="Q304" s="3" t="s">
        <v>1482</v>
      </c>
      <c r="R304" s="3" t="s">
        <v>1482</v>
      </c>
      <c r="S304" s="3" t="s">
        <v>1482</v>
      </c>
      <c r="T304" s="3" t="s">
        <v>1482</v>
      </c>
    </row>
    <row r="305" spans="1:20">
      <c r="A305" t="s">
        <v>473</v>
      </c>
      <c r="B305" t="s">
        <v>20</v>
      </c>
      <c r="C305" t="s">
        <v>21</v>
      </c>
      <c r="D305" t="s">
        <v>474</v>
      </c>
      <c r="E305" s="2">
        <v>46179</v>
      </c>
      <c r="F305" s="2">
        <v>46179</v>
      </c>
      <c r="G305" t="s">
        <v>20</v>
      </c>
      <c r="H305" s="2">
        <v>46179</v>
      </c>
      <c r="I305" s="2">
        <v>46179</v>
      </c>
      <c r="J305" t="s">
        <v>20</v>
      </c>
      <c r="K305">
        <v>-33.130000000000003</v>
      </c>
      <c r="L305">
        <v>-33.130000000000003</v>
      </c>
      <c r="M305">
        <v>-33.130000000000003</v>
      </c>
      <c r="N305" t="s">
        <v>158</v>
      </c>
      <c r="O305" s="3" t="s">
        <v>1482</v>
      </c>
      <c r="P305" s="3" t="s">
        <v>1482</v>
      </c>
      <c r="Q305" s="3" t="s">
        <v>1482</v>
      </c>
      <c r="R305" s="3" t="s">
        <v>1482</v>
      </c>
      <c r="S305" s="3" t="s">
        <v>1482</v>
      </c>
      <c r="T305" s="3" t="s">
        <v>1482</v>
      </c>
    </row>
    <row r="306" spans="1:20">
      <c r="A306" t="s">
        <v>475</v>
      </c>
      <c r="B306" t="s">
        <v>20</v>
      </c>
      <c r="C306" t="s">
        <v>21</v>
      </c>
      <c r="D306" t="s">
        <v>476</v>
      </c>
      <c r="E306" s="2">
        <v>46179</v>
      </c>
      <c r="F306" s="2">
        <v>46179</v>
      </c>
      <c r="G306" t="s">
        <v>20</v>
      </c>
      <c r="H306" s="2">
        <v>46179</v>
      </c>
      <c r="I306" s="2">
        <v>46179</v>
      </c>
      <c r="J306" t="s">
        <v>20</v>
      </c>
      <c r="K306">
        <v>-99.39</v>
      </c>
      <c r="L306">
        <v>-99.39</v>
      </c>
      <c r="M306">
        <v>-99.39</v>
      </c>
      <c r="N306" t="s">
        <v>158</v>
      </c>
      <c r="O306" s="3" t="s">
        <v>1482</v>
      </c>
      <c r="P306" s="3" t="s">
        <v>1482</v>
      </c>
      <c r="Q306" s="3" t="s">
        <v>1482</v>
      </c>
      <c r="R306" s="3" t="s">
        <v>1482</v>
      </c>
      <c r="S306" s="3" t="s">
        <v>1482</v>
      </c>
      <c r="T306" s="3" t="s">
        <v>1482</v>
      </c>
    </row>
    <row r="307" spans="1:20">
      <c r="A307" t="s">
        <v>477</v>
      </c>
      <c r="B307" t="s">
        <v>20</v>
      </c>
      <c r="C307" t="s">
        <v>21</v>
      </c>
      <c r="D307" t="s">
        <v>478</v>
      </c>
      <c r="E307" s="2">
        <v>46179</v>
      </c>
      <c r="F307" s="2">
        <v>46179</v>
      </c>
      <c r="G307" t="s">
        <v>20</v>
      </c>
      <c r="H307" s="2">
        <v>46179</v>
      </c>
      <c r="I307" s="2">
        <v>46179</v>
      </c>
      <c r="J307" t="s">
        <v>20</v>
      </c>
      <c r="K307">
        <v>-198.78</v>
      </c>
      <c r="L307">
        <v>-198.78</v>
      </c>
      <c r="M307">
        <v>-198.78</v>
      </c>
      <c r="N307" t="s">
        <v>158</v>
      </c>
      <c r="O307" s="3" t="s">
        <v>1482</v>
      </c>
      <c r="P307" s="3" t="s">
        <v>1482</v>
      </c>
      <c r="Q307" s="3" t="s">
        <v>1482</v>
      </c>
      <c r="R307" s="3" t="s">
        <v>1482</v>
      </c>
      <c r="S307" s="3" t="s">
        <v>1482</v>
      </c>
      <c r="T307" s="3" t="s">
        <v>1482</v>
      </c>
    </row>
    <row r="308" spans="1:20">
      <c r="A308" t="s">
        <v>479</v>
      </c>
      <c r="B308" t="s">
        <v>20</v>
      </c>
      <c r="C308" t="s">
        <v>21</v>
      </c>
      <c r="D308" t="s">
        <v>480</v>
      </c>
      <c r="E308" s="2">
        <v>46179</v>
      </c>
      <c r="F308" s="2">
        <v>46179</v>
      </c>
      <c r="G308" t="s">
        <v>20</v>
      </c>
      <c r="H308" s="2">
        <v>46179</v>
      </c>
      <c r="I308" s="2">
        <v>46179</v>
      </c>
      <c r="J308" t="s">
        <v>20</v>
      </c>
      <c r="K308">
        <v>-227.69</v>
      </c>
      <c r="L308">
        <v>-227.69</v>
      </c>
      <c r="M308">
        <v>-227.69</v>
      </c>
      <c r="N308" t="s">
        <v>158</v>
      </c>
      <c r="O308" s="3" t="s">
        <v>1482</v>
      </c>
      <c r="P308" s="3" t="s">
        <v>1482</v>
      </c>
      <c r="Q308" s="3" t="s">
        <v>1482</v>
      </c>
      <c r="R308" s="3" t="s">
        <v>1482</v>
      </c>
      <c r="S308" s="3" t="s">
        <v>1482</v>
      </c>
      <c r="T308" s="3" t="s">
        <v>1482</v>
      </c>
    </row>
    <row r="309" spans="1:20">
      <c r="A309" t="s">
        <v>481</v>
      </c>
      <c r="B309" t="s">
        <v>20</v>
      </c>
      <c r="C309" t="s">
        <v>21</v>
      </c>
      <c r="D309" t="s">
        <v>482</v>
      </c>
      <c r="E309" s="2">
        <v>46179</v>
      </c>
      <c r="F309" s="2">
        <v>46179</v>
      </c>
      <c r="G309" t="s">
        <v>20</v>
      </c>
      <c r="H309" s="2">
        <v>46179</v>
      </c>
      <c r="I309" s="2">
        <v>46179</v>
      </c>
      <c r="J309" t="s">
        <v>20</v>
      </c>
      <c r="K309">
        <v>-89.45</v>
      </c>
      <c r="L309">
        <v>-89.45</v>
      </c>
      <c r="M309">
        <v>-89.45</v>
      </c>
      <c r="N309" t="s">
        <v>158</v>
      </c>
      <c r="O309" s="3" t="s">
        <v>1482</v>
      </c>
      <c r="P309" s="3" t="s">
        <v>1482</v>
      </c>
      <c r="Q309" s="3" t="s">
        <v>1482</v>
      </c>
      <c r="R309" s="3" t="s">
        <v>1482</v>
      </c>
      <c r="S309" s="3" t="s">
        <v>1482</v>
      </c>
      <c r="T309" s="3" t="s">
        <v>1482</v>
      </c>
    </row>
    <row r="310" spans="1:20">
      <c r="A310" t="s">
        <v>483</v>
      </c>
      <c r="B310" t="s">
        <v>20</v>
      </c>
      <c r="C310" t="s">
        <v>21</v>
      </c>
      <c r="D310" t="s">
        <v>484</v>
      </c>
      <c r="E310" s="2">
        <v>46179</v>
      </c>
      <c r="F310" s="2">
        <v>46179</v>
      </c>
      <c r="G310" t="s">
        <v>20</v>
      </c>
      <c r="H310" s="2">
        <v>46179</v>
      </c>
      <c r="I310" s="2">
        <v>46179</v>
      </c>
      <c r="J310" t="s">
        <v>20</v>
      </c>
      <c r="K310">
        <v>-123.1</v>
      </c>
      <c r="L310">
        <v>-123.1</v>
      </c>
      <c r="M310">
        <v>-123.1</v>
      </c>
      <c r="N310" t="s">
        <v>158</v>
      </c>
      <c r="O310" s="3" t="s">
        <v>1482</v>
      </c>
      <c r="P310" s="3" t="s">
        <v>1482</v>
      </c>
      <c r="Q310" s="3" t="s">
        <v>1482</v>
      </c>
      <c r="R310" s="3" t="s">
        <v>1482</v>
      </c>
      <c r="S310" s="3" t="s">
        <v>1482</v>
      </c>
      <c r="T310" s="3" t="s">
        <v>1482</v>
      </c>
    </row>
    <row r="311" spans="1:20">
      <c r="A311" t="s">
        <v>485</v>
      </c>
      <c r="B311" t="s">
        <v>20</v>
      </c>
      <c r="C311" t="s">
        <v>21</v>
      </c>
      <c r="D311" t="s">
        <v>486</v>
      </c>
      <c r="E311" s="2">
        <v>46179</v>
      </c>
      <c r="F311" s="2">
        <v>46179</v>
      </c>
      <c r="G311" t="s">
        <v>20</v>
      </c>
      <c r="H311" s="2">
        <v>46179</v>
      </c>
      <c r="I311" s="2">
        <v>46179</v>
      </c>
      <c r="J311" t="s">
        <v>20</v>
      </c>
      <c r="K311">
        <v>-23.97</v>
      </c>
      <c r="L311">
        <v>-23.97</v>
      </c>
      <c r="M311">
        <v>-23.97</v>
      </c>
      <c r="N311" t="s">
        <v>158</v>
      </c>
      <c r="O311" s="3" t="s">
        <v>1482</v>
      </c>
      <c r="P311" s="3" t="s">
        <v>1482</v>
      </c>
      <c r="Q311" s="3" t="s">
        <v>1482</v>
      </c>
      <c r="R311" s="3" t="s">
        <v>1482</v>
      </c>
      <c r="S311" s="3" t="s">
        <v>1482</v>
      </c>
      <c r="T311" s="3" t="s">
        <v>1482</v>
      </c>
    </row>
    <row r="312" spans="1:20">
      <c r="A312" t="s">
        <v>487</v>
      </c>
      <c r="B312" t="s">
        <v>20</v>
      </c>
      <c r="C312" t="s">
        <v>21</v>
      </c>
      <c r="D312" t="s">
        <v>488</v>
      </c>
      <c r="E312" s="2">
        <v>46179</v>
      </c>
      <c r="F312" s="2">
        <v>46179</v>
      </c>
      <c r="G312" t="s">
        <v>20</v>
      </c>
      <c r="H312" s="2">
        <v>46179</v>
      </c>
      <c r="I312" s="2">
        <v>46179</v>
      </c>
      <c r="J312" t="s">
        <v>20</v>
      </c>
      <c r="K312">
        <v>-132.52000000000001</v>
      </c>
      <c r="L312">
        <v>-132.52000000000001</v>
      </c>
      <c r="M312">
        <v>-132.52000000000001</v>
      </c>
      <c r="N312" t="s">
        <v>158</v>
      </c>
      <c r="O312" s="3" t="s">
        <v>1482</v>
      </c>
      <c r="P312" s="3" t="s">
        <v>1482</v>
      </c>
      <c r="Q312" s="3" t="s">
        <v>1482</v>
      </c>
      <c r="R312" s="3" t="s">
        <v>1482</v>
      </c>
      <c r="S312" s="3" t="s">
        <v>1482</v>
      </c>
      <c r="T312" s="3" t="s">
        <v>1482</v>
      </c>
    </row>
    <row r="313" spans="1:20">
      <c r="A313" t="s">
        <v>489</v>
      </c>
      <c r="B313" t="s">
        <v>20</v>
      </c>
      <c r="C313" t="s">
        <v>21</v>
      </c>
      <c r="D313" t="s">
        <v>490</v>
      </c>
      <c r="E313" s="2">
        <v>46179</v>
      </c>
      <c r="F313" s="2">
        <v>46179</v>
      </c>
      <c r="G313" t="s">
        <v>20</v>
      </c>
      <c r="H313" s="2">
        <v>46179</v>
      </c>
      <c r="I313" s="2">
        <v>46179</v>
      </c>
      <c r="J313" t="s">
        <v>20</v>
      </c>
      <c r="K313">
        <v>-26.26</v>
      </c>
      <c r="L313">
        <v>-26.26</v>
      </c>
      <c r="M313">
        <v>-26.26</v>
      </c>
      <c r="N313" t="s">
        <v>158</v>
      </c>
      <c r="O313" s="3" t="s">
        <v>1482</v>
      </c>
      <c r="P313" s="3" t="s">
        <v>1482</v>
      </c>
      <c r="Q313" s="3" t="s">
        <v>1482</v>
      </c>
      <c r="R313" s="3" t="s">
        <v>1482</v>
      </c>
      <c r="S313" s="3" t="s">
        <v>1482</v>
      </c>
      <c r="T313" s="3" t="s">
        <v>1482</v>
      </c>
    </row>
    <row r="314" spans="1:20">
      <c r="A314" t="s">
        <v>491</v>
      </c>
      <c r="B314" t="s">
        <v>20</v>
      </c>
      <c r="C314" t="s">
        <v>21</v>
      </c>
      <c r="D314" t="s">
        <v>492</v>
      </c>
      <c r="E314" s="2">
        <v>46179</v>
      </c>
      <c r="F314" s="2">
        <v>46179</v>
      </c>
      <c r="G314" t="s">
        <v>20</v>
      </c>
      <c r="H314" s="2">
        <v>46179</v>
      </c>
      <c r="I314" s="2">
        <v>46179</v>
      </c>
      <c r="J314" t="s">
        <v>20</v>
      </c>
      <c r="K314">
        <v>-231.91</v>
      </c>
      <c r="L314">
        <v>-231.91</v>
      </c>
      <c r="M314">
        <v>-231.91</v>
      </c>
      <c r="N314" t="s">
        <v>158</v>
      </c>
      <c r="O314" s="3" t="s">
        <v>1482</v>
      </c>
      <c r="P314" s="3" t="s">
        <v>1482</v>
      </c>
      <c r="Q314" s="3" t="s">
        <v>1482</v>
      </c>
      <c r="R314" s="3" t="s">
        <v>1482</v>
      </c>
      <c r="S314" s="3" t="s">
        <v>1482</v>
      </c>
      <c r="T314" s="3" t="s">
        <v>1482</v>
      </c>
    </row>
    <row r="315" spans="1:20">
      <c r="A315" t="s">
        <v>493</v>
      </c>
      <c r="B315" t="s">
        <v>20</v>
      </c>
      <c r="C315" t="s">
        <v>21</v>
      </c>
      <c r="D315" t="s">
        <v>494</v>
      </c>
      <c r="E315" s="2">
        <v>46179</v>
      </c>
      <c r="F315" s="2">
        <v>46179</v>
      </c>
      <c r="G315" t="s">
        <v>20</v>
      </c>
      <c r="H315" s="2">
        <v>46179</v>
      </c>
      <c r="I315" s="2">
        <v>46179</v>
      </c>
      <c r="J315" t="s">
        <v>20</v>
      </c>
      <c r="K315">
        <v>-23.97</v>
      </c>
      <c r="L315">
        <v>-23.97</v>
      </c>
      <c r="M315">
        <v>-23.97</v>
      </c>
      <c r="N315" t="s">
        <v>158</v>
      </c>
      <c r="O315" s="3" t="s">
        <v>1482</v>
      </c>
      <c r="P315" s="3" t="s">
        <v>1482</v>
      </c>
      <c r="Q315" s="3" t="s">
        <v>1482</v>
      </c>
      <c r="R315" s="3" t="s">
        <v>1482</v>
      </c>
      <c r="S315" s="3" t="s">
        <v>1482</v>
      </c>
      <c r="T315" s="3" t="s">
        <v>1482</v>
      </c>
    </row>
    <row r="316" spans="1:20">
      <c r="A316" t="s">
        <v>495</v>
      </c>
      <c r="B316" t="s">
        <v>20</v>
      </c>
      <c r="C316" t="s">
        <v>21</v>
      </c>
      <c r="D316" t="s">
        <v>496</v>
      </c>
      <c r="E316" s="2">
        <v>46179</v>
      </c>
      <c r="F316" s="2">
        <v>46179</v>
      </c>
      <c r="G316" t="s">
        <v>20</v>
      </c>
      <c r="H316" s="2">
        <v>46179</v>
      </c>
      <c r="I316" s="2">
        <v>46179</v>
      </c>
      <c r="J316" t="s">
        <v>20</v>
      </c>
      <c r="K316">
        <v>-161.85</v>
      </c>
      <c r="L316">
        <v>-161.85</v>
      </c>
      <c r="M316">
        <v>-161.85</v>
      </c>
      <c r="N316" t="s">
        <v>158</v>
      </c>
      <c r="O316" s="3" t="s">
        <v>1482</v>
      </c>
      <c r="P316" s="3" t="s">
        <v>1482</v>
      </c>
      <c r="Q316" s="3" t="s">
        <v>1482</v>
      </c>
      <c r="R316" s="3" t="s">
        <v>1482</v>
      </c>
      <c r="S316" s="3" t="s">
        <v>1482</v>
      </c>
      <c r="T316" s="3" t="s">
        <v>1482</v>
      </c>
    </row>
    <row r="317" spans="1:20">
      <c r="A317" t="s">
        <v>497</v>
      </c>
      <c r="B317" t="s">
        <v>20</v>
      </c>
      <c r="C317" t="s">
        <v>21</v>
      </c>
      <c r="D317" t="s">
        <v>498</v>
      </c>
      <c r="E317" s="2">
        <v>46179</v>
      </c>
      <c r="F317" s="2">
        <v>46179</v>
      </c>
      <c r="G317" t="s">
        <v>20</v>
      </c>
      <c r="H317" s="2">
        <v>46179</v>
      </c>
      <c r="I317" s="2">
        <v>46179</v>
      </c>
      <c r="J317" t="s">
        <v>20</v>
      </c>
      <c r="K317">
        <v>-33.130000000000003</v>
      </c>
      <c r="L317">
        <v>-33.130000000000003</v>
      </c>
      <c r="M317">
        <v>-33.130000000000003</v>
      </c>
      <c r="N317" t="s">
        <v>158</v>
      </c>
      <c r="O317" s="3" t="s">
        <v>1482</v>
      </c>
      <c r="P317" s="3" t="s">
        <v>1482</v>
      </c>
      <c r="Q317" s="3" t="s">
        <v>1482</v>
      </c>
      <c r="R317" s="3" t="s">
        <v>1482</v>
      </c>
      <c r="S317" s="3" t="s">
        <v>1482</v>
      </c>
      <c r="T317" s="3" t="s">
        <v>1482</v>
      </c>
    </row>
    <row r="318" spans="1:20">
      <c r="A318" t="s">
        <v>499</v>
      </c>
      <c r="B318" t="s">
        <v>20</v>
      </c>
      <c r="C318" t="s">
        <v>21</v>
      </c>
      <c r="D318" t="s">
        <v>500</v>
      </c>
      <c r="E318" s="2">
        <v>46179</v>
      </c>
      <c r="F318" s="2">
        <v>46179</v>
      </c>
      <c r="G318" t="s">
        <v>20</v>
      </c>
      <c r="H318" s="2">
        <v>46179</v>
      </c>
      <c r="I318" s="2">
        <v>46179</v>
      </c>
      <c r="J318" t="s">
        <v>20</v>
      </c>
      <c r="K318">
        <v>-132.52000000000001</v>
      </c>
      <c r="L318">
        <v>-132.52000000000001</v>
      </c>
      <c r="M318">
        <v>-132.52000000000001</v>
      </c>
      <c r="N318" t="s">
        <v>158</v>
      </c>
      <c r="O318" s="3" t="s">
        <v>1482</v>
      </c>
      <c r="P318" s="3" t="s">
        <v>1482</v>
      </c>
      <c r="Q318" s="3" t="s">
        <v>1482</v>
      </c>
      <c r="R318" s="3" t="s">
        <v>1482</v>
      </c>
      <c r="S318" s="3" t="s">
        <v>1482</v>
      </c>
      <c r="T318" s="3" t="s">
        <v>1482</v>
      </c>
    </row>
    <row r="319" spans="1:20">
      <c r="A319" t="s">
        <v>501</v>
      </c>
      <c r="B319" t="s">
        <v>20</v>
      </c>
      <c r="C319" t="s">
        <v>21</v>
      </c>
      <c r="D319" t="s">
        <v>502</v>
      </c>
      <c r="E319" s="2">
        <v>46179</v>
      </c>
      <c r="F319" s="2">
        <v>46179</v>
      </c>
      <c r="G319" t="s">
        <v>20</v>
      </c>
      <c r="H319" s="2">
        <v>46179</v>
      </c>
      <c r="I319" s="2">
        <v>46179</v>
      </c>
      <c r="J319" t="s">
        <v>20</v>
      </c>
      <c r="K319">
        <v>-66.260000000000005</v>
      </c>
      <c r="L319">
        <v>-66.260000000000005</v>
      </c>
      <c r="M319">
        <v>-66.260000000000005</v>
      </c>
      <c r="N319" t="s">
        <v>158</v>
      </c>
      <c r="O319" s="3" t="s">
        <v>1482</v>
      </c>
      <c r="P319" s="3" t="s">
        <v>1482</v>
      </c>
      <c r="Q319" s="3" t="s">
        <v>1482</v>
      </c>
      <c r="R319" s="3" t="s">
        <v>1482</v>
      </c>
      <c r="S319" s="3" t="s">
        <v>1482</v>
      </c>
      <c r="T319" s="3" t="s">
        <v>1482</v>
      </c>
    </row>
    <row r="320" spans="1:20">
      <c r="A320" t="s">
        <v>503</v>
      </c>
      <c r="B320" t="s">
        <v>20</v>
      </c>
      <c r="C320" t="s">
        <v>21</v>
      </c>
      <c r="D320" t="s">
        <v>504</v>
      </c>
      <c r="E320" s="2">
        <v>46179</v>
      </c>
      <c r="F320" s="2">
        <v>46179</v>
      </c>
      <c r="G320" t="s">
        <v>20</v>
      </c>
      <c r="H320" s="2">
        <v>46179</v>
      </c>
      <c r="I320" s="2">
        <v>46179</v>
      </c>
      <c r="J320" t="s">
        <v>20</v>
      </c>
      <c r="K320">
        <v>-26.26</v>
      </c>
      <c r="L320">
        <v>-26.26</v>
      </c>
      <c r="M320">
        <v>-26.26</v>
      </c>
      <c r="N320" t="s">
        <v>158</v>
      </c>
      <c r="O320" s="3" t="s">
        <v>1482</v>
      </c>
      <c r="P320" s="3" t="s">
        <v>1482</v>
      </c>
      <c r="Q320" s="3" t="s">
        <v>1482</v>
      </c>
      <c r="R320" s="3" t="s">
        <v>1482</v>
      </c>
      <c r="S320" s="3" t="s">
        <v>1482</v>
      </c>
      <c r="T320" s="3" t="s">
        <v>1482</v>
      </c>
    </row>
    <row r="321" spans="1:20">
      <c r="A321" t="s">
        <v>505</v>
      </c>
      <c r="B321" t="s">
        <v>20</v>
      </c>
      <c r="C321" t="s">
        <v>21</v>
      </c>
      <c r="D321" t="s">
        <v>506</v>
      </c>
      <c r="E321" s="2">
        <v>46179</v>
      </c>
      <c r="F321" s="2">
        <v>46179</v>
      </c>
      <c r="G321" t="s">
        <v>20</v>
      </c>
      <c r="H321" s="2">
        <v>46179</v>
      </c>
      <c r="I321" s="2">
        <v>46179</v>
      </c>
      <c r="J321" t="s">
        <v>20</v>
      </c>
      <c r="K321">
        <v>-198.78</v>
      </c>
      <c r="L321">
        <v>-198.78</v>
      </c>
      <c r="M321">
        <v>-198.78</v>
      </c>
      <c r="N321" t="s">
        <v>158</v>
      </c>
      <c r="O321" s="3" t="s">
        <v>1482</v>
      </c>
      <c r="P321" s="3" t="s">
        <v>1482</v>
      </c>
      <c r="Q321" s="3" t="s">
        <v>1482</v>
      </c>
      <c r="R321" s="3" t="s">
        <v>1482</v>
      </c>
      <c r="S321" s="3" t="s">
        <v>1482</v>
      </c>
      <c r="T321" s="3" t="s">
        <v>1482</v>
      </c>
    </row>
    <row r="322" spans="1:20">
      <c r="A322" t="s">
        <v>507</v>
      </c>
      <c r="B322" t="s">
        <v>20</v>
      </c>
      <c r="C322" t="s">
        <v>21</v>
      </c>
      <c r="D322" t="s">
        <v>508</v>
      </c>
      <c r="E322" s="2">
        <v>46179</v>
      </c>
      <c r="F322" s="2">
        <v>46179</v>
      </c>
      <c r="G322" t="s">
        <v>20</v>
      </c>
      <c r="H322" s="2">
        <v>46179</v>
      </c>
      <c r="I322" s="2">
        <v>46179</v>
      </c>
      <c r="J322" t="s">
        <v>20</v>
      </c>
      <c r="K322">
        <v>-33.130000000000003</v>
      </c>
      <c r="L322">
        <v>-33.130000000000003</v>
      </c>
      <c r="M322">
        <v>-33.130000000000003</v>
      </c>
      <c r="N322" t="s">
        <v>158</v>
      </c>
      <c r="O322" s="3" t="s">
        <v>1482</v>
      </c>
      <c r="P322" s="3" t="s">
        <v>1482</v>
      </c>
      <c r="Q322" s="3" t="s">
        <v>1482</v>
      </c>
      <c r="R322" s="3" t="s">
        <v>1482</v>
      </c>
      <c r="S322" s="3" t="s">
        <v>1482</v>
      </c>
      <c r="T322" s="3" t="s">
        <v>1482</v>
      </c>
    </row>
    <row r="323" spans="1:20">
      <c r="A323" t="s">
        <v>509</v>
      </c>
      <c r="B323" t="s">
        <v>20</v>
      </c>
      <c r="C323" t="s">
        <v>21</v>
      </c>
      <c r="D323" t="s">
        <v>510</v>
      </c>
      <c r="E323" s="2">
        <v>46179</v>
      </c>
      <c r="F323" s="2">
        <v>46179</v>
      </c>
      <c r="G323" t="s">
        <v>20</v>
      </c>
      <c r="H323" s="2">
        <v>46179</v>
      </c>
      <c r="I323" s="2">
        <v>46179</v>
      </c>
      <c r="J323" t="s">
        <v>20</v>
      </c>
      <c r="K323">
        <v>-154.63999999999999</v>
      </c>
      <c r="L323">
        <v>-154.63999999999999</v>
      </c>
      <c r="M323">
        <v>-154.63999999999999</v>
      </c>
      <c r="N323" t="s">
        <v>158</v>
      </c>
      <c r="O323" s="3" t="s">
        <v>1482</v>
      </c>
      <c r="P323" s="3" t="s">
        <v>1482</v>
      </c>
      <c r="Q323" s="3" t="s">
        <v>1482</v>
      </c>
      <c r="R323" s="3" t="s">
        <v>1482</v>
      </c>
      <c r="S323" s="3" t="s">
        <v>1482</v>
      </c>
      <c r="T323" s="3" t="s">
        <v>1482</v>
      </c>
    </row>
    <row r="324" spans="1:20">
      <c r="A324" t="s">
        <v>511</v>
      </c>
      <c r="B324" t="s">
        <v>20</v>
      </c>
      <c r="C324" t="s">
        <v>21</v>
      </c>
      <c r="D324" t="s">
        <v>512</v>
      </c>
      <c r="E324" s="2">
        <v>46179</v>
      </c>
      <c r="F324" s="2">
        <v>46179</v>
      </c>
      <c r="G324" t="s">
        <v>20</v>
      </c>
      <c r="H324" s="2">
        <v>46179</v>
      </c>
      <c r="I324" s="2">
        <v>46179</v>
      </c>
      <c r="J324" t="s">
        <v>20</v>
      </c>
      <c r="K324">
        <v>-66.260000000000005</v>
      </c>
      <c r="L324">
        <v>-66.260000000000005</v>
      </c>
      <c r="M324">
        <v>-66.260000000000005</v>
      </c>
      <c r="N324" t="s">
        <v>158</v>
      </c>
      <c r="O324" s="3" t="s">
        <v>1482</v>
      </c>
      <c r="P324" s="3" t="s">
        <v>1482</v>
      </c>
      <c r="Q324" s="3" t="s">
        <v>1482</v>
      </c>
      <c r="R324" s="3" t="s">
        <v>1482</v>
      </c>
      <c r="S324" s="3" t="s">
        <v>1482</v>
      </c>
      <c r="T324" s="3" t="s">
        <v>1482</v>
      </c>
    </row>
    <row r="325" spans="1:20">
      <c r="A325" t="s">
        <v>513</v>
      </c>
      <c r="B325" t="s">
        <v>20</v>
      </c>
      <c r="C325" t="s">
        <v>21</v>
      </c>
      <c r="D325" t="s">
        <v>514</v>
      </c>
      <c r="E325" s="2">
        <v>46179</v>
      </c>
      <c r="F325" s="2">
        <v>46179</v>
      </c>
      <c r="G325" t="s">
        <v>20</v>
      </c>
      <c r="H325" s="2">
        <v>46179</v>
      </c>
      <c r="I325" s="2">
        <v>46179</v>
      </c>
      <c r="J325" t="s">
        <v>20</v>
      </c>
      <c r="K325">
        <v>-66.260000000000005</v>
      </c>
      <c r="L325">
        <v>-66.260000000000005</v>
      </c>
      <c r="M325">
        <v>-66.260000000000005</v>
      </c>
      <c r="N325" t="s">
        <v>158</v>
      </c>
      <c r="O325" s="3" t="s">
        <v>1482</v>
      </c>
      <c r="P325" s="3" t="s">
        <v>1482</v>
      </c>
      <c r="Q325" s="3" t="s">
        <v>1482</v>
      </c>
      <c r="R325" s="3" t="s">
        <v>1482</v>
      </c>
      <c r="S325" s="3" t="s">
        <v>1482</v>
      </c>
      <c r="T325" s="3" t="s">
        <v>1482</v>
      </c>
    </row>
    <row r="326" spans="1:20">
      <c r="A326" t="s">
        <v>515</v>
      </c>
      <c r="B326" t="s">
        <v>20</v>
      </c>
      <c r="C326" t="s">
        <v>21</v>
      </c>
      <c r="D326" t="s">
        <v>516</v>
      </c>
      <c r="E326" s="2">
        <v>46179</v>
      </c>
      <c r="F326" s="2">
        <v>46179</v>
      </c>
      <c r="G326" t="s">
        <v>20</v>
      </c>
      <c r="H326" s="2">
        <v>46179</v>
      </c>
      <c r="I326" s="2">
        <v>46179</v>
      </c>
      <c r="J326" t="s">
        <v>20</v>
      </c>
      <c r="K326">
        <v>-131.29</v>
      </c>
      <c r="L326">
        <v>-131.29</v>
      </c>
      <c r="M326">
        <v>-131.29</v>
      </c>
      <c r="N326" t="s">
        <v>158</v>
      </c>
      <c r="O326" s="3" t="s">
        <v>1482</v>
      </c>
      <c r="P326" s="3" t="s">
        <v>1482</v>
      </c>
      <c r="Q326" s="3" t="s">
        <v>1482</v>
      </c>
      <c r="R326" s="3" t="s">
        <v>1482</v>
      </c>
      <c r="S326" s="3" t="s">
        <v>1482</v>
      </c>
      <c r="T326" s="3" t="s">
        <v>1482</v>
      </c>
    </row>
    <row r="327" spans="1:20">
      <c r="A327" t="s">
        <v>517</v>
      </c>
      <c r="B327" t="s">
        <v>20</v>
      </c>
      <c r="C327" t="s">
        <v>21</v>
      </c>
      <c r="D327" t="s">
        <v>518</v>
      </c>
      <c r="E327" s="2">
        <v>46179</v>
      </c>
      <c r="F327" s="2">
        <v>46179</v>
      </c>
      <c r="G327" t="s">
        <v>20</v>
      </c>
      <c r="H327" s="2">
        <v>46179</v>
      </c>
      <c r="I327" s="2">
        <v>46179</v>
      </c>
      <c r="J327" t="s">
        <v>20</v>
      </c>
      <c r="K327">
        <v>-33.130000000000003</v>
      </c>
      <c r="L327">
        <v>-33.130000000000003</v>
      </c>
      <c r="M327">
        <v>-33.130000000000003</v>
      </c>
      <c r="N327" t="s">
        <v>158</v>
      </c>
      <c r="O327" s="3" t="s">
        <v>1482</v>
      </c>
      <c r="P327" s="3" t="s">
        <v>1482</v>
      </c>
      <c r="Q327" s="3" t="s">
        <v>1482</v>
      </c>
      <c r="R327" s="3" t="s">
        <v>1482</v>
      </c>
      <c r="S327" s="3" t="s">
        <v>1482</v>
      </c>
      <c r="T327" s="3" t="s">
        <v>1482</v>
      </c>
    </row>
    <row r="328" spans="1:20">
      <c r="A328" t="s">
        <v>519</v>
      </c>
      <c r="B328" t="s">
        <v>20</v>
      </c>
      <c r="C328" t="s">
        <v>21</v>
      </c>
      <c r="D328" t="s">
        <v>520</v>
      </c>
      <c r="E328" s="2">
        <v>46179</v>
      </c>
      <c r="F328" s="2">
        <v>46179</v>
      </c>
      <c r="G328" t="s">
        <v>20</v>
      </c>
      <c r="H328" s="2">
        <v>46179</v>
      </c>
      <c r="I328" s="2">
        <v>46179</v>
      </c>
      <c r="J328" t="s">
        <v>20</v>
      </c>
      <c r="K328">
        <v>-178.91</v>
      </c>
      <c r="L328">
        <v>-178.91</v>
      </c>
      <c r="M328">
        <v>-178.91</v>
      </c>
      <c r="N328" t="s">
        <v>158</v>
      </c>
      <c r="O328" s="3" t="s">
        <v>1482</v>
      </c>
      <c r="P328" s="3" t="s">
        <v>1482</v>
      </c>
      <c r="Q328" s="3" t="s">
        <v>1482</v>
      </c>
      <c r="R328" s="3" t="s">
        <v>1482</v>
      </c>
      <c r="S328" s="3" t="s">
        <v>1482</v>
      </c>
      <c r="T328" s="3" t="s">
        <v>1482</v>
      </c>
    </row>
    <row r="329" spans="1:20">
      <c r="A329" t="s">
        <v>521</v>
      </c>
      <c r="B329" t="s">
        <v>20</v>
      </c>
      <c r="C329" t="s">
        <v>21</v>
      </c>
      <c r="D329" t="s">
        <v>522</v>
      </c>
      <c r="E329" s="2">
        <v>46179</v>
      </c>
      <c r="F329" s="2">
        <v>46179</v>
      </c>
      <c r="G329" t="s">
        <v>20</v>
      </c>
      <c r="H329" s="2">
        <v>46179</v>
      </c>
      <c r="I329" s="2">
        <v>46179</v>
      </c>
      <c r="J329" t="s">
        <v>20</v>
      </c>
      <c r="K329">
        <v>-26.26</v>
      </c>
      <c r="L329">
        <v>-26.26</v>
      </c>
      <c r="M329">
        <v>-26.26</v>
      </c>
      <c r="N329" t="s">
        <v>158</v>
      </c>
      <c r="O329" s="3" t="s">
        <v>1482</v>
      </c>
      <c r="P329" s="3" t="s">
        <v>1482</v>
      </c>
      <c r="Q329" s="3" t="s">
        <v>1482</v>
      </c>
      <c r="R329" s="3" t="s">
        <v>1482</v>
      </c>
      <c r="S329" s="3" t="s">
        <v>1482</v>
      </c>
      <c r="T329" s="3" t="s">
        <v>1482</v>
      </c>
    </row>
    <row r="330" spans="1:20">
      <c r="A330" t="s">
        <v>523</v>
      </c>
      <c r="B330" t="s">
        <v>20</v>
      </c>
      <c r="C330" t="s">
        <v>21</v>
      </c>
      <c r="D330" t="s">
        <v>524</v>
      </c>
      <c r="E330" s="2">
        <v>46179</v>
      </c>
      <c r="F330" s="2">
        <v>46179</v>
      </c>
      <c r="G330" t="s">
        <v>20</v>
      </c>
      <c r="H330" s="2">
        <v>46179</v>
      </c>
      <c r="I330" s="2">
        <v>46179</v>
      </c>
      <c r="J330" t="s">
        <v>20</v>
      </c>
      <c r="K330">
        <v>-26.26</v>
      </c>
      <c r="L330">
        <v>-26.26</v>
      </c>
      <c r="M330">
        <v>-26.26</v>
      </c>
      <c r="N330" t="s">
        <v>158</v>
      </c>
      <c r="O330" s="3" t="s">
        <v>1482</v>
      </c>
      <c r="P330" s="3" t="s">
        <v>1482</v>
      </c>
      <c r="Q330" s="3" t="s">
        <v>1482</v>
      </c>
      <c r="R330" s="3" t="s">
        <v>1482</v>
      </c>
      <c r="S330" s="3" t="s">
        <v>1482</v>
      </c>
      <c r="T330" s="3" t="s">
        <v>1482</v>
      </c>
    </row>
    <row r="331" spans="1:20">
      <c r="A331" t="s">
        <v>525</v>
      </c>
      <c r="B331" t="s">
        <v>20</v>
      </c>
      <c r="C331" t="s">
        <v>21</v>
      </c>
      <c r="D331" t="s">
        <v>526</v>
      </c>
      <c r="E331" s="2">
        <v>46179</v>
      </c>
      <c r="F331" s="2">
        <v>46179</v>
      </c>
      <c r="G331" t="s">
        <v>20</v>
      </c>
      <c r="H331" s="2">
        <v>46179</v>
      </c>
      <c r="I331" s="2">
        <v>46179</v>
      </c>
      <c r="J331" t="s">
        <v>20</v>
      </c>
      <c r="K331">
        <v>-53.01</v>
      </c>
      <c r="L331">
        <v>-53.01</v>
      </c>
      <c r="M331">
        <v>-53.01</v>
      </c>
      <c r="N331" t="s">
        <v>158</v>
      </c>
      <c r="O331" s="3" t="s">
        <v>1482</v>
      </c>
      <c r="P331" s="3" t="s">
        <v>1482</v>
      </c>
      <c r="Q331" s="3" t="s">
        <v>1482</v>
      </c>
      <c r="R331" s="3" t="s">
        <v>1482</v>
      </c>
      <c r="S331" s="3" t="s">
        <v>1482</v>
      </c>
      <c r="T331" s="3" t="s">
        <v>1482</v>
      </c>
    </row>
    <row r="332" spans="1:20">
      <c r="A332" t="s">
        <v>527</v>
      </c>
      <c r="B332" t="s">
        <v>20</v>
      </c>
      <c r="C332" t="s">
        <v>21</v>
      </c>
      <c r="D332" t="s">
        <v>528</v>
      </c>
      <c r="E332" s="2">
        <v>46179</v>
      </c>
      <c r="F332" s="2">
        <v>46179</v>
      </c>
      <c r="G332" t="s">
        <v>20</v>
      </c>
      <c r="H332" s="2">
        <v>46179</v>
      </c>
      <c r="I332" s="2">
        <v>46179</v>
      </c>
      <c r="J332" t="s">
        <v>20</v>
      </c>
      <c r="K332">
        <v>-154.63999999999999</v>
      </c>
      <c r="L332">
        <v>-154.63999999999999</v>
      </c>
      <c r="M332">
        <v>-154.63999999999999</v>
      </c>
      <c r="N332" t="s">
        <v>158</v>
      </c>
      <c r="O332" s="3" t="s">
        <v>1482</v>
      </c>
      <c r="P332" s="3" t="s">
        <v>1482</v>
      </c>
      <c r="Q332" s="3" t="s">
        <v>1482</v>
      </c>
      <c r="R332" s="3" t="s">
        <v>1482</v>
      </c>
      <c r="S332" s="3" t="s">
        <v>1482</v>
      </c>
      <c r="T332" s="3" t="s">
        <v>1482</v>
      </c>
    </row>
    <row r="333" spans="1:20">
      <c r="A333" t="s">
        <v>529</v>
      </c>
      <c r="B333" t="s">
        <v>20</v>
      </c>
      <c r="C333" t="s">
        <v>21</v>
      </c>
      <c r="D333" t="s">
        <v>530</v>
      </c>
      <c r="E333" s="2">
        <v>46179</v>
      </c>
      <c r="F333" s="2">
        <v>46179</v>
      </c>
      <c r="G333" t="s">
        <v>20</v>
      </c>
      <c r="H333" s="2">
        <v>46179</v>
      </c>
      <c r="I333" s="2">
        <v>46179</v>
      </c>
      <c r="J333" t="s">
        <v>20</v>
      </c>
      <c r="K333">
        <v>-66.260000000000005</v>
      </c>
      <c r="L333">
        <v>-66.260000000000005</v>
      </c>
      <c r="M333">
        <v>-66.260000000000005</v>
      </c>
      <c r="N333" t="s">
        <v>158</v>
      </c>
      <c r="O333" s="3" t="s">
        <v>1482</v>
      </c>
      <c r="P333" s="3" t="s">
        <v>1482</v>
      </c>
      <c r="Q333" s="3" t="s">
        <v>1482</v>
      </c>
      <c r="R333" s="3" t="s">
        <v>1482</v>
      </c>
      <c r="S333" s="3" t="s">
        <v>1482</v>
      </c>
      <c r="T333" s="3" t="s">
        <v>1482</v>
      </c>
    </row>
    <row r="334" spans="1:20">
      <c r="A334" t="s">
        <v>531</v>
      </c>
      <c r="B334" t="s">
        <v>20</v>
      </c>
      <c r="C334" t="s">
        <v>21</v>
      </c>
      <c r="D334" t="s">
        <v>532</v>
      </c>
      <c r="E334" s="2">
        <v>46179</v>
      </c>
      <c r="F334" s="2">
        <v>46179</v>
      </c>
      <c r="G334" t="s">
        <v>20</v>
      </c>
      <c r="H334" s="2">
        <v>46179</v>
      </c>
      <c r="I334" s="2">
        <v>46179</v>
      </c>
      <c r="J334" t="s">
        <v>20</v>
      </c>
      <c r="K334">
        <v>-198.78</v>
      </c>
      <c r="L334">
        <v>-198.78</v>
      </c>
      <c r="M334">
        <v>-198.78</v>
      </c>
      <c r="N334" t="s">
        <v>158</v>
      </c>
      <c r="O334" s="3" t="s">
        <v>1482</v>
      </c>
      <c r="P334" s="3" t="s">
        <v>1482</v>
      </c>
      <c r="Q334" s="3" t="s">
        <v>1482</v>
      </c>
      <c r="R334" s="3" t="s">
        <v>1482</v>
      </c>
      <c r="S334" s="3" t="s">
        <v>1482</v>
      </c>
      <c r="T334" s="3" t="s">
        <v>1482</v>
      </c>
    </row>
    <row r="335" spans="1:20">
      <c r="A335" t="s">
        <v>533</v>
      </c>
      <c r="B335" t="s">
        <v>20</v>
      </c>
      <c r="C335" t="s">
        <v>21</v>
      </c>
      <c r="D335" t="s">
        <v>534</v>
      </c>
      <c r="E335" s="2">
        <v>46179</v>
      </c>
      <c r="F335" s="2">
        <v>46179</v>
      </c>
      <c r="G335" t="s">
        <v>20</v>
      </c>
      <c r="H335" s="2">
        <v>46179</v>
      </c>
      <c r="I335" s="2">
        <v>46179</v>
      </c>
      <c r="J335" t="s">
        <v>20</v>
      </c>
      <c r="K335">
        <v>-105.03</v>
      </c>
      <c r="L335">
        <v>-105.03</v>
      </c>
      <c r="M335">
        <v>-105.03</v>
      </c>
      <c r="N335" t="s">
        <v>158</v>
      </c>
      <c r="O335" s="3" t="s">
        <v>1482</v>
      </c>
      <c r="P335" s="3" t="s">
        <v>1482</v>
      </c>
      <c r="Q335" s="3" t="s">
        <v>1482</v>
      </c>
      <c r="R335" s="3" t="s">
        <v>1482</v>
      </c>
      <c r="S335" s="3" t="s">
        <v>1482</v>
      </c>
      <c r="T335" s="3" t="s">
        <v>1482</v>
      </c>
    </row>
    <row r="336" spans="1:20">
      <c r="A336" t="s">
        <v>535</v>
      </c>
      <c r="B336" t="s">
        <v>20</v>
      </c>
      <c r="C336" t="s">
        <v>21</v>
      </c>
      <c r="D336" t="s">
        <v>536</v>
      </c>
      <c r="E336" s="2">
        <v>46179</v>
      </c>
      <c r="F336" s="2">
        <v>46179</v>
      </c>
      <c r="G336" t="s">
        <v>20</v>
      </c>
      <c r="H336" s="2">
        <v>46179</v>
      </c>
      <c r="I336" s="2">
        <v>46179</v>
      </c>
      <c r="J336" t="s">
        <v>20</v>
      </c>
      <c r="K336">
        <v>-131.29</v>
      </c>
      <c r="L336">
        <v>-131.29</v>
      </c>
      <c r="M336">
        <v>-131.29</v>
      </c>
      <c r="N336" t="s">
        <v>158</v>
      </c>
      <c r="O336" s="3" t="s">
        <v>1482</v>
      </c>
      <c r="P336" s="3" t="s">
        <v>1482</v>
      </c>
      <c r="Q336" s="3" t="s">
        <v>1482</v>
      </c>
      <c r="R336" s="3" t="s">
        <v>1482</v>
      </c>
      <c r="S336" s="3" t="s">
        <v>1482</v>
      </c>
      <c r="T336" s="3" t="s">
        <v>1482</v>
      </c>
    </row>
    <row r="337" spans="1:20">
      <c r="A337" t="s">
        <v>537</v>
      </c>
      <c r="B337" t="s">
        <v>20</v>
      </c>
      <c r="C337" t="s">
        <v>21</v>
      </c>
      <c r="D337" t="s">
        <v>538</v>
      </c>
      <c r="E337" s="2">
        <v>46179</v>
      </c>
      <c r="F337" s="2">
        <v>46179</v>
      </c>
      <c r="G337" t="s">
        <v>20</v>
      </c>
      <c r="H337" s="2">
        <v>46179</v>
      </c>
      <c r="I337" s="2">
        <v>46179</v>
      </c>
      <c r="J337" t="s">
        <v>20</v>
      </c>
      <c r="K337">
        <v>-54.48</v>
      </c>
      <c r="L337">
        <v>-54.48</v>
      </c>
      <c r="M337">
        <v>-54.48</v>
      </c>
      <c r="N337" t="s">
        <v>158</v>
      </c>
      <c r="O337" s="3" t="s">
        <v>1482</v>
      </c>
      <c r="P337" s="3" t="s">
        <v>1482</v>
      </c>
      <c r="Q337" s="3" t="s">
        <v>1482</v>
      </c>
      <c r="R337" s="3" t="s">
        <v>1482</v>
      </c>
      <c r="S337" s="3" t="s">
        <v>1482</v>
      </c>
      <c r="T337" s="3" t="s">
        <v>1482</v>
      </c>
    </row>
    <row r="338" spans="1:20">
      <c r="A338" t="s">
        <v>539</v>
      </c>
      <c r="B338" t="s">
        <v>20</v>
      </c>
      <c r="C338" t="s">
        <v>21</v>
      </c>
      <c r="D338" t="s">
        <v>540</v>
      </c>
      <c r="E338" s="2">
        <v>46179</v>
      </c>
      <c r="F338" s="2">
        <v>46179</v>
      </c>
      <c r="G338" t="s">
        <v>20</v>
      </c>
      <c r="H338" s="2">
        <v>46179</v>
      </c>
      <c r="I338" s="2">
        <v>46179</v>
      </c>
      <c r="J338" t="s">
        <v>20</v>
      </c>
      <c r="K338">
        <v>-33.130000000000003</v>
      </c>
      <c r="L338">
        <v>-33.130000000000003</v>
      </c>
      <c r="M338">
        <v>-33.130000000000003</v>
      </c>
      <c r="N338" t="s">
        <v>158</v>
      </c>
      <c r="O338" s="3" t="s">
        <v>1482</v>
      </c>
      <c r="P338" s="3" t="s">
        <v>1482</v>
      </c>
      <c r="Q338" s="3" t="s">
        <v>1482</v>
      </c>
      <c r="R338" s="3" t="s">
        <v>1482</v>
      </c>
      <c r="S338" s="3" t="s">
        <v>1482</v>
      </c>
      <c r="T338" s="3" t="s">
        <v>1482</v>
      </c>
    </row>
    <row r="339" spans="1:20">
      <c r="A339" t="s">
        <v>541</v>
      </c>
      <c r="B339" t="s">
        <v>20</v>
      </c>
      <c r="C339" t="s">
        <v>21</v>
      </c>
      <c r="D339" t="s">
        <v>542</v>
      </c>
      <c r="E339" s="2">
        <v>46179</v>
      </c>
      <c r="F339" s="2">
        <v>46179</v>
      </c>
      <c r="G339" t="s">
        <v>20</v>
      </c>
      <c r="H339" s="2">
        <v>46179</v>
      </c>
      <c r="I339" s="2">
        <v>46179</v>
      </c>
      <c r="J339" t="s">
        <v>20</v>
      </c>
      <c r="K339">
        <v>-231.96</v>
      </c>
      <c r="L339">
        <v>-231.96</v>
      </c>
      <c r="M339">
        <v>-231.96</v>
      </c>
      <c r="N339" t="s">
        <v>158</v>
      </c>
      <c r="O339" s="3" t="s">
        <v>1482</v>
      </c>
      <c r="P339" s="3" t="s">
        <v>1482</v>
      </c>
      <c r="Q339" s="3" t="s">
        <v>1482</v>
      </c>
      <c r="R339" s="3" t="s">
        <v>1482</v>
      </c>
      <c r="S339" s="3" t="s">
        <v>1482</v>
      </c>
      <c r="T339" s="3" t="s">
        <v>1482</v>
      </c>
    </row>
    <row r="340" spans="1:20">
      <c r="A340" t="s">
        <v>543</v>
      </c>
      <c r="B340" t="s">
        <v>20</v>
      </c>
      <c r="C340" t="s">
        <v>21</v>
      </c>
      <c r="D340" t="s">
        <v>544</v>
      </c>
      <c r="E340" s="2">
        <v>46179</v>
      </c>
      <c r="F340" s="2">
        <v>46179</v>
      </c>
      <c r="G340" t="s">
        <v>20</v>
      </c>
      <c r="H340" s="2">
        <v>46179</v>
      </c>
      <c r="I340" s="2">
        <v>46179</v>
      </c>
      <c r="J340" t="s">
        <v>20</v>
      </c>
      <c r="K340">
        <v>-33.130000000000003</v>
      </c>
      <c r="L340">
        <v>-33.130000000000003</v>
      </c>
      <c r="M340">
        <v>-33.130000000000003</v>
      </c>
      <c r="N340" t="s">
        <v>158</v>
      </c>
      <c r="O340" s="3" t="s">
        <v>1482</v>
      </c>
      <c r="P340" s="3" t="s">
        <v>1482</v>
      </c>
      <c r="Q340" s="3" t="s">
        <v>1482</v>
      </c>
      <c r="R340" s="3" t="s">
        <v>1482</v>
      </c>
      <c r="S340" s="3" t="s">
        <v>1482</v>
      </c>
      <c r="T340" s="3" t="s">
        <v>1482</v>
      </c>
    </row>
    <row r="341" spans="1:20">
      <c r="A341" t="s">
        <v>545</v>
      </c>
      <c r="B341" t="s">
        <v>20</v>
      </c>
      <c r="C341" t="s">
        <v>21</v>
      </c>
      <c r="D341" t="s">
        <v>546</v>
      </c>
      <c r="E341" s="2">
        <v>46179</v>
      </c>
      <c r="F341" s="2">
        <v>46179</v>
      </c>
      <c r="G341" t="s">
        <v>20</v>
      </c>
      <c r="H341" s="2">
        <v>46179</v>
      </c>
      <c r="I341" s="2">
        <v>46179</v>
      </c>
      <c r="J341" t="s">
        <v>20</v>
      </c>
      <c r="K341">
        <v>-59.86</v>
      </c>
      <c r="L341">
        <v>-59.86</v>
      </c>
      <c r="M341">
        <v>-59.86</v>
      </c>
      <c r="N341" t="s">
        <v>158</v>
      </c>
      <c r="O341" s="3" t="s">
        <v>1482</v>
      </c>
      <c r="P341" s="3" t="s">
        <v>1482</v>
      </c>
      <c r="Q341" s="3" t="s">
        <v>1482</v>
      </c>
      <c r="R341" s="3" t="s">
        <v>1482</v>
      </c>
      <c r="S341" s="3" t="s">
        <v>1482</v>
      </c>
      <c r="T341" s="3" t="s">
        <v>1482</v>
      </c>
    </row>
    <row r="342" spans="1:20">
      <c r="A342" t="s">
        <v>547</v>
      </c>
      <c r="B342" t="s">
        <v>20</v>
      </c>
      <c r="C342" t="s">
        <v>21</v>
      </c>
      <c r="D342" t="s">
        <v>548</v>
      </c>
      <c r="E342" s="2">
        <v>46179</v>
      </c>
      <c r="F342" s="2">
        <v>46179</v>
      </c>
      <c r="G342" t="s">
        <v>20</v>
      </c>
      <c r="H342" s="2">
        <v>46179</v>
      </c>
      <c r="I342" s="2">
        <v>46179</v>
      </c>
      <c r="J342" t="s">
        <v>20</v>
      </c>
      <c r="K342">
        <v>-99.39</v>
      </c>
      <c r="L342">
        <v>-99.39</v>
      </c>
      <c r="M342">
        <v>-99.39</v>
      </c>
      <c r="N342" t="s">
        <v>158</v>
      </c>
      <c r="O342" s="3" t="s">
        <v>1482</v>
      </c>
      <c r="P342" s="3" t="s">
        <v>1482</v>
      </c>
      <c r="Q342" s="3" t="s">
        <v>1482</v>
      </c>
      <c r="R342" s="3" t="s">
        <v>1482</v>
      </c>
      <c r="S342" s="3" t="s">
        <v>1482</v>
      </c>
      <c r="T342" s="3" t="s">
        <v>1482</v>
      </c>
    </row>
    <row r="343" spans="1:20">
      <c r="A343" t="s">
        <v>549</v>
      </c>
      <c r="B343" t="s">
        <v>20</v>
      </c>
      <c r="C343" t="s">
        <v>21</v>
      </c>
      <c r="D343" t="s">
        <v>550</v>
      </c>
      <c r="E343" s="2">
        <v>46179</v>
      </c>
      <c r="F343" s="2">
        <v>46179</v>
      </c>
      <c r="G343" t="s">
        <v>20</v>
      </c>
      <c r="H343" s="2">
        <v>46179</v>
      </c>
      <c r="I343" s="2">
        <v>46179</v>
      </c>
      <c r="J343" t="s">
        <v>20</v>
      </c>
      <c r="K343">
        <v>-52.52</v>
      </c>
      <c r="L343">
        <v>-52.52</v>
      </c>
      <c r="M343">
        <v>-52.52</v>
      </c>
      <c r="N343" t="s">
        <v>158</v>
      </c>
      <c r="O343" s="3" t="s">
        <v>1482</v>
      </c>
      <c r="P343" s="3" t="s">
        <v>1482</v>
      </c>
      <c r="Q343" s="3" t="s">
        <v>1482</v>
      </c>
      <c r="R343" s="3" t="s">
        <v>1482</v>
      </c>
      <c r="S343" s="3" t="s">
        <v>1482</v>
      </c>
      <c r="T343" s="3" t="s">
        <v>1482</v>
      </c>
    </row>
    <row r="344" spans="1:20">
      <c r="A344" t="s">
        <v>551</v>
      </c>
      <c r="B344" t="s">
        <v>20</v>
      </c>
      <c r="C344" t="s">
        <v>21</v>
      </c>
      <c r="D344" t="s">
        <v>552</v>
      </c>
      <c r="E344" s="2">
        <v>46179</v>
      </c>
      <c r="F344" s="2">
        <v>46179</v>
      </c>
      <c r="G344" t="s">
        <v>20</v>
      </c>
      <c r="H344" s="2">
        <v>46179</v>
      </c>
      <c r="I344" s="2">
        <v>46179</v>
      </c>
      <c r="J344" t="s">
        <v>20</v>
      </c>
      <c r="K344">
        <v>-71.900000000000006</v>
      </c>
      <c r="L344">
        <v>-71.900000000000006</v>
      </c>
      <c r="M344">
        <v>-71.900000000000006</v>
      </c>
      <c r="N344" t="s">
        <v>158</v>
      </c>
      <c r="O344" s="3" t="s">
        <v>1482</v>
      </c>
      <c r="P344" s="3" t="s">
        <v>1482</v>
      </c>
      <c r="Q344" s="3" t="s">
        <v>1482</v>
      </c>
      <c r="R344" s="3" t="s">
        <v>1482</v>
      </c>
      <c r="S344" s="3" t="s">
        <v>1482</v>
      </c>
      <c r="T344" s="3" t="s">
        <v>1482</v>
      </c>
    </row>
    <row r="345" spans="1:20">
      <c r="A345" t="s">
        <v>553</v>
      </c>
      <c r="B345" t="s">
        <v>20</v>
      </c>
      <c r="C345" t="s">
        <v>21</v>
      </c>
      <c r="D345" t="s">
        <v>554</v>
      </c>
      <c r="E345" s="2">
        <v>46179</v>
      </c>
      <c r="F345" s="2">
        <v>46179</v>
      </c>
      <c r="G345" t="s">
        <v>20</v>
      </c>
      <c r="H345" s="2">
        <v>46179</v>
      </c>
      <c r="I345" s="2">
        <v>46179</v>
      </c>
      <c r="J345" t="s">
        <v>20</v>
      </c>
      <c r="K345">
        <v>-64.739999999999995</v>
      </c>
      <c r="L345">
        <v>-64.739999999999995</v>
      </c>
      <c r="M345">
        <v>-64.739999999999995</v>
      </c>
      <c r="N345" t="s">
        <v>158</v>
      </c>
      <c r="O345" s="3" t="s">
        <v>1482</v>
      </c>
      <c r="P345" s="3" t="s">
        <v>1482</v>
      </c>
      <c r="Q345" s="3" t="s">
        <v>1482</v>
      </c>
      <c r="R345" s="3" t="s">
        <v>1482</v>
      </c>
      <c r="S345" s="3" t="s">
        <v>1482</v>
      </c>
      <c r="T345" s="3" t="s">
        <v>1482</v>
      </c>
    </row>
    <row r="346" spans="1:20">
      <c r="A346" t="s">
        <v>555</v>
      </c>
      <c r="B346" t="s">
        <v>20</v>
      </c>
      <c r="C346" t="s">
        <v>21</v>
      </c>
      <c r="D346" t="s">
        <v>556</v>
      </c>
      <c r="E346" s="2">
        <v>46179</v>
      </c>
      <c r="F346" s="2">
        <v>46179</v>
      </c>
      <c r="G346" t="s">
        <v>20</v>
      </c>
      <c r="H346" s="2">
        <v>46179</v>
      </c>
      <c r="I346" s="2">
        <v>46179</v>
      </c>
      <c r="J346" t="s">
        <v>20</v>
      </c>
      <c r="K346">
        <v>-132.52000000000001</v>
      </c>
      <c r="L346">
        <v>-132.52000000000001</v>
      </c>
      <c r="M346">
        <v>-132.52000000000001</v>
      </c>
      <c r="N346" t="s">
        <v>158</v>
      </c>
      <c r="O346" s="3" t="s">
        <v>1482</v>
      </c>
      <c r="P346" s="3" t="s">
        <v>1482</v>
      </c>
      <c r="Q346" s="3" t="s">
        <v>1482</v>
      </c>
      <c r="R346" s="3" t="s">
        <v>1482</v>
      </c>
      <c r="S346" s="3" t="s">
        <v>1482</v>
      </c>
      <c r="T346" s="3" t="s">
        <v>1482</v>
      </c>
    </row>
    <row r="347" spans="1:20">
      <c r="A347" t="s">
        <v>557</v>
      </c>
      <c r="B347" t="s">
        <v>20</v>
      </c>
      <c r="C347" t="s">
        <v>21</v>
      </c>
      <c r="D347" t="s">
        <v>558</v>
      </c>
      <c r="E347" s="2">
        <v>46179</v>
      </c>
      <c r="F347" s="2">
        <v>46179</v>
      </c>
      <c r="G347" t="s">
        <v>20</v>
      </c>
      <c r="H347" s="2">
        <v>46179</v>
      </c>
      <c r="I347" s="2">
        <v>46179</v>
      </c>
      <c r="J347" t="s">
        <v>20</v>
      </c>
      <c r="K347">
        <v>-119.84</v>
      </c>
      <c r="L347">
        <v>-119.84</v>
      </c>
      <c r="M347">
        <v>-119.84</v>
      </c>
      <c r="N347" t="s">
        <v>158</v>
      </c>
      <c r="O347" s="3" t="s">
        <v>1482</v>
      </c>
      <c r="P347" s="3" t="s">
        <v>1482</v>
      </c>
      <c r="Q347" s="3" t="s">
        <v>1482</v>
      </c>
      <c r="R347" s="3" t="s">
        <v>1482</v>
      </c>
      <c r="S347" s="3" t="s">
        <v>1482</v>
      </c>
      <c r="T347" s="3" t="s">
        <v>1482</v>
      </c>
    </row>
    <row r="348" spans="1:20">
      <c r="A348" t="s">
        <v>559</v>
      </c>
      <c r="B348" t="s">
        <v>20</v>
      </c>
      <c r="C348" t="s">
        <v>21</v>
      </c>
      <c r="D348" t="s">
        <v>560</v>
      </c>
      <c r="E348" s="2">
        <v>46179</v>
      </c>
      <c r="F348" s="2">
        <v>46179</v>
      </c>
      <c r="G348" t="s">
        <v>20</v>
      </c>
      <c r="H348" s="2">
        <v>46179</v>
      </c>
      <c r="I348" s="2">
        <v>46179</v>
      </c>
      <c r="J348" t="s">
        <v>20</v>
      </c>
      <c r="K348">
        <v>-99.39</v>
      </c>
      <c r="L348">
        <v>-99.39</v>
      </c>
      <c r="M348">
        <v>-99.39</v>
      </c>
      <c r="N348" t="s">
        <v>158</v>
      </c>
      <c r="O348" s="3" t="s">
        <v>1482</v>
      </c>
      <c r="P348" s="3" t="s">
        <v>1482</v>
      </c>
      <c r="Q348" s="3" t="s">
        <v>1482</v>
      </c>
      <c r="R348" s="3" t="s">
        <v>1482</v>
      </c>
      <c r="S348" s="3" t="s">
        <v>1482</v>
      </c>
      <c r="T348" s="3" t="s">
        <v>1482</v>
      </c>
    </row>
    <row r="349" spans="1:20">
      <c r="A349" t="s">
        <v>561</v>
      </c>
      <c r="B349" t="s">
        <v>20</v>
      </c>
      <c r="C349" t="s">
        <v>21</v>
      </c>
      <c r="D349" t="s">
        <v>562</v>
      </c>
      <c r="E349" s="2">
        <v>46179</v>
      </c>
      <c r="F349" s="2">
        <v>46179</v>
      </c>
      <c r="G349" t="s">
        <v>20</v>
      </c>
      <c r="H349" s="2">
        <v>46179</v>
      </c>
      <c r="I349" s="2">
        <v>46179</v>
      </c>
      <c r="J349" t="s">
        <v>20</v>
      </c>
      <c r="K349">
        <v>-47.94</v>
      </c>
      <c r="L349">
        <v>-47.94</v>
      </c>
      <c r="M349">
        <v>-47.94</v>
      </c>
      <c r="N349" t="s">
        <v>158</v>
      </c>
      <c r="O349" s="3" t="s">
        <v>1482</v>
      </c>
      <c r="P349" s="3" t="s">
        <v>1482</v>
      </c>
      <c r="Q349" s="3" t="s">
        <v>1482</v>
      </c>
      <c r="R349" s="3" t="s">
        <v>1482</v>
      </c>
      <c r="S349" s="3" t="s">
        <v>1482</v>
      </c>
      <c r="T349" s="3" t="s">
        <v>1482</v>
      </c>
    </row>
    <row r="350" spans="1:20">
      <c r="A350" t="s">
        <v>563</v>
      </c>
      <c r="B350" t="s">
        <v>20</v>
      </c>
      <c r="C350" t="s">
        <v>21</v>
      </c>
      <c r="D350" t="s">
        <v>564</v>
      </c>
      <c r="E350" s="2">
        <v>46179</v>
      </c>
      <c r="F350" s="2">
        <v>46179</v>
      </c>
      <c r="G350" t="s">
        <v>20</v>
      </c>
      <c r="H350" s="2">
        <v>46179</v>
      </c>
      <c r="I350" s="2">
        <v>46179</v>
      </c>
      <c r="J350" t="s">
        <v>20</v>
      </c>
      <c r="K350">
        <v>-33.130000000000003</v>
      </c>
      <c r="L350">
        <v>-33.130000000000003</v>
      </c>
      <c r="M350">
        <v>-33.130000000000003</v>
      </c>
      <c r="N350" t="s">
        <v>158</v>
      </c>
      <c r="O350" s="3" t="s">
        <v>1482</v>
      </c>
      <c r="P350" s="3" t="s">
        <v>1482</v>
      </c>
      <c r="Q350" s="3" t="s">
        <v>1482</v>
      </c>
      <c r="R350" s="3" t="s">
        <v>1482</v>
      </c>
      <c r="S350" s="3" t="s">
        <v>1482</v>
      </c>
      <c r="T350" s="3" t="s">
        <v>1482</v>
      </c>
    </row>
    <row r="351" spans="1:20">
      <c r="A351" t="s">
        <v>565</v>
      </c>
      <c r="B351" t="s">
        <v>20</v>
      </c>
      <c r="C351" t="s">
        <v>21</v>
      </c>
      <c r="D351" t="s">
        <v>566</v>
      </c>
      <c r="E351" s="2">
        <v>46179</v>
      </c>
      <c r="F351" s="2">
        <v>46179</v>
      </c>
      <c r="G351" t="s">
        <v>20</v>
      </c>
      <c r="H351" s="2">
        <v>46179</v>
      </c>
      <c r="I351" s="2">
        <v>46179</v>
      </c>
      <c r="J351" t="s">
        <v>20</v>
      </c>
      <c r="K351">
        <v>-165.65</v>
      </c>
      <c r="L351">
        <v>-165.65</v>
      </c>
      <c r="M351">
        <v>-165.65</v>
      </c>
      <c r="N351" t="s">
        <v>158</v>
      </c>
      <c r="O351" s="3" t="s">
        <v>1482</v>
      </c>
      <c r="P351" s="3" t="s">
        <v>1482</v>
      </c>
      <c r="Q351" s="3" t="s">
        <v>1482</v>
      </c>
      <c r="R351" s="3" t="s">
        <v>1482</v>
      </c>
      <c r="S351" s="3" t="s">
        <v>1482</v>
      </c>
      <c r="T351" s="3" t="s">
        <v>1482</v>
      </c>
    </row>
    <row r="352" spans="1:20">
      <c r="A352" t="s">
        <v>567</v>
      </c>
      <c r="B352" t="s">
        <v>20</v>
      </c>
      <c r="C352" t="s">
        <v>21</v>
      </c>
      <c r="D352" t="s">
        <v>568</v>
      </c>
      <c r="E352" s="2">
        <v>46179</v>
      </c>
      <c r="F352" s="2">
        <v>46179</v>
      </c>
      <c r="G352" t="s">
        <v>20</v>
      </c>
      <c r="H352" s="2">
        <v>46179</v>
      </c>
      <c r="I352" s="2">
        <v>46179</v>
      </c>
      <c r="J352" t="s">
        <v>20</v>
      </c>
      <c r="K352">
        <v>-33.130000000000003</v>
      </c>
      <c r="L352">
        <v>-33.130000000000003</v>
      </c>
      <c r="M352">
        <v>-33.130000000000003</v>
      </c>
      <c r="N352" t="s">
        <v>158</v>
      </c>
      <c r="O352" s="3" t="s">
        <v>1482</v>
      </c>
      <c r="P352" s="3" t="s">
        <v>1482</v>
      </c>
      <c r="Q352" s="3" t="s">
        <v>1482</v>
      </c>
      <c r="R352" s="3" t="s">
        <v>1482</v>
      </c>
      <c r="S352" s="3" t="s">
        <v>1482</v>
      </c>
      <c r="T352" s="3" t="s">
        <v>1482</v>
      </c>
    </row>
    <row r="353" spans="1:20">
      <c r="A353" t="s">
        <v>569</v>
      </c>
      <c r="B353" t="s">
        <v>20</v>
      </c>
      <c r="C353" t="s">
        <v>21</v>
      </c>
      <c r="D353" t="s">
        <v>570</v>
      </c>
      <c r="E353" s="2">
        <v>46179</v>
      </c>
      <c r="F353" s="2">
        <v>46179</v>
      </c>
      <c r="G353" t="s">
        <v>20</v>
      </c>
      <c r="H353" s="2">
        <v>46179</v>
      </c>
      <c r="I353" s="2">
        <v>46179</v>
      </c>
      <c r="J353" t="s">
        <v>20</v>
      </c>
      <c r="K353">
        <v>-38.659999999999997</v>
      </c>
      <c r="L353">
        <v>-38.659999999999997</v>
      </c>
      <c r="M353">
        <v>-38.659999999999997</v>
      </c>
      <c r="N353" t="s">
        <v>158</v>
      </c>
      <c r="O353" s="3" t="s">
        <v>1482</v>
      </c>
      <c r="P353" s="3" t="s">
        <v>1482</v>
      </c>
      <c r="Q353" s="3" t="s">
        <v>1482</v>
      </c>
      <c r="R353" s="3" t="s">
        <v>1482</v>
      </c>
      <c r="S353" s="3" t="s">
        <v>1482</v>
      </c>
      <c r="T353" s="3" t="s">
        <v>1482</v>
      </c>
    </row>
    <row r="354" spans="1:20">
      <c r="A354" t="s">
        <v>571</v>
      </c>
      <c r="B354" t="s">
        <v>20</v>
      </c>
      <c r="C354" t="s">
        <v>21</v>
      </c>
      <c r="D354" t="s">
        <v>572</v>
      </c>
      <c r="E354" s="2">
        <v>46179</v>
      </c>
      <c r="F354" s="2">
        <v>46179</v>
      </c>
      <c r="G354" t="s">
        <v>20</v>
      </c>
      <c r="H354" s="2">
        <v>46179</v>
      </c>
      <c r="I354" s="2">
        <v>46179</v>
      </c>
      <c r="J354" t="s">
        <v>20</v>
      </c>
      <c r="K354">
        <v>-231.91</v>
      </c>
      <c r="L354">
        <v>-231.91</v>
      </c>
      <c r="M354">
        <v>-231.91</v>
      </c>
      <c r="N354" t="s">
        <v>158</v>
      </c>
      <c r="O354" s="3" t="s">
        <v>1482</v>
      </c>
      <c r="P354" s="3" t="s">
        <v>1482</v>
      </c>
      <c r="Q354" s="3" t="s">
        <v>1482</v>
      </c>
      <c r="R354" s="3" t="s">
        <v>1482</v>
      </c>
      <c r="S354" s="3" t="s">
        <v>1482</v>
      </c>
      <c r="T354" s="3" t="s">
        <v>1482</v>
      </c>
    </row>
    <row r="355" spans="1:20">
      <c r="A355" t="s">
        <v>573</v>
      </c>
      <c r="B355" t="s">
        <v>20</v>
      </c>
      <c r="C355" t="s">
        <v>21</v>
      </c>
      <c r="D355" t="s">
        <v>574</v>
      </c>
      <c r="E355" s="2">
        <v>46179</v>
      </c>
      <c r="F355" s="2">
        <v>46179</v>
      </c>
      <c r="G355" t="s">
        <v>20</v>
      </c>
      <c r="H355" s="2">
        <v>46179</v>
      </c>
      <c r="I355" s="2">
        <v>46179</v>
      </c>
      <c r="J355" t="s">
        <v>20</v>
      </c>
      <c r="K355">
        <v>-165.65</v>
      </c>
      <c r="L355">
        <v>-165.65</v>
      </c>
      <c r="M355">
        <v>-165.65</v>
      </c>
      <c r="N355" t="s">
        <v>158</v>
      </c>
      <c r="O355" s="3" t="s">
        <v>1482</v>
      </c>
      <c r="P355" s="3" t="s">
        <v>1482</v>
      </c>
      <c r="Q355" s="3" t="s">
        <v>1482</v>
      </c>
      <c r="R355" s="3" t="s">
        <v>1482</v>
      </c>
      <c r="S355" s="3" t="s">
        <v>1482</v>
      </c>
      <c r="T355" s="3" t="s">
        <v>1482</v>
      </c>
    </row>
    <row r="356" spans="1:20">
      <c r="A356" t="s">
        <v>575</v>
      </c>
      <c r="B356" t="s">
        <v>20</v>
      </c>
      <c r="C356" t="s">
        <v>21</v>
      </c>
      <c r="D356" t="s">
        <v>576</v>
      </c>
      <c r="E356" s="2">
        <v>46179</v>
      </c>
      <c r="F356" s="2">
        <v>46179</v>
      </c>
      <c r="G356" t="s">
        <v>20</v>
      </c>
      <c r="H356" s="2">
        <v>46179</v>
      </c>
      <c r="I356" s="2">
        <v>46179</v>
      </c>
      <c r="J356" t="s">
        <v>20</v>
      </c>
      <c r="K356">
        <v>-165.65</v>
      </c>
      <c r="L356">
        <v>-165.65</v>
      </c>
      <c r="M356">
        <v>-165.65</v>
      </c>
      <c r="N356" t="s">
        <v>158</v>
      </c>
      <c r="O356" s="3" t="s">
        <v>1482</v>
      </c>
      <c r="P356" s="3" t="s">
        <v>1482</v>
      </c>
      <c r="Q356" s="3" t="s">
        <v>1482</v>
      </c>
      <c r="R356" s="3" t="s">
        <v>1482</v>
      </c>
      <c r="S356" s="3" t="s">
        <v>1482</v>
      </c>
      <c r="T356" s="3" t="s">
        <v>1482</v>
      </c>
    </row>
    <row r="357" spans="1:20">
      <c r="A357" t="s">
        <v>577</v>
      </c>
      <c r="B357" t="s">
        <v>20</v>
      </c>
      <c r="C357" t="s">
        <v>21</v>
      </c>
      <c r="D357" t="s">
        <v>578</v>
      </c>
      <c r="E357" s="2">
        <v>46179</v>
      </c>
      <c r="F357" s="2">
        <v>46179</v>
      </c>
      <c r="G357" t="s">
        <v>20</v>
      </c>
      <c r="H357" s="2">
        <v>46179</v>
      </c>
      <c r="I357" s="2">
        <v>46179</v>
      </c>
      <c r="J357" t="s">
        <v>20</v>
      </c>
      <c r="K357">
        <v>-131.29</v>
      </c>
      <c r="L357">
        <v>-131.29</v>
      </c>
      <c r="M357">
        <v>-131.29</v>
      </c>
      <c r="N357" t="s">
        <v>158</v>
      </c>
      <c r="O357" s="3" t="s">
        <v>1482</v>
      </c>
      <c r="P357" s="3" t="s">
        <v>1482</v>
      </c>
      <c r="Q357" s="3" t="s">
        <v>1482</v>
      </c>
      <c r="R357" s="3" t="s">
        <v>1482</v>
      </c>
      <c r="S357" s="3" t="s">
        <v>1482</v>
      </c>
      <c r="T357" s="3" t="s">
        <v>1482</v>
      </c>
    </row>
    <row r="358" spans="1:20">
      <c r="A358" t="s">
        <v>579</v>
      </c>
      <c r="B358" t="s">
        <v>20</v>
      </c>
      <c r="C358" t="s">
        <v>21</v>
      </c>
      <c r="D358" t="s">
        <v>580</v>
      </c>
      <c r="E358" s="2">
        <v>46179</v>
      </c>
      <c r="F358" s="2">
        <v>46179</v>
      </c>
      <c r="G358" t="s">
        <v>20</v>
      </c>
      <c r="H358" s="2">
        <v>46179</v>
      </c>
      <c r="I358" s="2">
        <v>46179</v>
      </c>
      <c r="J358" t="s">
        <v>20</v>
      </c>
      <c r="K358">
        <v>-37.950000000000003</v>
      </c>
      <c r="L358">
        <v>-37.950000000000003</v>
      </c>
      <c r="M358">
        <v>-37.950000000000003</v>
      </c>
      <c r="N358" t="s">
        <v>158</v>
      </c>
      <c r="O358" s="3" t="s">
        <v>1482</v>
      </c>
      <c r="P358" s="3" t="s">
        <v>1482</v>
      </c>
      <c r="Q358" s="3" t="s">
        <v>1482</v>
      </c>
      <c r="R358" s="3" t="s">
        <v>1482</v>
      </c>
      <c r="S358" s="3" t="s">
        <v>1482</v>
      </c>
      <c r="T358" s="3" t="s">
        <v>1482</v>
      </c>
    </row>
    <row r="359" spans="1:20">
      <c r="A359" t="s">
        <v>581</v>
      </c>
      <c r="B359" t="s">
        <v>20</v>
      </c>
      <c r="C359" t="s">
        <v>21</v>
      </c>
      <c r="D359" t="s">
        <v>582</v>
      </c>
      <c r="E359" s="2">
        <v>46179</v>
      </c>
      <c r="F359" s="2">
        <v>46179</v>
      </c>
      <c r="G359" t="s">
        <v>20</v>
      </c>
      <c r="H359" s="2">
        <v>46179</v>
      </c>
      <c r="I359" s="2">
        <v>46179</v>
      </c>
      <c r="J359" t="s">
        <v>20</v>
      </c>
      <c r="K359">
        <v>-165.65</v>
      </c>
      <c r="L359">
        <v>-165.65</v>
      </c>
      <c r="M359">
        <v>-165.65</v>
      </c>
      <c r="N359" t="s">
        <v>158</v>
      </c>
      <c r="O359" s="3" t="s">
        <v>1482</v>
      </c>
      <c r="P359" s="3" t="s">
        <v>1482</v>
      </c>
      <c r="Q359" s="3" t="s">
        <v>1482</v>
      </c>
      <c r="R359" s="3" t="s">
        <v>1482</v>
      </c>
      <c r="S359" s="3" t="s">
        <v>1482</v>
      </c>
      <c r="T359" s="3" t="s">
        <v>1482</v>
      </c>
    </row>
    <row r="360" spans="1:20">
      <c r="A360" t="s">
        <v>583</v>
      </c>
      <c r="B360" t="s">
        <v>20</v>
      </c>
      <c r="C360" t="s">
        <v>21</v>
      </c>
      <c r="D360" t="s">
        <v>584</v>
      </c>
      <c r="E360" s="2">
        <v>46179</v>
      </c>
      <c r="F360" s="2">
        <v>46179</v>
      </c>
      <c r="G360" t="s">
        <v>20</v>
      </c>
      <c r="H360" s="2">
        <v>46179</v>
      </c>
      <c r="I360" s="2">
        <v>46179</v>
      </c>
      <c r="J360" t="s">
        <v>20</v>
      </c>
      <c r="K360">
        <v>-132.52000000000001</v>
      </c>
      <c r="L360">
        <v>-132.52000000000001</v>
      </c>
      <c r="M360">
        <v>-132.52000000000001</v>
      </c>
      <c r="N360" t="s">
        <v>158</v>
      </c>
      <c r="O360" s="3" t="s">
        <v>1482</v>
      </c>
      <c r="P360" s="3" t="s">
        <v>1482</v>
      </c>
      <c r="Q360" s="3" t="s">
        <v>1482</v>
      </c>
      <c r="R360" s="3" t="s">
        <v>1482</v>
      </c>
      <c r="S360" s="3" t="s">
        <v>1482</v>
      </c>
      <c r="T360" s="3" t="s">
        <v>1482</v>
      </c>
    </row>
    <row r="361" spans="1:20">
      <c r="A361" t="s">
        <v>585</v>
      </c>
      <c r="B361" t="s">
        <v>20</v>
      </c>
      <c r="C361" t="s">
        <v>21</v>
      </c>
      <c r="D361" t="s">
        <v>586</v>
      </c>
      <c r="E361" s="2">
        <v>46179</v>
      </c>
      <c r="F361" s="2">
        <v>46179</v>
      </c>
      <c r="G361" t="s">
        <v>20</v>
      </c>
      <c r="H361" s="2">
        <v>46179</v>
      </c>
      <c r="I361" s="2">
        <v>46179</v>
      </c>
      <c r="J361" t="s">
        <v>20</v>
      </c>
      <c r="K361">
        <v>-23.97</v>
      </c>
      <c r="L361">
        <v>-23.97</v>
      </c>
      <c r="M361">
        <v>-23.97</v>
      </c>
      <c r="N361" t="s">
        <v>158</v>
      </c>
      <c r="O361" s="3" t="s">
        <v>1482</v>
      </c>
      <c r="P361" s="3" t="s">
        <v>1482</v>
      </c>
      <c r="Q361" s="3" t="s">
        <v>1482</v>
      </c>
      <c r="R361" s="3" t="s">
        <v>1482</v>
      </c>
      <c r="S361" s="3" t="s">
        <v>1482</v>
      </c>
      <c r="T361" s="3" t="s">
        <v>1482</v>
      </c>
    </row>
    <row r="362" spans="1:20">
      <c r="A362" t="s">
        <v>587</v>
      </c>
      <c r="B362" t="s">
        <v>20</v>
      </c>
      <c r="C362" t="s">
        <v>21</v>
      </c>
      <c r="D362" t="s">
        <v>588</v>
      </c>
      <c r="E362" s="2">
        <v>46179</v>
      </c>
      <c r="F362" s="2">
        <v>46179</v>
      </c>
      <c r="G362" t="s">
        <v>20</v>
      </c>
      <c r="H362" s="2">
        <v>46179</v>
      </c>
      <c r="I362" s="2">
        <v>46179</v>
      </c>
      <c r="J362" t="s">
        <v>20</v>
      </c>
      <c r="K362">
        <v>-66.260000000000005</v>
      </c>
      <c r="L362">
        <v>-66.260000000000005</v>
      </c>
      <c r="M362">
        <v>-66.260000000000005</v>
      </c>
      <c r="N362" t="s">
        <v>158</v>
      </c>
      <c r="O362" s="3" t="s">
        <v>1482</v>
      </c>
      <c r="P362" s="3" t="s">
        <v>1482</v>
      </c>
      <c r="Q362" s="3" t="s">
        <v>1482</v>
      </c>
      <c r="R362" s="3" t="s">
        <v>1482</v>
      </c>
      <c r="S362" s="3" t="s">
        <v>1482</v>
      </c>
      <c r="T362" s="3" t="s">
        <v>1482</v>
      </c>
    </row>
    <row r="363" spans="1:20">
      <c r="A363" t="s">
        <v>589</v>
      </c>
      <c r="B363" t="s">
        <v>20</v>
      </c>
      <c r="C363" t="s">
        <v>21</v>
      </c>
      <c r="D363" t="s">
        <v>590</v>
      </c>
      <c r="E363" s="2">
        <v>46179</v>
      </c>
      <c r="F363" s="2">
        <v>46179</v>
      </c>
      <c r="G363" t="s">
        <v>20</v>
      </c>
      <c r="H363" s="2">
        <v>46179</v>
      </c>
      <c r="I363" s="2">
        <v>46179</v>
      </c>
      <c r="J363" t="s">
        <v>20</v>
      </c>
      <c r="K363">
        <v>-165.65</v>
      </c>
      <c r="L363">
        <v>-165.65</v>
      </c>
      <c r="M363">
        <v>-165.65</v>
      </c>
      <c r="N363" t="s">
        <v>158</v>
      </c>
      <c r="O363" s="3" t="s">
        <v>1482</v>
      </c>
      <c r="P363" s="3" t="s">
        <v>1482</v>
      </c>
      <c r="Q363" s="3" t="s">
        <v>1482</v>
      </c>
      <c r="R363" s="3" t="s">
        <v>1482</v>
      </c>
      <c r="S363" s="3" t="s">
        <v>1482</v>
      </c>
      <c r="T363" s="3" t="s">
        <v>1482</v>
      </c>
    </row>
    <row r="364" spans="1:20">
      <c r="A364" t="s">
        <v>591</v>
      </c>
      <c r="B364" t="s">
        <v>20</v>
      </c>
      <c r="C364" t="s">
        <v>21</v>
      </c>
      <c r="D364" t="s">
        <v>592</v>
      </c>
      <c r="E364" s="2">
        <v>46179</v>
      </c>
      <c r="F364" s="2">
        <v>46179</v>
      </c>
      <c r="G364" t="s">
        <v>20</v>
      </c>
      <c r="H364" s="2">
        <v>46179</v>
      </c>
      <c r="I364" s="2">
        <v>46179</v>
      </c>
      <c r="J364" t="s">
        <v>20</v>
      </c>
      <c r="K364">
        <v>-72.64</v>
      </c>
      <c r="L364">
        <v>-72.64</v>
      </c>
      <c r="M364">
        <v>-72.64</v>
      </c>
      <c r="N364" t="s">
        <v>158</v>
      </c>
      <c r="O364" s="3" t="s">
        <v>1482</v>
      </c>
      <c r="P364" s="3" t="s">
        <v>1482</v>
      </c>
      <c r="Q364" s="3" t="s">
        <v>1482</v>
      </c>
      <c r="R364" s="3" t="s">
        <v>1482</v>
      </c>
      <c r="S364" s="3" t="s">
        <v>1482</v>
      </c>
      <c r="T364" s="3" t="s">
        <v>1482</v>
      </c>
    </row>
    <row r="365" spans="1:20">
      <c r="A365" t="s">
        <v>593</v>
      </c>
      <c r="B365" t="s">
        <v>20</v>
      </c>
      <c r="C365" t="s">
        <v>21</v>
      </c>
      <c r="D365" t="s">
        <v>594</v>
      </c>
      <c r="E365" s="2">
        <v>46179</v>
      </c>
      <c r="F365" s="2">
        <v>46179</v>
      </c>
      <c r="G365" t="s">
        <v>20</v>
      </c>
      <c r="H365" s="2">
        <v>46179</v>
      </c>
      <c r="I365" s="2">
        <v>46179</v>
      </c>
      <c r="J365" t="s">
        <v>20</v>
      </c>
      <c r="K365">
        <v>-198.78</v>
      </c>
      <c r="L365">
        <v>-198.78</v>
      </c>
      <c r="M365">
        <v>-198.78</v>
      </c>
      <c r="N365" t="s">
        <v>158</v>
      </c>
      <c r="O365" s="3" t="s">
        <v>1482</v>
      </c>
      <c r="P365" s="3" t="s">
        <v>1482</v>
      </c>
      <c r="Q365" s="3" t="s">
        <v>1482</v>
      </c>
      <c r="R365" s="3" t="s">
        <v>1482</v>
      </c>
      <c r="S365" s="3" t="s">
        <v>1482</v>
      </c>
      <c r="T365" s="3" t="s">
        <v>1482</v>
      </c>
    </row>
    <row r="366" spans="1:20">
      <c r="A366" t="s">
        <v>595</v>
      </c>
      <c r="B366" t="s">
        <v>20</v>
      </c>
      <c r="C366" t="s">
        <v>21</v>
      </c>
      <c r="D366" t="s">
        <v>596</v>
      </c>
      <c r="E366" s="2">
        <v>46179</v>
      </c>
      <c r="F366" s="2">
        <v>46179</v>
      </c>
      <c r="G366" t="s">
        <v>20</v>
      </c>
      <c r="H366" s="2">
        <v>46179</v>
      </c>
      <c r="I366" s="2">
        <v>46179</v>
      </c>
      <c r="J366" t="s">
        <v>20</v>
      </c>
      <c r="K366">
        <v>-38.659999999999997</v>
      </c>
      <c r="L366">
        <v>-38.659999999999997</v>
      </c>
      <c r="M366">
        <v>-38.659999999999997</v>
      </c>
      <c r="N366" t="s">
        <v>158</v>
      </c>
      <c r="O366" s="3" t="s">
        <v>1482</v>
      </c>
      <c r="P366" s="3" t="s">
        <v>1482</v>
      </c>
      <c r="Q366" s="3" t="s">
        <v>1482</v>
      </c>
      <c r="R366" s="3" t="s">
        <v>1482</v>
      </c>
      <c r="S366" s="3" t="s">
        <v>1482</v>
      </c>
      <c r="T366" s="3" t="s">
        <v>1482</v>
      </c>
    </row>
    <row r="367" spans="1:20">
      <c r="A367" t="s">
        <v>597</v>
      </c>
      <c r="B367" t="s">
        <v>20</v>
      </c>
      <c r="C367" t="s">
        <v>21</v>
      </c>
      <c r="D367" t="s">
        <v>598</v>
      </c>
      <c r="E367" s="2">
        <v>46179</v>
      </c>
      <c r="F367" s="2">
        <v>46179</v>
      </c>
      <c r="G367" t="s">
        <v>20</v>
      </c>
      <c r="H367" s="2">
        <v>46179</v>
      </c>
      <c r="I367" s="2">
        <v>46179</v>
      </c>
      <c r="J367" t="s">
        <v>20</v>
      </c>
      <c r="K367">
        <v>-33.130000000000003</v>
      </c>
      <c r="L367">
        <v>-33.130000000000003</v>
      </c>
      <c r="M367">
        <v>-33.130000000000003</v>
      </c>
      <c r="N367" t="s">
        <v>158</v>
      </c>
      <c r="O367" s="3" t="s">
        <v>1482</v>
      </c>
      <c r="P367" s="3" t="s">
        <v>1482</v>
      </c>
      <c r="Q367" s="3" t="s">
        <v>1482</v>
      </c>
      <c r="R367" s="3" t="s">
        <v>1482</v>
      </c>
      <c r="S367" s="3" t="s">
        <v>1482</v>
      </c>
      <c r="T367" s="3" t="s">
        <v>1482</v>
      </c>
    </row>
    <row r="368" spans="1:20">
      <c r="A368" t="s">
        <v>599</v>
      </c>
      <c r="B368" t="s">
        <v>20</v>
      </c>
      <c r="C368" t="s">
        <v>21</v>
      </c>
      <c r="D368" t="s">
        <v>600</v>
      </c>
      <c r="E368" s="2">
        <v>46179</v>
      </c>
      <c r="F368" s="2">
        <v>46179</v>
      </c>
      <c r="G368" t="s">
        <v>20</v>
      </c>
      <c r="H368" s="2">
        <v>46179</v>
      </c>
      <c r="I368" s="2">
        <v>46179</v>
      </c>
      <c r="J368" t="s">
        <v>20</v>
      </c>
      <c r="K368">
        <v>-99.39</v>
      </c>
      <c r="L368">
        <v>-99.39</v>
      </c>
      <c r="M368">
        <v>-99.39</v>
      </c>
      <c r="N368" t="s">
        <v>158</v>
      </c>
      <c r="O368" s="3" t="s">
        <v>1482</v>
      </c>
      <c r="P368" s="3" t="s">
        <v>1482</v>
      </c>
      <c r="Q368" s="3" t="s">
        <v>1482</v>
      </c>
      <c r="R368" s="3" t="s">
        <v>1482</v>
      </c>
      <c r="S368" s="3" t="s">
        <v>1482</v>
      </c>
      <c r="T368" s="3" t="s">
        <v>1482</v>
      </c>
    </row>
    <row r="369" spans="1:20">
      <c r="A369" t="s">
        <v>601</v>
      </c>
      <c r="B369" t="s">
        <v>20</v>
      </c>
      <c r="C369" t="s">
        <v>21</v>
      </c>
      <c r="D369" t="s">
        <v>602</v>
      </c>
      <c r="E369" s="2">
        <v>46179</v>
      </c>
      <c r="F369" s="2">
        <v>46179</v>
      </c>
      <c r="G369" t="s">
        <v>20</v>
      </c>
      <c r="H369" s="2">
        <v>46179</v>
      </c>
      <c r="I369" s="2">
        <v>46179</v>
      </c>
      <c r="J369" t="s">
        <v>20</v>
      </c>
      <c r="K369">
        <v>-132.52000000000001</v>
      </c>
      <c r="L369">
        <v>-132.52000000000001</v>
      </c>
      <c r="M369">
        <v>-132.52000000000001</v>
      </c>
      <c r="N369" t="s">
        <v>158</v>
      </c>
      <c r="O369" s="3" t="s">
        <v>1482</v>
      </c>
      <c r="P369" s="3" t="s">
        <v>1482</v>
      </c>
      <c r="Q369" s="3" t="s">
        <v>1482</v>
      </c>
      <c r="R369" s="3" t="s">
        <v>1482</v>
      </c>
      <c r="S369" s="3" t="s">
        <v>1482</v>
      </c>
      <c r="T369" s="3" t="s">
        <v>1482</v>
      </c>
    </row>
    <row r="370" spans="1:20">
      <c r="A370" t="s">
        <v>603</v>
      </c>
      <c r="B370" t="s">
        <v>20</v>
      </c>
      <c r="C370" t="s">
        <v>21</v>
      </c>
      <c r="D370" t="s">
        <v>604</v>
      </c>
      <c r="E370" s="2">
        <v>46179</v>
      </c>
      <c r="F370" s="2">
        <v>46179</v>
      </c>
      <c r="G370" t="s">
        <v>20</v>
      </c>
      <c r="H370" s="2">
        <v>46179</v>
      </c>
      <c r="I370" s="2">
        <v>46179</v>
      </c>
      <c r="J370" t="s">
        <v>20</v>
      </c>
      <c r="K370">
        <v>-165.65</v>
      </c>
      <c r="L370">
        <v>-165.65</v>
      </c>
      <c r="M370">
        <v>-165.65</v>
      </c>
      <c r="N370" t="s">
        <v>158</v>
      </c>
      <c r="O370" s="3" t="s">
        <v>1482</v>
      </c>
      <c r="P370" s="3" t="s">
        <v>1482</v>
      </c>
      <c r="Q370" s="3" t="s">
        <v>1482</v>
      </c>
      <c r="R370" s="3" t="s">
        <v>1482</v>
      </c>
      <c r="S370" s="3" t="s">
        <v>1482</v>
      </c>
      <c r="T370" s="3" t="s">
        <v>1482</v>
      </c>
    </row>
    <row r="371" spans="1:20">
      <c r="A371" t="s">
        <v>605</v>
      </c>
      <c r="B371" t="s">
        <v>20</v>
      </c>
      <c r="C371" t="s">
        <v>21</v>
      </c>
      <c r="D371" t="s">
        <v>606</v>
      </c>
      <c r="E371" s="2">
        <v>46179</v>
      </c>
      <c r="F371" s="2">
        <v>46179</v>
      </c>
      <c r="G371" t="s">
        <v>20</v>
      </c>
      <c r="H371" s="2">
        <v>46179</v>
      </c>
      <c r="I371" s="2">
        <v>46179</v>
      </c>
      <c r="J371" t="s">
        <v>20</v>
      </c>
      <c r="K371">
        <v>-86.33</v>
      </c>
      <c r="L371">
        <v>-86.33</v>
      </c>
      <c r="M371">
        <v>-86.33</v>
      </c>
      <c r="N371" t="s">
        <v>158</v>
      </c>
      <c r="O371" s="3" t="s">
        <v>1482</v>
      </c>
      <c r="P371" s="3" t="s">
        <v>1482</v>
      </c>
      <c r="Q371" s="3" t="s">
        <v>1482</v>
      </c>
      <c r="R371" s="3" t="s">
        <v>1482</v>
      </c>
      <c r="S371" s="3" t="s">
        <v>1482</v>
      </c>
      <c r="T371" s="3" t="s">
        <v>1482</v>
      </c>
    </row>
    <row r="372" spans="1:20">
      <c r="A372" t="s">
        <v>607</v>
      </c>
      <c r="B372" t="s">
        <v>20</v>
      </c>
      <c r="C372" t="s">
        <v>21</v>
      </c>
      <c r="D372" t="s">
        <v>608</v>
      </c>
      <c r="E372" s="2">
        <v>46179</v>
      </c>
      <c r="F372" s="2">
        <v>46179</v>
      </c>
      <c r="G372" t="s">
        <v>20</v>
      </c>
      <c r="H372" s="2">
        <v>46179</v>
      </c>
      <c r="I372" s="2">
        <v>46179</v>
      </c>
      <c r="J372" t="s">
        <v>20</v>
      </c>
      <c r="K372">
        <v>-89.45</v>
      </c>
      <c r="L372">
        <v>-89.45</v>
      </c>
      <c r="M372">
        <v>-89.45</v>
      </c>
      <c r="N372" t="s">
        <v>158</v>
      </c>
      <c r="O372" s="3" t="s">
        <v>1482</v>
      </c>
      <c r="P372" s="3" t="s">
        <v>1482</v>
      </c>
      <c r="Q372" s="3" t="s">
        <v>1482</v>
      </c>
      <c r="R372" s="3" t="s">
        <v>1482</v>
      </c>
      <c r="S372" s="3" t="s">
        <v>1482</v>
      </c>
      <c r="T372" s="3" t="s">
        <v>1482</v>
      </c>
    </row>
    <row r="373" spans="1:20">
      <c r="A373" t="s">
        <v>609</v>
      </c>
      <c r="B373" t="s">
        <v>20</v>
      </c>
      <c r="C373" t="s">
        <v>21</v>
      </c>
      <c r="D373" t="s">
        <v>610</v>
      </c>
      <c r="E373" s="2">
        <v>46179</v>
      </c>
      <c r="F373" s="2">
        <v>46179</v>
      </c>
      <c r="G373" t="s">
        <v>20</v>
      </c>
      <c r="H373" s="2">
        <v>46179</v>
      </c>
      <c r="I373" s="2">
        <v>46179</v>
      </c>
      <c r="J373" t="s">
        <v>20</v>
      </c>
      <c r="K373">
        <v>-165.65</v>
      </c>
      <c r="L373">
        <v>-165.65</v>
      </c>
      <c r="M373">
        <v>-165.65</v>
      </c>
      <c r="N373" t="s">
        <v>158</v>
      </c>
      <c r="O373" s="3" t="s">
        <v>1482</v>
      </c>
      <c r="P373" s="3" t="s">
        <v>1482</v>
      </c>
      <c r="Q373" s="3" t="s">
        <v>1482</v>
      </c>
      <c r="R373" s="3" t="s">
        <v>1482</v>
      </c>
      <c r="S373" s="3" t="s">
        <v>1482</v>
      </c>
      <c r="T373" s="3" t="s">
        <v>1482</v>
      </c>
    </row>
    <row r="374" spans="1:20">
      <c r="A374" t="s">
        <v>611</v>
      </c>
      <c r="B374" t="s">
        <v>20</v>
      </c>
      <c r="C374" t="s">
        <v>21</v>
      </c>
      <c r="D374" t="s">
        <v>612</v>
      </c>
      <c r="E374" s="2">
        <v>46179</v>
      </c>
      <c r="F374" s="2">
        <v>46179</v>
      </c>
      <c r="G374" t="s">
        <v>20</v>
      </c>
      <c r="H374" s="2">
        <v>46179</v>
      </c>
      <c r="I374" s="2">
        <v>46179</v>
      </c>
      <c r="J374" t="s">
        <v>20</v>
      </c>
      <c r="K374">
        <v>-33.130000000000003</v>
      </c>
      <c r="L374">
        <v>-33.130000000000003</v>
      </c>
      <c r="M374">
        <v>-33.130000000000003</v>
      </c>
      <c r="N374" t="s">
        <v>158</v>
      </c>
      <c r="O374" s="3" t="s">
        <v>1482</v>
      </c>
      <c r="P374" s="3" t="s">
        <v>1482</v>
      </c>
      <c r="Q374" s="3" t="s">
        <v>1482</v>
      </c>
      <c r="R374" s="3" t="s">
        <v>1482</v>
      </c>
      <c r="S374" s="3" t="s">
        <v>1482</v>
      </c>
      <c r="T374" s="3" t="s">
        <v>1482</v>
      </c>
    </row>
    <row r="375" spans="1:20">
      <c r="A375" t="s">
        <v>613</v>
      </c>
      <c r="B375" t="s">
        <v>20</v>
      </c>
      <c r="C375" t="s">
        <v>21</v>
      </c>
      <c r="D375" t="s">
        <v>614</v>
      </c>
      <c r="E375" s="2">
        <v>46179</v>
      </c>
      <c r="F375" s="2">
        <v>46179</v>
      </c>
      <c r="G375" t="s">
        <v>20</v>
      </c>
      <c r="H375" s="2">
        <v>46179</v>
      </c>
      <c r="I375" s="2">
        <v>46179</v>
      </c>
      <c r="J375" t="s">
        <v>20</v>
      </c>
      <c r="K375">
        <v>-165.65</v>
      </c>
      <c r="L375">
        <v>-165.65</v>
      </c>
      <c r="M375">
        <v>-165.65</v>
      </c>
      <c r="N375" t="s">
        <v>158</v>
      </c>
      <c r="O375" s="3" t="s">
        <v>1482</v>
      </c>
      <c r="P375" s="3" t="s">
        <v>1482</v>
      </c>
      <c r="Q375" s="3" t="s">
        <v>1482</v>
      </c>
      <c r="R375" s="3" t="s">
        <v>1482</v>
      </c>
      <c r="S375" s="3" t="s">
        <v>1482</v>
      </c>
      <c r="T375" s="3" t="s">
        <v>1482</v>
      </c>
    </row>
    <row r="376" spans="1:20">
      <c r="A376" t="s">
        <v>615</v>
      </c>
      <c r="B376" t="s">
        <v>20</v>
      </c>
      <c r="C376" t="s">
        <v>21</v>
      </c>
      <c r="D376" t="s">
        <v>616</v>
      </c>
      <c r="E376" s="2">
        <v>46179</v>
      </c>
      <c r="F376" s="2">
        <v>46179</v>
      </c>
      <c r="G376" t="s">
        <v>20</v>
      </c>
      <c r="H376" s="2">
        <v>46179</v>
      </c>
      <c r="I376" s="2">
        <v>46179</v>
      </c>
      <c r="J376" t="s">
        <v>20</v>
      </c>
      <c r="K376">
        <v>-18.16</v>
      </c>
      <c r="L376">
        <v>-18.16</v>
      </c>
      <c r="M376">
        <v>-18.16</v>
      </c>
      <c r="N376" t="s">
        <v>158</v>
      </c>
      <c r="O376" s="3" t="s">
        <v>1482</v>
      </c>
      <c r="P376" s="3" t="s">
        <v>1482</v>
      </c>
      <c r="Q376" s="3" t="s">
        <v>1482</v>
      </c>
      <c r="R376" s="3" t="s">
        <v>1482</v>
      </c>
      <c r="S376" s="3" t="s">
        <v>1482</v>
      </c>
      <c r="T376" s="3" t="s">
        <v>1482</v>
      </c>
    </row>
    <row r="377" spans="1:20">
      <c r="A377" t="s">
        <v>617</v>
      </c>
      <c r="B377" t="s">
        <v>20</v>
      </c>
      <c r="C377" t="s">
        <v>21</v>
      </c>
      <c r="D377" t="s">
        <v>618</v>
      </c>
      <c r="E377" s="2">
        <v>46179</v>
      </c>
      <c r="F377" s="2">
        <v>46179</v>
      </c>
      <c r="G377" t="s">
        <v>20</v>
      </c>
      <c r="H377" s="2">
        <v>46179</v>
      </c>
      <c r="I377" s="2">
        <v>46179</v>
      </c>
      <c r="J377" t="s">
        <v>20</v>
      </c>
      <c r="K377">
        <v>-95.87</v>
      </c>
      <c r="L377">
        <v>-95.87</v>
      </c>
      <c r="M377">
        <v>-95.87</v>
      </c>
      <c r="N377" t="s">
        <v>158</v>
      </c>
      <c r="O377" s="3" t="s">
        <v>1482</v>
      </c>
      <c r="P377" s="3" t="s">
        <v>1482</v>
      </c>
      <c r="Q377" s="3" t="s">
        <v>1482</v>
      </c>
      <c r="R377" s="3" t="s">
        <v>1482</v>
      </c>
      <c r="S377" s="3" t="s">
        <v>1482</v>
      </c>
      <c r="T377" s="3" t="s">
        <v>1482</v>
      </c>
    </row>
    <row r="378" spans="1:20">
      <c r="A378" t="s">
        <v>619</v>
      </c>
      <c r="B378" t="s">
        <v>20</v>
      </c>
      <c r="C378" t="s">
        <v>21</v>
      </c>
      <c r="D378" t="s">
        <v>620</v>
      </c>
      <c r="E378" s="2">
        <v>46179</v>
      </c>
      <c r="F378" s="2">
        <v>46179</v>
      </c>
      <c r="G378" t="s">
        <v>20</v>
      </c>
      <c r="H378" s="2">
        <v>46179</v>
      </c>
      <c r="I378" s="2">
        <v>46179</v>
      </c>
      <c r="J378" t="s">
        <v>20</v>
      </c>
      <c r="K378">
        <v>-132.52000000000001</v>
      </c>
      <c r="L378">
        <v>-132.52000000000001</v>
      </c>
      <c r="M378">
        <v>-132.52000000000001</v>
      </c>
      <c r="N378" t="s">
        <v>158</v>
      </c>
      <c r="O378" s="3" t="s">
        <v>1482</v>
      </c>
      <c r="P378" s="3" t="s">
        <v>1482</v>
      </c>
      <c r="Q378" s="3" t="s">
        <v>1482</v>
      </c>
      <c r="R378" s="3" t="s">
        <v>1482</v>
      </c>
      <c r="S378" s="3" t="s">
        <v>1482</v>
      </c>
      <c r="T378" s="3" t="s">
        <v>1482</v>
      </c>
    </row>
    <row r="379" spans="1:20">
      <c r="A379" t="s">
        <v>621</v>
      </c>
      <c r="B379" t="s">
        <v>20</v>
      </c>
      <c r="C379" t="s">
        <v>21</v>
      </c>
      <c r="D379" t="s">
        <v>622</v>
      </c>
      <c r="E379" s="2">
        <v>46179</v>
      </c>
      <c r="F379" s="2">
        <v>46179</v>
      </c>
      <c r="G379" t="s">
        <v>20</v>
      </c>
      <c r="H379" s="2">
        <v>46179</v>
      </c>
      <c r="I379" s="2">
        <v>46179</v>
      </c>
      <c r="J379" t="s">
        <v>20</v>
      </c>
      <c r="K379">
        <v>-66.260000000000005</v>
      </c>
      <c r="L379">
        <v>-66.260000000000005</v>
      </c>
      <c r="M379">
        <v>-66.260000000000005</v>
      </c>
      <c r="N379" t="s">
        <v>158</v>
      </c>
      <c r="O379" s="3" t="s">
        <v>1482</v>
      </c>
      <c r="P379" s="3" t="s">
        <v>1482</v>
      </c>
      <c r="Q379" s="3" t="s">
        <v>1482</v>
      </c>
      <c r="R379" s="3" t="s">
        <v>1482</v>
      </c>
      <c r="S379" s="3" t="s">
        <v>1482</v>
      </c>
      <c r="T379" s="3" t="s">
        <v>1482</v>
      </c>
    </row>
    <row r="380" spans="1:20">
      <c r="A380" t="s">
        <v>623</v>
      </c>
      <c r="B380" t="s">
        <v>20</v>
      </c>
      <c r="C380" t="s">
        <v>21</v>
      </c>
      <c r="D380" t="s">
        <v>624</v>
      </c>
      <c r="E380" s="2">
        <v>46179</v>
      </c>
      <c r="F380" s="2">
        <v>46179</v>
      </c>
      <c r="G380" t="s">
        <v>20</v>
      </c>
      <c r="H380" s="2">
        <v>46179</v>
      </c>
      <c r="I380" s="2">
        <v>46179</v>
      </c>
      <c r="J380" t="s">
        <v>20</v>
      </c>
      <c r="K380">
        <v>-33.130000000000003</v>
      </c>
      <c r="L380">
        <v>-33.130000000000003</v>
      </c>
      <c r="M380">
        <v>-33.130000000000003</v>
      </c>
      <c r="N380" t="s">
        <v>158</v>
      </c>
      <c r="O380" s="3" t="s">
        <v>1482</v>
      </c>
      <c r="P380" s="3" t="s">
        <v>1482</v>
      </c>
      <c r="Q380" s="3" t="s">
        <v>1482</v>
      </c>
      <c r="R380" s="3" t="s">
        <v>1482</v>
      </c>
      <c r="S380" s="3" t="s">
        <v>1482</v>
      </c>
      <c r="T380" s="3" t="s">
        <v>1482</v>
      </c>
    </row>
    <row r="381" spans="1:20">
      <c r="A381" t="s">
        <v>625</v>
      </c>
      <c r="B381" t="s">
        <v>20</v>
      </c>
      <c r="C381" t="s">
        <v>21</v>
      </c>
      <c r="D381" t="s">
        <v>626</v>
      </c>
      <c r="E381" s="2">
        <v>46179</v>
      </c>
      <c r="F381" s="2">
        <v>46179</v>
      </c>
      <c r="G381" t="s">
        <v>20</v>
      </c>
      <c r="H381" s="2">
        <v>46179</v>
      </c>
      <c r="I381" s="2">
        <v>46179</v>
      </c>
      <c r="J381" t="s">
        <v>20</v>
      </c>
      <c r="K381">
        <v>-131.29</v>
      </c>
      <c r="L381">
        <v>-131.29</v>
      </c>
      <c r="M381">
        <v>-131.29</v>
      </c>
      <c r="N381" t="s">
        <v>158</v>
      </c>
      <c r="O381" s="3" t="s">
        <v>1482</v>
      </c>
      <c r="P381" s="3" t="s">
        <v>1482</v>
      </c>
      <c r="Q381" s="3" t="s">
        <v>1482</v>
      </c>
      <c r="R381" s="3" t="s">
        <v>1482</v>
      </c>
      <c r="S381" s="3" t="s">
        <v>1482</v>
      </c>
      <c r="T381" s="3" t="s">
        <v>1482</v>
      </c>
    </row>
    <row r="382" spans="1:20">
      <c r="A382" t="s">
        <v>627</v>
      </c>
      <c r="B382" t="s">
        <v>20</v>
      </c>
      <c r="C382" t="s">
        <v>21</v>
      </c>
      <c r="D382" t="s">
        <v>628</v>
      </c>
      <c r="E382" s="2">
        <v>46179</v>
      </c>
      <c r="F382" s="2">
        <v>46179</v>
      </c>
      <c r="G382" t="s">
        <v>20</v>
      </c>
      <c r="H382" s="2">
        <v>46179</v>
      </c>
      <c r="I382" s="2">
        <v>46179</v>
      </c>
      <c r="J382" t="s">
        <v>20</v>
      </c>
      <c r="K382">
        <v>-33.130000000000003</v>
      </c>
      <c r="L382">
        <v>-33.130000000000003</v>
      </c>
      <c r="M382">
        <v>-33.130000000000003</v>
      </c>
      <c r="N382" t="s">
        <v>158</v>
      </c>
      <c r="O382" s="3" t="s">
        <v>1482</v>
      </c>
      <c r="P382" s="3" t="s">
        <v>1482</v>
      </c>
      <c r="Q382" s="3" t="s">
        <v>1482</v>
      </c>
      <c r="R382" s="3" t="s">
        <v>1482</v>
      </c>
      <c r="S382" s="3" t="s">
        <v>1482</v>
      </c>
      <c r="T382" s="3" t="s">
        <v>1482</v>
      </c>
    </row>
    <row r="383" spans="1:20">
      <c r="A383" t="s">
        <v>629</v>
      </c>
      <c r="B383" t="s">
        <v>20</v>
      </c>
      <c r="C383" t="s">
        <v>21</v>
      </c>
      <c r="D383" t="s">
        <v>630</v>
      </c>
      <c r="E383" s="2">
        <v>46179</v>
      </c>
      <c r="F383" s="2">
        <v>46179</v>
      </c>
      <c r="G383" t="s">
        <v>20</v>
      </c>
      <c r="H383" s="2">
        <v>46179</v>
      </c>
      <c r="I383" s="2">
        <v>46179</v>
      </c>
      <c r="J383" t="s">
        <v>20</v>
      </c>
      <c r="K383">
        <v>-99.39</v>
      </c>
      <c r="L383">
        <v>-99.39</v>
      </c>
      <c r="M383">
        <v>-99.39</v>
      </c>
      <c r="N383" t="s">
        <v>158</v>
      </c>
      <c r="O383" s="3" t="s">
        <v>1482</v>
      </c>
      <c r="P383" s="3" t="s">
        <v>1482</v>
      </c>
      <c r="Q383" s="3" t="s">
        <v>1482</v>
      </c>
      <c r="R383" s="3" t="s">
        <v>1482</v>
      </c>
      <c r="S383" s="3" t="s">
        <v>1482</v>
      </c>
      <c r="T383" s="3" t="s">
        <v>1482</v>
      </c>
    </row>
    <row r="384" spans="1:20">
      <c r="A384" t="s">
        <v>631</v>
      </c>
      <c r="B384" t="s">
        <v>20</v>
      </c>
      <c r="C384" t="s">
        <v>21</v>
      </c>
      <c r="D384" t="s">
        <v>632</v>
      </c>
      <c r="E384" s="2">
        <v>46179</v>
      </c>
      <c r="F384" s="2">
        <v>46179</v>
      </c>
      <c r="G384" t="s">
        <v>20</v>
      </c>
      <c r="H384" s="2">
        <v>46179</v>
      </c>
      <c r="I384" s="2">
        <v>46179</v>
      </c>
      <c r="J384" t="s">
        <v>20</v>
      </c>
      <c r="K384">
        <v>-23.97</v>
      </c>
      <c r="L384">
        <v>-23.97</v>
      </c>
      <c r="M384">
        <v>-23.97</v>
      </c>
      <c r="N384" t="s">
        <v>158</v>
      </c>
      <c r="O384" s="3" t="s">
        <v>1482</v>
      </c>
      <c r="P384" s="3" t="s">
        <v>1482</v>
      </c>
      <c r="Q384" s="3" t="s">
        <v>1482</v>
      </c>
      <c r="R384" s="3" t="s">
        <v>1482</v>
      </c>
      <c r="S384" s="3" t="s">
        <v>1482</v>
      </c>
      <c r="T384" s="3" t="s">
        <v>1482</v>
      </c>
    </row>
    <row r="385" spans="1:20">
      <c r="A385" t="s">
        <v>633</v>
      </c>
      <c r="B385" t="s">
        <v>20</v>
      </c>
      <c r="C385" t="s">
        <v>21</v>
      </c>
      <c r="D385" t="s">
        <v>634</v>
      </c>
      <c r="E385" s="2">
        <v>46179</v>
      </c>
      <c r="F385" s="2">
        <v>46179</v>
      </c>
      <c r="G385" t="s">
        <v>20</v>
      </c>
      <c r="H385" s="2">
        <v>46179</v>
      </c>
      <c r="I385" s="2">
        <v>46179</v>
      </c>
      <c r="J385" t="s">
        <v>20</v>
      </c>
      <c r="K385">
        <v>-99.39</v>
      </c>
      <c r="L385">
        <v>-99.39</v>
      </c>
      <c r="M385">
        <v>-99.39</v>
      </c>
      <c r="N385" t="s">
        <v>158</v>
      </c>
      <c r="O385" s="3" t="s">
        <v>1482</v>
      </c>
      <c r="P385" s="3" t="s">
        <v>1482</v>
      </c>
      <c r="Q385" s="3" t="s">
        <v>1482</v>
      </c>
      <c r="R385" s="3" t="s">
        <v>1482</v>
      </c>
      <c r="S385" s="3" t="s">
        <v>1482</v>
      </c>
      <c r="T385" s="3" t="s">
        <v>1482</v>
      </c>
    </row>
    <row r="386" spans="1:20">
      <c r="A386" t="s">
        <v>635</v>
      </c>
      <c r="B386" t="s">
        <v>20</v>
      </c>
      <c r="C386" t="s">
        <v>21</v>
      </c>
      <c r="D386" t="s">
        <v>636</v>
      </c>
      <c r="E386" s="2">
        <v>46179</v>
      </c>
      <c r="F386" s="2">
        <v>46179</v>
      </c>
      <c r="G386" t="s">
        <v>20</v>
      </c>
      <c r="H386" s="2">
        <v>46179</v>
      </c>
      <c r="I386" s="2">
        <v>46179</v>
      </c>
      <c r="J386" t="s">
        <v>20</v>
      </c>
      <c r="K386">
        <v>-66.260000000000005</v>
      </c>
      <c r="L386">
        <v>-66.260000000000005</v>
      </c>
      <c r="M386">
        <v>-66.260000000000005</v>
      </c>
      <c r="N386" t="s">
        <v>158</v>
      </c>
      <c r="O386" s="3" t="s">
        <v>1482</v>
      </c>
      <c r="P386" s="3" t="s">
        <v>1482</v>
      </c>
      <c r="Q386" s="3" t="s">
        <v>1482</v>
      </c>
      <c r="R386" s="3" t="s">
        <v>1482</v>
      </c>
      <c r="S386" s="3" t="s">
        <v>1482</v>
      </c>
      <c r="T386" s="3" t="s">
        <v>1482</v>
      </c>
    </row>
    <row r="387" spans="1:20">
      <c r="A387" t="s">
        <v>637</v>
      </c>
      <c r="B387" t="s">
        <v>20</v>
      </c>
      <c r="C387" t="s">
        <v>21</v>
      </c>
      <c r="D387" t="s">
        <v>638</v>
      </c>
      <c r="E387" s="2">
        <v>46179</v>
      </c>
      <c r="F387" s="2">
        <v>46179</v>
      </c>
      <c r="G387" t="s">
        <v>20</v>
      </c>
      <c r="H387" s="2">
        <v>46179</v>
      </c>
      <c r="I387" s="2">
        <v>46179</v>
      </c>
      <c r="J387" t="s">
        <v>20</v>
      </c>
      <c r="K387">
        <v>-132.52000000000001</v>
      </c>
      <c r="L387">
        <v>-132.52000000000001</v>
      </c>
      <c r="M387">
        <v>-132.52000000000001</v>
      </c>
      <c r="N387" t="s">
        <v>158</v>
      </c>
      <c r="O387" s="3" t="s">
        <v>1482</v>
      </c>
      <c r="P387" s="3" t="s">
        <v>1482</v>
      </c>
      <c r="Q387" s="3" t="s">
        <v>1482</v>
      </c>
      <c r="R387" s="3" t="s">
        <v>1482</v>
      </c>
      <c r="S387" s="3" t="s">
        <v>1482</v>
      </c>
      <c r="T387" s="3" t="s">
        <v>1482</v>
      </c>
    </row>
    <row r="388" spans="1:20">
      <c r="A388" t="s">
        <v>639</v>
      </c>
      <c r="B388" t="s">
        <v>20</v>
      </c>
      <c r="C388" t="s">
        <v>21</v>
      </c>
      <c r="D388" t="s">
        <v>640</v>
      </c>
      <c r="E388" s="2">
        <v>46179</v>
      </c>
      <c r="F388" s="2">
        <v>46179</v>
      </c>
      <c r="G388" t="s">
        <v>20</v>
      </c>
      <c r="H388" s="2">
        <v>46179</v>
      </c>
      <c r="I388" s="2">
        <v>46179</v>
      </c>
      <c r="J388" t="s">
        <v>20</v>
      </c>
      <c r="K388">
        <v>-99.39</v>
      </c>
      <c r="L388">
        <v>-99.39</v>
      </c>
      <c r="M388">
        <v>-99.39</v>
      </c>
      <c r="N388" t="s">
        <v>158</v>
      </c>
      <c r="O388" s="3" t="s">
        <v>1482</v>
      </c>
      <c r="P388" s="3" t="s">
        <v>1482</v>
      </c>
      <c r="Q388" s="3" t="s">
        <v>1482</v>
      </c>
      <c r="R388" s="3" t="s">
        <v>1482</v>
      </c>
      <c r="S388" s="3" t="s">
        <v>1482</v>
      </c>
      <c r="T388" s="3" t="s">
        <v>1482</v>
      </c>
    </row>
    <row r="389" spans="1:20">
      <c r="A389" t="s">
        <v>641</v>
      </c>
      <c r="B389" t="s">
        <v>20</v>
      </c>
      <c r="C389" t="s">
        <v>21</v>
      </c>
      <c r="D389" t="s">
        <v>642</v>
      </c>
      <c r="E389" s="2">
        <v>46179</v>
      </c>
      <c r="F389" s="2">
        <v>46179</v>
      </c>
      <c r="G389" t="s">
        <v>20</v>
      </c>
      <c r="H389" s="2">
        <v>46179</v>
      </c>
      <c r="I389" s="2">
        <v>46179</v>
      </c>
      <c r="J389" t="s">
        <v>20</v>
      </c>
      <c r="K389">
        <v>-33.130000000000003</v>
      </c>
      <c r="L389">
        <v>-33.130000000000003</v>
      </c>
      <c r="M389">
        <v>-33.130000000000003</v>
      </c>
      <c r="N389" t="s">
        <v>158</v>
      </c>
      <c r="O389" s="3" t="s">
        <v>1482</v>
      </c>
      <c r="P389" s="3" t="s">
        <v>1482</v>
      </c>
      <c r="Q389" s="3" t="s">
        <v>1482</v>
      </c>
      <c r="R389" s="3" t="s">
        <v>1482</v>
      </c>
      <c r="S389" s="3" t="s">
        <v>1482</v>
      </c>
      <c r="T389" s="3" t="s">
        <v>1482</v>
      </c>
    </row>
    <row r="390" spans="1:20">
      <c r="A390" t="s">
        <v>643</v>
      </c>
      <c r="B390" t="s">
        <v>20</v>
      </c>
      <c r="C390" t="s">
        <v>21</v>
      </c>
      <c r="D390" t="s">
        <v>644</v>
      </c>
      <c r="E390" s="2">
        <v>46179</v>
      </c>
      <c r="F390" s="2">
        <v>46179</v>
      </c>
      <c r="G390" t="s">
        <v>20</v>
      </c>
      <c r="H390" s="2">
        <v>46179</v>
      </c>
      <c r="I390" s="2">
        <v>46179</v>
      </c>
      <c r="J390" t="s">
        <v>20</v>
      </c>
      <c r="K390">
        <v>-131.29</v>
      </c>
      <c r="L390">
        <v>-131.29</v>
      </c>
      <c r="M390">
        <v>-131.29</v>
      </c>
      <c r="N390" t="s">
        <v>158</v>
      </c>
      <c r="O390" s="3" t="s">
        <v>1482</v>
      </c>
      <c r="P390" s="3" t="s">
        <v>1482</v>
      </c>
      <c r="Q390" s="3" t="s">
        <v>1482</v>
      </c>
      <c r="R390" s="3" t="s">
        <v>1482</v>
      </c>
      <c r="S390" s="3" t="s">
        <v>1482</v>
      </c>
      <c r="T390" s="3" t="s">
        <v>1482</v>
      </c>
    </row>
    <row r="391" spans="1:20">
      <c r="A391" t="s">
        <v>645</v>
      </c>
      <c r="B391" t="s">
        <v>20</v>
      </c>
      <c r="C391" t="s">
        <v>21</v>
      </c>
      <c r="D391" t="s">
        <v>646</v>
      </c>
      <c r="E391" s="2">
        <v>46179</v>
      </c>
      <c r="F391" s="2">
        <v>46179</v>
      </c>
      <c r="G391" t="s">
        <v>20</v>
      </c>
      <c r="H391" s="2">
        <v>46179</v>
      </c>
      <c r="I391" s="2">
        <v>46179</v>
      </c>
      <c r="J391" t="s">
        <v>20</v>
      </c>
      <c r="K391">
        <v>-165.65</v>
      </c>
      <c r="L391">
        <v>-165.65</v>
      </c>
      <c r="M391">
        <v>-165.65</v>
      </c>
      <c r="N391" t="s">
        <v>158</v>
      </c>
      <c r="O391" s="3" t="s">
        <v>1482</v>
      </c>
      <c r="P391" s="3" t="s">
        <v>1482</v>
      </c>
      <c r="Q391" s="3" t="s">
        <v>1482</v>
      </c>
      <c r="R391" s="3" t="s">
        <v>1482</v>
      </c>
      <c r="S391" s="3" t="s">
        <v>1482</v>
      </c>
      <c r="T391" s="3" t="s">
        <v>1482</v>
      </c>
    </row>
    <row r="392" spans="1:20">
      <c r="A392" t="s">
        <v>647</v>
      </c>
      <c r="B392" t="s">
        <v>20</v>
      </c>
      <c r="C392" t="s">
        <v>21</v>
      </c>
      <c r="D392" t="s">
        <v>648</v>
      </c>
      <c r="E392" s="2">
        <v>46179</v>
      </c>
      <c r="F392" s="2">
        <v>46179</v>
      </c>
      <c r="G392" t="s">
        <v>20</v>
      </c>
      <c r="H392" s="2">
        <v>46179</v>
      </c>
      <c r="I392" s="2">
        <v>46179</v>
      </c>
      <c r="J392" t="s">
        <v>20</v>
      </c>
      <c r="K392">
        <v>-36.32</v>
      </c>
      <c r="L392">
        <v>-36.32</v>
      </c>
      <c r="M392">
        <v>-36.32</v>
      </c>
      <c r="N392" t="s">
        <v>158</v>
      </c>
      <c r="O392" s="3" t="s">
        <v>1482</v>
      </c>
      <c r="P392" s="3" t="s">
        <v>1482</v>
      </c>
      <c r="Q392" s="3" t="s">
        <v>1482</v>
      </c>
      <c r="R392" s="3" t="s">
        <v>1482</v>
      </c>
      <c r="S392" s="3" t="s">
        <v>1482</v>
      </c>
      <c r="T392" s="3" t="s">
        <v>1482</v>
      </c>
    </row>
    <row r="393" spans="1:20">
      <c r="A393" t="s">
        <v>649</v>
      </c>
      <c r="B393" t="s">
        <v>20</v>
      </c>
      <c r="C393" t="s">
        <v>21</v>
      </c>
      <c r="D393" t="s">
        <v>650</v>
      </c>
      <c r="E393" s="2">
        <v>46179</v>
      </c>
      <c r="F393" s="2">
        <v>46179</v>
      </c>
      <c r="G393" t="s">
        <v>20</v>
      </c>
      <c r="H393" s="2">
        <v>46179</v>
      </c>
      <c r="I393" s="2">
        <v>46179</v>
      </c>
      <c r="J393" t="s">
        <v>20</v>
      </c>
      <c r="K393">
        <v>-38.659999999999997</v>
      </c>
      <c r="L393">
        <v>-38.659999999999997</v>
      </c>
      <c r="M393">
        <v>-38.659999999999997</v>
      </c>
      <c r="N393" t="s">
        <v>158</v>
      </c>
      <c r="O393" s="3" t="s">
        <v>1482</v>
      </c>
      <c r="P393" s="3" t="s">
        <v>1482</v>
      </c>
      <c r="Q393" s="3" t="s">
        <v>1482</v>
      </c>
      <c r="R393" s="3" t="s">
        <v>1482</v>
      </c>
      <c r="S393" s="3" t="s">
        <v>1482</v>
      </c>
      <c r="T393" s="3" t="s">
        <v>1482</v>
      </c>
    </row>
    <row r="394" spans="1:20">
      <c r="A394" t="s">
        <v>651</v>
      </c>
      <c r="B394" t="s">
        <v>20</v>
      </c>
      <c r="C394" t="s">
        <v>21</v>
      </c>
      <c r="D394" t="s">
        <v>652</v>
      </c>
      <c r="E394" s="2">
        <v>46179</v>
      </c>
      <c r="F394" s="2">
        <v>46179</v>
      </c>
      <c r="G394" t="s">
        <v>20</v>
      </c>
      <c r="H394" s="2">
        <v>46179</v>
      </c>
      <c r="I394" s="2">
        <v>46179</v>
      </c>
      <c r="J394" t="s">
        <v>20</v>
      </c>
      <c r="K394">
        <v>-73.86</v>
      </c>
      <c r="L394">
        <v>-73.86</v>
      </c>
      <c r="M394">
        <v>-73.86</v>
      </c>
      <c r="N394" t="s">
        <v>158</v>
      </c>
      <c r="O394" s="3" t="s">
        <v>1482</v>
      </c>
      <c r="P394" s="3" t="s">
        <v>1482</v>
      </c>
      <c r="Q394" s="3" t="s">
        <v>1482</v>
      </c>
      <c r="R394" s="3" t="s">
        <v>1482</v>
      </c>
      <c r="S394" s="3" t="s">
        <v>1482</v>
      </c>
      <c r="T394" s="3" t="s">
        <v>1482</v>
      </c>
    </row>
    <row r="395" spans="1:20">
      <c r="A395" t="s">
        <v>653</v>
      </c>
      <c r="B395" t="s">
        <v>20</v>
      </c>
      <c r="C395" t="s">
        <v>21</v>
      </c>
      <c r="D395" t="s">
        <v>654</v>
      </c>
      <c r="E395" s="2">
        <v>46179</v>
      </c>
      <c r="F395" s="2">
        <v>46179</v>
      </c>
      <c r="G395" t="s">
        <v>20</v>
      </c>
      <c r="H395" s="2">
        <v>46179</v>
      </c>
      <c r="I395" s="2">
        <v>46179</v>
      </c>
      <c r="J395" t="s">
        <v>20</v>
      </c>
      <c r="K395">
        <v>-99.39</v>
      </c>
      <c r="L395">
        <v>-99.39</v>
      </c>
      <c r="M395">
        <v>-99.39</v>
      </c>
      <c r="N395" t="s">
        <v>158</v>
      </c>
      <c r="O395" s="3" t="s">
        <v>1482</v>
      </c>
      <c r="P395" s="3" t="s">
        <v>1482</v>
      </c>
      <c r="Q395" s="3" t="s">
        <v>1482</v>
      </c>
      <c r="R395" s="3" t="s">
        <v>1482</v>
      </c>
      <c r="S395" s="3" t="s">
        <v>1482</v>
      </c>
      <c r="T395" s="3" t="s">
        <v>1482</v>
      </c>
    </row>
    <row r="396" spans="1:20">
      <c r="A396" t="s">
        <v>655</v>
      </c>
      <c r="B396" t="s">
        <v>20</v>
      </c>
      <c r="C396" t="s">
        <v>21</v>
      </c>
      <c r="D396" t="s">
        <v>656</v>
      </c>
      <c r="E396" s="2">
        <v>46179</v>
      </c>
      <c r="F396" s="2">
        <v>46179</v>
      </c>
      <c r="G396" t="s">
        <v>20</v>
      </c>
      <c r="H396" s="2">
        <v>46179</v>
      </c>
      <c r="I396" s="2">
        <v>46179</v>
      </c>
      <c r="J396" t="s">
        <v>20</v>
      </c>
      <c r="K396">
        <v>-29.82</v>
      </c>
      <c r="L396">
        <v>-29.82</v>
      </c>
      <c r="M396">
        <v>-29.82</v>
      </c>
      <c r="N396" t="s">
        <v>158</v>
      </c>
      <c r="O396" s="3" t="s">
        <v>1482</v>
      </c>
      <c r="P396" s="3" t="s">
        <v>1482</v>
      </c>
      <c r="Q396" s="3" t="s">
        <v>1482</v>
      </c>
      <c r="R396" s="3" t="s">
        <v>1482</v>
      </c>
      <c r="S396" s="3" t="s">
        <v>1482</v>
      </c>
      <c r="T396" s="3" t="s">
        <v>1482</v>
      </c>
    </row>
    <row r="397" spans="1:20">
      <c r="A397" t="s">
        <v>657</v>
      </c>
      <c r="B397" t="s">
        <v>20</v>
      </c>
      <c r="C397" t="s">
        <v>21</v>
      </c>
      <c r="D397" t="s">
        <v>658</v>
      </c>
      <c r="E397" s="2">
        <v>46179</v>
      </c>
      <c r="F397" s="2">
        <v>46179</v>
      </c>
      <c r="G397" t="s">
        <v>20</v>
      </c>
      <c r="H397" s="2">
        <v>46179</v>
      </c>
      <c r="I397" s="2">
        <v>46179</v>
      </c>
      <c r="J397" t="s">
        <v>20</v>
      </c>
      <c r="K397">
        <v>-33.130000000000003</v>
      </c>
      <c r="L397">
        <v>-33.130000000000003</v>
      </c>
      <c r="M397">
        <v>-33.130000000000003</v>
      </c>
      <c r="N397" t="s">
        <v>158</v>
      </c>
      <c r="O397" s="3" t="s">
        <v>1482</v>
      </c>
      <c r="P397" s="3" t="s">
        <v>1482</v>
      </c>
      <c r="Q397" s="3" t="s">
        <v>1482</v>
      </c>
      <c r="R397" s="3" t="s">
        <v>1482</v>
      </c>
      <c r="S397" s="3" t="s">
        <v>1482</v>
      </c>
      <c r="T397" s="3" t="s">
        <v>1482</v>
      </c>
    </row>
    <row r="398" spans="1:20">
      <c r="A398" t="s">
        <v>659</v>
      </c>
      <c r="B398" t="s">
        <v>20</v>
      </c>
      <c r="C398" t="s">
        <v>21</v>
      </c>
      <c r="D398" t="s">
        <v>660</v>
      </c>
      <c r="E398" s="2">
        <v>46179</v>
      </c>
      <c r="F398" s="2">
        <v>46179</v>
      </c>
      <c r="G398" t="s">
        <v>20</v>
      </c>
      <c r="H398" s="2">
        <v>46179</v>
      </c>
      <c r="I398" s="2">
        <v>46179</v>
      </c>
      <c r="J398" t="s">
        <v>20</v>
      </c>
      <c r="K398">
        <v>-66.260000000000005</v>
      </c>
      <c r="L398">
        <v>-66.260000000000005</v>
      </c>
      <c r="M398">
        <v>-66.260000000000005</v>
      </c>
      <c r="N398" t="s">
        <v>158</v>
      </c>
      <c r="O398" s="3" t="s">
        <v>1482</v>
      </c>
      <c r="P398" s="3" t="s">
        <v>1482</v>
      </c>
      <c r="Q398" s="3" t="s">
        <v>1482</v>
      </c>
      <c r="R398" s="3" t="s">
        <v>1482</v>
      </c>
      <c r="S398" s="3" t="s">
        <v>1482</v>
      </c>
      <c r="T398" s="3" t="s">
        <v>1482</v>
      </c>
    </row>
    <row r="399" spans="1:20">
      <c r="A399" t="s">
        <v>661</v>
      </c>
      <c r="B399" t="s">
        <v>20</v>
      </c>
      <c r="C399" t="s">
        <v>21</v>
      </c>
      <c r="D399" t="s">
        <v>662</v>
      </c>
      <c r="E399" s="2">
        <v>46179</v>
      </c>
      <c r="F399" s="2">
        <v>46179</v>
      </c>
      <c r="G399" t="s">
        <v>20</v>
      </c>
      <c r="H399" s="2">
        <v>46179</v>
      </c>
      <c r="I399" s="2">
        <v>46179</v>
      </c>
      <c r="J399" t="s">
        <v>20</v>
      </c>
      <c r="K399">
        <v>-33.130000000000003</v>
      </c>
      <c r="L399">
        <v>-33.130000000000003</v>
      </c>
      <c r="M399">
        <v>-33.130000000000003</v>
      </c>
      <c r="N399" t="s">
        <v>158</v>
      </c>
      <c r="O399" s="3" t="s">
        <v>1482</v>
      </c>
      <c r="P399" s="3" t="s">
        <v>1482</v>
      </c>
      <c r="Q399" s="3" t="s">
        <v>1482</v>
      </c>
      <c r="R399" s="3" t="s">
        <v>1482</v>
      </c>
      <c r="S399" s="3" t="s">
        <v>1482</v>
      </c>
      <c r="T399" s="3" t="s">
        <v>1482</v>
      </c>
    </row>
    <row r="400" spans="1:20">
      <c r="A400" t="s">
        <v>663</v>
      </c>
      <c r="B400" t="s">
        <v>20</v>
      </c>
      <c r="C400" t="s">
        <v>21</v>
      </c>
      <c r="D400" t="s">
        <v>664</v>
      </c>
      <c r="E400" s="2">
        <v>46179</v>
      </c>
      <c r="F400" s="2">
        <v>46179</v>
      </c>
      <c r="G400" t="s">
        <v>20</v>
      </c>
      <c r="H400" s="2">
        <v>46179</v>
      </c>
      <c r="I400" s="2">
        <v>46179</v>
      </c>
      <c r="J400" t="s">
        <v>20</v>
      </c>
      <c r="K400">
        <v>-165.65</v>
      </c>
      <c r="L400">
        <v>-165.65</v>
      </c>
      <c r="M400">
        <v>-165.65</v>
      </c>
      <c r="N400" t="s">
        <v>158</v>
      </c>
      <c r="O400" s="3" t="s">
        <v>1482</v>
      </c>
      <c r="P400" s="3" t="s">
        <v>1482</v>
      </c>
      <c r="Q400" s="3" t="s">
        <v>1482</v>
      </c>
      <c r="R400" s="3" t="s">
        <v>1482</v>
      </c>
      <c r="S400" s="3" t="s">
        <v>1482</v>
      </c>
      <c r="T400" s="3" t="s">
        <v>1482</v>
      </c>
    </row>
    <row r="401" spans="1:20">
      <c r="A401" t="s">
        <v>665</v>
      </c>
      <c r="B401" t="s">
        <v>20</v>
      </c>
      <c r="C401" t="s">
        <v>21</v>
      </c>
      <c r="D401" t="s">
        <v>666</v>
      </c>
      <c r="E401" s="2">
        <v>46179</v>
      </c>
      <c r="F401" s="2">
        <v>46179</v>
      </c>
      <c r="G401" t="s">
        <v>20</v>
      </c>
      <c r="H401" s="2">
        <v>46179</v>
      </c>
      <c r="I401" s="2">
        <v>46179</v>
      </c>
      <c r="J401" t="s">
        <v>20</v>
      </c>
      <c r="K401">
        <v>-132.52000000000001</v>
      </c>
      <c r="L401">
        <v>-132.52000000000001</v>
      </c>
      <c r="M401">
        <v>-132.52000000000001</v>
      </c>
      <c r="N401" t="s">
        <v>158</v>
      </c>
      <c r="O401" s="3" t="s">
        <v>1482</v>
      </c>
      <c r="P401" s="3" t="s">
        <v>1482</v>
      </c>
      <c r="Q401" s="3" t="s">
        <v>1482</v>
      </c>
      <c r="R401" s="3" t="s">
        <v>1482</v>
      </c>
      <c r="S401" s="3" t="s">
        <v>1482</v>
      </c>
      <c r="T401" s="3" t="s">
        <v>1482</v>
      </c>
    </row>
    <row r="402" spans="1:20">
      <c r="A402" t="s">
        <v>667</v>
      </c>
      <c r="B402" t="s">
        <v>20</v>
      </c>
      <c r="C402" t="s">
        <v>21</v>
      </c>
      <c r="D402" t="s">
        <v>668</v>
      </c>
      <c r="E402" s="2">
        <v>46179</v>
      </c>
      <c r="F402" s="2">
        <v>46179</v>
      </c>
      <c r="G402" t="s">
        <v>20</v>
      </c>
      <c r="H402" s="2">
        <v>46179</v>
      </c>
      <c r="I402" s="2">
        <v>46179</v>
      </c>
      <c r="J402" t="s">
        <v>20</v>
      </c>
      <c r="K402">
        <v>-78.78</v>
      </c>
      <c r="L402">
        <v>-78.78</v>
      </c>
      <c r="M402">
        <v>-78.78</v>
      </c>
      <c r="N402" t="s">
        <v>158</v>
      </c>
      <c r="O402" s="3" t="s">
        <v>1482</v>
      </c>
      <c r="P402" s="3" t="s">
        <v>1482</v>
      </c>
      <c r="Q402" s="3" t="s">
        <v>1482</v>
      </c>
      <c r="R402" s="3" t="s">
        <v>1482</v>
      </c>
      <c r="S402" s="3" t="s">
        <v>1482</v>
      </c>
      <c r="T402" s="3" t="s">
        <v>1482</v>
      </c>
    </row>
    <row r="403" spans="1:20">
      <c r="A403" t="s">
        <v>669</v>
      </c>
      <c r="B403" t="s">
        <v>20</v>
      </c>
      <c r="C403" t="s">
        <v>21</v>
      </c>
      <c r="D403" t="s">
        <v>670</v>
      </c>
      <c r="E403" s="2">
        <v>46179</v>
      </c>
      <c r="F403" s="2">
        <v>46179</v>
      </c>
      <c r="G403" t="s">
        <v>20</v>
      </c>
      <c r="H403" s="2">
        <v>46179</v>
      </c>
      <c r="I403" s="2">
        <v>46179</v>
      </c>
      <c r="J403" t="s">
        <v>20</v>
      </c>
      <c r="K403">
        <v>-165.65</v>
      </c>
      <c r="L403">
        <v>-165.65</v>
      </c>
      <c r="M403">
        <v>-165.65</v>
      </c>
      <c r="N403" t="s">
        <v>158</v>
      </c>
      <c r="O403" s="3" t="s">
        <v>1482</v>
      </c>
      <c r="P403" s="3" t="s">
        <v>1482</v>
      </c>
      <c r="Q403" s="3" t="s">
        <v>1482</v>
      </c>
      <c r="R403" s="3" t="s">
        <v>1482</v>
      </c>
      <c r="S403" s="3" t="s">
        <v>1482</v>
      </c>
      <c r="T403" s="3" t="s">
        <v>1482</v>
      </c>
    </row>
    <row r="404" spans="1:20">
      <c r="A404" t="s">
        <v>671</v>
      </c>
      <c r="B404" t="s">
        <v>20</v>
      </c>
      <c r="C404" t="s">
        <v>21</v>
      </c>
      <c r="D404" t="s">
        <v>672</v>
      </c>
      <c r="E404" s="2">
        <v>46179</v>
      </c>
      <c r="F404" s="2">
        <v>46179</v>
      </c>
      <c r="G404" t="s">
        <v>20</v>
      </c>
      <c r="H404" s="2">
        <v>46179</v>
      </c>
      <c r="I404" s="2">
        <v>46179</v>
      </c>
      <c r="J404" t="s">
        <v>20</v>
      </c>
      <c r="K404">
        <v>-33.130000000000003</v>
      </c>
      <c r="L404">
        <v>-33.130000000000003</v>
      </c>
      <c r="M404">
        <v>-33.130000000000003</v>
      </c>
      <c r="N404" t="s">
        <v>158</v>
      </c>
      <c r="O404" s="3" t="s">
        <v>1482</v>
      </c>
      <c r="P404" s="3" t="s">
        <v>1482</v>
      </c>
      <c r="Q404" s="3" t="s">
        <v>1482</v>
      </c>
      <c r="R404" s="3" t="s">
        <v>1482</v>
      </c>
      <c r="S404" s="3" t="s">
        <v>1482</v>
      </c>
      <c r="T404" s="3" t="s">
        <v>1482</v>
      </c>
    </row>
    <row r="405" spans="1:20">
      <c r="A405" t="s">
        <v>673</v>
      </c>
      <c r="B405" t="s">
        <v>20</v>
      </c>
      <c r="C405" t="s">
        <v>21</v>
      </c>
      <c r="D405" t="s">
        <v>674</v>
      </c>
      <c r="E405" s="2">
        <v>46179</v>
      </c>
      <c r="F405" s="2">
        <v>46179</v>
      </c>
      <c r="G405" t="s">
        <v>20</v>
      </c>
      <c r="H405" s="2">
        <v>46179</v>
      </c>
      <c r="I405" s="2">
        <v>46179</v>
      </c>
      <c r="J405" t="s">
        <v>20</v>
      </c>
      <c r="K405">
        <v>-13.29</v>
      </c>
      <c r="L405">
        <v>-13.29</v>
      </c>
      <c r="M405">
        <v>-13.29</v>
      </c>
      <c r="N405" t="s">
        <v>158</v>
      </c>
      <c r="O405" s="3" t="s">
        <v>1482</v>
      </c>
      <c r="P405" s="3" t="s">
        <v>1482</v>
      </c>
      <c r="Q405" s="3" t="s">
        <v>1482</v>
      </c>
      <c r="R405" s="3" t="s">
        <v>1482</v>
      </c>
      <c r="S405" s="3" t="s">
        <v>1482</v>
      </c>
      <c r="T405" s="3" t="s">
        <v>1482</v>
      </c>
    </row>
    <row r="406" spans="1:20">
      <c r="A406" t="s">
        <v>675</v>
      </c>
      <c r="B406" t="s">
        <v>20</v>
      </c>
      <c r="C406" t="s">
        <v>21</v>
      </c>
      <c r="D406" t="s">
        <v>676</v>
      </c>
      <c r="E406" s="2">
        <v>46179</v>
      </c>
      <c r="F406" s="2">
        <v>46179</v>
      </c>
      <c r="G406" t="s">
        <v>20</v>
      </c>
      <c r="H406" s="2">
        <v>46179</v>
      </c>
      <c r="I406" s="2">
        <v>46179</v>
      </c>
      <c r="J406" t="s">
        <v>20</v>
      </c>
      <c r="K406">
        <v>-73.86</v>
      </c>
      <c r="L406">
        <v>-73.86</v>
      </c>
      <c r="M406">
        <v>-73.86</v>
      </c>
      <c r="N406" t="s">
        <v>158</v>
      </c>
      <c r="O406" s="3" t="s">
        <v>1482</v>
      </c>
      <c r="P406" s="3" t="s">
        <v>1482</v>
      </c>
      <c r="Q406" s="3" t="s">
        <v>1482</v>
      </c>
      <c r="R406" s="3" t="s">
        <v>1482</v>
      </c>
      <c r="S406" s="3" t="s">
        <v>1482</v>
      </c>
      <c r="T406" s="3" t="s">
        <v>1482</v>
      </c>
    </row>
    <row r="407" spans="1:20">
      <c r="A407" t="s">
        <v>677</v>
      </c>
      <c r="B407" t="s">
        <v>20</v>
      </c>
      <c r="C407" t="s">
        <v>21</v>
      </c>
      <c r="D407" t="s">
        <v>678</v>
      </c>
      <c r="E407" s="2">
        <v>46179</v>
      </c>
      <c r="F407" s="2">
        <v>46179</v>
      </c>
      <c r="G407" t="s">
        <v>20</v>
      </c>
      <c r="H407" s="2">
        <v>46179</v>
      </c>
      <c r="I407" s="2">
        <v>46179</v>
      </c>
      <c r="J407" t="s">
        <v>20</v>
      </c>
      <c r="K407">
        <v>-52.52</v>
      </c>
      <c r="L407">
        <v>-52.52</v>
      </c>
      <c r="M407">
        <v>-52.52</v>
      </c>
      <c r="N407" t="s">
        <v>158</v>
      </c>
      <c r="O407" s="3" t="s">
        <v>1482</v>
      </c>
      <c r="P407" s="3" t="s">
        <v>1482</v>
      </c>
      <c r="Q407" s="3" t="s">
        <v>1482</v>
      </c>
      <c r="R407" s="3" t="s">
        <v>1482</v>
      </c>
      <c r="S407" s="3" t="s">
        <v>1482</v>
      </c>
      <c r="T407" s="3" t="s">
        <v>1482</v>
      </c>
    </row>
    <row r="408" spans="1:20">
      <c r="A408" t="s">
        <v>679</v>
      </c>
      <c r="B408" t="s">
        <v>20</v>
      </c>
      <c r="C408" t="s">
        <v>21</v>
      </c>
      <c r="D408" t="s">
        <v>680</v>
      </c>
      <c r="E408" s="2">
        <v>46179</v>
      </c>
      <c r="F408" s="2">
        <v>46179</v>
      </c>
      <c r="G408" t="s">
        <v>20</v>
      </c>
      <c r="H408" s="2">
        <v>46179</v>
      </c>
      <c r="I408" s="2">
        <v>46179</v>
      </c>
      <c r="J408" t="s">
        <v>20</v>
      </c>
      <c r="K408">
        <v>-66.260000000000005</v>
      </c>
      <c r="L408">
        <v>-66.260000000000005</v>
      </c>
      <c r="M408">
        <v>-66.260000000000005</v>
      </c>
      <c r="N408" t="s">
        <v>158</v>
      </c>
      <c r="O408" s="3" t="s">
        <v>1482</v>
      </c>
      <c r="P408" s="3" t="s">
        <v>1482</v>
      </c>
      <c r="Q408" s="3" t="s">
        <v>1482</v>
      </c>
      <c r="R408" s="3" t="s">
        <v>1482</v>
      </c>
      <c r="S408" s="3" t="s">
        <v>1482</v>
      </c>
      <c r="T408" s="3" t="s">
        <v>1482</v>
      </c>
    </row>
    <row r="409" spans="1:20">
      <c r="A409" t="s">
        <v>681</v>
      </c>
      <c r="B409" t="s">
        <v>20</v>
      </c>
      <c r="C409" t="s">
        <v>21</v>
      </c>
      <c r="D409" t="s">
        <v>682</v>
      </c>
      <c r="E409" s="2">
        <v>46179</v>
      </c>
      <c r="F409" s="2">
        <v>46179</v>
      </c>
      <c r="G409" t="s">
        <v>20</v>
      </c>
      <c r="H409" s="2">
        <v>46179</v>
      </c>
      <c r="I409" s="2">
        <v>46179</v>
      </c>
      <c r="J409" t="s">
        <v>20</v>
      </c>
      <c r="K409">
        <v>-66.260000000000005</v>
      </c>
      <c r="L409">
        <v>-66.260000000000005</v>
      </c>
      <c r="M409">
        <v>-66.260000000000005</v>
      </c>
      <c r="N409" t="s">
        <v>158</v>
      </c>
      <c r="O409" s="3" t="s">
        <v>1482</v>
      </c>
      <c r="P409" s="3" t="s">
        <v>1482</v>
      </c>
      <c r="Q409" s="3" t="s">
        <v>1482</v>
      </c>
      <c r="R409" s="3" t="s">
        <v>1482</v>
      </c>
      <c r="S409" s="3" t="s">
        <v>1482</v>
      </c>
      <c r="T409" s="3" t="s">
        <v>1482</v>
      </c>
    </row>
    <row r="410" spans="1:20">
      <c r="A410" t="s">
        <v>683</v>
      </c>
      <c r="B410" t="s">
        <v>20</v>
      </c>
      <c r="C410" t="s">
        <v>21</v>
      </c>
      <c r="D410" t="s">
        <v>684</v>
      </c>
      <c r="E410" s="2">
        <v>46179</v>
      </c>
      <c r="F410" s="2">
        <v>46179</v>
      </c>
      <c r="G410" t="s">
        <v>20</v>
      </c>
      <c r="H410" s="2">
        <v>46179</v>
      </c>
      <c r="I410" s="2">
        <v>46179</v>
      </c>
      <c r="J410" t="s">
        <v>20</v>
      </c>
      <c r="K410">
        <v>-115.98</v>
      </c>
      <c r="L410">
        <v>-115.98</v>
      </c>
      <c r="M410">
        <v>-115.98</v>
      </c>
      <c r="N410" t="s">
        <v>158</v>
      </c>
      <c r="O410" s="3" t="s">
        <v>1482</v>
      </c>
      <c r="P410" s="3" t="s">
        <v>1482</v>
      </c>
      <c r="Q410" s="3" t="s">
        <v>1482</v>
      </c>
      <c r="R410" s="3" t="s">
        <v>1482</v>
      </c>
      <c r="S410" s="3" t="s">
        <v>1482</v>
      </c>
      <c r="T410" s="3" t="s">
        <v>1482</v>
      </c>
    </row>
    <row r="411" spans="1:20">
      <c r="A411" t="s">
        <v>685</v>
      </c>
      <c r="B411" t="s">
        <v>20</v>
      </c>
      <c r="C411" t="s">
        <v>21</v>
      </c>
      <c r="D411" t="s">
        <v>686</v>
      </c>
      <c r="E411" s="2">
        <v>46179</v>
      </c>
      <c r="F411" s="2">
        <v>46179</v>
      </c>
      <c r="G411" t="s">
        <v>20</v>
      </c>
      <c r="H411" s="2">
        <v>46179</v>
      </c>
      <c r="I411" s="2">
        <v>46179</v>
      </c>
      <c r="J411" t="s">
        <v>20</v>
      </c>
      <c r="K411">
        <v>-123.1</v>
      </c>
      <c r="L411">
        <v>-123.1</v>
      </c>
      <c r="M411">
        <v>-123.1</v>
      </c>
      <c r="N411" t="s">
        <v>158</v>
      </c>
      <c r="O411" s="3" t="s">
        <v>1482</v>
      </c>
      <c r="P411" s="3" t="s">
        <v>1482</v>
      </c>
      <c r="Q411" s="3" t="s">
        <v>1482</v>
      </c>
      <c r="R411" s="3" t="s">
        <v>1482</v>
      </c>
      <c r="S411" s="3" t="s">
        <v>1482</v>
      </c>
      <c r="T411" s="3" t="s">
        <v>1482</v>
      </c>
    </row>
    <row r="412" spans="1:20">
      <c r="A412" t="s">
        <v>687</v>
      </c>
      <c r="B412" t="s">
        <v>20</v>
      </c>
      <c r="C412" t="s">
        <v>21</v>
      </c>
      <c r="D412" t="s">
        <v>688</v>
      </c>
      <c r="E412" s="2">
        <v>46179</v>
      </c>
      <c r="F412" s="2">
        <v>46179</v>
      </c>
      <c r="G412" t="s">
        <v>20</v>
      </c>
      <c r="H412" s="2">
        <v>46179</v>
      </c>
      <c r="I412" s="2">
        <v>46179</v>
      </c>
      <c r="J412" t="s">
        <v>20</v>
      </c>
      <c r="K412">
        <v>-66.260000000000005</v>
      </c>
      <c r="L412">
        <v>-66.260000000000005</v>
      </c>
      <c r="M412">
        <v>-66.260000000000005</v>
      </c>
      <c r="N412" t="s">
        <v>158</v>
      </c>
      <c r="O412" s="3" t="s">
        <v>1482</v>
      </c>
      <c r="P412" s="3" t="s">
        <v>1482</v>
      </c>
      <c r="Q412" s="3" t="s">
        <v>1482</v>
      </c>
      <c r="R412" s="3" t="s">
        <v>1482</v>
      </c>
      <c r="S412" s="3" t="s">
        <v>1482</v>
      </c>
      <c r="T412" s="3" t="s">
        <v>1482</v>
      </c>
    </row>
    <row r="413" spans="1:20">
      <c r="A413" t="s">
        <v>689</v>
      </c>
      <c r="B413" t="s">
        <v>20</v>
      </c>
      <c r="C413" t="s">
        <v>21</v>
      </c>
      <c r="D413" t="s">
        <v>690</v>
      </c>
      <c r="E413" s="2">
        <v>46179</v>
      </c>
      <c r="F413" s="2">
        <v>46179</v>
      </c>
      <c r="G413" t="s">
        <v>20</v>
      </c>
      <c r="H413" s="2">
        <v>46179</v>
      </c>
      <c r="I413" s="2">
        <v>46179</v>
      </c>
      <c r="J413" t="s">
        <v>20</v>
      </c>
      <c r="K413">
        <v>-66.260000000000005</v>
      </c>
      <c r="L413">
        <v>-66.260000000000005</v>
      </c>
      <c r="M413">
        <v>-66.260000000000005</v>
      </c>
      <c r="N413" t="s">
        <v>158</v>
      </c>
      <c r="O413" s="3" t="s">
        <v>1482</v>
      </c>
      <c r="P413" s="3" t="s">
        <v>1482</v>
      </c>
      <c r="Q413" s="3" t="s">
        <v>1482</v>
      </c>
      <c r="R413" s="3" t="s">
        <v>1482</v>
      </c>
      <c r="S413" s="3" t="s">
        <v>1482</v>
      </c>
      <c r="T413" s="3" t="s">
        <v>1482</v>
      </c>
    </row>
    <row r="414" spans="1:20">
      <c r="A414" t="s">
        <v>691</v>
      </c>
      <c r="B414" t="s">
        <v>20</v>
      </c>
      <c r="C414" t="s">
        <v>21</v>
      </c>
      <c r="D414" t="s">
        <v>692</v>
      </c>
      <c r="E414" s="2">
        <v>46179</v>
      </c>
      <c r="F414" s="2">
        <v>46179</v>
      </c>
      <c r="G414" t="s">
        <v>20</v>
      </c>
      <c r="H414" s="2">
        <v>46179</v>
      </c>
      <c r="I414" s="2">
        <v>46179</v>
      </c>
      <c r="J414" t="s">
        <v>20</v>
      </c>
      <c r="K414">
        <v>-23.97</v>
      </c>
      <c r="L414">
        <v>-23.97</v>
      </c>
      <c r="M414">
        <v>-23.97</v>
      </c>
      <c r="N414" t="s">
        <v>158</v>
      </c>
      <c r="O414" s="3" t="s">
        <v>1482</v>
      </c>
      <c r="P414" s="3" t="s">
        <v>1482</v>
      </c>
      <c r="Q414" s="3" t="s">
        <v>1482</v>
      </c>
      <c r="R414" s="3" t="s">
        <v>1482</v>
      </c>
      <c r="S414" s="3" t="s">
        <v>1482</v>
      </c>
      <c r="T414" s="3" t="s">
        <v>1482</v>
      </c>
    </row>
    <row r="415" spans="1:20">
      <c r="A415" t="s">
        <v>693</v>
      </c>
      <c r="B415" t="s">
        <v>20</v>
      </c>
      <c r="C415" t="s">
        <v>21</v>
      </c>
      <c r="D415" t="s">
        <v>694</v>
      </c>
      <c r="E415" s="2">
        <v>46179</v>
      </c>
      <c r="F415" s="2">
        <v>46179</v>
      </c>
      <c r="G415" t="s">
        <v>20</v>
      </c>
      <c r="H415" s="2">
        <v>46179</v>
      </c>
      <c r="I415" s="2">
        <v>46179</v>
      </c>
      <c r="J415" t="s">
        <v>20</v>
      </c>
      <c r="K415">
        <v>-76.58</v>
      </c>
      <c r="L415">
        <v>-76.58</v>
      </c>
      <c r="M415">
        <v>-76.58</v>
      </c>
      <c r="N415" t="s">
        <v>158</v>
      </c>
      <c r="O415" s="3" t="s">
        <v>1482</v>
      </c>
      <c r="P415" s="3" t="s">
        <v>1482</v>
      </c>
      <c r="Q415" s="3" t="s">
        <v>1482</v>
      </c>
      <c r="R415" s="3" t="s">
        <v>1482</v>
      </c>
      <c r="S415" s="3" t="s">
        <v>1482</v>
      </c>
      <c r="T415" s="3" t="s">
        <v>1482</v>
      </c>
    </row>
    <row r="416" spans="1:20">
      <c r="A416" t="s">
        <v>695</v>
      </c>
      <c r="B416" t="s">
        <v>20</v>
      </c>
      <c r="C416" t="s">
        <v>21</v>
      </c>
      <c r="D416" t="s">
        <v>696</v>
      </c>
      <c r="E416" s="2">
        <v>46179</v>
      </c>
      <c r="F416" s="2">
        <v>46179</v>
      </c>
      <c r="G416" t="s">
        <v>20</v>
      </c>
      <c r="H416" s="2">
        <v>46179</v>
      </c>
      <c r="I416" s="2">
        <v>46179</v>
      </c>
      <c r="J416" t="s">
        <v>20</v>
      </c>
      <c r="K416">
        <v>-26.26</v>
      </c>
      <c r="L416">
        <v>-26.26</v>
      </c>
      <c r="M416">
        <v>-26.26</v>
      </c>
      <c r="N416" t="s">
        <v>158</v>
      </c>
      <c r="O416" s="3" t="s">
        <v>1482</v>
      </c>
      <c r="P416" s="3" t="s">
        <v>1482</v>
      </c>
      <c r="Q416" s="3" t="s">
        <v>1482</v>
      </c>
      <c r="R416" s="3" t="s">
        <v>1482</v>
      </c>
      <c r="S416" s="3" t="s">
        <v>1482</v>
      </c>
      <c r="T416" s="3" t="s">
        <v>1482</v>
      </c>
    </row>
    <row r="417" spans="1:20">
      <c r="A417" t="s">
        <v>697</v>
      </c>
      <c r="B417" t="s">
        <v>20</v>
      </c>
      <c r="C417" t="s">
        <v>21</v>
      </c>
      <c r="D417" t="s">
        <v>698</v>
      </c>
      <c r="E417" s="2">
        <v>46179</v>
      </c>
      <c r="F417" s="2">
        <v>46179</v>
      </c>
      <c r="G417" t="s">
        <v>20</v>
      </c>
      <c r="H417" s="2">
        <v>46179</v>
      </c>
      <c r="I417" s="2">
        <v>46179</v>
      </c>
      <c r="J417" t="s">
        <v>20</v>
      </c>
      <c r="K417">
        <v>-33.130000000000003</v>
      </c>
      <c r="L417">
        <v>-33.130000000000003</v>
      </c>
      <c r="M417">
        <v>-33.130000000000003</v>
      </c>
      <c r="N417" t="s">
        <v>158</v>
      </c>
      <c r="O417" s="3" t="s">
        <v>1482</v>
      </c>
      <c r="P417" s="3" t="s">
        <v>1482</v>
      </c>
      <c r="Q417" s="3" t="s">
        <v>1482</v>
      </c>
      <c r="R417" s="3" t="s">
        <v>1482</v>
      </c>
      <c r="S417" s="3" t="s">
        <v>1482</v>
      </c>
      <c r="T417" s="3" t="s">
        <v>1482</v>
      </c>
    </row>
    <row r="418" spans="1:20">
      <c r="A418" t="s">
        <v>699</v>
      </c>
      <c r="B418" t="s">
        <v>20</v>
      </c>
      <c r="C418" t="s">
        <v>21</v>
      </c>
      <c r="D418" t="s">
        <v>700</v>
      </c>
      <c r="E418" s="2">
        <v>46179</v>
      </c>
      <c r="F418" s="2">
        <v>46179</v>
      </c>
      <c r="G418" t="s">
        <v>20</v>
      </c>
      <c r="H418" s="2">
        <v>46179</v>
      </c>
      <c r="I418" s="2">
        <v>46179</v>
      </c>
      <c r="J418" t="s">
        <v>20</v>
      </c>
      <c r="K418">
        <v>-151.79</v>
      </c>
      <c r="L418">
        <v>-151.79</v>
      </c>
      <c r="M418">
        <v>-151.79</v>
      </c>
      <c r="N418" t="s">
        <v>158</v>
      </c>
      <c r="O418" s="3" t="s">
        <v>1482</v>
      </c>
      <c r="P418" s="3" t="s">
        <v>1482</v>
      </c>
      <c r="Q418" s="3" t="s">
        <v>1482</v>
      </c>
      <c r="R418" s="3" t="s">
        <v>1482</v>
      </c>
      <c r="S418" s="3" t="s">
        <v>1482</v>
      </c>
      <c r="T418" s="3" t="s">
        <v>1482</v>
      </c>
    </row>
    <row r="419" spans="1:20">
      <c r="A419" t="s">
        <v>701</v>
      </c>
      <c r="B419" t="s">
        <v>20</v>
      </c>
      <c r="C419" t="s">
        <v>21</v>
      </c>
      <c r="D419" t="s">
        <v>702</v>
      </c>
      <c r="E419" s="2">
        <v>46179</v>
      </c>
      <c r="F419" s="2">
        <v>46179</v>
      </c>
      <c r="G419" t="s">
        <v>20</v>
      </c>
      <c r="H419" s="2">
        <v>46179</v>
      </c>
      <c r="I419" s="2">
        <v>46179</v>
      </c>
      <c r="J419" t="s">
        <v>20</v>
      </c>
      <c r="K419">
        <v>-66.260000000000005</v>
      </c>
      <c r="L419">
        <v>-66.260000000000005</v>
      </c>
      <c r="M419">
        <v>-66.260000000000005</v>
      </c>
      <c r="N419" t="s">
        <v>158</v>
      </c>
      <c r="O419" s="3" t="s">
        <v>1482</v>
      </c>
      <c r="P419" s="3" t="s">
        <v>1482</v>
      </c>
      <c r="Q419" s="3" t="s">
        <v>1482</v>
      </c>
      <c r="R419" s="3" t="s">
        <v>1482</v>
      </c>
      <c r="S419" s="3" t="s">
        <v>1482</v>
      </c>
      <c r="T419" s="3" t="s">
        <v>1482</v>
      </c>
    </row>
    <row r="420" spans="1:20">
      <c r="A420" t="s">
        <v>703</v>
      </c>
      <c r="B420" t="s">
        <v>20</v>
      </c>
      <c r="C420" t="s">
        <v>21</v>
      </c>
      <c r="D420" t="s">
        <v>704</v>
      </c>
      <c r="E420" s="2">
        <v>46179</v>
      </c>
      <c r="F420" s="2">
        <v>46179</v>
      </c>
      <c r="G420" t="s">
        <v>20</v>
      </c>
      <c r="H420" s="2">
        <v>46179</v>
      </c>
      <c r="I420" s="2">
        <v>46179</v>
      </c>
      <c r="J420" t="s">
        <v>20</v>
      </c>
      <c r="K420">
        <v>-198.78</v>
      </c>
      <c r="L420">
        <v>-198.78</v>
      </c>
      <c r="M420">
        <v>-198.78</v>
      </c>
      <c r="N420" t="s">
        <v>158</v>
      </c>
      <c r="O420" s="3" t="s">
        <v>1482</v>
      </c>
      <c r="P420" s="3" t="s">
        <v>1482</v>
      </c>
      <c r="Q420" s="3" t="s">
        <v>1482</v>
      </c>
      <c r="R420" s="3" t="s">
        <v>1482</v>
      </c>
      <c r="S420" s="3" t="s">
        <v>1482</v>
      </c>
      <c r="T420" s="3" t="s">
        <v>1482</v>
      </c>
    </row>
    <row r="421" spans="1:20">
      <c r="A421" t="s">
        <v>705</v>
      </c>
      <c r="B421" t="s">
        <v>20</v>
      </c>
      <c r="C421" t="s">
        <v>21</v>
      </c>
      <c r="D421" t="s">
        <v>706</v>
      </c>
      <c r="E421" s="2">
        <v>46179</v>
      </c>
      <c r="F421" s="2">
        <v>46179</v>
      </c>
      <c r="G421" t="s">
        <v>20</v>
      </c>
      <c r="H421" s="2">
        <v>46179</v>
      </c>
      <c r="I421" s="2">
        <v>46179</v>
      </c>
      <c r="J421" t="s">
        <v>20</v>
      </c>
      <c r="K421">
        <v>-33.130000000000003</v>
      </c>
      <c r="L421">
        <v>-33.130000000000003</v>
      </c>
      <c r="M421">
        <v>-33.130000000000003</v>
      </c>
      <c r="N421" t="s">
        <v>158</v>
      </c>
      <c r="O421" s="3" t="s">
        <v>1482</v>
      </c>
      <c r="P421" s="3" t="s">
        <v>1482</v>
      </c>
      <c r="Q421" s="3" t="s">
        <v>1482</v>
      </c>
      <c r="R421" s="3" t="s">
        <v>1482</v>
      </c>
      <c r="S421" s="3" t="s">
        <v>1482</v>
      </c>
      <c r="T421" s="3" t="s">
        <v>1482</v>
      </c>
    </row>
    <row r="422" spans="1:20">
      <c r="A422" t="s">
        <v>707</v>
      </c>
      <c r="B422" t="s">
        <v>20</v>
      </c>
      <c r="C422" t="s">
        <v>21</v>
      </c>
      <c r="D422" t="s">
        <v>708</v>
      </c>
      <c r="E422" s="2">
        <v>46179</v>
      </c>
      <c r="F422" s="2">
        <v>46179</v>
      </c>
      <c r="G422" t="s">
        <v>20</v>
      </c>
      <c r="H422" s="2">
        <v>46179</v>
      </c>
      <c r="I422" s="2">
        <v>46179</v>
      </c>
      <c r="J422" t="s">
        <v>20</v>
      </c>
      <c r="K422">
        <v>-33.130000000000003</v>
      </c>
      <c r="L422">
        <v>-33.130000000000003</v>
      </c>
      <c r="M422">
        <v>-33.130000000000003</v>
      </c>
      <c r="N422" t="s">
        <v>158</v>
      </c>
      <c r="O422" s="3" t="s">
        <v>1482</v>
      </c>
      <c r="P422" s="3" t="s">
        <v>1482</v>
      </c>
      <c r="Q422" s="3" t="s">
        <v>1482</v>
      </c>
      <c r="R422" s="3" t="s">
        <v>1482</v>
      </c>
      <c r="S422" s="3" t="s">
        <v>1482</v>
      </c>
      <c r="T422" s="3" t="s">
        <v>1482</v>
      </c>
    </row>
    <row r="423" spans="1:20">
      <c r="A423" t="s">
        <v>709</v>
      </c>
      <c r="B423" t="s">
        <v>20</v>
      </c>
      <c r="C423" t="s">
        <v>21</v>
      </c>
      <c r="D423" t="s">
        <v>710</v>
      </c>
      <c r="E423" s="2">
        <v>46179</v>
      </c>
      <c r="F423" s="2">
        <v>46179</v>
      </c>
      <c r="G423" t="s">
        <v>20</v>
      </c>
      <c r="H423" s="2">
        <v>46179</v>
      </c>
      <c r="I423" s="2">
        <v>46179</v>
      </c>
      <c r="J423" t="s">
        <v>20</v>
      </c>
      <c r="K423">
        <v>-33.130000000000003</v>
      </c>
      <c r="L423">
        <v>-33.130000000000003</v>
      </c>
      <c r="M423">
        <v>-33.130000000000003</v>
      </c>
      <c r="N423" t="s">
        <v>158</v>
      </c>
      <c r="O423" s="3" t="s">
        <v>1482</v>
      </c>
      <c r="P423" s="3" t="s">
        <v>1482</v>
      </c>
      <c r="Q423" s="3" t="s">
        <v>1482</v>
      </c>
      <c r="R423" s="3" t="s">
        <v>1482</v>
      </c>
      <c r="S423" s="3" t="s">
        <v>1482</v>
      </c>
      <c r="T423" s="3" t="s">
        <v>1482</v>
      </c>
    </row>
    <row r="424" spans="1:20">
      <c r="A424" t="s">
        <v>711</v>
      </c>
      <c r="B424" t="s">
        <v>20</v>
      </c>
      <c r="C424" t="s">
        <v>21</v>
      </c>
      <c r="D424" t="s">
        <v>712</v>
      </c>
      <c r="E424" s="2">
        <v>46179</v>
      </c>
      <c r="F424" s="2">
        <v>46179</v>
      </c>
      <c r="G424" t="s">
        <v>20</v>
      </c>
      <c r="H424" s="2">
        <v>46179</v>
      </c>
      <c r="I424" s="2">
        <v>46179</v>
      </c>
      <c r="J424" t="s">
        <v>20</v>
      </c>
      <c r="K424">
        <v>-99.39</v>
      </c>
      <c r="L424">
        <v>-99.39</v>
      </c>
      <c r="M424">
        <v>-99.39</v>
      </c>
      <c r="N424" t="s">
        <v>158</v>
      </c>
      <c r="O424" s="3" t="s">
        <v>1482</v>
      </c>
      <c r="P424" s="3" t="s">
        <v>1482</v>
      </c>
      <c r="Q424" s="3" t="s">
        <v>1482</v>
      </c>
      <c r="R424" s="3" t="s">
        <v>1482</v>
      </c>
      <c r="S424" s="3" t="s">
        <v>1482</v>
      </c>
      <c r="T424" s="3" t="s">
        <v>1482</v>
      </c>
    </row>
    <row r="425" spans="1:20">
      <c r="A425" t="s">
        <v>713</v>
      </c>
      <c r="B425" t="s">
        <v>20</v>
      </c>
      <c r="C425" t="s">
        <v>21</v>
      </c>
      <c r="D425" t="s">
        <v>714</v>
      </c>
      <c r="E425" s="2">
        <v>46179</v>
      </c>
      <c r="F425" s="2">
        <v>46179</v>
      </c>
      <c r="G425" t="s">
        <v>20</v>
      </c>
      <c r="H425" s="2">
        <v>46179</v>
      </c>
      <c r="I425" s="2">
        <v>46179</v>
      </c>
      <c r="J425" t="s">
        <v>20</v>
      </c>
      <c r="K425">
        <v>-105.33</v>
      </c>
      <c r="L425">
        <v>-105.33</v>
      </c>
      <c r="M425">
        <v>-105.33</v>
      </c>
      <c r="N425" t="s">
        <v>158</v>
      </c>
      <c r="O425" s="3" t="s">
        <v>1482</v>
      </c>
      <c r="P425" s="3" t="s">
        <v>1482</v>
      </c>
      <c r="Q425" s="3" t="s">
        <v>1482</v>
      </c>
      <c r="R425" s="3" t="s">
        <v>1482</v>
      </c>
      <c r="S425" s="3" t="s">
        <v>1482</v>
      </c>
      <c r="T425" s="3" t="s">
        <v>1482</v>
      </c>
    </row>
    <row r="426" spans="1:20">
      <c r="A426" t="s">
        <v>715</v>
      </c>
      <c r="B426" t="s">
        <v>20</v>
      </c>
      <c r="C426" t="s">
        <v>21</v>
      </c>
      <c r="D426" t="s">
        <v>716</v>
      </c>
      <c r="E426" s="2">
        <v>46179</v>
      </c>
      <c r="F426" s="2">
        <v>46179</v>
      </c>
      <c r="G426" t="s">
        <v>20</v>
      </c>
      <c r="H426" s="2">
        <v>46179</v>
      </c>
      <c r="I426" s="2">
        <v>46179</v>
      </c>
      <c r="J426" t="s">
        <v>20</v>
      </c>
      <c r="K426">
        <v>-33.130000000000003</v>
      </c>
      <c r="L426">
        <v>-33.130000000000003</v>
      </c>
      <c r="M426">
        <v>-33.130000000000003</v>
      </c>
      <c r="N426" t="s">
        <v>158</v>
      </c>
      <c r="O426" s="3" t="s">
        <v>1482</v>
      </c>
      <c r="P426" s="3" t="s">
        <v>1482</v>
      </c>
      <c r="Q426" s="3" t="s">
        <v>1482</v>
      </c>
      <c r="R426" s="3" t="s">
        <v>1482</v>
      </c>
      <c r="S426" s="3" t="s">
        <v>1482</v>
      </c>
      <c r="T426" s="3" t="s">
        <v>1482</v>
      </c>
    </row>
    <row r="427" spans="1:20">
      <c r="A427" t="s">
        <v>717</v>
      </c>
      <c r="B427" t="s">
        <v>20</v>
      </c>
      <c r="C427" t="s">
        <v>21</v>
      </c>
      <c r="D427" t="s">
        <v>718</v>
      </c>
      <c r="E427" s="2">
        <v>46179</v>
      </c>
      <c r="F427" s="2">
        <v>46179</v>
      </c>
      <c r="G427" t="s">
        <v>20</v>
      </c>
      <c r="H427" s="2">
        <v>46179</v>
      </c>
      <c r="I427" s="2">
        <v>46179</v>
      </c>
      <c r="J427" t="s">
        <v>20</v>
      </c>
      <c r="K427">
        <v>-231.91</v>
      </c>
      <c r="L427">
        <v>-231.91</v>
      </c>
      <c r="M427">
        <v>-231.91</v>
      </c>
      <c r="N427" t="s">
        <v>158</v>
      </c>
      <c r="O427" s="3" t="s">
        <v>1482</v>
      </c>
      <c r="P427" s="3" t="s">
        <v>1482</v>
      </c>
      <c r="Q427" s="3" t="s">
        <v>1482</v>
      </c>
      <c r="R427" s="3" t="s">
        <v>1482</v>
      </c>
      <c r="S427" s="3" t="s">
        <v>1482</v>
      </c>
      <c r="T427" s="3" t="s">
        <v>1482</v>
      </c>
    </row>
    <row r="428" spans="1:20">
      <c r="A428" t="s">
        <v>719</v>
      </c>
      <c r="B428" t="s">
        <v>20</v>
      </c>
      <c r="C428" t="s">
        <v>21</v>
      </c>
      <c r="D428" t="s">
        <v>720</v>
      </c>
      <c r="E428" s="2">
        <v>46179</v>
      </c>
      <c r="F428" s="2">
        <v>46179</v>
      </c>
      <c r="G428" t="s">
        <v>20</v>
      </c>
      <c r="H428" s="2">
        <v>46179</v>
      </c>
      <c r="I428" s="2">
        <v>46179</v>
      </c>
      <c r="J428" t="s">
        <v>20</v>
      </c>
      <c r="K428">
        <v>-165.65</v>
      </c>
      <c r="L428">
        <v>-165.65</v>
      </c>
      <c r="M428">
        <v>-165.65</v>
      </c>
      <c r="N428" t="s">
        <v>158</v>
      </c>
      <c r="O428" s="3" t="s">
        <v>1482</v>
      </c>
      <c r="P428" s="3" t="s">
        <v>1482</v>
      </c>
      <c r="Q428" s="3" t="s">
        <v>1482</v>
      </c>
      <c r="R428" s="3" t="s">
        <v>1482</v>
      </c>
      <c r="S428" s="3" t="s">
        <v>1482</v>
      </c>
      <c r="T428" s="3" t="s">
        <v>1482</v>
      </c>
    </row>
    <row r="429" spans="1:20">
      <c r="A429" t="s">
        <v>721</v>
      </c>
      <c r="B429" t="s">
        <v>20</v>
      </c>
      <c r="C429" t="s">
        <v>21</v>
      </c>
      <c r="D429" t="s">
        <v>722</v>
      </c>
      <c r="E429" s="2">
        <v>46179</v>
      </c>
      <c r="F429" s="2">
        <v>46179</v>
      </c>
      <c r="G429" t="s">
        <v>20</v>
      </c>
      <c r="H429" s="2">
        <v>46179</v>
      </c>
      <c r="I429" s="2">
        <v>46179</v>
      </c>
      <c r="J429" t="s">
        <v>20</v>
      </c>
      <c r="K429">
        <v>-99.39</v>
      </c>
      <c r="L429">
        <v>-99.39</v>
      </c>
      <c r="M429">
        <v>-99.39</v>
      </c>
      <c r="N429" t="s">
        <v>158</v>
      </c>
      <c r="O429" s="3" t="s">
        <v>1482</v>
      </c>
      <c r="P429" s="3" t="s">
        <v>1482</v>
      </c>
      <c r="Q429" s="3" t="s">
        <v>1482</v>
      </c>
      <c r="R429" s="3" t="s">
        <v>1482</v>
      </c>
      <c r="S429" s="3" t="s">
        <v>1482</v>
      </c>
      <c r="T429" s="3" t="s">
        <v>1482</v>
      </c>
    </row>
    <row r="430" spans="1:20">
      <c r="A430" t="s">
        <v>723</v>
      </c>
      <c r="B430" t="s">
        <v>20</v>
      </c>
      <c r="C430" t="s">
        <v>21</v>
      </c>
      <c r="D430" t="s">
        <v>724</v>
      </c>
      <c r="E430" s="2">
        <v>46179</v>
      </c>
      <c r="F430" s="2">
        <v>46179</v>
      </c>
      <c r="G430" t="s">
        <v>20</v>
      </c>
      <c r="H430" s="2">
        <v>46179</v>
      </c>
      <c r="I430" s="2">
        <v>46179</v>
      </c>
      <c r="J430" t="s">
        <v>20</v>
      </c>
      <c r="K430">
        <v>-23.97</v>
      </c>
      <c r="L430">
        <v>-23.97</v>
      </c>
      <c r="M430">
        <v>-23.97</v>
      </c>
      <c r="N430" t="s">
        <v>158</v>
      </c>
      <c r="O430" s="3" t="s">
        <v>1482</v>
      </c>
      <c r="P430" s="3" t="s">
        <v>1482</v>
      </c>
      <c r="Q430" s="3" t="s">
        <v>1482</v>
      </c>
      <c r="R430" s="3" t="s">
        <v>1482</v>
      </c>
      <c r="S430" s="3" t="s">
        <v>1482</v>
      </c>
      <c r="T430" s="3" t="s">
        <v>1482</v>
      </c>
    </row>
    <row r="431" spans="1:20">
      <c r="A431" t="s">
        <v>725</v>
      </c>
      <c r="B431" t="s">
        <v>20</v>
      </c>
      <c r="C431" t="s">
        <v>21</v>
      </c>
      <c r="D431" t="s">
        <v>726</v>
      </c>
      <c r="E431" s="2">
        <v>46179</v>
      </c>
      <c r="F431" s="2">
        <v>46179</v>
      </c>
      <c r="G431" t="s">
        <v>20</v>
      </c>
      <c r="H431" s="2">
        <v>46179</v>
      </c>
      <c r="I431" s="2">
        <v>46179</v>
      </c>
      <c r="J431" t="s">
        <v>20</v>
      </c>
      <c r="K431">
        <v>-132.52000000000001</v>
      </c>
      <c r="L431">
        <v>-132.52000000000001</v>
      </c>
      <c r="M431">
        <v>-132.52000000000001</v>
      </c>
      <c r="N431" t="s">
        <v>158</v>
      </c>
      <c r="O431" s="3" t="s">
        <v>1482</v>
      </c>
      <c r="P431" s="3" t="s">
        <v>1482</v>
      </c>
      <c r="Q431" s="3" t="s">
        <v>1482</v>
      </c>
      <c r="R431" s="3" t="s">
        <v>1482</v>
      </c>
      <c r="S431" s="3" t="s">
        <v>1482</v>
      </c>
      <c r="T431" s="3" t="s">
        <v>1482</v>
      </c>
    </row>
    <row r="432" spans="1:20">
      <c r="A432" t="s">
        <v>727</v>
      </c>
      <c r="B432" t="s">
        <v>20</v>
      </c>
      <c r="C432" t="s">
        <v>21</v>
      </c>
      <c r="D432" t="s">
        <v>728</v>
      </c>
      <c r="E432" s="2">
        <v>46179</v>
      </c>
      <c r="F432" s="2">
        <v>46179</v>
      </c>
      <c r="G432" t="s">
        <v>20</v>
      </c>
      <c r="H432" s="2">
        <v>46179</v>
      </c>
      <c r="I432" s="2">
        <v>46179</v>
      </c>
      <c r="J432" t="s">
        <v>20</v>
      </c>
      <c r="K432">
        <v>-71.900000000000006</v>
      </c>
      <c r="L432">
        <v>-71.900000000000006</v>
      </c>
      <c r="M432">
        <v>-71.900000000000006</v>
      </c>
      <c r="N432" t="s">
        <v>158</v>
      </c>
      <c r="O432" s="3" t="s">
        <v>1482</v>
      </c>
      <c r="P432" s="3" t="s">
        <v>1482</v>
      </c>
      <c r="Q432" s="3" t="s">
        <v>1482</v>
      </c>
      <c r="R432" s="3" t="s">
        <v>1482</v>
      </c>
      <c r="S432" s="3" t="s">
        <v>1482</v>
      </c>
      <c r="T432" s="3" t="s">
        <v>1482</v>
      </c>
    </row>
    <row r="433" spans="1:20">
      <c r="A433" t="s">
        <v>729</v>
      </c>
      <c r="B433" t="s">
        <v>20</v>
      </c>
      <c r="C433" t="s">
        <v>21</v>
      </c>
      <c r="D433" t="s">
        <v>730</v>
      </c>
      <c r="E433" s="2">
        <v>46179</v>
      </c>
      <c r="F433" s="2">
        <v>46179</v>
      </c>
      <c r="G433" t="s">
        <v>20</v>
      </c>
      <c r="H433" s="2">
        <v>46179</v>
      </c>
      <c r="I433" s="2">
        <v>46179</v>
      </c>
      <c r="J433" t="s">
        <v>20</v>
      </c>
      <c r="K433">
        <v>-53.01</v>
      </c>
      <c r="L433">
        <v>-53.01</v>
      </c>
      <c r="M433">
        <v>-53.01</v>
      </c>
      <c r="N433" t="s">
        <v>158</v>
      </c>
      <c r="O433" s="3" t="s">
        <v>1482</v>
      </c>
      <c r="P433" s="3" t="s">
        <v>1482</v>
      </c>
      <c r="Q433" s="3" t="s">
        <v>1482</v>
      </c>
      <c r="R433" s="3" t="s">
        <v>1482</v>
      </c>
      <c r="S433" s="3" t="s">
        <v>1482</v>
      </c>
      <c r="T433" s="3" t="s">
        <v>1482</v>
      </c>
    </row>
    <row r="434" spans="1:20">
      <c r="A434" t="s">
        <v>731</v>
      </c>
      <c r="B434" t="s">
        <v>20</v>
      </c>
      <c r="C434" t="s">
        <v>21</v>
      </c>
      <c r="D434" t="s">
        <v>732</v>
      </c>
      <c r="E434" s="2">
        <v>46179</v>
      </c>
      <c r="F434" s="2">
        <v>46179</v>
      </c>
      <c r="G434" t="s">
        <v>20</v>
      </c>
      <c r="H434" s="2">
        <v>46179</v>
      </c>
      <c r="I434" s="2">
        <v>46179</v>
      </c>
      <c r="J434" t="s">
        <v>20</v>
      </c>
      <c r="K434">
        <v>-66.260000000000005</v>
      </c>
      <c r="L434">
        <v>-66.260000000000005</v>
      </c>
      <c r="M434">
        <v>-66.260000000000005</v>
      </c>
      <c r="N434" t="s">
        <v>158</v>
      </c>
      <c r="O434" s="3" t="s">
        <v>1482</v>
      </c>
      <c r="P434" s="3" t="s">
        <v>1482</v>
      </c>
      <c r="Q434" s="3" t="s">
        <v>1482</v>
      </c>
      <c r="R434" s="3" t="s">
        <v>1482</v>
      </c>
      <c r="S434" s="3" t="s">
        <v>1482</v>
      </c>
      <c r="T434" s="3" t="s">
        <v>1482</v>
      </c>
    </row>
    <row r="435" spans="1:20">
      <c r="A435" t="s">
        <v>733</v>
      </c>
      <c r="B435" t="s">
        <v>20</v>
      </c>
      <c r="C435" t="s">
        <v>21</v>
      </c>
      <c r="D435" t="s">
        <v>734</v>
      </c>
      <c r="E435" s="2">
        <v>46179</v>
      </c>
      <c r="F435" s="2">
        <v>46179</v>
      </c>
      <c r="G435" t="s">
        <v>20</v>
      </c>
      <c r="H435" s="2">
        <v>46179</v>
      </c>
      <c r="I435" s="2">
        <v>46179</v>
      </c>
      <c r="J435" t="s">
        <v>20</v>
      </c>
      <c r="K435">
        <v>-132.52000000000001</v>
      </c>
      <c r="L435">
        <v>-132.52000000000001</v>
      </c>
      <c r="M435">
        <v>-132.52000000000001</v>
      </c>
      <c r="N435" t="s">
        <v>158</v>
      </c>
      <c r="O435" s="3" t="s">
        <v>1482</v>
      </c>
      <c r="P435" s="3" t="s">
        <v>1482</v>
      </c>
      <c r="Q435" s="3" t="s">
        <v>1482</v>
      </c>
      <c r="R435" s="3" t="s">
        <v>1482</v>
      </c>
      <c r="S435" s="3" t="s">
        <v>1482</v>
      </c>
      <c r="T435" s="3" t="s">
        <v>1482</v>
      </c>
    </row>
    <row r="436" spans="1:20">
      <c r="A436" t="s">
        <v>735</v>
      </c>
      <c r="B436" t="s">
        <v>20</v>
      </c>
      <c r="C436" t="s">
        <v>21</v>
      </c>
      <c r="D436" t="s">
        <v>736</v>
      </c>
      <c r="E436" s="2">
        <v>46179</v>
      </c>
      <c r="F436" s="2">
        <v>46179</v>
      </c>
      <c r="G436" t="s">
        <v>20</v>
      </c>
      <c r="H436" s="2">
        <v>46179</v>
      </c>
      <c r="I436" s="2">
        <v>46179</v>
      </c>
      <c r="J436" t="s">
        <v>20</v>
      </c>
      <c r="K436">
        <v>-71.900000000000006</v>
      </c>
      <c r="L436">
        <v>-71.900000000000006</v>
      </c>
      <c r="M436">
        <v>-71.900000000000006</v>
      </c>
      <c r="N436" t="s">
        <v>158</v>
      </c>
      <c r="O436" s="3" t="s">
        <v>1482</v>
      </c>
      <c r="P436" s="3" t="s">
        <v>1482</v>
      </c>
      <c r="Q436" s="3" t="s">
        <v>1482</v>
      </c>
      <c r="R436" s="3" t="s">
        <v>1482</v>
      </c>
      <c r="S436" s="3" t="s">
        <v>1482</v>
      </c>
      <c r="T436" s="3" t="s">
        <v>1482</v>
      </c>
    </row>
    <row r="437" spans="1:20">
      <c r="A437" t="s">
        <v>737</v>
      </c>
      <c r="B437" t="s">
        <v>20</v>
      </c>
      <c r="C437" t="s">
        <v>21</v>
      </c>
      <c r="D437" t="s">
        <v>738</v>
      </c>
      <c r="E437" s="2">
        <v>46179</v>
      </c>
      <c r="F437" s="2">
        <v>46179</v>
      </c>
      <c r="G437" t="s">
        <v>20</v>
      </c>
      <c r="H437" s="2">
        <v>46179</v>
      </c>
      <c r="I437" s="2">
        <v>46179</v>
      </c>
      <c r="J437" t="s">
        <v>20</v>
      </c>
      <c r="K437">
        <v>-99.39</v>
      </c>
      <c r="L437">
        <v>-99.39</v>
      </c>
      <c r="M437">
        <v>-99.39</v>
      </c>
      <c r="N437" t="s">
        <v>158</v>
      </c>
      <c r="O437" s="3" t="s">
        <v>1482</v>
      </c>
      <c r="P437" s="3" t="s">
        <v>1482</v>
      </c>
      <c r="Q437" s="3" t="s">
        <v>1482</v>
      </c>
      <c r="R437" s="3" t="s">
        <v>1482</v>
      </c>
      <c r="S437" s="3" t="s">
        <v>1482</v>
      </c>
      <c r="T437" s="3" t="s">
        <v>1482</v>
      </c>
    </row>
    <row r="438" spans="1:20">
      <c r="A438" t="s">
        <v>739</v>
      </c>
      <c r="B438" t="s">
        <v>20</v>
      </c>
      <c r="C438" t="s">
        <v>21</v>
      </c>
      <c r="D438" t="s">
        <v>740</v>
      </c>
      <c r="E438" s="2">
        <v>46179</v>
      </c>
      <c r="F438" s="2">
        <v>46179</v>
      </c>
      <c r="G438" t="s">
        <v>20</v>
      </c>
      <c r="H438" s="2">
        <v>46179</v>
      </c>
      <c r="I438" s="2">
        <v>46179</v>
      </c>
      <c r="J438" t="s">
        <v>20</v>
      </c>
      <c r="K438">
        <v>-33.130000000000003</v>
      </c>
      <c r="L438">
        <v>-33.130000000000003</v>
      </c>
      <c r="M438">
        <v>-33.130000000000003</v>
      </c>
      <c r="N438" t="s">
        <v>158</v>
      </c>
      <c r="O438" s="3" t="s">
        <v>1482</v>
      </c>
      <c r="P438" s="3" t="s">
        <v>1482</v>
      </c>
      <c r="Q438" s="3" t="s">
        <v>1482</v>
      </c>
      <c r="R438" s="3" t="s">
        <v>1482</v>
      </c>
      <c r="S438" s="3" t="s">
        <v>1482</v>
      </c>
      <c r="T438" s="3" t="s">
        <v>1482</v>
      </c>
    </row>
    <row r="439" spans="1:20">
      <c r="A439" t="s">
        <v>741</v>
      </c>
      <c r="B439" t="s">
        <v>20</v>
      </c>
      <c r="C439" t="s">
        <v>21</v>
      </c>
      <c r="D439" t="s">
        <v>742</v>
      </c>
      <c r="E439" s="2">
        <v>46179</v>
      </c>
      <c r="F439" s="2">
        <v>46179</v>
      </c>
      <c r="G439" t="s">
        <v>20</v>
      </c>
      <c r="H439" s="2">
        <v>46179</v>
      </c>
      <c r="I439" s="2">
        <v>46179</v>
      </c>
      <c r="J439" t="s">
        <v>20</v>
      </c>
      <c r="K439">
        <v>-66.260000000000005</v>
      </c>
      <c r="L439">
        <v>-66.260000000000005</v>
      </c>
      <c r="M439">
        <v>-66.260000000000005</v>
      </c>
      <c r="N439" t="s">
        <v>158</v>
      </c>
      <c r="O439" s="3" t="s">
        <v>1482</v>
      </c>
      <c r="P439" s="3" t="s">
        <v>1482</v>
      </c>
      <c r="Q439" s="3" t="s">
        <v>1482</v>
      </c>
      <c r="R439" s="3" t="s">
        <v>1482</v>
      </c>
      <c r="S439" s="3" t="s">
        <v>1482</v>
      </c>
      <c r="T439" s="3" t="s">
        <v>1482</v>
      </c>
    </row>
    <row r="440" spans="1:20">
      <c r="A440" t="s">
        <v>743</v>
      </c>
      <c r="B440" t="s">
        <v>20</v>
      </c>
      <c r="C440" t="s">
        <v>21</v>
      </c>
      <c r="D440" t="s">
        <v>744</v>
      </c>
      <c r="E440" s="2">
        <v>46179</v>
      </c>
      <c r="F440" s="2">
        <v>46179</v>
      </c>
      <c r="G440" t="s">
        <v>20</v>
      </c>
      <c r="H440" s="2">
        <v>46179</v>
      </c>
      <c r="I440" s="2">
        <v>46179</v>
      </c>
      <c r="J440" t="s">
        <v>20</v>
      </c>
      <c r="K440">
        <v>-71.900000000000006</v>
      </c>
      <c r="L440">
        <v>-71.900000000000006</v>
      </c>
      <c r="M440">
        <v>-71.900000000000006</v>
      </c>
      <c r="N440" t="s">
        <v>158</v>
      </c>
      <c r="O440" s="3" t="s">
        <v>1482</v>
      </c>
      <c r="P440" s="3" t="s">
        <v>1482</v>
      </c>
      <c r="Q440" s="3" t="s">
        <v>1482</v>
      </c>
      <c r="R440" s="3" t="s">
        <v>1482</v>
      </c>
      <c r="S440" s="3" t="s">
        <v>1482</v>
      </c>
      <c r="T440" s="3" t="s">
        <v>1482</v>
      </c>
    </row>
    <row r="441" spans="1:20">
      <c r="A441" t="s">
        <v>745</v>
      </c>
      <c r="B441" t="s">
        <v>20</v>
      </c>
      <c r="C441" t="s">
        <v>21</v>
      </c>
      <c r="D441" t="s">
        <v>746</v>
      </c>
      <c r="E441" s="2">
        <v>46179</v>
      </c>
      <c r="F441" s="2">
        <v>46179</v>
      </c>
      <c r="G441" t="s">
        <v>20</v>
      </c>
      <c r="H441" s="2">
        <v>46179</v>
      </c>
      <c r="I441" s="2">
        <v>46179</v>
      </c>
      <c r="J441" t="s">
        <v>20</v>
      </c>
      <c r="K441">
        <v>-165.65</v>
      </c>
      <c r="L441">
        <v>-165.65</v>
      </c>
      <c r="M441">
        <v>-165.65</v>
      </c>
      <c r="N441" t="s">
        <v>158</v>
      </c>
      <c r="O441" s="3" t="s">
        <v>1482</v>
      </c>
      <c r="P441" s="3" t="s">
        <v>1482</v>
      </c>
      <c r="Q441" s="3" t="s">
        <v>1482</v>
      </c>
      <c r="R441" s="3" t="s">
        <v>1482</v>
      </c>
      <c r="S441" s="3" t="s">
        <v>1482</v>
      </c>
      <c r="T441" s="3" t="s">
        <v>1482</v>
      </c>
    </row>
    <row r="442" spans="1:20">
      <c r="A442" t="s">
        <v>747</v>
      </c>
      <c r="B442" t="s">
        <v>20</v>
      </c>
      <c r="C442" t="s">
        <v>21</v>
      </c>
      <c r="D442" t="s">
        <v>748</v>
      </c>
      <c r="E442" s="2">
        <v>46179</v>
      </c>
      <c r="F442" s="2">
        <v>46179</v>
      </c>
      <c r="G442" t="s">
        <v>20</v>
      </c>
      <c r="H442" s="2">
        <v>46179</v>
      </c>
      <c r="I442" s="2">
        <v>46179</v>
      </c>
      <c r="J442" t="s">
        <v>20</v>
      </c>
      <c r="K442">
        <v>-99.39</v>
      </c>
      <c r="L442">
        <v>-99.39</v>
      </c>
      <c r="M442">
        <v>-99.39</v>
      </c>
      <c r="N442" t="s">
        <v>158</v>
      </c>
      <c r="O442" s="3" t="s">
        <v>1482</v>
      </c>
      <c r="P442" s="3" t="s">
        <v>1482</v>
      </c>
      <c r="Q442" s="3" t="s">
        <v>1482</v>
      </c>
      <c r="R442" s="3" t="s">
        <v>1482</v>
      </c>
      <c r="S442" s="3" t="s">
        <v>1482</v>
      </c>
      <c r="T442" s="3" t="s">
        <v>1482</v>
      </c>
    </row>
    <row r="443" spans="1:20">
      <c r="A443" t="s">
        <v>749</v>
      </c>
      <c r="B443" t="s">
        <v>20</v>
      </c>
      <c r="C443" t="s">
        <v>21</v>
      </c>
      <c r="D443" t="s">
        <v>750</v>
      </c>
      <c r="E443" s="2">
        <v>46179</v>
      </c>
      <c r="F443" s="2">
        <v>46179</v>
      </c>
      <c r="G443" t="s">
        <v>20</v>
      </c>
      <c r="H443" s="2">
        <v>46179</v>
      </c>
      <c r="I443" s="2">
        <v>46179</v>
      </c>
      <c r="J443" t="s">
        <v>20</v>
      </c>
      <c r="K443">
        <v>-52.52</v>
      </c>
      <c r="L443">
        <v>-52.52</v>
      </c>
      <c r="M443">
        <v>-52.52</v>
      </c>
      <c r="N443" t="s">
        <v>158</v>
      </c>
      <c r="O443" s="3" t="s">
        <v>1482</v>
      </c>
      <c r="P443" s="3" t="s">
        <v>1482</v>
      </c>
      <c r="Q443" s="3" t="s">
        <v>1482</v>
      </c>
      <c r="R443" s="3" t="s">
        <v>1482</v>
      </c>
      <c r="S443" s="3" t="s">
        <v>1482</v>
      </c>
      <c r="T443" s="3" t="s">
        <v>1482</v>
      </c>
    </row>
    <row r="444" spans="1:20">
      <c r="A444" t="s">
        <v>751</v>
      </c>
      <c r="B444" t="s">
        <v>20</v>
      </c>
      <c r="C444" t="s">
        <v>21</v>
      </c>
      <c r="D444" t="s">
        <v>752</v>
      </c>
      <c r="E444" s="2">
        <v>46179</v>
      </c>
      <c r="F444" s="2">
        <v>46179</v>
      </c>
      <c r="G444" t="s">
        <v>20</v>
      </c>
      <c r="H444" s="2">
        <v>46179</v>
      </c>
      <c r="I444" s="2">
        <v>46179</v>
      </c>
      <c r="J444" t="s">
        <v>20</v>
      </c>
      <c r="K444">
        <v>-66.260000000000005</v>
      </c>
      <c r="L444">
        <v>-66.260000000000005</v>
      </c>
      <c r="M444">
        <v>-66.260000000000005</v>
      </c>
      <c r="N444" t="s">
        <v>158</v>
      </c>
      <c r="O444" s="3" t="s">
        <v>1482</v>
      </c>
      <c r="P444" s="3" t="s">
        <v>1482</v>
      </c>
      <c r="Q444" s="3" t="s">
        <v>1482</v>
      </c>
      <c r="R444" s="3" t="s">
        <v>1482</v>
      </c>
      <c r="S444" s="3" t="s">
        <v>1482</v>
      </c>
      <c r="T444" s="3" t="s">
        <v>1482</v>
      </c>
    </row>
    <row r="445" spans="1:20">
      <c r="A445" t="s">
        <v>753</v>
      </c>
      <c r="B445" t="s">
        <v>20</v>
      </c>
      <c r="C445" t="s">
        <v>21</v>
      </c>
      <c r="D445" t="s">
        <v>754</v>
      </c>
      <c r="E445" s="2">
        <v>46179</v>
      </c>
      <c r="F445" s="2">
        <v>46179</v>
      </c>
      <c r="G445" t="s">
        <v>20</v>
      </c>
      <c r="H445" s="2">
        <v>46179</v>
      </c>
      <c r="I445" s="2">
        <v>46179</v>
      </c>
      <c r="J445" t="s">
        <v>20</v>
      </c>
      <c r="K445">
        <v>-66.260000000000005</v>
      </c>
      <c r="L445">
        <v>-66.260000000000005</v>
      </c>
      <c r="M445">
        <v>-66.260000000000005</v>
      </c>
      <c r="N445" t="s">
        <v>158</v>
      </c>
      <c r="O445" s="3" t="s">
        <v>1482</v>
      </c>
      <c r="P445" s="3" t="s">
        <v>1482</v>
      </c>
      <c r="Q445" s="3" t="s">
        <v>1482</v>
      </c>
      <c r="R445" s="3" t="s">
        <v>1482</v>
      </c>
      <c r="S445" s="3" t="s">
        <v>1482</v>
      </c>
      <c r="T445" s="3" t="s">
        <v>1482</v>
      </c>
    </row>
    <row r="446" spans="1:20">
      <c r="A446" t="s">
        <v>755</v>
      </c>
      <c r="B446" t="s">
        <v>20</v>
      </c>
      <c r="C446" t="s">
        <v>21</v>
      </c>
      <c r="D446" t="s">
        <v>756</v>
      </c>
      <c r="E446" s="2">
        <v>46179</v>
      </c>
      <c r="F446" s="2">
        <v>46179</v>
      </c>
      <c r="G446" t="s">
        <v>20</v>
      </c>
      <c r="H446" s="2">
        <v>46179</v>
      </c>
      <c r="I446" s="2">
        <v>46179</v>
      </c>
      <c r="J446" t="s">
        <v>20</v>
      </c>
      <c r="K446">
        <v>-60.07</v>
      </c>
      <c r="L446">
        <v>-60.07</v>
      </c>
      <c r="M446">
        <v>-60.07</v>
      </c>
      <c r="N446" t="s">
        <v>158</v>
      </c>
      <c r="O446" s="3" t="s">
        <v>1482</v>
      </c>
      <c r="P446" s="3" t="s">
        <v>1482</v>
      </c>
      <c r="Q446" s="3" t="s">
        <v>1482</v>
      </c>
      <c r="R446" s="3" t="s">
        <v>1482</v>
      </c>
      <c r="S446" s="3" t="s">
        <v>1482</v>
      </c>
      <c r="T446" s="3" t="s">
        <v>1482</v>
      </c>
    </row>
    <row r="447" spans="1:20">
      <c r="A447" t="s">
        <v>757</v>
      </c>
      <c r="B447" t="s">
        <v>20</v>
      </c>
      <c r="C447" t="s">
        <v>21</v>
      </c>
      <c r="D447" t="s">
        <v>758</v>
      </c>
      <c r="E447" s="2">
        <v>46179</v>
      </c>
      <c r="F447" s="2">
        <v>46179</v>
      </c>
      <c r="G447" t="s">
        <v>20</v>
      </c>
      <c r="H447" s="2">
        <v>46179</v>
      </c>
      <c r="I447" s="2">
        <v>46179</v>
      </c>
      <c r="J447" t="s">
        <v>20</v>
      </c>
      <c r="K447">
        <v>-99.39</v>
      </c>
      <c r="L447">
        <v>-99.39</v>
      </c>
      <c r="M447">
        <v>-99.39</v>
      </c>
      <c r="N447" t="s">
        <v>158</v>
      </c>
      <c r="O447" s="3" t="s">
        <v>1482</v>
      </c>
      <c r="P447" s="3" t="s">
        <v>1482</v>
      </c>
      <c r="Q447" s="3" t="s">
        <v>1482</v>
      </c>
      <c r="R447" s="3" t="s">
        <v>1482</v>
      </c>
      <c r="S447" s="3" t="s">
        <v>1482</v>
      </c>
      <c r="T447" s="3" t="s">
        <v>1482</v>
      </c>
    </row>
    <row r="448" spans="1:20">
      <c r="A448" t="s">
        <v>759</v>
      </c>
      <c r="B448" t="s">
        <v>20</v>
      </c>
      <c r="C448" t="s">
        <v>21</v>
      </c>
      <c r="D448" t="s">
        <v>760</v>
      </c>
      <c r="E448" s="2">
        <v>46179</v>
      </c>
      <c r="F448" s="2">
        <v>46179</v>
      </c>
      <c r="G448" t="s">
        <v>20</v>
      </c>
      <c r="H448" s="2">
        <v>46179</v>
      </c>
      <c r="I448" s="2">
        <v>46179</v>
      </c>
      <c r="J448" t="s">
        <v>20</v>
      </c>
      <c r="K448">
        <v>-49.24</v>
      </c>
      <c r="L448">
        <v>-49.24</v>
      </c>
      <c r="M448">
        <v>-49.24</v>
      </c>
      <c r="N448" t="s">
        <v>158</v>
      </c>
      <c r="O448" s="3" t="s">
        <v>1482</v>
      </c>
      <c r="P448" s="3" t="s">
        <v>1482</v>
      </c>
      <c r="Q448" s="3" t="s">
        <v>1482</v>
      </c>
      <c r="R448" s="3" t="s">
        <v>1482</v>
      </c>
      <c r="S448" s="3" t="s">
        <v>1482</v>
      </c>
      <c r="T448" s="3" t="s">
        <v>1482</v>
      </c>
    </row>
    <row r="449" spans="1:20">
      <c r="A449" t="s">
        <v>761</v>
      </c>
      <c r="B449" t="s">
        <v>20</v>
      </c>
      <c r="C449" t="s">
        <v>21</v>
      </c>
      <c r="D449" t="s">
        <v>762</v>
      </c>
      <c r="E449" s="2">
        <v>46179</v>
      </c>
      <c r="F449" s="2">
        <v>46179</v>
      </c>
      <c r="G449" t="s">
        <v>20</v>
      </c>
      <c r="H449" s="2">
        <v>46179</v>
      </c>
      <c r="I449" s="2">
        <v>46179</v>
      </c>
      <c r="J449" t="s">
        <v>20</v>
      </c>
      <c r="K449">
        <v>-33.130000000000003</v>
      </c>
      <c r="L449">
        <v>-33.130000000000003</v>
      </c>
      <c r="M449">
        <v>-33.130000000000003</v>
      </c>
      <c r="N449" t="s">
        <v>158</v>
      </c>
      <c r="O449" s="3" t="s">
        <v>1482</v>
      </c>
      <c r="P449" s="3" t="s">
        <v>1482</v>
      </c>
      <c r="Q449" s="3" t="s">
        <v>1482</v>
      </c>
      <c r="R449" s="3" t="s">
        <v>1482</v>
      </c>
      <c r="S449" s="3" t="s">
        <v>1482</v>
      </c>
      <c r="T449" s="3" t="s">
        <v>1482</v>
      </c>
    </row>
    <row r="450" spans="1:20">
      <c r="A450" t="s">
        <v>763</v>
      </c>
      <c r="B450" t="s">
        <v>20</v>
      </c>
      <c r="C450" t="s">
        <v>21</v>
      </c>
      <c r="D450" t="s">
        <v>764</v>
      </c>
      <c r="E450" s="2">
        <v>46179</v>
      </c>
      <c r="F450" s="2">
        <v>46179</v>
      </c>
      <c r="G450" t="s">
        <v>20</v>
      </c>
      <c r="H450" s="2">
        <v>46179</v>
      </c>
      <c r="I450" s="2">
        <v>46179</v>
      </c>
      <c r="J450" t="s">
        <v>20</v>
      </c>
      <c r="K450">
        <v>-198.78</v>
      </c>
      <c r="L450">
        <v>-198.78</v>
      </c>
      <c r="M450">
        <v>-198.78</v>
      </c>
      <c r="N450" t="s">
        <v>158</v>
      </c>
      <c r="O450" s="3" t="s">
        <v>1482</v>
      </c>
      <c r="P450" s="3" t="s">
        <v>1482</v>
      </c>
      <c r="Q450" s="3" t="s">
        <v>1482</v>
      </c>
      <c r="R450" s="3" t="s">
        <v>1482</v>
      </c>
      <c r="S450" s="3" t="s">
        <v>1482</v>
      </c>
      <c r="T450" s="3" t="s">
        <v>1482</v>
      </c>
    </row>
    <row r="451" spans="1:20">
      <c r="A451" t="s">
        <v>765</v>
      </c>
      <c r="B451" t="s">
        <v>20</v>
      </c>
      <c r="C451" t="s">
        <v>21</v>
      </c>
      <c r="D451" t="s">
        <v>766</v>
      </c>
      <c r="E451" s="2">
        <v>46179</v>
      </c>
      <c r="F451" s="2">
        <v>46179</v>
      </c>
      <c r="G451" t="s">
        <v>20</v>
      </c>
      <c r="H451" s="2">
        <v>46179</v>
      </c>
      <c r="I451" s="2">
        <v>46179</v>
      </c>
      <c r="J451" t="s">
        <v>20</v>
      </c>
      <c r="K451">
        <v>-33.130000000000003</v>
      </c>
      <c r="L451">
        <v>-33.130000000000003</v>
      </c>
      <c r="M451">
        <v>-33.130000000000003</v>
      </c>
      <c r="N451" t="s">
        <v>158</v>
      </c>
      <c r="O451" s="3" t="s">
        <v>1482</v>
      </c>
      <c r="P451" s="3" t="s">
        <v>1482</v>
      </c>
      <c r="Q451" s="3" t="s">
        <v>1482</v>
      </c>
      <c r="R451" s="3" t="s">
        <v>1482</v>
      </c>
      <c r="S451" s="3" t="s">
        <v>1482</v>
      </c>
      <c r="T451" s="3" t="s">
        <v>1482</v>
      </c>
    </row>
    <row r="452" spans="1:20">
      <c r="A452" t="s">
        <v>767</v>
      </c>
      <c r="B452" t="s">
        <v>20</v>
      </c>
      <c r="C452" t="s">
        <v>21</v>
      </c>
      <c r="D452" t="s">
        <v>768</v>
      </c>
      <c r="E452" s="2">
        <v>46179</v>
      </c>
      <c r="F452" s="2">
        <v>46179</v>
      </c>
      <c r="G452" t="s">
        <v>20</v>
      </c>
      <c r="H452" s="2">
        <v>46179</v>
      </c>
      <c r="I452" s="2">
        <v>46179</v>
      </c>
      <c r="J452" t="s">
        <v>20</v>
      </c>
      <c r="K452">
        <v>-52.52</v>
      </c>
      <c r="L452">
        <v>-52.52</v>
      </c>
      <c r="M452">
        <v>-52.52</v>
      </c>
      <c r="N452" t="s">
        <v>158</v>
      </c>
      <c r="O452" s="3" t="s">
        <v>1482</v>
      </c>
      <c r="P452" s="3" t="s">
        <v>1482</v>
      </c>
      <c r="Q452" s="3" t="s">
        <v>1482</v>
      </c>
      <c r="R452" s="3" t="s">
        <v>1482</v>
      </c>
      <c r="S452" s="3" t="s">
        <v>1482</v>
      </c>
      <c r="T452" s="3" t="s">
        <v>1482</v>
      </c>
    </row>
    <row r="453" spans="1:20">
      <c r="A453" t="s">
        <v>769</v>
      </c>
      <c r="B453" t="s">
        <v>20</v>
      </c>
      <c r="C453" t="s">
        <v>21</v>
      </c>
      <c r="D453" t="s">
        <v>770</v>
      </c>
      <c r="E453" s="2">
        <v>46179</v>
      </c>
      <c r="F453" s="2">
        <v>46179</v>
      </c>
      <c r="G453" t="s">
        <v>20</v>
      </c>
      <c r="H453" s="2">
        <v>46179</v>
      </c>
      <c r="I453" s="2">
        <v>46179</v>
      </c>
      <c r="J453" t="s">
        <v>20</v>
      </c>
      <c r="K453">
        <v>-132.52000000000001</v>
      </c>
      <c r="L453">
        <v>-132.52000000000001</v>
      </c>
      <c r="M453">
        <v>-132.52000000000001</v>
      </c>
      <c r="N453" t="s">
        <v>158</v>
      </c>
      <c r="O453" s="3" t="s">
        <v>1482</v>
      </c>
      <c r="P453" s="3" t="s">
        <v>1482</v>
      </c>
      <c r="Q453" s="3" t="s">
        <v>1482</v>
      </c>
      <c r="R453" s="3" t="s">
        <v>1482</v>
      </c>
      <c r="S453" s="3" t="s">
        <v>1482</v>
      </c>
      <c r="T453" s="3" t="s">
        <v>1482</v>
      </c>
    </row>
    <row r="454" spans="1:20">
      <c r="A454" t="s">
        <v>771</v>
      </c>
      <c r="B454" t="s">
        <v>20</v>
      </c>
      <c r="C454" t="s">
        <v>21</v>
      </c>
      <c r="D454" t="s">
        <v>772</v>
      </c>
      <c r="E454" s="2">
        <v>46179</v>
      </c>
      <c r="F454" s="2">
        <v>46179</v>
      </c>
      <c r="G454" t="s">
        <v>20</v>
      </c>
      <c r="H454" s="2">
        <v>46179</v>
      </c>
      <c r="I454" s="2">
        <v>46179</v>
      </c>
      <c r="J454" t="s">
        <v>20</v>
      </c>
      <c r="K454">
        <v>-71.900000000000006</v>
      </c>
      <c r="L454">
        <v>-71.900000000000006</v>
      </c>
      <c r="M454">
        <v>-71.900000000000006</v>
      </c>
      <c r="N454" t="s">
        <v>158</v>
      </c>
      <c r="O454" s="3" t="s">
        <v>1482</v>
      </c>
      <c r="P454" s="3" t="s">
        <v>1482</v>
      </c>
      <c r="Q454" s="3" t="s">
        <v>1482</v>
      </c>
      <c r="R454" s="3" t="s">
        <v>1482</v>
      </c>
      <c r="S454" s="3" t="s">
        <v>1482</v>
      </c>
      <c r="T454" s="3" t="s">
        <v>1482</v>
      </c>
    </row>
    <row r="455" spans="1:20">
      <c r="A455" t="s">
        <v>773</v>
      </c>
      <c r="B455" t="s">
        <v>20</v>
      </c>
      <c r="C455" t="s">
        <v>21</v>
      </c>
      <c r="D455" t="s">
        <v>774</v>
      </c>
      <c r="E455" s="2">
        <v>46179</v>
      </c>
      <c r="F455" s="2">
        <v>46179</v>
      </c>
      <c r="G455" t="s">
        <v>20</v>
      </c>
      <c r="H455" s="2">
        <v>46179</v>
      </c>
      <c r="I455" s="2">
        <v>46179</v>
      </c>
      <c r="J455" t="s">
        <v>20</v>
      </c>
      <c r="K455">
        <v>-98.48</v>
      </c>
      <c r="L455">
        <v>-98.48</v>
      </c>
      <c r="M455">
        <v>-98.48</v>
      </c>
      <c r="N455" t="s">
        <v>158</v>
      </c>
      <c r="O455" s="3" t="s">
        <v>1482</v>
      </c>
      <c r="P455" s="3" t="s">
        <v>1482</v>
      </c>
      <c r="Q455" s="3" t="s">
        <v>1482</v>
      </c>
      <c r="R455" s="3" t="s">
        <v>1482</v>
      </c>
      <c r="S455" s="3" t="s">
        <v>1482</v>
      </c>
      <c r="T455" s="3" t="s">
        <v>1482</v>
      </c>
    </row>
    <row r="456" spans="1:20">
      <c r="A456" t="s">
        <v>775</v>
      </c>
      <c r="B456" t="s">
        <v>20</v>
      </c>
      <c r="C456" t="s">
        <v>21</v>
      </c>
      <c r="D456" t="s">
        <v>776</v>
      </c>
      <c r="E456" s="2">
        <v>46179</v>
      </c>
      <c r="F456" s="2">
        <v>46179</v>
      </c>
      <c r="G456" t="s">
        <v>20</v>
      </c>
      <c r="H456" s="2">
        <v>46179</v>
      </c>
      <c r="I456" s="2">
        <v>46179</v>
      </c>
      <c r="J456" t="s">
        <v>20</v>
      </c>
      <c r="K456">
        <v>-150.16999999999999</v>
      </c>
      <c r="L456">
        <v>-150.16999999999999</v>
      </c>
      <c r="M456">
        <v>-150.16999999999999</v>
      </c>
      <c r="N456" t="s">
        <v>158</v>
      </c>
      <c r="O456" s="3" t="s">
        <v>1482</v>
      </c>
      <c r="P456" s="3" t="s">
        <v>1482</v>
      </c>
      <c r="Q456" s="3" t="s">
        <v>1482</v>
      </c>
      <c r="R456" s="3" t="s">
        <v>1482</v>
      </c>
      <c r="S456" s="3" t="s">
        <v>1482</v>
      </c>
      <c r="T456" s="3" t="s">
        <v>1482</v>
      </c>
    </row>
    <row r="457" spans="1:20">
      <c r="A457" t="s">
        <v>777</v>
      </c>
      <c r="B457" t="s">
        <v>20</v>
      </c>
      <c r="C457" t="s">
        <v>21</v>
      </c>
      <c r="D457" t="s">
        <v>778</v>
      </c>
      <c r="E457" s="2">
        <v>46179</v>
      </c>
      <c r="F457" s="2">
        <v>46179</v>
      </c>
      <c r="G457" t="s">
        <v>20</v>
      </c>
      <c r="H457" s="2">
        <v>46179</v>
      </c>
      <c r="I457" s="2">
        <v>46179</v>
      </c>
      <c r="J457" t="s">
        <v>20</v>
      </c>
      <c r="K457">
        <v>-198.78</v>
      </c>
      <c r="L457">
        <v>-198.78</v>
      </c>
      <c r="M457">
        <v>-198.78</v>
      </c>
      <c r="N457" t="s">
        <v>158</v>
      </c>
      <c r="O457" s="3" t="s">
        <v>1482</v>
      </c>
      <c r="P457" s="3" t="s">
        <v>1482</v>
      </c>
      <c r="Q457" s="3" t="s">
        <v>1482</v>
      </c>
      <c r="R457" s="3" t="s">
        <v>1482</v>
      </c>
      <c r="S457" s="3" t="s">
        <v>1482</v>
      </c>
      <c r="T457" s="3" t="s">
        <v>1482</v>
      </c>
    </row>
    <row r="458" spans="1:20">
      <c r="A458" t="s">
        <v>779</v>
      </c>
      <c r="B458" t="s">
        <v>20</v>
      </c>
      <c r="C458" t="s">
        <v>21</v>
      </c>
      <c r="D458" t="s">
        <v>780</v>
      </c>
      <c r="E458" s="2">
        <v>46179</v>
      </c>
      <c r="F458" s="2">
        <v>46179</v>
      </c>
      <c r="G458" t="s">
        <v>20</v>
      </c>
      <c r="H458" s="2">
        <v>46179</v>
      </c>
      <c r="I458" s="2">
        <v>46179</v>
      </c>
      <c r="J458" t="s">
        <v>20</v>
      </c>
      <c r="K458">
        <v>-154.63999999999999</v>
      </c>
      <c r="L458">
        <v>-154.63999999999999</v>
      </c>
      <c r="M458">
        <v>-154.63999999999999</v>
      </c>
      <c r="N458" t="s">
        <v>158</v>
      </c>
      <c r="O458" s="3" t="s">
        <v>1482</v>
      </c>
      <c r="P458" s="3" t="s">
        <v>1482</v>
      </c>
      <c r="Q458" s="3" t="s">
        <v>1482</v>
      </c>
      <c r="R458" s="3" t="s">
        <v>1482</v>
      </c>
      <c r="S458" s="3" t="s">
        <v>1482</v>
      </c>
      <c r="T458" s="3" t="s">
        <v>1482</v>
      </c>
    </row>
    <row r="459" spans="1:20">
      <c r="A459" t="s">
        <v>781</v>
      </c>
      <c r="B459" t="s">
        <v>20</v>
      </c>
      <c r="C459" t="s">
        <v>21</v>
      </c>
      <c r="D459" t="s">
        <v>782</v>
      </c>
      <c r="E459" s="2">
        <v>46179</v>
      </c>
      <c r="F459" s="2">
        <v>46179</v>
      </c>
      <c r="G459" t="s">
        <v>20</v>
      </c>
      <c r="H459" s="2">
        <v>46179</v>
      </c>
      <c r="I459" s="2">
        <v>46179</v>
      </c>
      <c r="J459" t="s">
        <v>20</v>
      </c>
      <c r="K459">
        <v>-99.39</v>
      </c>
      <c r="L459">
        <v>-99.39</v>
      </c>
      <c r="M459">
        <v>-99.39</v>
      </c>
      <c r="N459" t="s">
        <v>158</v>
      </c>
      <c r="O459" s="3" t="s">
        <v>1482</v>
      </c>
      <c r="P459" s="3" t="s">
        <v>1482</v>
      </c>
      <c r="Q459" s="3" t="s">
        <v>1482</v>
      </c>
      <c r="R459" s="3" t="s">
        <v>1482</v>
      </c>
      <c r="S459" s="3" t="s">
        <v>1482</v>
      </c>
      <c r="T459" s="3" t="s">
        <v>1482</v>
      </c>
    </row>
    <row r="460" spans="1:20">
      <c r="A460" t="s">
        <v>783</v>
      </c>
      <c r="B460" t="s">
        <v>20</v>
      </c>
      <c r="C460" t="s">
        <v>21</v>
      </c>
      <c r="D460" t="s">
        <v>784</v>
      </c>
      <c r="E460" s="2">
        <v>46179</v>
      </c>
      <c r="F460" s="2">
        <v>46179</v>
      </c>
      <c r="G460" t="s">
        <v>20</v>
      </c>
      <c r="H460" s="2">
        <v>46179</v>
      </c>
      <c r="I460" s="2">
        <v>46179</v>
      </c>
      <c r="J460" t="s">
        <v>20</v>
      </c>
      <c r="K460">
        <v>-86.33</v>
      </c>
      <c r="L460">
        <v>-86.33</v>
      </c>
      <c r="M460">
        <v>-86.33</v>
      </c>
      <c r="N460" t="s">
        <v>158</v>
      </c>
      <c r="O460" s="3" t="s">
        <v>1482</v>
      </c>
      <c r="P460" s="3" t="s">
        <v>1482</v>
      </c>
      <c r="Q460" s="3" t="s">
        <v>1482</v>
      </c>
      <c r="R460" s="3" t="s">
        <v>1482</v>
      </c>
      <c r="S460" s="3" t="s">
        <v>1482</v>
      </c>
      <c r="T460" s="3" t="s">
        <v>1482</v>
      </c>
    </row>
    <row r="461" spans="1:20">
      <c r="A461" t="s">
        <v>785</v>
      </c>
      <c r="B461" t="s">
        <v>20</v>
      </c>
      <c r="C461" t="s">
        <v>21</v>
      </c>
      <c r="D461" t="s">
        <v>786</v>
      </c>
      <c r="E461" s="2">
        <v>46179</v>
      </c>
      <c r="F461" s="2">
        <v>46179</v>
      </c>
      <c r="G461" t="s">
        <v>20</v>
      </c>
      <c r="H461" s="2">
        <v>46179</v>
      </c>
      <c r="I461" s="2">
        <v>46179</v>
      </c>
      <c r="J461" t="s">
        <v>20</v>
      </c>
      <c r="K461">
        <v>-49.24</v>
      </c>
      <c r="L461">
        <v>-49.24</v>
      </c>
      <c r="M461">
        <v>-49.24</v>
      </c>
      <c r="N461" t="s">
        <v>158</v>
      </c>
      <c r="O461" s="3" t="s">
        <v>1482</v>
      </c>
      <c r="P461" s="3" t="s">
        <v>1482</v>
      </c>
      <c r="Q461" s="3" t="s">
        <v>1482</v>
      </c>
      <c r="R461" s="3" t="s">
        <v>1482</v>
      </c>
      <c r="S461" s="3" t="s">
        <v>1482</v>
      </c>
      <c r="T461" s="3" t="s">
        <v>1482</v>
      </c>
    </row>
    <row r="462" spans="1:20">
      <c r="A462" t="s">
        <v>787</v>
      </c>
      <c r="B462" t="s">
        <v>20</v>
      </c>
      <c r="C462" t="s">
        <v>21</v>
      </c>
      <c r="D462" t="s">
        <v>788</v>
      </c>
      <c r="E462" s="2">
        <v>46179</v>
      </c>
      <c r="F462" s="2">
        <v>46179</v>
      </c>
      <c r="G462" t="s">
        <v>20</v>
      </c>
      <c r="H462" s="2">
        <v>46179</v>
      </c>
      <c r="I462" s="2">
        <v>46179</v>
      </c>
      <c r="J462" t="s">
        <v>20</v>
      </c>
      <c r="K462">
        <v>-26.26</v>
      </c>
      <c r="L462">
        <v>-26.26</v>
      </c>
      <c r="M462">
        <v>-26.26</v>
      </c>
      <c r="N462" t="s">
        <v>158</v>
      </c>
      <c r="O462" s="3" t="s">
        <v>1482</v>
      </c>
      <c r="P462" s="3" t="s">
        <v>1482</v>
      </c>
      <c r="Q462" s="3" t="s">
        <v>1482</v>
      </c>
      <c r="R462" s="3" t="s">
        <v>1482</v>
      </c>
      <c r="S462" s="3" t="s">
        <v>1482</v>
      </c>
      <c r="T462" s="3" t="s">
        <v>1482</v>
      </c>
    </row>
    <row r="463" spans="1:20">
      <c r="A463" t="s">
        <v>789</v>
      </c>
      <c r="B463" t="s">
        <v>20</v>
      </c>
      <c r="C463" t="s">
        <v>21</v>
      </c>
      <c r="D463" t="s">
        <v>790</v>
      </c>
      <c r="E463" s="2">
        <v>46179</v>
      </c>
      <c r="F463" s="2">
        <v>46179</v>
      </c>
      <c r="G463" t="s">
        <v>20</v>
      </c>
      <c r="H463" s="2">
        <v>46179</v>
      </c>
      <c r="I463" s="2">
        <v>46179</v>
      </c>
      <c r="J463" t="s">
        <v>20</v>
      </c>
      <c r="K463">
        <v>-78.78</v>
      </c>
      <c r="L463">
        <v>-78.78</v>
      </c>
      <c r="M463">
        <v>-78.78</v>
      </c>
      <c r="N463" t="s">
        <v>158</v>
      </c>
      <c r="O463" s="3" t="s">
        <v>1482</v>
      </c>
      <c r="P463" s="3" t="s">
        <v>1482</v>
      </c>
      <c r="Q463" s="3" t="s">
        <v>1482</v>
      </c>
      <c r="R463" s="3" t="s">
        <v>1482</v>
      </c>
      <c r="S463" s="3" t="s">
        <v>1482</v>
      </c>
      <c r="T463" s="3" t="s">
        <v>1482</v>
      </c>
    </row>
    <row r="464" spans="1:20">
      <c r="A464" t="s">
        <v>791</v>
      </c>
      <c r="B464" t="s">
        <v>20</v>
      </c>
      <c r="C464" t="s">
        <v>21</v>
      </c>
      <c r="D464" t="s">
        <v>792</v>
      </c>
      <c r="E464" s="2">
        <v>46179</v>
      </c>
      <c r="F464" s="2">
        <v>46179</v>
      </c>
      <c r="G464" t="s">
        <v>20</v>
      </c>
      <c r="H464" s="2">
        <v>46179</v>
      </c>
      <c r="I464" s="2">
        <v>46179</v>
      </c>
      <c r="J464" t="s">
        <v>20</v>
      </c>
      <c r="K464">
        <v>-55.54</v>
      </c>
      <c r="L464">
        <v>-55.54</v>
      </c>
      <c r="M464">
        <v>-55.54</v>
      </c>
      <c r="N464" t="s">
        <v>158</v>
      </c>
      <c r="O464" s="3" t="s">
        <v>1482</v>
      </c>
      <c r="P464" s="3" t="s">
        <v>1482</v>
      </c>
      <c r="Q464" s="3" t="s">
        <v>1482</v>
      </c>
      <c r="R464" s="3" t="s">
        <v>1482</v>
      </c>
      <c r="S464" s="3" t="s">
        <v>1482</v>
      </c>
      <c r="T464" s="3" t="s">
        <v>1482</v>
      </c>
    </row>
    <row r="465" spans="1:20">
      <c r="A465" t="s">
        <v>793</v>
      </c>
      <c r="B465" t="s">
        <v>20</v>
      </c>
      <c r="C465" t="s">
        <v>21</v>
      </c>
      <c r="D465" t="s">
        <v>794</v>
      </c>
      <c r="E465" s="2">
        <v>46179</v>
      </c>
      <c r="F465" s="2">
        <v>46179</v>
      </c>
      <c r="G465" t="s">
        <v>20</v>
      </c>
      <c r="H465" s="2">
        <v>46179</v>
      </c>
      <c r="I465" s="2">
        <v>46179</v>
      </c>
      <c r="J465" t="s">
        <v>20</v>
      </c>
      <c r="K465">
        <v>-189.74</v>
      </c>
      <c r="L465">
        <v>-189.74</v>
      </c>
      <c r="M465">
        <v>-189.74</v>
      </c>
      <c r="N465" t="s">
        <v>158</v>
      </c>
      <c r="O465" s="3" t="s">
        <v>1482</v>
      </c>
      <c r="P465" s="3" t="s">
        <v>1482</v>
      </c>
      <c r="Q465" s="3" t="s">
        <v>1482</v>
      </c>
      <c r="R465" s="3" t="s">
        <v>1482</v>
      </c>
      <c r="S465" s="3" t="s">
        <v>1482</v>
      </c>
      <c r="T465" s="3" t="s">
        <v>1482</v>
      </c>
    </row>
    <row r="466" spans="1:20">
      <c r="A466" t="s">
        <v>795</v>
      </c>
      <c r="B466" t="s">
        <v>20</v>
      </c>
      <c r="C466" t="s">
        <v>21</v>
      </c>
      <c r="D466" t="s">
        <v>796</v>
      </c>
      <c r="E466" s="2">
        <v>46179</v>
      </c>
      <c r="F466" s="2">
        <v>46179</v>
      </c>
      <c r="G466" t="s">
        <v>20</v>
      </c>
      <c r="H466" s="2">
        <v>46179</v>
      </c>
      <c r="I466" s="2">
        <v>46179</v>
      </c>
      <c r="J466" t="s">
        <v>20</v>
      </c>
      <c r="K466">
        <v>-105.03</v>
      </c>
      <c r="L466">
        <v>-105.03</v>
      </c>
      <c r="M466">
        <v>-105.03</v>
      </c>
      <c r="N466" t="s">
        <v>158</v>
      </c>
      <c r="O466" s="3" t="s">
        <v>1482</v>
      </c>
      <c r="P466" s="3" t="s">
        <v>1482</v>
      </c>
      <c r="Q466" s="3" t="s">
        <v>1482</v>
      </c>
      <c r="R466" s="3" t="s">
        <v>1482</v>
      </c>
      <c r="S466" s="3" t="s">
        <v>1482</v>
      </c>
      <c r="T466" s="3" t="s">
        <v>1482</v>
      </c>
    </row>
    <row r="467" spans="1:20">
      <c r="A467" t="s">
        <v>797</v>
      </c>
      <c r="B467" t="s">
        <v>20</v>
      </c>
      <c r="C467" t="s">
        <v>21</v>
      </c>
      <c r="D467" t="s">
        <v>798</v>
      </c>
      <c r="E467" s="2">
        <v>46179</v>
      </c>
      <c r="F467" s="2">
        <v>46179</v>
      </c>
      <c r="G467" t="s">
        <v>20</v>
      </c>
      <c r="H467" s="2">
        <v>46179</v>
      </c>
      <c r="I467" s="2">
        <v>46179</v>
      </c>
      <c r="J467" t="s">
        <v>20</v>
      </c>
      <c r="K467">
        <v>-154.63999999999999</v>
      </c>
      <c r="L467">
        <v>-154.63999999999999</v>
      </c>
      <c r="M467">
        <v>-154.63999999999999</v>
      </c>
      <c r="N467" t="s">
        <v>158</v>
      </c>
      <c r="O467" s="3" t="s">
        <v>1482</v>
      </c>
      <c r="P467" s="3" t="s">
        <v>1482</v>
      </c>
      <c r="Q467" s="3" t="s">
        <v>1482</v>
      </c>
      <c r="R467" s="3" t="s">
        <v>1482</v>
      </c>
      <c r="S467" s="3" t="s">
        <v>1482</v>
      </c>
      <c r="T467" s="3" t="s">
        <v>1482</v>
      </c>
    </row>
    <row r="468" spans="1:20">
      <c r="A468" t="s">
        <v>799</v>
      </c>
      <c r="B468" t="s">
        <v>20</v>
      </c>
      <c r="C468" t="s">
        <v>21</v>
      </c>
      <c r="D468" t="s">
        <v>800</v>
      </c>
      <c r="E468" s="2">
        <v>46179</v>
      </c>
      <c r="F468" s="2">
        <v>46179</v>
      </c>
      <c r="G468" t="s">
        <v>20</v>
      </c>
      <c r="H468" s="2">
        <v>46179</v>
      </c>
      <c r="I468" s="2">
        <v>46179</v>
      </c>
      <c r="J468" t="s">
        <v>20</v>
      </c>
      <c r="K468">
        <v>-165.65</v>
      </c>
      <c r="L468">
        <v>-165.65</v>
      </c>
      <c r="M468">
        <v>-165.65</v>
      </c>
      <c r="N468" t="s">
        <v>158</v>
      </c>
      <c r="O468" s="3" t="s">
        <v>1482</v>
      </c>
      <c r="P468" s="3" t="s">
        <v>1482</v>
      </c>
      <c r="Q468" s="3" t="s">
        <v>1482</v>
      </c>
      <c r="R468" s="3" t="s">
        <v>1482</v>
      </c>
      <c r="S468" s="3" t="s">
        <v>1482</v>
      </c>
      <c r="T468" s="3" t="s">
        <v>1482</v>
      </c>
    </row>
    <row r="469" spans="1:20">
      <c r="A469" t="s">
        <v>801</v>
      </c>
      <c r="B469" t="s">
        <v>20</v>
      </c>
      <c r="C469" t="s">
        <v>21</v>
      </c>
      <c r="D469" t="s">
        <v>802</v>
      </c>
      <c r="E469" s="2">
        <v>46179</v>
      </c>
      <c r="F469" s="2">
        <v>46179</v>
      </c>
      <c r="G469" t="s">
        <v>20</v>
      </c>
      <c r="H469" s="2">
        <v>46179</v>
      </c>
      <c r="I469" s="2">
        <v>46179</v>
      </c>
      <c r="J469" t="s">
        <v>20</v>
      </c>
      <c r="K469">
        <v>-298.18</v>
      </c>
      <c r="L469">
        <v>-298.18</v>
      </c>
      <c r="M469">
        <v>-298.18</v>
      </c>
      <c r="N469" t="s">
        <v>158</v>
      </c>
      <c r="O469" s="3" t="s">
        <v>1482</v>
      </c>
      <c r="P469" s="3" t="s">
        <v>1482</v>
      </c>
      <c r="Q469" s="3" t="s">
        <v>1482</v>
      </c>
      <c r="R469" s="3" t="s">
        <v>1482</v>
      </c>
      <c r="S469" s="3" t="s">
        <v>1482</v>
      </c>
      <c r="T469" s="3" t="s">
        <v>1482</v>
      </c>
    </row>
    <row r="470" spans="1:20">
      <c r="A470" t="s">
        <v>803</v>
      </c>
      <c r="B470" t="s">
        <v>20</v>
      </c>
      <c r="C470" t="s">
        <v>21</v>
      </c>
      <c r="D470" t="s">
        <v>804</v>
      </c>
      <c r="E470" s="2">
        <v>46179</v>
      </c>
      <c r="F470" s="2">
        <v>46179</v>
      </c>
      <c r="G470" t="s">
        <v>20</v>
      </c>
      <c r="H470" s="2">
        <v>46179</v>
      </c>
      <c r="I470" s="2">
        <v>46179</v>
      </c>
      <c r="J470" t="s">
        <v>20</v>
      </c>
      <c r="K470">
        <v>-33.130000000000003</v>
      </c>
      <c r="L470">
        <v>-33.130000000000003</v>
      </c>
      <c r="M470">
        <v>-33.130000000000003</v>
      </c>
      <c r="N470" t="s">
        <v>158</v>
      </c>
      <c r="O470" s="3" t="s">
        <v>1482</v>
      </c>
      <c r="P470" s="3" t="s">
        <v>1482</v>
      </c>
      <c r="Q470" s="3" t="s">
        <v>1482</v>
      </c>
      <c r="R470" s="3" t="s">
        <v>1482</v>
      </c>
      <c r="S470" s="3" t="s">
        <v>1482</v>
      </c>
      <c r="T470" s="3" t="s">
        <v>1482</v>
      </c>
    </row>
    <row r="471" spans="1:20">
      <c r="A471" t="s">
        <v>805</v>
      </c>
      <c r="B471" t="s">
        <v>20</v>
      </c>
      <c r="C471" t="s">
        <v>21</v>
      </c>
      <c r="D471" t="s">
        <v>806</v>
      </c>
      <c r="E471" s="2">
        <v>46179</v>
      </c>
      <c r="F471" s="2">
        <v>46179</v>
      </c>
      <c r="G471" t="s">
        <v>20</v>
      </c>
      <c r="H471" s="2">
        <v>46179</v>
      </c>
      <c r="I471" s="2">
        <v>46179</v>
      </c>
      <c r="J471" t="s">
        <v>20</v>
      </c>
      <c r="K471">
        <v>-132.52000000000001</v>
      </c>
      <c r="L471">
        <v>-132.52000000000001</v>
      </c>
      <c r="M471">
        <v>-132.52000000000001</v>
      </c>
      <c r="N471" t="s">
        <v>158</v>
      </c>
      <c r="O471" s="3" t="s">
        <v>1482</v>
      </c>
      <c r="P471" s="3" t="s">
        <v>1482</v>
      </c>
      <c r="Q471" s="3" t="s">
        <v>1482</v>
      </c>
      <c r="R471" s="3" t="s">
        <v>1482</v>
      </c>
      <c r="S471" s="3" t="s">
        <v>1482</v>
      </c>
      <c r="T471" s="3" t="s">
        <v>1482</v>
      </c>
    </row>
    <row r="472" spans="1:20">
      <c r="A472" t="s">
        <v>807</v>
      </c>
      <c r="B472" t="s">
        <v>20</v>
      </c>
      <c r="C472" t="s">
        <v>21</v>
      </c>
      <c r="D472" t="s">
        <v>808</v>
      </c>
      <c r="E472" s="2">
        <v>46179</v>
      </c>
      <c r="F472" s="2">
        <v>46179</v>
      </c>
      <c r="G472" t="s">
        <v>20</v>
      </c>
      <c r="H472" s="2">
        <v>46179</v>
      </c>
      <c r="I472" s="2">
        <v>46179</v>
      </c>
      <c r="J472" t="s">
        <v>20</v>
      </c>
      <c r="K472">
        <v>-245.78</v>
      </c>
      <c r="L472">
        <v>-245.78</v>
      </c>
      <c r="M472">
        <v>-245.78</v>
      </c>
      <c r="N472" t="s">
        <v>158</v>
      </c>
      <c r="O472" s="3" t="s">
        <v>1482</v>
      </c>
      <c r="P472" s="3" t="s">
        <v>1482</v>
      </c>
      <c r="Q472" s="3" t="s">
        <v>1482</v>
      </c>
      <c r="R472" s="3" t="s">
        <v>1482</v>
      </c>
      <c r="S472" s="3" t="s">
        <v>1482</v>
      </c>
      <c r="T472" s="3" t="s">
        <v>1482</v>
      </c>
    </row>
    <row r="473" spans="1:20">
      <c r="A473" t="s">
        <v>809</v>
      </c>
      <c r="B473" t="s">
        <v>20</v>
      </c>
      <c r="C473" t="s">
        <v>21</v>
      </c>
      <c r="D473" t="s">
        <v>810</v>
      </c>
      <c r="E473" s="2">
        <v>46179</v>
      </c>
      <c r="F473" s="2">
        <v>46179</v>
      </c>
      <c r="G473" t="s">
        <v>20</v>
      </c>
      <c r="H473" s="2">
        <v>46179</v>
      </c>
      <c r="I473" s="2">
        <v>46179</v>
      </c>
      <c r="J473" t="s">
        <v>20</v>
      </c>
      <c r="K473">
        <v>-33.130000000000003</v>
      </c>
      <c r="L473">
        <v>-33.130000000000003</v>
      </c>
      <c r="M473">
        <v>-33.130000000000003</v>
      </c>
      <c r="N473" t="s">
        <v>158</v>
      </c>
      <c r="O473" s="3" t="s">
        <v>1482</v>
      </c>
      <c r="P473" s="3" t="s">
        <v>1482</v>
      </c>
      <c r="Q473" s="3" t="s">
        <v>1482</v>
      </c>
      <c r="R473" s="3" t="s">
        <v>1482</v>
      </c>
      <c r="S473" s="3" t="s">
        <v>1482</v>
      </c>
      <c r="T473" s="3" t="s">
        <v>1482</v>
      </c>
    </row>
    <row r="474" spans="1:20">
      <c r="A474" t="s">
        <v>811</v>
      </c>
      <c r="B474" t="s">
        <v>20</v>
      </c>
      <c r="C474" t="s">
        <v>21</v>
      </c>
      <c r="D474" t="s">
        <v>812</v>
      </c>
      <c r="E474" s="2">
        <v>46179</v>
      </c>
      <c r="F474" s="2">
        <v>46179</v>
      </c>
      <c r="G474" t="s">
        <v>20</v>
      </c>
      <c r="H474" s="2">
        <v>46179</v>
      </c>
      <c r="I474" s="2">
        <v>46179</v>
      </c>
      <c r="J474" t="s">
        <v>20</v>
      </c>
      <c r="K474">
        <v>-18.16</v>
      </c>
      <c r="L474">
        <v>-18.16</v>
      </c>
      <c r="M474">
        <v>-18.16</v>
      </c>
      <c r="N474" t="s">
        <v>158</v>
      </c>
      <c r="O474" s="3" t="s">
        <v>1482</v>
      </c>
      <c r="P474" s="3" t="s">
        <v>1482</v>
      </c>
      <c r="Q474" s="3" t="s">
        <v>1482</v>
      </c>
      <c r="R474" s="3" t="s">
        <v>1482</v>
      </c>
      <c r="S474" s="3" t="s">
        <v>1482</v>
      </c>
      <c r="T474" s="3" t="s">
        <v>1482</v>
      </c>
    </row>
    <row r="475" spans="1:20">
      <c r="A475" t="s">
        <v>813</v>
      </c>
      <c r="B475" t="s">
        <v>20</v>
      </c>
      <c r="C475" t="s">
        <v>21</v>
      </c>
      <c r="D475" t="s">
        <v>814</v>
      </c>
      <c r="E475" s="2">
        <v>46179</v>
      </c>
      <c r="F475" s="2">
        <v>46179</v>
      </c>
      <c r="G475" t="s">
        <v>20</v>
      </c>
      <c r="H475" s="2">
        <v>46179</v>
      </c>
      <c r="I475" s="2">
        <v>46179</v>
      </c>
      <c r="J475" t="s">
        <v>20</v>
      </c>
      <c r="K475">
        <v>-165.65</v>
      </c>
      <c r="L475">
        <v>-165.65</v>
      </c>
      <c r="M475">
        <v>-165.65</v>
      </c>
      <c r="N475" t="s">
        <v>158</v>
      </c>
      <c r="O475" s="3" t="s">
        <v>1482</v>
      </c>
      <c r="P475" s="3" t="s">
        <v>1482</v>
      </c>
      <c r="Q475" s="3" t="s">
        <v>1482</v>
      </c>
      <c r="R475" s="3" t="s">
        <v>1482</v>
      </c>
      <c r="S475" s="3" t="s">
        <v>1482</v>
      </c>
      <c r="T475" s="3" t="s">
        <v>1482</v>
      </c>
    </row>
    <row r="476" spans="1:20">
      <c r="A476" t="s">
        <v>815</v>
      </c>
      <c r="B476" t="s">
        <v>20</v>
      </c>
      <c r="C476" t="s">
        <v>21</v>
      </c>
      <c r="D476" t="s">
        <v>816</v>
      </c>
      <c r="E476" s="2">
        <v>46179</v>
      </c>
      <c r="F476" s="2">
        <v>46179</v>
      </c>
      <c r="G476" t="s">
        <v>20</v>
      </c>
      <c r="H476" s="2">
        <v>46179</v>
      </c>
      <c r="I476" s="2">
        <v>46179</v>
      </c>
      <c r="J476" t="s">
        <v>20</v>
      </c>
      <c r="K476">
        <v>-33.130000000000003</v>
      </c>
      <c r="L476">
        <v>-33.130000000000003</v>
      </c>
      <c r="M476">
        <v>-33.130000000000003</v>
      </c>
      <c r="N476" t="s">
        <v>158</v>
      </c>
      <c r="O476" s="3" t="s">
        <v>1482</v>
      </c>
      <c r="P476" s="3" t="s">
        <v>1482</v>
      </c>
      <c r="Q476" s="3" t="s">
        <v>1482</v>
      </c>
      <c r="R476" s="3" t="s">
        <v>1482</v>
      </c>
      <c r="S476" s="3" t="s">
        <v>1482</v>
      </c>
      <c r="T476" s="3" t="s">
        <v>1482</v>
      </c>
    </row>
    <row r="477" spans="1:20">
      <c r="A477" t="s">
        <v>817</v>
      </c>
      <c r="B477" t="s">
        <v>20</v>
      </c>
      <c r="C477" t="s">
        <v>21</v>
      </c>
      <c r="D477" t="s">
        <v>818</v>
      </c>
      <c r="E477" s="2">
        <v>46179</v>
      </c>
      <c r="F477" s="2">
        <v>46179</v>
      </c>
      <c r="G477" t="s">
        <v>20</v>
      </c>
      <c r="H477" s="2">
        <v>46179</v>
      </c>
      <c r="I477" s="2">
        <v>46179</v>
      </c>
      <c r="J477" t="s">
        <v>20</v>
      </c>
      <c r="K477">
        <v>-132.52000000000001</v>
      </c>
      <c r="L477">
        <v>-132.52000000000001</v>
      </c>
      <c r="M477">
        <v>-132.52000000000001</v>
      </c>
      <c r="N477" t="s">
        <v>158</v>
      </c>
      <c r="O477" s="3" t="s">
        <v>1482</v>
      </c>
      <c r="P477" s="3" t="s">
        <v>1482</v>
      </c>
      <c r="Q477" s="3" t="s">
        <v>1482</v>
      </c>
      <c r="R477" s="3" t="s">
        <v>1482</v>
      </c>
      <c r="S477" s="3" t="s">
        <v>1482</v>
      </c>
      <c r="T477" s="3" t="s">
        <v>1482</v>
      </c>
    </row>
    <row r="478" spans="1:20">
      <c r="A478" t="s">
        <v>819</v>
      </c>
      <c r="B478" t="s">
        <v>20</v>
      </c>
      <c r="C478" t="s">
        <v>21</v>
      </c>
      <c r="D478" t="s">
        <v>820</v>
      </c>
      <c r="E478" s="2">
        <v>46179</v>
      </c>
      <c r="F478" s="2">
        <v>46179</v>
      </c>
      <c r="G478" t="s">
        <v>20</v>
      </c>
      <c r="H478" s="2">
        <v>46179</v>
      </c>
      <c r="I478" s="2">
        <v>46179</v>
      </c>
      <c r="J478" t="s">
        <v>20</v>
      </c>
      <c r="K478">
        <v>-33.130000000000003</v>
      </c>
      <c r="L478">
        <v>-33.130000000000003</v>
      </c>
      <c r="M478">
        <v>-33.130000000000003</v>
      </c>
      <c r="N478" t="s">
        <v>158</v>
      </c>
      <c r="O478" s="3" t="s">
        <v>1482</v>
      </c>
      <c r="P478" s="3" t="s">
        <v>1482</v>
      </c>
      <c r="Q478" s="3" t="s">
        <v>1482</v>
      </c>
      <c r="R478" s="3" t="s">
        <v>1482</v>
      </c>
      <c r="S478" s="3" t="s">
        <v>1482</v>
      </c>
      <c r="T478" s="3" t="s">
        <v>1482</v>
      </c>
    </row>
    <row r="479" spans="1:20">
      <c r="A479" t="s">
        <v>821</v>
      </c>
      <c r="B479" t="s">
        <v>20</v>
      </c>
      <c r="C479" t="s">
        <v>21</v>
      </c>
      <c r="D479" t="s">
        <v>822</v>
      </c>
      <c r="E479" s="2">
        <v>46179</v>
      </c>
      <c r="F479" s="2">
        <v>46179</v>
      </c>
      <c r="G479" t="s">
        <v>20</v>
      </c>
      <c r="H479" s="2">
        <v>46179</v>
      </c>
      <c r="I479" s="2">
        <v>46179</v>
      </c>
      <c r="J479" t="s">
        <v>20</v>
      </c>
      <c r="K479">
        <v>-33.130000000000003</v>
      </c>
      <c r="L479">
        <v>-33.130000000000003</v>
      </c>
      <c r="M479">
        <v>-33.130000000000003</v>
      </c>
      <c r="N479" t="s">
        <v>158</v>
      </c>
      <c r="O479" s="3" t="s">
        <v>1482</v>
      </c>
      <c r="P479" s="3" t="s">
        <v>1482</v>
      </c>
      <c r="Q479" s="3" t="s">
        <v>1482</v>
      </c>
      <c r="R479" s="3" t="s">
        <v>1482</v>
      </c>
      <c r="S479" s="3" t="s">
        <v>1482</v>
      </c>
      <c r="T479" s="3" t="s">
        <v>1482</v>
      </c>
    </row>
    <row r="480" spans="1:20">
      <c r="A480" t="s">
        <v>823</v>
      </c>
      <c r="B480" t="s">
        <v>20</v>
      </c>
      <c r="C480" t="s">
        <v>21</v>
      </c>
      <c r="D480" t="s">
        <v>824</v>
      </c>
      <c r="E480" s="2">
        <v>46179</v>
      </c>
      <c r="F480" s="2">
        <v>46179</v>
      </c>
      <c r="G480" t="s">
        <v>20</v>
      </c>
      <c r="H480" s="2">
        <v>46179</v>
      </c>
      <c r="I480" s="2">
        <v>46179</v>
      </c>
      <c r="J480" t="s">
        <v>20</v>
      </c>
      <c r="K480">
        <v>-132.52000000000001</v>
      </c>
      <c r="L480">
        <v>-132.52000000000001</v>
      </c>
      <c r="M480">
        <v>-132.52000000000001</v>
      </c>
      <c r="N480" t="s">
        <v>158</v>
      </c>
      <c r="O480" s="3" t="s">
        <v>1482</v>
      </c>
      <c r="P480" s="3" t="s">
        <v>1482</v>
      </c>
      <c r="Q480" s="3" t="s">
        <v>1482</v>
      </c>
      <c r="R480" s="3" t="s">
        <v>1482</v>
      </c>
      <c r="S480" s="3" t="s">
        <v>1482</v>
      </c>
      <c r="T480" s="3" t="s">
        <v>1482</v>
      </c>
    </row>
    <row r="481" spans="1:20">
      <c r="A481" t="s">
        <v>825</v>
      </c>
      <c r="B481" t="s">
        <v>20</v>
      </c>
      <c r="C481" t="s">
        <v>21</v>
      </c>
      <c r="D481" t="s">
        <v>826</v>
      </c>
      <c r="E481" s="2">
        <v>46179</v>
      </c>
      <c r="F481" s="2">
        <v>46179</v>
      </c>
      <c r="G481" t="s">
        <v>20</v>
      </c>
      <c r="H481" s="2">
        <v>46179</v>
      </c>
      <c r="I481" s="2">
        <v>46179</v>
      </c>
      <c r="J481" t="s">
        <v>20</v>
      </c>
      <c r="K481">
        <v>-89.45</v>
      </c>
      <c r="L481">
        <v>-89.45</v>
      </c>
      <c r="M481">
        <v>-89.45</v>
      </c>
      <c r="N481" t="s">
        <v>158</v>
      </c>
      <c r="O481" s="3" t="s">
        <v>1482</v>
      </c>
      <c r="P481" s="3" t="s">
        <v>1482</v>
      </c>
      <c r="Q481" s="3" t="s">
        <v>1482</v>
      </c>
      <c r="R481" s="3" t="s">
        <v>1482</v>
      </c>
      <c r="S481" s="3" t="s">
        <v>1482</v>
      </c>
      <c r="T481" s="3" t="s">
        <v>1482</v>
      </c>
    </row>
    <row r="482" spans="1:20">
      <c r="A482" t="s">
        <v>827</v>
      </c>
      <c r="B482" t="s">
        <v>20</v>
      </c>
      <c r="C482" t="s">
        <v>21</v>
      </c>
      <c r="D482" t="s">
        <v>828</v>
      </c>
      <c r="E482" s="2">
        <v>46179</v>
      </c>
      <c r="F482" s="2">
        <v>46179</v>
      </c>
      <c r="G482" t="s">
        <v>20</v>
      </c>
      <c r="H482" s="2">
        <v>46179</v>
      </c>
      <c r="I482" s="2">
        <v>46179</v>
      </c>
      <c r="J482" t="s">
        <v>20</v>
      </c>
      <c r="K482">
        <v>-149.09</v>
      </c>
      <c r="L482">
        <v>-149.09</v>
      </c>
      <c r="M482">
        <v>-149.09</v>
      </c>
      <c r="N482" t="s">
        <v>158</v>
      </c>
      <c r="O482" s="3" t="s">
        <v>1482</v>
      </c>
      <c r="P482" s="3" t="s">
        <v>1482</v>
      </c>
      <c r="Q482" s="3" t="s">
        <v>1482</v>
      </c>
      <c r="R482" s="3" t="s">
        <v>1482</v>
      </c>
      <c r="S482" s="3" t="s">
        <v>1482</v>
      </c>
      <c r="T482" s="3" t="s">
        <v>1482</v>
      </c>
    </row>
    <row r="483" spans="1:20">
      <c r="A483" t="s">
        <v>829</v>
      </c>
      <c r="B483" t="s">
        <v>20</v>
      </c>
      <c r="C483" t="s">
        <v>21</v>
      </c>
      <c r="D483" t="s">
        <v>830</v>
      </c>
      <c r="E483" s="2">
        <v>46179</v>
      </c>
      <c r="F483" s="2">
        <v>46179</v>
      </c>
      <c r="G483" t="s">
        <v>20</v>
      </c>
      <c r="H483" s="2">
        <v>46179</v>
      </c>
      <c r="I483" s="2">
        <v>46179</v>
      </c>
      <c r="J483" t="s">
        <v>20</v>
      </c>
      <c r="K483">
        <v>-13.29</v>
      </c>
      <c r="L483">
        <v>-13.29</v>
      </c>
      <c r="M483">
        <v>-13.29</v>
      </c>
      <c r="N483" t="s">
        <v>158</v>
      </c>
      <c r="O483" s="3" t="s">
        <v>1482</v>
      </c>
      <c r="P483" s="3" t="s">
        <v>1482</v>
      </c>
      <c r="Q483" s="3" t="s">
        <v>1482</v>
      </c>
      <c r="R483" s="3" t="s">
        <v>1482</v>
      </c>
      <c r="S483" s="3" t="s">
        <v>1482</v>
      </c>
      <c r="T483" s="3" t="s">
        <v>1482</v>
      </c>
    </row>
    <row r="484" spans="1:20">
      <c r="A484" t="s">
        <v>831</v>
      </c>
      <c r="B484" t="s">
        <v>20</v>
      </c>
      <c r="C484" t="s">
        <v>21</v>
      </c>
      <c r="D484" t="s">
        <v>832</v>
      </c>
      <c r="E484" s="2">
        <v>46179</v>
      </c>
      <c r="F484" s="2">
        <v>46179</v>
      </c>
      <c r="G484" t="s">
        <v>20</v>
      </c>
      <c r="H484" s="2">
        <v>46179</v>
      </c>
      <c r="I484" s="2">
        <v>46179</v>
      </c>
      <c r="J484" t="s">
        <v>20</v>
      </c>
      <c r="K484">
        <v>-33.130000000000003</v>
      </c>
      <c r="L484">
        <v>-33.130000000000003</v>
      </c>
      <c r="M484">
        <v>-33.130000000000003</v>
      </c>
      <c r="N484" t="s">
        <v>158</v>
      </c>
      <c r="O484" s="3" t="s">
        <v>1482</v>
      </c>
      <c r="P484" s="3" t="s">
        <v>1482</v>
      </c>
      <c r="Q484" s="3" t="s">
        <v>1482</v>
      </c>
      <c r="R484" s="3" t="s">
        <v>1482</v>
      </c>
      <c r="S484" s="3" t="s">
        <v>1482</v>
      </c>
      <c r="T484" s="3" t="s">
        <v>1482</v>
      </c>
    </row>
    <row r="485" spans="1:20">
      <c r="A485" t="s">
        <v>833</v>
      </c>
      <c r="B485" t="s">
        <v>20</v>
      </c>
      <c r="C485" t="s">
        <v>21</v>
      </c>
      <c r="D485" t="s">
        <v>834</v>
      </c>
      <c r="E485" s="2">
        <v>46179</v>
      </c>
      <c r="F485" s="2">
        <v>46179</v>
      </c>
      <c r="G485" t="s">
        <v>20</v>
      </c>
      <c r="H485" s="2">
        <v>46179</v>
      </c>
      <c r="I485" s="2">
        <v>46179</v>
      </c>
      <c r="J485" t="s">
        <v>20</v>
      </c>
      <c r="K485">
        <v>-24.62</v>
      </c>
      <c r="L485">
        <v>-24.62</v>
      </c>
      <c r="M485">
        <v>-24.62</v>
      </c>
      <c r="N485" t="s">
        <v>158</v>
      </c>
      <c r="O485" s="3" t="s">
        <v>1482</v>
      </c>
      <c r="P485" s="3" t="s">
        <v>1482</v>
      </c>
      <c r="Q485" s="3" t="s">
        <v>1482</v>
      </c>
      <c r="R485" s="3" t="s">
        <v>1482</v>
      </c>
      <c r="S485" s="3" t="s">
        <v>1482</v>
      </c>
      <c r="T485" s="3" t="s">
        <v>1482</v>
      </c>
    </row>
    <row r="486" spans="1:20">
      <c r="A486" t="s">
        <v>835</v>
      </c>
      <c r="B486" t="s">
        <v>20</v>
      </c>
      <c r="C486" t="s">
        <v>21</v>
      </c>
      <c r="D486" t="s">
        <v>836</v>
      </c>
      <c r="E486" s="2">
        <v>46179</v>
      </c>
      <c r="F486" s="2">
        <v>46179</v>
      </c>
      <c r="G486" t="s">
        <v>20</v>
      </c>
      <c r="H486" s="2">
        <v>46179</v>
      </c>
      <c r="I486" s="2">
        <v>46179</v>
      </c>
      <c r="J486" t="s">
        <v>20</v>
      </c>
      <c r="K486">
        <v>-131.29</v>
      </c>
      <c r="L486">
        <v>-131.29</v>
      </c>
      <c r="M486">
        <v>-131.29</v>
      </c>
      <c r="N486" t="s">
        <v>158</v>
      </c>
      <c r="O486" s="3" t="s">
        <v>1482</v>
      </c>
      <c r="P486" s="3" t="s">
        <v>1482</v>
      </c>
      <c r="Q486" s="3" t="s">
        <v>1482</v>
      </c>
      <c r="R486" s="3" t="s">
        <v>1482</v>
      </c>
      <c r="S486" s="3" t="s">
        <v>1482</v>
      </c>
      <c r="T486" s="3" t="s">
        <v>1482</v>
      </c>
    </row>
    <row r="487" spans="1:20">
      <c r="A487" t="s">
        <v>837</v>
      </c>
      <c r="B487" t="s">
        <v>20</v>
      </c>
      <c r="C487" t="s">
        <v>21</v>
      </c>
      <c r="D487" t="s">
        <v>838</v>
      </c>
      <c r="E487" s="2">
        <v>46179</v>
      </c>
      <c r="F487" s="2">
        <v>46179</v>
      </c>
      <c r="G487" t="s">
        <v>20</v>
      </c>
      <c r="H487" s="2">
        <v>46179</v>
      </c>
      <c r="I487" s="2">
        <v>46179</v>
      </c>
      <c r="J487" t="s">
        <v>20</v>
      </c>
      <c r="K487">
        <v>-131.29</v>
      </c>
      <c r="L487">
        <v>-131.29</v>
      </c>
      <c r="M487">
        <v>-131.29</v>
      </c>
      <c r="N487" t="s">
        <v>158</v>
      </c>
      <c r="O487" s="3" t="s">
        <v>1482</v>
      </c>
      <c r="P487" s="3" t="s">
        <v>1482</v>
      </c>
      <c r="Q487" s="3" t="s">
        <v>1482</v>
      </c>
      <c r="R487" s="3" t="s">
        <v>1482</v>
      </c>
      <c r="S487" s="3" t="s">
        <v>1482</v>
      </c>
      <c r="T487" s="3" t="s">
        <v>1482</v>
      </c>
    </row>
    <row r="488" spans="1:20">
      <c r="A488" t="s">
        <v>839</v>
      </c>
      <c r="B488" t="s">
        <v>20</v>
      </c>
      <c r="C488" t="s">
        <v>21</v>
      </c>
      <c r="D488" t="s">
        <v>840</v>
      </c>
      <c r="E488" s="2">
        <v>46179</v>
      </c>
      <c r="F488" s="2">
        <v>46179</v>
      </c>
      <c r="G488" t="s">
        <v>20</v>
      </c>
      <c r="H488" s="2">
        <v>46179</v>
      </c>
      <c r="I488" s="2">
        <v>46179</v>
      </c>
      <c r="J488" t="s">
        <v>20</v>
      </c>
      <c r="K488">
        <v>-33.130000000000003</v>
      </c>
      <c r="L488">
        <v>-33.130000000000003</v>
      </c>
      <c r="M488">
        <v>-33.130000000000003</v>
      </c>
      <c r="N488" t="s">
        <v>158</v>
      </c>
      <c r="O488" s="3" t="s">
        <v>1482</v>
      </c>
      <c r="P488" s="3" t="s">
        <v>1482</v>
      </c>
      <c r="Q488" s="3" t="s">
        <v>1482</v>
      </c>
      <c r="R488" s="3" t="s">
        <v>1482</v>
      </c>
      <c r="S488" s="3" t="s">
        <v>1482</v>
      </c>
      <c r="T488" s="3" t="s">
        <v>1482</v>
      </c>
    </row>
    <row r="489" spans="1:20">
      <c r="A489" t="s">
        <v>841</v>
      </c>
      <c r="B489" t="s">
        <v>20</v>
      </c>
      <c r="C489" t="s">
        <v>21</v>
      </c>
      <c r="D489" t="s">
        <v>842</v>
      </c>
      <c r="E489" s="2">
        <v>46179</v>
      </c>
      <c r="F489" s="2">
        <v>46179</v>
      </c>
      <c r="G489" t="s">
        <v>20</v>
      </c>
      <c r="H489" s="2">
        <v>46179</v>
      </c>
      <c r="I489" s="2">
        <v>46179</v>
      </c>
      <c r="J489" t="s">
        <v>20</v>
      </c>
      <c r="K489">
        <v>-77.319999999999993</v>
      </c>
      <c r="L489">
        <v>-77.319999999999993</v>
      </c>
      <c r="M489">
        <v>-77.319999999999993</v>
      </c>
      <c r="N489" t="s">
        <v>158</v>
      </c>
      <c r="O489" s="3" t="s">
        <v>1482</v>
      </c>
      <c r="P489" s="3" t="s">
        <v>1482</v>
      </c>
      <c r="Q489" s="3" t="s">
        <v>1482</v>
      </c>
      <c r="R489" s="3" t="s">
        <v>1482</v>
      </c>
      <c r="S489" s="3" t="s">
        <v>1482</v>
      </c>
      <c r="T489" s="3" t="s">
        <v>1482</v>
      </c>
    </row>
    <row r="490" spans="1:20">
      <c r="A490" t="s">
        <v>843</v>
      </c>
      <c r="B490" t="s">
        <v>20</v>
      </c>
      <c r="C490" t="s">
        <v>21</v>
      </c>
      <c r="D490" t="s">
        <v>844</v>
      </c>
      <c r="E490" s="2">
        <v>46179</v>
      </c>
      <c r="F490" s="2">
        <v>46179</v>
      </c>
      <c r="G490" t="s">
        <v>20</v>
      </c>
      <c r="H490" s="2">
        <v>46179</v>
      </c>
      <c r="I490" s="2">
        <v>46179</v>
      </c>
      <c r="J490" t="s">
        <v>20</v>
      </c>
      <c r="K490">
        <v>-26.26</v>
      </c>
      <c r="L490">
        <v>-26.26</v>
      </c>
      <c r="M490">
        <v>-26.26</v>
      </c>
      <c r="N490" t="s">
        <v>158</v>
      </c>
      <c r="O490" s="3" t="s">
        <v>1482</v>
      </c>
      <c r="P490" s="3" t="s">
        <v>1482</v>
      </c>
      <c r="Q490" s="3" t="s">
        <v>1482</v>
      </c>
      <c r="R490" s="3" t="s">
        <v>1482</v>
      </c>
      <c r="S490" s="3" t="s">
        <v>1482</v>
      </c>
      <c r="T490" s="3" t="s">
        <v>1482</v>
      </c>
    </row>
    <row r="491" spans="1:20">
      <c r="A491" t="s">
        <v>845</v>
      </c>
      <c r="B491" t="s">
        <v>20</v>
      </c>
      <c r="C491" t="s">
        <v>21</v>
      </c>
      <c r="D491" t="s">
        <v>846</v>
      </c>
      <c r="E491" s="2">
        <v>46179</v>
      </c>
      <c r="F491" s="2">
        <v>46179</v>
      </c>
      <c r="G491" t="s">
        <v>20</v>
      </c>
      <c r="H491" s="2">
        <v>46179</v>
      </c>
      <c r="I491" s="2">
        <v>46179</v>
      </c>
      <c r="J491" t="s">
        <v>20</v>
      </c>
      <c r="K491">
        <v>-66.260000000000005</v>
      </c>
      <c r="L491">
        <v>-66.260000000000005</v>
      </c>
      <c r="M491">
        <v>-66.260000000000005</v>
      </c>
      <c r="N491" t="s">
        <v>158</v>
      </c>
      <c r="O491" s="3" t="s">
        <v>1482</v>
      </c>
      <c r="P491" s="3" t="s">
        <v>1482</v>
      </c>
      <c r="Q491" s="3" t="s">
        <v>1482</v>
      </c>
      <c r="R491" s="3" t="s">
        <v>1482</v>
      </c>
      <c r="S491" s="3" t="s">
        <v>1482</v>
      </c>
      <c r="T491" s="3" t="s">
        <v>1482</v>
      </c>
    </row>
    <row r="492" spans="1:20">
      <c r="A492" t="s">
        <v>847</v>
      </c>
      <c r="B492" t="s">
        <v>20</v>
      </c>
      <c r="C492" t="s">
        <v>21</v>
      </c>
      <c r="D492" t="s">
        <v>848</v>
      </c>
      <c r="E492" s="2">
        <v>46179</v>
      </c>
      <c r="F492" s="2">
        <v>46179</v>
      </c>
      <c r="G492" t="s">
        <v>20</v>
      </c>
      <c r="H492" s="2">
        <v>46179</v>
      </c>
      <c r="I492" s="2">
        <v>46179</v>
      </c>
      <c r="J492" t="s">
        <v>20</v>
      </c>
      <c r="K492">
        <v>-165.65</v>
      </c>
      <c r="L492">
        <v>-165.65</v>
      </c>
      <c r="M492">
        <v>-165.65</v>
      </c>
      <c r="N492" t="s">
        <v>158</v>
      </c>
      <c r="O492" s="3" t="s">
        <v>1482</v>
      </c>
      <c r="P492" s="3" t="s">
        <v>1482</v>
      </c>
      <c r="Q492" s="3" t="s">
        <v>1482</v>
      </c>
      <c r="R492" s="3" t="s">
        <v>1482</v>
      </c>
      <c r="S492" s="3" t="s">
        <v>1482</v>
      </c>
      <c r="T492" s="3" t="s">
        <v>1482</v>
      </c>
    </row>
    <row r="493" spans="1:20">
      <c r="A493" t="s">
        <v>849</v>
      </c>
      <c r="B493" t="s">
        <v>20</v>
      </c>
      <c r="C493" t="s">
        <v>21</v>
      </c>
      <c r="D493" t="s">
        <v>850</v>
      </c>
      <c r="E493" s="2">
        <v>46179</v>
      </c>
      <c r="F493" s="2">
        <v>46179</v>
      </c>
      <c r="G493" t="s">
        <v>20</v>
      </c>
      <c r="H493" s="2">
        <v>46179</v>
      </c>
      <c r="I493" s="2">
        <v>46179</v>
      </c>
      <c r="J493" t="s">
        <v>20</v>
      </c>
      <c r="K493">
        <v>-198.78</v>
      </c>
      <c r="L493">
        <v>-198.78</v>
      </c>
      <c r="M493">
        <v>-198.78</v>
      </c>
      <c r="N493" t="s">
        <v>158</v>
      </c>
      <c r="O493" s="3" t="s">
        <v>1482</v>
      </c>
      <c r="P493" s="3" t="s">
        <v>1482</v>
      </c>
      <c r="Q493" s="3" t="s">
        <v>1482</v>
      </c>
      <c r="R493" s="3" t="s">
        <v>1482</v>
      </c>
      <c r="S493" s="3" t="s">
        <v>1482</v>
      </c>
      <c r="T493" s="3" t="s">
        <v>1482</v>
      </c>
    </row>
    <row r="494" spans="1:20">
      <c r="A494" t="s">
        <v>851</v>
      </c>
      <c r="B494" t="s">
        <v>20</v>
      </c>
      <c r="C494" t="s">
        <v>21</v>
      </c>
      <c r="D494" t="s">
        <v>852</v>
      </c>
      <c r="E494" s="2">
        <v>46179</v>
      </c>
      <c r="F494" s="2">
        <v>46179</v>
      </c>
      <c r="G494" t="s">
        <v>20</v>
      </c>
      <c r="H494" s="2">
        <v>46179</v>
      </c>
      <c r="I494" s="2">
        <v>46179</v>
      </c>
      <c r="J494" t="s">
        <v>20</v>
      </c>
      <c r="K494">
        <v>-132.52000000000001</v>
      </c>
      <c r="L494">
        <v>-132.52000000000001</v>
      </c>
      <c r="M494">
        <v>-132.52000000000001</v>
      </c>
      <c r="N494" t="s">
        <v>158</v>
      </c>
      <c r="O494" s="3" t="s">
        <v>1482</v>
      </c>
      <c r="P494" s="3" t="s">
        <v>1482</v>
      </c>
      <c r="Q494" s="3" t="s">
        <v>1482</v>
      </c>
      <c r="R494" s="3" t="s">
        <v>1482</v>
      </c>
      <c r="S494" s="3" t="s">
        <v>1482</v>
      </c>
      <c r="T494" s="3" t="s">
        <v>1482</v>
      </c>
    </row>
    <row r="495" spans="1:20">
      <c r="A495" t="s">
        <v>853</v>
      </c>
      <c r="B495" t="s">
        <v>20</v>
      </c>
      <c r="C495" t="s">
        <v>21</v>
      </c>
      <c r="D495" t="s">
        <v>854</v>
      </c>
      <c r="E495" s="2">
        <v>46179</v>
      </c>
      <c r="F495" s="2">
        <v>46179</v>
      </c>
      <c r="G495" t="s">
        <v>20</v>
      </c>
      <c r="H495" s="2">
        <v>46179</v>
      </c>
      <c r="I495" s="2">
        <v>46179</v>
      </c>
      <c r="J495" t="s">
        <v>20</v>
      </c>
      <c r="K495">
        <v>-105.03</v>
      </c>
      <c r="L495">
        <v>-105.03</v>
      </c>
      <c r="M495">
        <v>-105.03</v>
      </c>
      <c r="N495" t="s">
        <v>158</v>
      </c>
      <c r="O495" s="3" t="s">
        <v>1482</v>
      </c>
      <c r="P495" s="3" t="s">
        <v>1482</v>
      </c>
      <c r="Q495" s="3" t="s">
        <v>1482</v>
      </c>
      <c r="R495" s="3" t="s">
        <v>1482</v>
      </c>
      <c r="S495" s="3" t="s">
        <v>1482</v>
      </c>
      <c r="T495" s="3" t="s">
        <v>1482</v>
      </c>
    </row>
    <row r="496" spans="1:20">
      <c r="A496" t="s">
        <v>855</v>
      </c>
      <c r="B496" t="s">
        <v>20</v>
      </c>
      <c r="C496" t="s">
        <v>21</v>
      </c>
      <c r="D496" t="s">
        <v>856</v>
      </c>
      <c r="E496" s="2">
        <v>46179</v>
      </c>
      <c r="F496" s="2">
        <v>46179</v>
      </c>
      <c r="G496" t="s">
        <v>20</v>
      </c>
      <c r="H496" s="2">
        <v>46179</v>
      </c>
      <c r="I496" s="2">
        <v>46179</v>
      </c>
      <c r="J496" t="s">
        <v>20</v>
      </c>
      <c r="K496">
        <v>-33.130000000000003</v>
      </c>
      <c r="L496">
        <v>-33.130000000000003</v>
      </c>
      <c r="M496">
        <v>-33.130000000000003</v>
      </c>
      <c r="N496" t="s">
        <v>158</v>
      </c>
      <c r="O496" s="3" t="s">
        <v>1482</v>
      </c>
      <c r="P496" s="3" t="s">
        <v>1482</v>
      </c>
      <c r="Q496" s="3" t="s">
        <v>1482</v>
      </c>
      <c r="R496" s="3" t="s">
        <v>1482</v>
      </c>
      <c r="S496" s="3" t="s">
        <v>1482</v>
      </c>
      <c r="T496" s="3" t="s">
        <v>1482</v>
      </c>
    </row>
    <row r="497" spans="1:20">
      <c r="A497" t="s">
        <v>857</v>
      </c>
      <c r="B497" t="s">
        <v>20</v>
      </c>
      <c r="C497" t="s">
        <v>21</v>
      </c>
      <c r="D497" t="s">
        <v>858</v>
      </c>
      <c r="E497" s="2">
        <v>46179</v>
      </c>
      <c r="F497" s="2">
        <v>46179</v>
      </c>
      <c r="G497" t="s">
        <v>20</v>
      </c>
      <c r="H497" s="2">
        <v>46179</v>
      </c>
      <c r="I497" s="2">
        <v>46179</v>
      </c>
      <c r="J497" t="s">
        <v>20</v>
      </c>
      <c r="K497">
        <v>-24.62</v>
      </c>
      <c r="L497">
        <v>-24.62</v>
      </c>
      <c r="M497">
        <v>-24.62</v>
      </c>
      <c r="N497" t="s">
        <v>158</v>
      </c>
      <c r="O497" s="3" t="s">
        <v>1482</v>
      </c>
      <c r="P497" s="3" t="s">
        <v>1482</v>
      </c>
      <c r="Q497" s="3" t="s">
        <v>1482</v>
      </c>
      <c r="R497" s="3" t="s">
        <v>1482</v>
      </c>
      <c r="S497" s="3" t="s">
        <v>1482</v>
      </c>
      <c r="T497" s="3" t="s">
        <v>1482</v>
      </c>
    </row>
    <row r="498" spans="1:20">
      <c r="A498" t="s">
        <v>859</v>
      </c>
      <c r="B498" t="s">
        <v>20</v>
      </c>
      <c r="C498" t="s">
        <v>21</v>
      </c>
      <c r="D498" t="s">
        <v>860</v>
      </c>
      <c r="E498" s="2">
        <v>46179</v>
      </c>
      <c r="F498" s="2">
        <v>46179</v>
      </c>
      <c r="G498" t="s">
        <v>20</v>
      </c>
      <c r="H498" s="2">
        <v>46179</v>
      </c>
      <c r="I498" s="2">
        <v>46179</v>
      </c>
      <c r="J498" t="s">
        <v>20</v>
      </c>
      <c r="K498">
        <v>-99.39</v>
      </c>
      <c r="L498">
        <v>-99.39</v>
      </c>
      <c r="M498">
        <v>-99.39</v>
      </c>
      <c r="N498" t="s">
        <v>158</v>
      </c>
      <c r="O498" s="3" t="s">
        <v>1482</v>
      </c>
      <c r="P498" s="3" t="s">
        <v>1482</v>
      </c>
      <c r="Q498" s="3" t="s">
        <v>1482</v>
      </c>
      <c r="R498" s="3" t="s">
        <v>1482</v>
      </c>
      <c r="S498" s="3" t="s">
        <v>1482</v>
      </c>
      <c r="T498" s="3" t="s">
        <v>1482</v>
      </c>
    </row>
    <row r="499" spans="1:20">
      <c r="A499" t="s">
        <v>861</v>
      </c>
      <c r="B499" t="s">
        <v>20</v>
      </c>
      <c r="C499" t="s">
        <v>21</v>
      </c>
      <c r="D499" t="s">
        <v>862</v>
      </c>
      <c r="E499" s="2">
        <v>46179</v>
      </c>
      <c r="F499" s="2">
        <v>46179</v>
      </c>
      <c r="G499" t="s">
        <v>20</v>
      </c>
      <c r="H499" s="2">
        <v>46179</v>
      </c>
      <c r="I499" s="2">
        <v>46179</v>
      </c>
      <c r="J499" t="s">
        <v>20</v>
      </c>
      <c r="K499">
        <v>-33.130000000000003</v>
      </c>
      <c r="L499">
        <v>-33.130000000000003</v>
      </c>
      <c r="M499">
        <v>-33.130000000000003</v>
      </c>
      <c r="N499" t="s">
        <v>158</v>
      </c>
      <c r="O499" s="3" t="s">
        <v>1482</v>
      </c>
      <c r="P499" s="3" t="s">
        <v>1482</v>
      </c>
      <c r="Q499" s="3" t="s">
        <v>1482</v>
      </c>
      <c r="R499" s="3" t="s">
        <v>1482</v>
      </c>
      <c r="S499" s="3" t="s">
        <v>1482</v>
      </c>
      <c r="T499" s="3" t="s">
        <v>1482</v>
      </c>
    </row>
    <row r="500" spans="1:20">
      <c r="A500" t="s">
        <v>863</v>
      </c>
      <c r="B500" t="s">
        <v>20</v>
      </c>
      <c r="C500" t="s">
        <v>21</v>
      </c>
      <c r="D500" t="s">
        <v>864</v>
      </c>
      <c r="E500" s="2">
        <v>46179</v>
      </c>
      <c r="F500" s="2">
        <v>46179</v>
      </c>
      <c r="G500" t="s">
        <v>20</v>
      </c>
      <c r="H500" s="2">
        <v>46179</v>
      </c>
      <c r="I500" s="2">
        <v>46179</v>
      </c>
      <c r="J500" t="s">
        <v>20</v>
      </c>
      <c r="K500">
        <v>-119.27</v>
      </c>
      <c r="L500">
        <v>-119.27</v>
      </c>
      <c r="M500">
        <v>-119.27</v>
      </c>
      <c r="N500" t="s">
        <v>158</v>
      </c>
      <c r="O500" s="3" t="s">
        <v>1482</v>
      </c>
      <c r="P500" s="3" t="s">
        <v>1482</v>
      </c>
      <c r="Q500" s="3" t="s">
        <v>1482</v>
      </c>
      <c r="R500" s="3" t="s">
        <v>1482</v>
      </c>
      <c r="S500" s="3" t="s">
        <v>1482</v>
      </c>
      <c r="T500" s="3" t="s">
        <v>1482</v>
      </c>
    </row>
    <row r="501" spans="1:20">
      <c r="A501" t="s">
        <v>865</v>
      </c>
      <c r="B501" t="s">
        <v>20</v>
      </c>
      <c r="C501" t="s">
        <v>21</v>
      </c>
      <c r="D501" t="s">
        <v>866</v>
      </c>
      <c r="E501" s="2">
        <v>46179</v>
      </c>
      <c r="F501" s="2">
        <v>46179</v>
      </c>
      <c r="G501" t="s">
        <v>20</v>
      </c>
      <c r="H501" s="2">
        <v>46179</v>
      </c>
      <c r="I501" s="2">
        <v>46179</v>
      </c>
      <c r="J501" t="s">
        <v>20</v>
      </c>
      <c r="K501">
        <v>-50.97</v>
      </c>
      <c r="L501">
        <v>-50.97</v>
      </c>
      <c r="M501">
        <v>-50.97</v>
      </c>
      <c r="N501" t="s">
        <v>158</v>
      </c>
      <c r="O501" s="3" t="s">
        <v>1482</v>
      </c>
      <c r="P501" s="3" t="s">
        <v>1482</v>
      </c>
      <c r="Q501" s="3" t="s">
        <v>1482</v>
      </c>
      <c r="R501" s="3" t="s">
        <v>1482</v>
      </c>
      <c r="S501" s="3" t="s">
        <v>1482</v>
      </c>
      <c r="T501" s="3" t="s">
        <v>1482</v>
      </c>
    </row>
    <row r="502" spans="1:20">
      <c r="A502" t="s">
        <v>867</v>
      </c>
      <c r="B502" t="s">
        <v>20</v>
      </c>
      <c r="C502" t="s">
        <v>21</v>
      </c>
      <c r="D502" t="s">
        <v>868</v>
      </c>
      <c r="E502" s="2">
        <v>46179</v>
      </c>
      <c r="F502" s="2">
        <v>46179</v>
      </c>
      <c r="G502" t="s">
        <v>20</v>
      </c>
      <c r="H502" s="2">
        <v>46179</v>
      </c>
      <c r="I502" s="2">
        <v>46179</v>
      </c>
      <c r="J502" t="s">
        <v>20</v>
      </c>
      <c r="K502">
        <v>-24.62</v>
      </c>
      <c r="L502">
        <v>-24.62</v>
      </c>
      <c r="M502">
        <v>-24.62</v>
      </c>
      <c r="N502" t="s">
        <v>158</v>
      </c>
      <c r="O502" s="3" t="s">
        <v>1482</v>
      </c>
      <c r="P502" s="3" t="s">
        <v>1482</v>
      </c>
      <c r="Q502" s="3" t="s">
        <v>1482</v>
      </c>
      <c r="R502" s="3" t="s">
        <v>1482</v>
      </c>
      <c r="S502" s="3" t="s">
        <v>1482</v>
      </c>
      <c r="T502" s="3" t="s">
        <v>1482</v>
      </c>
    </row>
    <row r="503" spans="1:20">
      <c r="A503" t="s">
        <v>869</v>
      </c>
      <c r="B503" t="s">
        <v>20</v>
      </c>
      <c r="C503" t="s">
        <v>21</v>
      </c>
      <c r="D503" t="s">
        <v>870</v>
      </c>
      <c r="E503" s="2">
        <v>46179</v>
      </c>
      <c r="F503" s="2">
        <v>46179</v>
      </c>
      <c r="G503" t="s">
        <v>20</v>
      </c>
      <c r="H503" s="2">
        <v>46179</v>
      </c>
      <c r="I503" s="2">
        <v>46179</v>
      </c>
      <c r="J503" t="s">
        <v>20</v>
      </c>
      <c r="K503">
        <v>-89.8</v>
      </c>
      <c r="L503">
        <v>-89.8</v>
      </c>
      <c r="M503">
        <v>-89.8</v>
      </c>
      <c r="N503" t="s">
        <v>158</v>
      </c>
      <c r="O503" s="3" t="s">
        <v>1482</v>
      </c>
      <c r="P503" s="3" t="s">
        <v>1482</v>
      </c>
      <c r="Q503" s="3" t="s">
        <v>1482</v>
      </c>
      <c r="R503" s="3" t="s">
        <v>1482</v>
      </c>
      <c r="S503" s="3" t="s">
        <v>1482</v>
      </c>
      <c r="T503" s="3" t="s">
        <v>1482</v>
      </c>
    </row>
    <row r="504" spans="1:20">
      <c r="A504" t="s">
        <v>871</v>
      </c>
      <c r="B504" t="s">
        <v>20</v>
      </c>
      <c r="C504" t="s">
        <v>21</v>
      </c>
      <c r="D504" t="s">
        <v>872</v>
      </c>
      <c r="E504" s="2">
        <v>46179</v>
      </c>
      <c r="F504" s="2">
        <v>46179</v>
      </c>
      <c r="G504" t="s">
        <v>20</v>
      </c>
      <c r="H504" s="2">
        <v>46179</v>
      </c>
      <c r="I504" s="2">
        <v>46179</v>
      </c>
      <c r="J504" t="s">
        <v>20</v>
      </c>
      <c r="K504">
        <v>-132.52000000000001</v>
      </c>
      <c r="L504">
        <v>-132.52000000000001</v>
      </c>
      <c r="M504">
        <v>-132.52000000000001</v>
      </c>
      <c r="N504" t="s">
        <v>158</v>
      </c>
      <c r="O504" s="3" t="s">
        <v>1482</v>
      </c>
      <c r="P504" s="3" t="s">
        <v>1482</v>
      </c>
      <c r="Q504" s="3" t="s">
        <v>1482</v>
      </c>
      <c r="R504" s="3" t="s">
        <v>1482</v>
      </c>
      <c r="S504" s="3" t="s">
        <v>1482</v>
      </c>
      <c r="T504" s="3" t="s">
        <v>1482</v>
      </c>
    </row>
    <row r="505" spans="1:20">
      <c r="A505" t="s">
        <v>873</v>
      </c>
      <c r="B505" t="s">
        <v>20</v>
      </c>
      <c r="C505" t="s">
        <v>21</v>
      </c>
      <c r="D505" t="s">
        <v>874</v>
      </c>
      <c r="E505" s="2">
        <v>46179</v>
      </c>
      <c r="F505" s="2">
        <v>46179</v>
      </c>
      <c r="G505" t="s">
        <v>20</v>
      </c>
      <c r="H505" s="2">
        <v>46179</v>
      </c>
      <c r="I505" s="2">
        <v>46179</v>
      </c>
      <c r="J505" t="s">
        <v>20</v>
      </c>
      <c r="K505">
        <v>-90.8</v>
      </c>
      <c r="L505">
        <v>-90.8</v>
      </c>
      <c r="M505">
        <v>-90.8</v>
      </c>
      <c r="N505" t="s">
        <v>158</v>
      </c>
      <c r="O505" s="3" t="s">
        <v>1482</v>
      </c>
      <c r="P505" s="3" t="s">
        <v>1482</v>
      </c>
      <c r="Q505" s="3" t="s">
        <v>1482</v>
      </c>
      <c r="R505" s="3" t="s">
        <v>1482</v>
      </c>
      <c r="S505" s="3" t="s">
        <v>1482</v>
      </c>
      <c r="T505" s="3" t="s">
        <v>1482</v>
      </c>
    </row>
    <row r="506" spans="1:20">
      <c r="A506" t="s">
        <v>875</v>
      </c>
      <c r="B506" t="s">
        <v>20</v>
      </c>
      <c r="C506" t="s">
        <v>21</v>
      </c>
      <c r="D506" t="s">
        <v>876</v>
      </c>
      <c r="E506" s="2">
        <v>46179</v>
      </c>
      <c r="F506" s="2">
        <v>46179</v>
      </c>
      <c r="G506" t="s">
        <v>20</v>
      </c>
      <c r="H506" s="2">
        <v>46179</v>
      </c>
      <c r="I506" s="2">
        <v>46179</v>
      </c>
      <c r="J506" t="s">
        <v>20</v>
      </c>
      <c r="K506">
        <v>-131.29</v>
      </c>
      <c r="L506">
        <v>-131.29</v>
      </c>
      <c r="M506">
        <v>-131.29</v>
      </c>
      <c r="N506" t="s">
        <v>158</v>
      </c>
      <c r="O506" s="3" t="s">
        <v>1482</v>
      </c>
      <c r="P506" s="3" t="s">
        <v>1482</v>
      </c>
      <c r="Q506" s="3" t="s">
        <v>1482</v>
      </c>
      <c r="R506" s="3" t="s">
        <v>1482</v>
      </c>
      <c r="S506" s="3" t="s">
        <v>1482</v>
      </c>
      <c r="T506" s="3" t="s">
        <v>1482</v>
      </c>
    </row>
    <row r="507" spans="1:20">
      <c r="A507" t="s">
        <v>877</v>
      </c>
      <c r="B507" t="s">
        <v>20</v>
      </c>
      <c r="C507" t="s">
        <v>21</v>
      </c>
      <c r="D507" t="s">
        <v>878</v>
      </c>
      <c r="E507" s="2">
        <v>46179</v>
      </c>
      <c r="F507" s="2">
        <v>46179</v>
      </c>
      <c r="G507" t="s">
        <v>20</v>
      </c>
      <c r="H507" s="2">
        <v>46179</v>
      </c>
      <c r="I507" s="2">
        <v>46179</v>
      </c>
      <c r="J507" t="s">
        <v>20</v>
      </c>
      <c r="K507">
        <v>-66.260000000000005</v>
      </c>
      <c r="L507">
        <v>-66.260000000000005</v>
      </c>
      <c r="M507">
        <v>-66.260000000000005</v>
      </c>
      <c r="N507" t="s">
        <v>158</v>
      </c>
      <c r="O507" s="3" t="s">
        <v>1482</v>
      </c>
      <c r="P507" s="3" t="s">
        <v>1482</v>
      </c>
      <c r="Q507" s="3" t="s">
        <v>1482</v>
      </c>
      <c r="R507" s="3" t="s">
        <v>1482</v>
      </c>
      <c r="S507" s="3" t="s">
        <v>1482</v>
      </c>
      <c r="T507" s="3" t="s">
        <v>1482</v>
      </c>
    </row>
    <row r="508" spans="1:20">
      <c r="A508" t="s">
        <v>879</v>
      </c>
      <c r="B508" t="s">
        <v>20</v>
      </c>
      <c r="C508" t="s">
        <v>21</v>
      </c>
      <c r="D508" t="s">
        <v>880</v>
      </c>
      <c r="E508" s="2">
        <v>46179</v>
      </c>
      <c r="F508" s="2">
        <v>46179</v>
      </c>
      <c r="G508" t="s">
        <v>20</v>
      </c>
      <c r="H508" s="2">
        <v>46179</v>
      </c>
      <c r="I508" s="2">
        <v>46179</v>
      </c>
      <c r="J508" t="s">
        <v>20</v>
      </c>
      <c r="K508">
        <v>-66.260000000000005</v>
      </c>
      <c r="L508">
        <v>-66.260000000000005</v>
      </c>
      <c r="M508">
        <v>-66.260000000000005</v>
      </c>
      <c r="N508" t="s">
        <v>158</v>
      </c>
      <c r="O508" s="3" t="s">
        <v>1482</v>
      </c>
      <c r="P508" s="3" t="s">
        <v>1482</v>
      </c>
      <c r="Q508" s="3" t="s">
        <v>1482</v>
      </c>
      <c r="R508" s="3" t="s">
        <v>1482</v>
      </c>
      <c r="S508" s="3" t="s">
        <v>1482</v>
      </c>
      <c r="T508" s="3" t="s">
        <v>1482</v>
      </c>
    </row>
    <row r="509" spans="1:20">
      <c r="A509" t="s">
        <v>881</v>
      </c>
      <c r="B509" t="s">
        <v>20</v>
      </c>
      <c r="C509" t="s">
        <v>21</v>
      </c>
      <c r="D509" t="s">
        <v>882</v>
      </c>
      <c r="E509" s="2">
        <v>46179</v>
      </c>
      <c r="F509" s="2">
        <v>46179</v>
      </c>
      <c r="G509" t="s">
        <v>20</v>
      </c>
      <c r="H509" s="2">
        <v>46179</v>
      </c>
      <c r="I509" s="2">
        <v>46179</v>
      </c>
      <c r="J509" t="s">
        <v>20</v>
      </c>
      <c r="K509">
        <v>-33.130000000000003</v>
      </c>
      <c r="L509">
        <v>-33.130000000000003</v>
      </c>
      <c r="M509">
        <v>-33.130000000000003</v>
      </c>
      <c r="N509" t="s">
        <v>158</v>
      </c>
      <c r="O509" s="3" t="s">
        <v>1482</v>
      </c>
      <c r="P509" s="3" t="s">
        <v>1482</v>
      </c>
      <c r="Q509" s="3" t="s">
        <v>1482</v>
      </c>
      <c r="R509" s="3" t="s">
        <v>1482</v>
      </c>
      <c r="S509" s="3" t="s">
        <v>1482</v>
      </c>
      <c r="T509" s="3" t="s">
        <v>1482</v>
      </c>
    </row>
    <row r="510" spans="1:20">
      <c r="A510" t="s">
        <v>883</v>
      </c>
      <c r="B510" t="s">
        <v>20</v>
      </c>
      <c r="C510" t="s">
        <v>21</v>
      </c>
      <c r="D510" t="s">
        <v>884</v>
      </c>
      <c r="E510" s="2">
        <v>46179</v>
      </c>
      <c r="F510" s="2">
        <v>46179</v>
      </c>
      <c r="G510" t="s">
        <v>20</v>
      </c>
      <c r="H510" s="2">
        <v>46179</v>
      </c>
      <c r="I510" s="2">
        <v>46179</v>
      </c>
      <c r="J510" t="s">
        <v>20</v>
      </c>
      <c r="K510">
        <v>-66.260000000000005</v>
      </c>
      <c r="L510">
        <v>-66.260000000000005</v>
      </c>
      <c r="M510">
        <v>-66.260000000000005</v>
      </c>
      <c r="N510" t="s">
        <v>158</v>
      </c>
      <c r="O510" s="3" t="s">
        <v>1482</v>
      </c>
      <c r="P510" s="3" t="s">
        <v>1482</v>
      </c>
      <c r="Q510" s="3" t="s">
        <v>1482</v>
      </c>
      <c r="R510" s="3" t="s">
        <v>1482</v>
      </c>
      <c r="S510" s="3" t="s">
        <v>1482</v>
      </c>
      <c r="T510" s="3" t="s">
        <v>1482</v>
      </c>
    </row>
    <row r="511" spans="1:20">
      <c r="A511" t="s">
        <v>885</v>
      </c>
      <c r="B511" t="s">
        <v>20</v>
      </c>
      <c r="C511" t="s">
        <v>21</v>
      </c>
      <c r="D511" t="s">
        <v>886</v>
      </c>
      <c r="E511" s="2">
        <v>46179</v>
      </c>
      <c r="F511" s="2">
        <v>46179</v>
      </c>
      <c r="G511" t="s">
        <v>20</v>
      </c>
      <c r="H511" s="2">
        <v>46179</v>
      </c>
      <c r="I511" s="2">
        <v>46179</v>
      </c>
      <c r="J511" t="s">
        <v>20</v>
      </c>
      <c r="K511">
        <v>-99.39</v>
      </c>
      <c r="L511">
        <v>-99.39</v>
      </c>
      <c r="M511">
        <v>-99.39</v>
      </c>
      <c r="N511" t="s">
        <v>158</v>
      </c>
      <c r="O511" s="3" t="s">
        <v>1482</v>
      </c>
      <c r="P511" s="3" t="s">
        <v>1482</v>
      </c>
      <c r="Q511" s="3" t="s">
        <v>1482</v>
      </c>
      <c r="R511" s="3" t="s">
        <v>1482</v>
      </c>
      <c r="S511" s="3" t="s">
        <v>1482</v>
      </c>
      <c r="T511" s="3" t="s">
        <v>1482</v>
      </c>
    </row>
    <row r="512" spans="1:20">
      <c r="A512" t="s">
        <v>887</v>
      </c>
      <c r="B512" t="s">
        <v>20</v>
      </c>
      <c r="C512" t="s">
        <v>21</v>
      </c>
      <c r="D512" t="s">
        <v>888</v>
      </c>
      <c r="E512" s="2">
        <v>46179</v>
      </c>
      <c r="F512" s="2">
        <v>46179</v>
      </c>
      <c r="G512" t="s">
        <v>20</v>
      </c>
      <c r="H512" s="2">
        <v>46179</v>
      </c>
      <c r="I512" s="2">
        <v>46179</v>
      </c>
      <c r="J512" t="s">
        <v>20</v>
      </c>
      <c r="K512">
        <v>-52.52</v>
      </c>
      <c r="L512">
        <v>-52.52</v>
      </c>
      <c r="M512">
        <v>-52.52</v>
      </c>
      <c r="N512" t="s">
        <v>158</v>
      </c>
      <c r="O512" s="3" t="s">
        <v>1482</v>
      </c>
      <c r="P512" s="3" t="s">
        <v>1482</v>
      </c>
      <c r="Q512" s="3" t="s">
        <v>1482</v>
      </c>
      <c r="R512" s="3" t="s">
        <v>1482</v>
      </c>
      <c r="S512" s="3" t="s">
        <v>1482</v>
      </c>
      <c r="T512" s="3" t="s">
        <v>1482</v>
      </c>
    </row>
    <row r="513" spans="1:20">
      <c r="A513" t="s">
        <v>889</v>
      </c>
      <c r="B513" t="s">
        <v>20</v>
      </c>
      <c r="C513" t="s">
        <v>21</v>
      </c>
      <c r="D513" t="s">
        <v>890</v>
      </c>
      <c r="E513" s="2">
        <v>46179</v>
      </c>
      <c r="F513" s="2">
        <v>46179</v>
      </c>
      <c r="G513" t="s">
        <v>20</v>
      </c>
      <c r="H513" s="2">
        <v>46179</v>
      </c>
      <c r="I513" s="2">
        <v>46179</v>
      </c>
      <c r="J513" t="s">
        <v>20</v>
      </c>
      <c r="K513">
        <v>-85.46</v>
      </c>
      <c r="L513">
        <v>-85.46</v>
      </c>
      <c r="M513">
        <v>-85.46</v>
      </c>
      <c r="N513" t="s">
        <v>158</v>
      </c>
      <c r="O513" s="3" t="s">
        <v>1482</v>
      </c>
      <c r="P513" s="3" t="s">
        <v>1482</v>
      </c>
      <c r="Q513" s="3" t="s">
        <v>1482</v>
      </c>
      <c r="R513" s="3" t="s">
        <v>1482</v>
      </c>
      <c r="S513" s="3" t="s">
        <v>1482</v>
      </c>
      <c r="T513" s="3" t="s">
        <v>1482</v>
      </c>
    </row>
    <row r="514" spans="1:20">
      <c r="A514" t="s">
        <v>891</v>
      </c>
      <c r="B514" t="s">
        <v>20</v>
      </c>
      <c r="C514" t="s">
        <v>21</v>
      </c>
      <c r="D514" t="s">
        <v>892</v>
      </c>
      <c r="E514" s="2">
        <v>46179</v>
      </c>
      <c r="F514" s="2">
        <v>46179</v>
      </c>
      <c r="G514" t="s">
        <v>20</v>
      </c>
      <c r="H514" s="2">
        <v>46179</v>
      </c>
      <c r="I514" s="2">
        <v>46179</v>
      </c>
      <c r="J514" t="s">
        <v>20</v>
      </c>
      <c r="K514">
        <v>-165.65</v>
      </c>
      <c r="L514">
        <v>-165.65</v>
      </c>
      <c r="M514">
        <v>-165.65</v>
      </c>
      <c r="N514" t="s">
        <v>158</v>
      </c>
      <c r="O514" s="3" t="s">
        <v>1482</v>
      </c>
      <c r="P514" s="3" t="s">
        <v>1482</v>
      </c>
      <c r="Q514" s="3" t="s">
        <v>1482</v>
      </c>
      <c r="R514" s="3" t="s">
        <v>1482</v>
      </c>
      <c r="S514" s="3" t="s">
        <v>1482</v>
      </c>
      <c r="T514" s="3" t="s">
        <v>1482</v>
      </c>
    </row>
    <row r="515" spans="1:20">
      <c r="A515" t="s">
        <v>893</v>
      </c>
      <c r="B515" t="s">
        <v>20</v>
      </c>
      <c r="C515" t="s">
        <v>21</v>
      </c>
      <c r="D515" t="s">
        <v>894</v>
      </c>
      <c r="E515" s="2">
        <v>46179</v>
      </c>
      <c r="F515" s="2">
        <v>46179</v>
      </c>
      <c r="G515" t="s">
        <v>20</v>
      </c>
      <c r="H515" s="2">
        <v>46179</v>
      </c>
      <c r="I515" s="2">
        <v>46179</v>
      </c>
      <c r="J515" t="s">
        <v>20</v>
      </c>
      <c r="K515">
        <v>-115.1</v>
      </c>
      <c r="L515">
        <v>-115.1</v>
      </c>
      <c r="M515">
        <v>-115.1</v>
      </c>
      <c r="N515" t="s">
        <v>158</v>
      </c>
      <c r="O515" s="3" t="s">
        <v>1482</v>
      </c>
      <c r="P515" s="3" t="s">
        <v>1482</v>
      </c>
      <c r="Q515" s="3" t="s">
        <v>1482</v>
      </c>
      <c r="R515" s="3" t="s">
        <v>1482</v>
      </c>
      <c r="S515" s="3" t="s">
        <v>1482</v>
      </c>
      <c r="T515" s="3" t="s">
        <v>1482</v>
      </c>
    </row>
    <row r="516" spans="1:20">
      <c r="A516" t="s">
        <v>895</v>
      </c>
      <c r="B516" t="s">
        <v>20</v>
      </c>
      <c r="C516" t="s">
        <v>21</v>
      </c>
      <c r="D516" t="s">
        <v>896</v>
      </c>
      <c r="E516" s="2">
        <v>46179</v>
      </c>
      <c r="F516" s="2">
        <v>46179</v>
      </c>
      <c r="G516" t="s">
        <v>20</v>
      </c>
      <c r="H516" s="2">
        <v>46179</v>
      </c>
      <c r="I516" s="2">
        <v>46179</v>
      </c>
      <c r="J516" t="s">
        <v>20</v>
      </c>
      <c r="K516">
        <v>-86.33</v>
      </c>
      <c r="L516">
        <v>-86.33</v>
      </c>
      <c r="M516">
        <v>-86.33</v>
      </c>
      <c r="N516" t="s">
        <v>158</v>
      </c>
      <c r="O516" s="3" t="s">
        <v>1482</v>
      </c>
      <c r="P516" s="3" t="s">
        <v>1482</v>
      </c>
      <c r="Q516" s="3" t="s">
        <v>1482</v>
      </c>
      <c r="R516" s="3" t="s">
        <v>1482</v>
      </c>
      <c r="S516" s="3" t="s">
        <v>1482</v>
      </c>
      <c r="T516" s="3" t="s">
        <v>1482</v>
      </c>
    </row>
    <row r="517" spans="1:20">
      <c r="A517" t="s">
        <v>897</v>
      </c>
      <c r="B517" t="s">
        <v>20</v>
      </c>
      <c r="C517" t="s">
        <v>21</v>
      </c>
      <c r="D517" t="s">
        <v>898</v>
      </c>
      <c r="E517" s="2">
        <v>46179</v>
      </c>
      <c r="F517" s="2">
        <v>46179</v>
      </c>
      <c r="G517" t="s">
        <v>20</v>
      </c>
      <c r="H517" s="2">
        <v>46179</v>
      </c>
      <c r="I517" s="2">
        <v>46179</v>
      </c>
      <c r="J517" t="s">
        <v>20</v>
      </c>
      <c r="K517">
        <v>-132.52000000000001</v>
      </c>
      <c r="L517">
        <v>-132.52000000000001</v>
      </c>
      <c r="M517">
        <v>-132.52000000000001</v>
      </c>
      <c r="N517" t="s">
        <v>158</v>
      </c>
      <c r="O517" s="3" t="s">
        <v>1482</v>
      </c>
      <c r="P517" s="3" t="s">
        <v>1482</v>
      </c>
      <c r="Q517" s="3" t="s">
        <v>1482</v>
      </c>
      <c r="R517" s="3" t="s">
        <v>1482</v>
      </c>
      <c r="S517" s="3" t="s">
        <v>1482</v>
      </c>
      <c r="T517" s="3" t="s">
        <v>1482</v>
      </c>
    </row>
    <row r="518" spans="1:20">
      <c r="A518" t="s">
        <v>899</v>
      </c>
      <c r="B518" t="s">
        <v>20</v>
      </c>
      <c r="C518" t="s">
        <v>21</v>
      </c>
      <c r="D518" t="s">
        <v>900</v>
      </c>
      <c r="E518" s="2">
        <v>46179</v>
      </c>
      <c r="F518" s="2">
        <v>46179</v>
      </c>
      <c r="G518" t="s">
        <v>20</v>
      </c>
      <c r="H518" s="2">
        <v>46179</v>
      </c>
      <c r="I518" s="2">
        <v>46179</v>
      </c>
      <c r="J518" t="s">
        <v>20</v>
      </c>
      <c r="K518">
        <v>-99.39</v>
      </c>
      <c r="L518">
        <v>-99.39</v>
      </c>
      <c r="M518">
        <v>-99.39</v>
      </c>
      <c r="N518" t="s">
        <v>158</v>
      </c>
      <c r="O518" s="3" t="s">
        <v>1482</v>
      </c>
      <c r="P518" s="3" t="s">
        <v>1482</v>
      </c>
      <c r="Q518" s="3" t="s">
        <v>1482</v>
      </c>
      <c r="R518" s="3" t="s">
        <v>1482</v>
      </c>
      <c r="S518" s="3" t="s">
        <v>1482</v>
      </c>
      <c r="T518" s="3" t="s">
        <v>1482</v>
      </c>
    </row>
    <row r="519" spans="1:20">
      <c r="A519" t="s">
        <v>901</v>
      </c>
      <c r="B519" t="s">
        <v>20</v>
      </c>
      <c r="C519" t="s">
        <v>21</v>
      </c>
      <c r="D519" t="s">
        <v>902</v>
      </c>
      <c r="E519" s="2">
        <v>46179</v>
      </c>
      <c r="F519" s="2">
        <v>46179</v>
      </c>
      <c r="G519" t="s">
        <v>20</v>
      </c>
      <c r="H519" s="2">
        <v>46179</v>
      </c>
      <c r="I519" s="2">
        <v>46179</v>
      </c>
      <c r="J519" t="s">
        <v>20</v>
      </c>
      <c r="K519">
        <v>-98.48</v>
      </c>
      <c r="L519">
        <v>-98.48</v>
      </c>
      <c r="M519">
        <v>-98.48</v>
      </c>
      <c r="N519" t="s">
        <v>158</v>
      </c>
      <c r="O519" s="3" t="s">
        <v>1482</v>
      </c>
      <c r="P519" s="3" t="s">
        <v>1482</v>
      </c>
      <c r="Q519" s="3" t="s">
        <v>1482</v>
      </c>
      <c r="R519" s="3" t="s">
        <v>1482</v>
      </c>
      <c r="S519" s="3" t="s">
        <v>1482</v>
      </c>
      <c r="T519" s="3" t="s">
        <v>1482</v>
      </c>
    </row>
    <row r="520" spans="1:20">
      <c r="A520" t="s">
        <v>903</v>
      </c>
      <c r="B520" t="s">
        <v>20</v>
      </c>
      <c r="C520" t="s">
        <v>21</v>
      </c>
      <c r="D520" t="s">
        <v>904</v>
      </c>
      <c r="E520" s="2">
        <v>46179</v>
      </c>
      <c r="F520" s="2">
        <v>46179</v>
      </c>
      <c r="G520" t="s">
        <v>20</v>
      </c>
      <c r="H520" s="2">
        <v>46179</v>
      </c>
      <c r="I520" s="2">
        <v>46179</v>
      </c>
      <c r="J520" t="s">
        <v>20</v>
      </c>
      <c r="K520">
        <v>-198.78</v>
      </c>
      <c r="L520">
        <v>-198.78</v>
      </c>
      <c r="M520">
        <v>-198.78</v>
      </c>
      <c r="N520" t="s">
        <v>158</v>
      </c>
      <c r="O520" s="3" t="s">
        <v>1482</v>
      </c>
      <c r="P520" s="3" t="s">
        <v>1482</v>
      </c>
      <c r="Q520" s="3" t="s">
        <v>1482</v>
      </c>
      <c r="R520" s="3" t="s">
        <v>1482</v>
      </c>
      <c r="S520" s="3" t="s">
        <v>1482</v>
      </c>
      <c r="T520" s="3" t="s">
        <v>1482</v>
      </c>
    </row>
    <row r="521" spans="1:20">
      <c r="A521" t="s">
        <v>905</v>
      </c>
      <c r="B521" t="s">
        <v>20</v>
      </c>
      <c r="C521" t="s">
        <v>21</v>
      </c>
      <c r="D521" t="s">
        <v>906</v>
      </c>
      <c r="E521" s="2">
        <v>46179</v>
      </c>
      <c r="F521" s="2">
        <v>46179</v>
      </c>
      <c r="G521" t="s">
        <v>20</v>
      </c>
      <c r="H521" s="2">
        <v>46179</v>
      </c>
      <c r="I521" s="2">
        <v>46179</v>
      </c>
      <c r="J521" t="s">
        <v>20</v>
      </c>
      <c r="K521">
        <v>-26.26</v>
      </c>
      <c r="L521">
        <v>-26.26</v>
      </c>
      <c r="M521">
        <v>-26.26</v>
      </c>
      <c r="N521" t="s">
        <v>158</v>
      </c>
      <c r="O521" s="3" t="s">
        <v>1482</v>
      </c>
      <c r="P521" s="3" t="s">
        <v>1482</v>
      </c>
      <c r="Q521" s="3" t="s">
        <v>1482</v>
      </c>
      <c r="R521" s="3" t="s">
        <v>1482</v>
      </c>
      <c r="S521" s="3" t="s">
        <v>1482</v>
      </c>
      <c r="T521" s="3" t="s">
        <v>1482</v>
      </c>
    </row>
    <row r="522" spans="1:20">
      <c r="A522" t="s">
        <v>907</v>
      </c>
      <c r="B522" t="s">
        <v>20</v>
      </c>
      <c r="C522" t="s">
        <v>21</v>
      </c>
      <c r="D522" t="s">
        <v>908</v>
      </c>
      <c r="E522" s="2">
        <v>46179</v>
      </c>
      <c r="F522" s="2">
        <v>46179</v>
      </c>
      <c r="G522" t="s">
        <v>20</v>
      </c>
      <c r="H522" s="2">
        <v>46179</v>
      </c>
      <c r="I522" s="2">
        <v>46179</v>
      </c>
      <c r="J522" t="s">
        <v>20</v>
      </c>
      <c r="K522">
        <v>-165.65</v>
      </c>
      <c r="L522">
        <v>-165.65</v>
      </c>
      <c r="M522">
        <v>-165.65</v>
      </c>
      <c r="N522" t="s">
        <v>158</v>
      </c>
      <c r="O522" s="3" t="s">
        <v>1482</v>
      </c>
      <c r="P522" s="3" t="s">
        <v>1482</v>
      </c>
      <c r="Q522" s="3" t="s">
        <v>1482</v>
      </c>
      <c r="R522" s="3" t="s">
        <v>1482</v>
      </c>
      <c r="S522" s="3" t="s">
        <v>1482</v>
      </c>
      <c r="T522" s="3" t="s">
        <v>1482</v>
      </c>
    </row>
    <row r="523" spans="1:20">
      <c r="A523" t="s">
        <v>909</v>
      </c>
      <c r="B523" t="s">
        <v>20</v>
      </c>
      <c r="C523" t="s">
        <v>21</v>
      </c>
      <c r="D523" t="s">
        <v>910</v>
      </c>
      <c r="E523" s="2">
        <v>46179</v>
      </c>
      <c r="F523" s="2">
        <v>46179</v>
      </c>
      <c r="G523" t="s">
        <v>20</v>
      </c>
      <c r="H523" s="2">
        <v>46179</v>
      </c>
      <c r="I523" s="2">
        <v>46179</v>
      </c>
      <c r="J523" t="s">
        <v>20</v>
      </c>
      <c r="K523">
        <v>-99.39</v>
      </c>
      <c r="L523">
        <v>-99.39</v>
      </c>
      <c r="M523">
        <v>-99.39</v>
      </c>
      <c r="N523" t="s">
        <v>158</v>
      </c>
      <c r="O523" s="3" t="s">
        <v>1482</v>
      </c>
      <c r="P523" s="3" t="s">
        <v>1482</v>
      </c>
      <c r="Q523" s="3" t="s">
        <v>1482</v>
      </c>
      <c r="R523" s="3" t="s">
        <v>1482</v>
      </c>
      <c r="S523" s="3" t="s">
        <v>1482</v>
      </c>
      <c r="T523" s="3" t="s">
        <v>1482</v>
      </c>
    </row>
    <row r="524" spans="1:20">
      <c r="A524" t="s">
        <v>911</v>
      </c>
      <c r="B524" t="s">
        <v>20</v>
      </c>
      <c r="C524" t="s">
        <v>21</v>
      </c>
      <c r="D524" t="s">
        <v>912</v>
      </c>
      <c r="E524" s="2">
        <v>46179</v>
      </c>
      <c r="F524" s="2">
        <v>46179</v>
      </c>
      <c r="G524" t="s">
        <v>20</v>
      </c>
      <c r="H524" s="2">
        <v>46179</v>
      </c>
      <c r="I524" s="2">
        <v>46179</v>
      </c>
      <c r="J524" t="s">
        <v>20</v>
      </c>
      <c r="K524">
        <v>-23.97</v>
      </c>
      <c r="L524">
        <v>-23.97</v>
      </c>
      <c r="M524">
        <v>-23.97</v>
      </c>
      <c r="N524" t="s">
        <v>158</v>
      </c>
      <c r="O524" s="3" t="s">
        <v>1482</v>
      </c>
      <c r="P524" s="3" t="s">
        <v>1482</v>
      </c>
      <c r="Q524" s="3" t="s">
        <v>1482</v>
      </c>
      <c r="R524" s="3" t="s">
        <v>1482</v>
      </c>
      <c r="S524" s="3" t="s">
        <v>1482</v>
      </c>
      <c r="T524" s="3" t="s">
        <v>1482</v>
      </c>
    </row>
    <row r="525" spans="1:20">
      <c r="A525" t="s">
        <v>913</v>
      </c>
      <c r="B525" t="s">
        <v>20</v>
      </c>
      <c r="C525" t="s">
        <v>21</v>
      </c>
      <c r="D525" t="s">
        <v>914</v>
      </c>
      <c r="E525" s="2">
        <v>46179</v>
      </c>
      <c r="F525" s="2">
        <v>46179</v>
      </c>
      <c r="G525" t="s">
        <v>20</v>
      </c>
      <c r="H525" s="2">
        <v>46179</v>
      </c>
      <c r="I525" s="2">
        <v>46179</v>
      </c>
      <c r="J525" t="s">
        <v>20</v>
      </c>
      <c r="K525">
        <v>-33.130000000000003</v>
      </c>
      <c r="L525">
        <v>-33.130000000000003</v>
      </c>
      <c r="M525">
        <v>-33.130000000000003</v>
      </c>
      <c r="N525" t="s">
        <v>158</v>
      </c>
      <c r="O525" s="3" t="s">
        <v>1482</v>
      </c>
      <c r="P525" s="3" t="s">
        <v>1482</v>
      </c>
      <c r="Q525" s="3" t="s">
        <v>1482</v>
      </c>
      <c r="R525" s="3" t="s">
        <v>1482</v>
      </c>
      <c r="S525" s="3" t="s">
        <v>1482</v>
      </c>
      <c r="T525" s="3" t="s">
        <v>1482</v>
      </c>
    </row>
    <row r="526" spans="1:20">
      <c r="A526" t="s">
        <v>915</v>
      </c>
      <c r="B526" t="s">
        <v>20</v>
      </c>
      <c r="C526" t="s">
        <v>21</v>
      </c>
      <c r="D526" t="s">
        <v>916</v>
      </c>
      <c r="E526" s="2">
        <v>46179</v>
      </c>
      <c r="F526" s="2">
        <v>46179</v>
      </c>
      <c r="G526" t="s">
        <v>20</v>
      </c>
      <c r="H526" s="2">
        <v>46179</v>
      </c>
      <c r="I526" s="2">
        <v>46179</v>
      </c>
      <c r="J526" t="s">
        <v>20</v>
      </c>
      <c r="K526">
        <v>-49.24</v>
      </c>
      <c r="L526">
        <v>-49.24</v>
      </c>
      <c r="M526">
        <v>-49.24</v>
      </c>
      <c r="N526" t="s">
        <v>158</v>
      </c>
      <c r="O526" s="3" t="s">
        <v>1482</v>
      </c>
      <c r="P526" s="3" t="s">
        <v>1482</v>
      </c>
      <c r="Q526" s="3" t="s">
        <v>1482</v>
      </c>
      <c r="R526" s="3" t="s">
        <v>1482</v>
      </c>
      <c r="S526" s="3" t="s">
        <v>1482</v>
      </c>
      <c r="T526" s="3" t="s">
        <v>1482</v>
      </c>
    </row>
    <row r="527" spans="1:20">
      <c r="A527" t="s">
        <v>917</v>
      </c>
      <c r="B527" t="s">
        <v>20</v>
      </c>
      <c r="C527" t="s">
        <v>21</v>
      </c>
      <c r="D527" t="s">
        <v>918</v>
      </c>
      <c r="E527" s="2">
        <v>46179</v>
      </c>
      <c r="F527" s="2">
        <v>46179</v>
      </c>
      <c r="G527" t="s">
        <v>20</v>
      </c>
      <c r="H527" s="2">
        <v>46179</v>
      </c>
      <c r="I527" s="2">
        <v>46179</v>
      </c>
      <c r="J527" t="s">
        <v>20</v>
      </c>
      <c r="K527">
        <v>-231.91</v>
      </c>
      <c r="L527">
        <v>-231.91</v>
      </c>
      <c r="M527">
        <v>-231.91</v>
      </c>
      <c r="N527" t="s">
        <v>158</v>
      </c>
      <c r="O527" s="3" t="s">
        <v>1482</v>
      </c>
      <c r="P527" s="3" t="s">
        <v>1482</v>
      </c>
      <c r="Q527" s="3" t="s">
        <v>1482</v>
      </c>
      <c r="R527" s="3" t="s">
        <v>1482</v>
      </c>
      <c r="S527" s="3" t="s">
        <v>1482</v>
      </c>
      <c r="T527" s="3" t="s">
        <v>1482</v>
      </c>
    </row>
    <row r="528" spans="1:20">
      <c r="A528" t="s">
        <v>919</v>
      </c>
      <c r="B528" t="s">
        <v>20</v>
      </c>
      <c r="C528" t="s">
        <v>21</v>
      </c>
      <c r="D528" t="s">
        <v>920</v>
      </c>
      <c r="E528" s="2">
        <v>46179</v>
      </c>
      <c r="F528" s="2">
        <v>46179</v>
      </c>
      <c r="G528" t="s">
        <v>20</v>
      </c>
      <c r="H528" s="2">
        <v>46179</v>
      </c>
      <c r="I528" s="2">
        <v>46179</v>
      </c>
      <c r="J528" t="s">
        <v>20</v>
      </c>
      <c r="K528">
        <v>-99.39</v>
      </c>
      <c r="L528">
        <v>-99.39</v>
      </c>
      <c r="M528">
        <v>-99.39</v>
      </c>
      <c r="N528" t="s">
        <v>158</v>
      </c>
      <c r="O528" s="3" t="s">
        <v>1482</v>
      </c>
      <c r="P528" s="3" t="s">
        <v>1482</v>
      </c>
      <c r="Q528" s="3" t="s">
        <v>1482</v>
      </c>
      <c r="R528" s="3" t="s">
        <v>1482</v>
      </c>
      <c r="S528" s="3" t="s">
        <v>1482</v>
      </c>
      <c r="T528" s="3" t="s">
        <v>1482</v>
      </c>
    </row>
    <row r="529" spans="1:20">
      <c r="A529" t="s">
        <v>921</v>
      </c>
      <c r="B529" t="s">
        <v>20</v>
      </c>
      <c r="C529" t="s">
        <v>21</v>
      </c>
      <c r="D529" t="s">
        <v>922</v>
      </c>
      <c r="E529" s="2">
        <v>46179</v>
      </c>
      <c r="F529" s="2">
        <v>46179</v>
      </c>
      <c r="G529" t="s">
        <v>20</v>
      </c>
      <c r="H529" s="2">
        <v>46179</v>
      </c>
      <c r="I529" s="2">
        <v>46179</v>
      </c>
      <c r="J529" t="s">
        <v>20</v>
      </c>
      <c r="K529">
        <v>-33.130000000000003</v>
      </c>
      <c r="L529">
        <v>-33.130000000000003</v>
      </c>
      <c r="M529">
        <v>-33.130000000000003</v>
      </c>
      <c r="N529" t="s">
        <v>158</v>
      </c>
      <c r="O529" s="3" t="s">
        <v>1482</v>
      </c>
      <c r="P529" s="3" t="s">
        <v>1482</v>
      </c>
      <c r="Q529" s="3" t="s">
        <v>1482</v>
      </c>
      <c r="R529" s="3" t="s">
        <v>1482</v>
      </c>
      <c r="S529" s="3" t="s">
        <v>1482</v>
      </c>
      <c r="T529" s="3" t="s">
        <v>1482</v>
      </c>
    </row>
    <row r="530" spans="1:20">
      <c r="A530" t="s">
        <v>923</v>
      </c>
      <c r="B530" t="s">
        <v>20</v>
      </c>
      <c r="C530" t="s">
        <v>21</v>
      </c>
      <c r="D530" t="s">
        <v>924</v>
      </c>
      <c r="E530" s="2">
        <v>46179</v>
      </c>
      <c r="F530" s="2">
        <v>46179</v>
      </c>
      <c r="G530" t="s">
        <v>20</v>
      </c>
      <c r="H530" s="2">
        <v>46179</v>
      </c>
      <c r="I530" s="2">
        <v>46179</v>
      </c>
      <c r="J530" t="s">
        <v>20</v>
      </c>
      <c r="K530">
        <v>-131.29</v>
      </c>
      <c r="L530">
        <v>-131.29</v>
      </c>
      <c r="M530">
        <v>-131.29</v>
      </c>
      <c r="N530" t="s">
        <v>158</v>
      </c>
      <c r="O530" s="3" t="s">
        <v>1482</v>
      </c>
      <c r="P530" s="3" t="s">
        <v>1482</v>
      </c>
      <c r="Q530" s="3" t="s">
        <v>1482</v>
      </c>
      <c r="R530" s="3" t="s">
        <v>1482</v>
      </c>
      <c r="S530" s="3" t="s">
        <v>1482</v>
      </c>
      <c r="T530" s="3" t="s">
        <v>1482</v>
      </c>
    </row>
    <row r="531" spans="1:20">
      <c r="A531" t="s">
        <v>925</v>
      </c>
      <c r="B531" t="s">
        <v>20</v>
      </c>
      <c r="C531" t="s">
        <v>21</v>
      </c>
      <c r="D531" t="s">
        <v>926</v>
      </c>
      <c r="E531" s="2">
        <v>46179</v>
      </c>
      <c r="F531" s="2">
        <v>46179</v>
      </c>
      <c r="G531" t="s">
        <v>20</v>
      </c>
      <c r="H531" s="2">
        <v>46179</v>
      </c>
      <c r="I531" s="2">
        <v>46179</v>
      </c>
      <c r="J531" t="s">
        <v>20</v>
      </c>
      <c r="K531">
        <v>-131.29</v>
      </c>
      <c r="L531">
        <v>-131.29</v>
      </c>
      <c r="M531">
        <v>-131.29</v>
      </c>
      <c r="N531" t="s">
        <v>158</v>
      </c>
      <c r="O531" s="3" t="s">
        <v>1482</v>
      </c>
      <c r="P531" s="3" t="s">
        <v>1482</v>
      </c>
      <c r="Q531" s="3" t="s">
        <v>1482</v>
      </c>
      <c r="R531" s="3" t="s">
        <v>1482</v>
      </c>
      <c r="S531" s="3" t="s">
        <v>1482</v>
      </c>
      <c r="T531" s="3" t="s">
        <v>1482</v>
      </c>
    </row>
    <row r="532" spans="1:20">
      <c r="A532" t="s">
        <v>927</v>
      </c>
      <c r="B532" t="s">
        <v>20</v>
      </c>
      <c r="C532" t="s">
        <v>21</v>
      </c>
      <c r="D532" t="s">
        <v>928</v>
      </c>
      <c r="E532" s="2">
        <v>46179</v>
      </c>
      <c r="F532" s="2">
        <v>46179</v>
      </c>
      <c r="G532" t="s">
        <v>20</v>
      </c>
      <c r="H532" s="2">
        <v>46179</v>
      </c>
      <c r="I532" s="2">
        <v>46179</v>
      </c>
      <c r="J532" t="s">
        <v>20</v>
      </c>
      <c r="K532">
        <v>-165.65</v>
      </c>
      <c r="L532">
        <v>-165.65</v>
      </c>
      <c r="M532">
        <v>-165.65</v>
      </c>
      <c r="N532" t="s">
        <v>158</v>
      </c>
      <c r="O532" s="3" t="s">
        <v>1482</v>
      </c>
      <c r="P532" s="3" t="s">
        <v>1482</v>
      </c>
      <c r="Q532" s="3" t="s">
        <v>1482</v>
      </c>
      <c r="R532" s="3" t="s">
        <v>1482</v>
      </c>
      <c r="S532" s="3" t="s">
        <v>1482</v>
      </c>
      <c r="T532" s="3" t="s">
        <v>1482</v>
      </c>
    </row>
    <row r="533" spans="1:20">
      <c r="A533" t="s">
        <v>929</v>
      </c>
      <c r="B533" t="s">
        <v>20</v>
      </c>
      <c r="C533" t="s">
        <v>21</v>
      </c>
      <c r="D533" t="s">
        <v>930</v>
      </c>
      <c r="E533" s="2">
        <v>46179</v>
      </c>
      <c r="F533" s="2">
        <v>46179</v>
      </c>
      <c r="G533" t="s">
        <v>20</v>
      </c>
      <c r="H533" s="2">
        <v>46179</v>
      </c>
      <c r="I533" s="2">
        <v>46179</v>
      </c>
      <c r="J533" t="s">
        <v>20</v>
      </c>
      <c r="K533">
        <v>-198.78</v>
      </c>
      <c r="L533">
        <v>-198.78</v>
      </c>
      <c r="M533">
        <v>-198.78</v>
      </c>
      <c r="N533" t="s">
        <v>158</v>
      </c>
      <c r="O533" s="3" t="s">
        <v>1482</v>
      </c>
      <c r="P533" s="3" t="s">
        <v>1482</v>
      </c>
      <c r="Q533" s="3" t="s">
        <v>1482</v>
      </c>
      <c r="R533" s="3" t="s">
        <v>1482</v>
      </c>
      <c r="S533" s="3" t="s">
        <v>1482</v>
      </c>
      <c r="T533" s="3" t="s">
        <v>1482</v>
      </c>
    </row>
    <row r="534" spans="1:20">
      <c r="A534" t="s">
        <v>931</v>
      </c>
      <c r="B534" t="s">
        <v>20</v>
      </c>
      <c r="C534" t="s">
        <v>21</v>
      </c>
      <c r="D534" t="s">
        <v>932</v>
      </c>
      <c r="E534" s="2">
        <v>46179</v>
      </c>
      <c r="F534" s="2">
        <v>46179</v>
      </c>
      <c r="G534" t="s">
        <v>20</v>
      </c>
      <c r="H534" s="2">
        <v>46179</v>
      </c>
      <c r="I534" s="2">
        <v>46179</v>
      </c>
      <c r="J534" t="s">
        <v>20</v>
      </c>
      <c r="K534">
        <v>-33.130000000000003</v>
      </c>
      <c r="L534">
        <v>-33.130000000000003</v>
      </c>
      <c r="M534">
        <v>-33.130000000000003</v>
      </c>
      <c r="N534" t="s">
        <v>158</v>
      </c>
      <c r="O534" s="3" t="s">
        <v>1482</v>
      </c>
      <c r="P534" s="3" t="s">
        <v>1482</v>
      </c>
      <c r="Q534" s="3" t="s">
        <v>1482</v>
      </c>
      <c r="R534" s="3" t="s">
        <v>1482</v>
      </c>
      <c r="S534" s="3" t="s">
        <v>1482</v>
      </c>
      <c r="T534" s="3" t="s">
        <v>1482</v>
      </c>
    </row>
    <row r="535" spans="1:20">
      <c r="A535" t="s">
        <v>933</v>
      </c>
      <c r="B535" t="s">
        <v>20</v>
      </c>
      <c r="C535" t="s">
        <v>21</v>
      </c>
      <c r="D535" t="s">
        <v>934</v>
      </c>
      <c r="E535" s="2">
        <v>46179</v>
      </c>
      <c r="F535" s="2">
        <v>46179</v>
      </c>
      <c r="G535" t="s">
        <v>20</v>
      </c>
      <c r="H535" s="2">
        <v>46179</v>
      </c>
      <c r="I535" s="2">
        <v>46179</v>
      </c>
      <c r="J535" t="s">
        <v>20</v>
      </c>
      <c r="K535">
        <v>-78.78</v>
      </c>
      <c r="L535">
        <v>-78.78</v>
      </c>
      <c r="M535">
        <v>-78.78</v>
      </c>
      <c r="N535" t="s">
        <v>158</v>
      </c>
      <c r="O535" s="3" t="s">
        <v>1482</v>
      </c>
      <c r="P535" s="3" t="s">
        <v>1482</v>
      </c>
      <c r="Q535" s="3" t="s">
        <v>1482</v>
      </c>
      <c r="R535" s="3" t="s">
        <v>1482</v>
      </c>
      <c r="S535" s="3" t="s">
        <v>1482</v>
      </c>
      <c r="T535" s="3" t="s">
        <v>1482</v>
      </c>
    </row>
    <row r="536" spans="1:20">
      <c r="A536" t="s">
        <v>935</v>
      </c>
      <c r="B536" t="s">
        <v>20</v>
      </c>
      <c r="C536" t="s">
        <v>21</v>
      </c>
      <c r="D536" t="s">
        <v>936</v>
      </c>
      <c r="E536" s="2">
        <v>46179</v>
      </c>
      <c r="F536" s="2">
        <v>46179</v>
      </c>
      <c r="G536" t="s">
        <v>20</v>
      </c>
      <c r="H536" s="2">
        <v>46179</v>
      </c>
      <c r="I536" s="2">
        <v>46179</v>
      </c>
      <c r="J536" t="s">
        <v>20</v>
      </c>
      <c r="K536">
        <v>-99.39</v>
      </c>
      <c r="L536">
        <v>-99.39</v>
      </c>
      <c r="M536">
        <v>-99.39</v>
      </c>
      <c r="N536" t="s">
        <v>158</v>
      </c>
      <c r="O536" s="3" t="s">
        <v>1482</v>
      </c>
      <c r="P536" s="3" t="s">
        <v>1482</v>
      </c>
      <c r="Q536" s="3" t="s">
        <v>1482</v>
      </c>
      <c r="R536" s="3" t="s">
        <v>1482</v>
      </c>
      <c r="S536" s="3" t="s">
        <v>1482</v>
      </c>
      <c r="T536" s="3" t="s">
        <v>1482</v>
      </c>
    </row>
    <row r="537" spans="1:20">
      <c r="A537" t="s">
        <v>937</v>
      </c>
      <c r="B537" t="s">
        <v>20</v>
      </c>
      <c r="C537" t="s">
        <v>21</v>
      </c>
      <c r="D537" t="s">
        <v>938</v>
      </c>
      <c r="E537" s="2">
        <v>46179</v>
      </c>
      <c r="F537" s="2">
        <v>46179</v>
      </c>
      <c r="G537" t="s">
        <v>20</v>
      </c>
      <c r="H537" s="2">
        <v>46179</v>
      </c>
      <c r="I537" s="2">
        <v>46179</v>
      </c>
      <c r="J537" t="s">
        <v>20</v>
      </c>
      <c r="K537">
        <v>-29.82</v>
      </c>
      <c r="L537">
        <v>-29.82</v>
      </c>
      <c r="M537">
        <v>-29.82</v>
      </c>
      <c r="N537" t="s">
        <v>158</v>
      </c>
      <c r="O537" s="3" t="s">
        <v>1482</v>
      </c>
      <c r="P537" s="3" t="s">
        <v>1482</v>
      </c>
      <c r="Q537" s="3" t="s">
        <v>1482</v>
      </c>
      <c r="R537" s="3" t="s">
        <v>1482</v>
      </c>
      <c r="S537" s="3" t="s">
        <v>1482</v>
      </c>
      <c r="T537" s="3" t="s">
        <v>1482</v>
      </c>
    </row>
    <row r="538" spans="1:20">
      <c r="A538" t="s">
        <v>939</v>
      </c>
      <c r="B538" t="s">
        <v>20</v>
      </c>
      <c r="C538" t="s">
        <v>21</v>
      </c>
      <c r="D538" t="s">
        <v>940</v>
      </c>
      <c r="E538" s="2">
        <v>46179</v>
      </c>
      <c r="F538" s="2">
        <v>46179</v>
      </c>
      <c r="G538" t="s">
        <v>20</v>
      </c>
      <c r="H538" s="2">
        <v>46179</v>
      </c>
      <c r="I538" s="2">
        <v>46179</v>
      </c>
      <c r="J538" t="s">
        <v>20</v>
      </c>
      <c r="K538">
        <v>-99.39</v>
      </c>
      <c r="L538">
        <v>-99.39</v>
      </c>
      <c r="M538">
        <v>-99.39</v>
      </c>
      <c r="N538" t="s">
        <v>158</v>
      </c>
      <c r="O538" s="3" t="s">
        <v>1482</v>
      </c>
      <c r="P538" s="3" t="s">
        <v>1482</v>
      </c>
      <c r="Q538" s="3" t="s">
        <v>1482</v>
      </c>
      <c r="R538" s="3" t="s">
        <v>1482</v>
      </c>
      <c r="S538" s="3" t="s">
        <v>1482</v>
      </c>
      <c r="T538" s="3" t="s">
        <v>1482</v>
      </c>
    </row>
    <row r="539" spans="1:20">
      <c r="A539" t="s">
        <v>941</v>
      </c>
      <c r="B539" t="s">
        <v>20</v>
      </c>
      <c r="C539" t="s">
        <v>21</v>
      </c>
      <c r="D539" t="s">
        <v>942</v>
      </c>
      <c r="E539" s="2">
        <v>46179</v>
      </c>
      <c r="F539" s="2">
        <v>46179</v>
      </c>
      <c r="G539" t="s">
        <v>20</v>
      </c>
      <c r="H539" s="2">
        <v>46179</v>
      </c>
      <c r="I539" s="2">
        <v>46179</v>
      </c>
      <c r="J539" t="s">
        <v>20</v>
      </c>
      <c r="K539">
        <v>-99.39</v>
      </c>
      <c r="L539">
        <v>-99.39</v>
      </c>
      <c r="M539">
        <v>-99.39</v>
      </c>
      <c r="N539" t="s">
        <v>158</v>
      </c>
      <c r="O539" s="3" t="s">
        <v>1482</v>
      </c>
      <c r="P539" s="3" t="s">
        <v>1482</v>
      </c>
      <c r="Q539" s="3" t="s">
        <v>1482</v>
      </c>
      <c r="R539" s="3" t="s">
        <v>1482</v>
      </c>
      <c r="S539" s="3" t="s">
        <v>1482</v>
      </c>
      <c r="T539" s="3" t="s">
        <v>1482</v>
      </c>
    </row>
    <row r="540" spans="1:20">
      <c r="A540" t="s">
        <v>943</v>
      </c>
      <c r="B540" t="s">
        <v>20</v>
      </c>
      <c r="C540" t="s">
        <v>21</v>
      </c>
      <c r="D540" t="s">
        <v>944</v>
      </c>
      <c r="E540" s="2">
        <v>46179</v>
      </c>
      <c r="F540" s="2">
        <v>46179</v>
      </c>
      <c r="G540" t="s">
        <v>20</v>
      </c>
      <c r="H540" s="2">
        <v>46179</v>
      </c>
      <c r="I540" s="2">
        <v>46179</v>
      </c>
      <c r="J540" t="s">
        <v>20</v>
      </c>
      <c r="K540">
        <v>-105.03</v>
      </c>
      <c r="L540">
        <v>-105.03</v>
      </c>
      <c r="M540">
        <v>-105.03</v>
      </c>
      <c r="N540" t="s">
        <v>158</v>
      </c>
      <c r="O540" s="3" t="s">
        <v>1482</v>
      </c>
      <c r="P540" s="3" t="s">
        <v>1482</v>
      </c>
      <c r="Q540" s="3" t="s">
        <v>1482</v>
      </c>
      <c r="R540" s="3" t="s">
        <v>1482</v>
      </c>
      <c r="S540" s="3" t="s">
        <v>1482</v>
      </c>
      <c r="T540" s="3" t="s">
        <v>1482</v>
      </c>
    </row>
    <row r="541" spans="1:20">
      <c r="A541" t="s">
        <v>945</v>
      </c>
      <c r="B541" t="s">
        <v>20</v>
      </c>
      <c r="C541" t="s">
        <v>21</v>
      </c>
      <c r="D541" t="s">
        <v>946</v>
      </c>
      <c r="E541" s="2">
        <v>46179</v>
      </c>
      <c r="F541" s="2">
        <v>46179</v>
      </c>
      <c r="G541" t="s">
        <v>20</v>
      </c>
      <c r="H541" s="2">
        <v>46179</v>
      </c>
      <c r="I541" s="2">
        <v>46179</v>
      </c>
      <c r="J541" t="s">
        <v>20</v>
      </c>
      <c r="K541">
        <v>-33.130000000000003</v>
      </c>
      <c r="L541">
        <v>-33.130000000000003</v>
      </c>
      <c r="M541">
        <v>-33.130000000000003</v>
      </c>
      <c r="N541" t="s">
        <v>158</v>
      </c>
      <c r="O541" s="3" t="s">
        <v>1482</v>
      </c>
      <c r="P541" s="3" t="s">
        <v>1482</v>
      </c>
      <c r="Q541" s="3" t="s">
        <v>1482</v>
      </c>
      <c r="R541" s="3" t="s">
        <v>1482</v>
      </c>
      <c r="S541" s="3" t="s">
        <v>1482</v>
      </c>
      <c r="T541" s="3" t="s">
        <v>1482</v>
      </c>
    </row>
    <row r="542" spans="1:20">
      <c r="A542" t="s">
        <v>947</v>
      </c>
      <c r="B542" t="s">
        <v>20</v>
      </c>
      <c r="C542" t="s">
        <v>21</v>
      </c>
      <c r="D542" t="s">
        <v>948</v>
      </c>
      <c r="E542" s="2">
        <v>46179</v>
      </c>
      <c r="F542" s="2">
        <v>46179</v>
      </c>
      <c r="G542" t="s">
        <v>20</v>
      </c>
      <c r="H542" s="2">
        <v>46179</v>
      </c>
      <c r="I542" s="2">
        <v>46179</v>
      </c>
      <c r="J542" t="s">
        <v>20</v>
      </c>
      <c r="K542">
        <v>-66.260000000000005</v>
      </c>
      <c r="L542">
        <v>-66.260000000000005</v>
      </c>
      <c r="M542">
        <v>-66.260000000000005</v>
      </c>
      <c r="N542" t="s">
        <v>158</v>
      </c>
      <c r="O542" s="3" t="s">
        <v>1482</v>
      </c>
      <c r="P542" s="3" t="s">
        <v>1482</v>
      </c>
      <c r="Q542" s="3" t="s">
        <v>1482</v>
      </c>
      <c r="R542" s="3" t="s">
        <v>1482</v>
      </c>
      <c r="S542" s="3" t="s">
        <v>1482</v>
      </c>
      <c r="T542" s="3" t="s">
        <v>1482</v>
      </c>
    </row>
    <row r="543" spans="1:20">
      <c r="A543" t="s">
        <v>949</v>
      </c>
      <c r="B543" t="s">
        <v>20</v>
      </c>
      <c r="C543" t="s">
        <v>21</v>
      </c>
      <c r="D543" t="s">
        <v>950</v>
      </c>
      <c r="E543" s="2">
        <v>46179</v>
      </c>
      <c r="F543" s="2">
        <v>46179</v>
      </c>
      <c r="G543" t="s">
        <v>20</v>
      </c>
      <c r="H543" s="2">
        <v>46179</v>
      </c>
      <c r="I543" s="2">
        <v>46179</v>
      </c>
      <c r="J543" t="s">
        <v>20</v>
      </c>
      <c r="K543">
        <v>-132.52000000000001</v>
      </c>
      <c r="L543">
        <v>-132.52000000000001</v>
      </c>
      <c r="M543">
        <v>-132.52000000000001</v>
      </c>
      <c r="N543" t="s">
        <v>158</v>
      </c>
      <c r="O543" s="3" t="s">
        <v>1482</v>
      </c>
      <c r="P543" s="3" t="s">
        <v>1482</v>
      </c>
      <c r="Q543" s="3" t="s">
        <v>1482</v>
      </c>
      <c r="R543" s="3" t="s">
        <v>1482</v>
      </c>
      <c r="S543" s="3" t="s">
        <v>1482</v>
      </c>
      <c r="T543" s="3" t="s">
        <v>1482</v>
      </c>
    </row>
    <row r="544" spans="1:20">
      <c r="A544" t="s">
        <v>951</v>
      </c>
      <c r="B544" t="s">
        <v>20</v>
      </c>
      <c r="C544" t="s">
        <v>21</v>
      </c>
      <c r="D544" t="s">
        <v>952</v>
      </c>
      <c r="E544" s="2">
        <v>46179</v>
      </c>
      <c r="F544" s="2">
        <v>46179</v>
      </c>
      <c r="G544" t="s">
        <v>20</v>
      </c>
      <c r="H544" s="2">
        <v>46179</v>
      </c>
      <c r="I544" s="2">
        <v>46179</v>
      </c>
      <c r="J544" t="s">
        <v>20</v>
      </c>
      <c r="K544">
        <v>-99.39</v>
      </c>
      <c r="L544">
        <v>-99.39</v>
      </c>
      <c r="M544">
        <v>-99.39</v>
      </c>
      <c r="N544" t="s">
        <v>158</v>
      </c>
      <c r="O544" s="3" t="s">
        <v>1482</v>
      </c>
      <c r="P544" s="3" t="s">
        <v>1482</v>
      </c>
      <c r="Q544" s="3" t="s">
        <v>1482</v>
      </c>
      <c r="R544" s="3" t="s">
        <v>1482</v>
      </c>
      <c r="S544" s="3" t="s">
        <v>1482</v>
      </c>
      <c r="T544" s="3" t="s">
        <v>1482</v>
      </c>
    </row>
    <row r="545" spans="1:20">
      <c r="A545" t="s">
        <v>953</v>
      </c>
      <c r="B545" t="s">
        <v>20</v>
      </c>
      <c r="C545" t="s">
        <v>21</v>
      </c>
      <c r="D545" t="s">
        <v>954</v>
      </c>
      <c r="E545" s="2">
        <v>46179</v>
      </c>
      <c r="F545" s="2">
        <v>46179</v>
      </c>
      <c r="G545" t="s">
        <v>20</v>
      </c>
      <c r="H545" s="2">
        <v>46179</v>
      </c>
      <c r="I545" s="2">
        <v>46179</v>
      </c>
      <c r="J545" t="s">
        <v>20</v>
      </c>
      <c r="K545">
        <v>-33.130000000000003</v>
      </c>
      <c r="L545">
        <v>-33.130000000000003</v>
      </c>
      <c r="M545">
        <v>-33.130000000000003</v>
      </c>
      <c r="N545" t="s">
        <v>158</v>
      </c>
      <c r="O545" s="3" t="s">
        <v>1482</v>
      </c>
      <c r="P545" s="3" t="s">
        <v>1482</v>
      </c>
      <c r="Q545" s="3" t="s">
        <v>1482</v>
      </c>
      <c r="R545" s="3" t="s">
        <v>1482</v>
      </c>
      <c r="S545" s="3" t="s">
        <v>1482</v>
      </c>
      <c r="T545" s="3" t="s">
        <v>1482</v>
      </c>
    </row>
    <row r="546" spans="1:20">
      <c r="A546" t="s">
        <v>955</v>
      </c>
      <c r="B546" t="s">
        <v>20</v>
      </c>
      <c r="C546" t="s">
        <v>21</v>
      </c>
      <c r="D546" t="s">
        <v>956</v>
      </c>
      <c r="E546" s="2">
        <v>46179</v>
      </c>
      <c r="F546" s="2">
        <v>46179</v>
      </c>
      <c r="G546" t="s">
        <v>20</v>
      </c>
      <c r="H546" s="2">
        <v>46179</v>
      </c>
      <c r="I546" s="2">
        <v>46179</v>
      </c>
      <c r="J546" t="s">
        <v>20</v>
      </c>
      <c r="K546">
        <v>-231.91</v>
      </c>
      <c r="L546">
        <v>-231.91</v>
      </c>
      <c r="M546">
        <v>-231.91</v>
      </c>
      <c r="N546" t="s">
        <v>158</v>
      </c>
      <c r="O546" s="3" t="s">
        <v>1482</v>
      </c>
      <c r="P546" s="3" t="s">
        <v>1482</v>
      </c>
      <c r="Q546" s="3" t="s">
        <v>1482</v>
      </c>
      <c r="R546" s="3" t="s">
        <v>1482</v>
      </c>
      <c r="S546" s="3" t="s">
        <v>1482</v>
      </c>
      <c r="T546" s="3" t="s">
        <v>1482</v>
      </c>
    </row>
    <row r="547" spans="1:20">
      <c r="A547" t="s">
        <v>957</v>
      </c>
      <c r="B547" t="s">
        <v>20</v>
      </c>
      <c r="C547" t="s">
        <v>21</v>
      </c>
      <c r="D547" t="s">
        <v>958</v>
      </c>
      <c r="E547" s="2">
        <v>46179</v>
      </c>
      <c r="F547" s="2">
        <v>46179</v>
      </c>
      <c r="G547" t="s">
        <v>20</v>
      </c>
      <c r="H547" s="2">
        <v>46179</v>
      </c>
      <c r="I547" s="2">
        <v>46179</v>
      </c>
      <c r="J547" t="s">
        <v>20</v>
      </c>
      <c r="K547">
        <v>-131.29</v>
      </c>
      <c r="L547">
        <v>-131.29</v>
      </c>
      <c r="M547">
        <v>-131.29</v>
      </c>
      <c r="N547" t="s">
        <v>158</v>
      </c>
      <c r="O547" s="3" t="s">
        <v>1482</v>
      </c>
      <c r="P547" s="3" t="s">
        <v>1482</v>
      </c>
      <c r="Q547" s="3" t="s">
        <v>1482</v>
      </c>
      <c r="R547" s="3" t="s">
        <v>1482</v>
      </c>
      <c r="S547" s="3" t="s">
        <v>1482</v>
      </c>
      <c r="T547" s="3" t="s">
        <v>1482</v>
      </c>
    </row>
    <row r="548" spans="1:20">
      <c r="A548" t="s">
        <v>959</v>
      </c>
      <c r="B548" t="s">
        <v>20</v>
      </c>
      <c r="C548" t="s">
        <v>21</v>
      </c>
      <c r="D548" t="s">
        <v>960</v>
      </c>
      <c r="E548" s="2">
        <v>46179</v>
      </c>
      <c r="F548" s="2">
        <v>46179</v>
      </c>
      <c r="G548" t="s">
        <v>20</v>
      </c>
      <c r="H548" s="2">
        <v>46179</v>
      </c>
      <c r="I548" s="2">
        <v>46179</v>
      </c>
      <c r="J548" t="s">
        <v>20</v>
      </c>
      <c r="K548">
        <v>-132.52000000000001</v>
      </c>
      <c r="L548">
        <v>-132.52000000000001</v>
      </c>
      <c r="M548">
        <v>-132.52000000000001</v>
      </c>
      <c r="N548" t="s">
        <v>158</v>
      </c>
      <c r="O548" s="3" t="s">
        <v>1482</v>
      </c>
      <c r="P548" s="3" t="s">
        <v>1482</v>
      </c>
      <c r="Q548" s="3" t="s">
        <v>1482</v>
      </c>
      <c r="R548" s="3" t="s">
        <v>1482</v>
      </c>
      <c r="S548" s="3" t="s">
        <v>1482</v>
      </c>
      <c r="T548" s="3" t="s">
        <v>1482</v>
      </c>
    </row>
    <row r="549" spans="1:20">
      <c r="A549" t="s">
        <v>961</v>
      </c>
      <c r="B549" t="s">
        <v>20</v>
      </c>
      <c r="C549" t="s">
        <v>21</v>
      </c>
      <c r="D549" t="s">
        <v>962</v>
      </c>
      <c r="E549" s="2">
        <v>46179</v>
      </c>
      <c r="F549" s="2">
        <v>46179</v>
      </c>
      <c r="G549" t="s">
        <v>20</v>
      </c>
      <c r="H549" s="2">
        <v>46179</v>
      </c>
      <c r="I549" s="2">
        <v>46179</v>
      </c>
      <c r="J549" t="s">
        <v>20</v>
      </c>
      <c r="K549">
        <v>-33.130000000000003</v>
      </c>
      <c r="L549">
        <v>-33.130000000000003</v>
      </c>
      <c r="M549">
        <v>-33.130000000000003</v>
      </c>
      <c r="N549" t="s">
        <v>158</v>
      </c>
      <c r="O549" s="3" t="s">
        <v>1482</v>
      </c>
      <c r="P549" s="3" t="s">
        <v>1482</v>
      </c>
      <c r="Q549" s="3" t="s">
        <v>1482</v>
      </c>
      <c r="R549" s="3" t="s">
        <v>1482</v>
      </c>
      <c r="S549" s="3" t="s">
        <v>1482</v>
      </c>
      <c r="T549" s="3" t="s">
        <v>1482</v>
      </c>
    </row>
    <row r="550" spans="1:20">
      <c r="A550" t="s">
        <v>963</v>
      </c>
      <c r="B550" t="s">
        <v>20</v>
      </c>
      <c r="C550" t="s">
        <v>21</v>
      </c>
      <c r="D550" t="s">
        <v>964</v>
      </c>
      <c r="E550" s="2">
        <v>46179</v>
      </c>
      <c r="F550" s="2">
        <v>46179</v>
      </c>
      <c r="G550" t="s">
        <v>20</v>
      </c>
      <c r="H550" s="2">
        <v>46179</v>
      </c>
      <c r="I550" s="2">
        <v>46179</v>
      </c>
      <c r="J550" t="s">
        <v>20</v>
      </c>
      <c r="K550">
        <v>-165.65</v>
      </c>
      <c r="L550">
        <v>-165.65</v>
      </c>
      <c r="M550">
        <v>-165.65</v>
      </c>
      <c r="N550" t="s">
        <v>158</v>
      </c>
      <c r="O550" s="3" t="s">
        <v>1482</v>
      </c>
      <c r="P550" s="3" t="s">
        <v>1482</v>
      </c>
      <c r="Q550" s="3" t="s">
        <v>1482</v>
      </c>
      <c r="R550" s="3" t="s">
        <v>1482</v>
      </c>
      <c r="S550" s="3" t="s">
        <v>1482</v>
      </c>
      <c r="T550" s="3" t="s">
        <v>1482</v>
      </c>
    </row>
    <row r="551" spans="1:20">
      <c r="A551" t="s">
        <v>965</v>
      </c>
      <c r="B551" t="s">
        <v>20</v>
      </c>
      <c r="C551" t="s">
        <v>21</v>
      </c>
      <c r="D551" t="s">
        <v>966</v>
      </c>
      <c r="E551" s="2">
        <v>46179</v>
      </c>
      <c r="F551" s="2">
        <v>46179</v>
      </c>
      <c r="G551" t="s">
        <v>20</v>
      </c>
      <c r="H551" s="2">
        <v>46179</v>
      </c>
      <c r="I551" s="2">
        <v>46179</v>
      </c>
      <c r="J551" t="s">
        <v>20</v>
      </c>
      <c r="K551">
        <v>-33.130000000000003</v>
      </c>
      <c r="L551">
        <v>-33.130000000000003</v>
      </c>
      <c r="M551">
        <v>-33.130000000000003</v>
      </c>
      <c r="N551" t="s">
        <v>158</v>
      </c>
      <c r="O551" s="3" t="s">
        <v>1482</v>
      </c>
      <c r="P551" s="3" t="s">
        <v>1482</v>
      </c>
      <c r="Q551" s="3" t="s">
        <v>1482</v>
      </c>
      <c r="R551" s="3" t="s">
        <v>1482</v>
      </c>
      <c r="S551" s="3" t="s">
        <v>1482</v>
      </c>
      <c r="T551" s="3" t="s">
        <v>1482</v>
      </c>
    </row>
    <row r="552" spans="1:20">
      <c r="A552" t="s">
        <v>967</v>
      </c>
      <c r="B552" t="s">
        <v>20</v>
      </c>
      <c r="C552" t="s">
        <v>21</v>
      </c>
      <c r="D552" t="s">
        <v>968</v>
      </c>
      <c r="E552" s="2">
        <v>46179</v>
      </c>
      <c r="F552" s="2">
        <v>46179</v>
      </c>
      <c r="G552" t="s">
        <v>20</v>
      </c>
      <c r="H552" s="2">
        <v>46179</v>
      </c>
      <c r="I552" s="2">
        <v>46179</v>
      </c>
      <c r="J552" t="s">
        <v>20</v>
      </c>
      <c r="K552">
        <v>-71.900000000000006</v>
      </c>
      <c r="L552">
        <v>-71.900000000000006</v>
      </c>
      <c r="M552">
        <v>-71.900000000000006</v>
      </c>
      <c r="N552" t="s">
        <v>158</v>
      </c>
      <c r="O552" s="3" t="s">
        <v>1482</v>
      </c>
      <c r="P552" s="3" t="s">
        <v>1482</v>
      </c>
      <c r="Q552" s="3" t="s">
        <v>1482</v>
      </c>
      <c r="R552" s="3" t="s">
        <v>1482</v>
      </c>
      <c r="S552" s="3" t="s">
        <v>1482</v>
      </c>
      <c r="T552" s="3" t="s">
        <v>1482</v>
      </c>
    </row>
    <row r="553" spans="1:20">
      <c r="A553" t="s">
        <v>969</v>
      </c>
      <c r="B553" t="s">
        <v>20</v>
      </c>
      <c r="C553" t="s">
        <v>21</v>
      </c>
      <c r="D553" t="s">
        <v>970</v>
      </c>
      <c r="E553" s="2">
        <v>46179</v>
      </c>
      <c r="F553" s="2">
        <v>46179</v>
      </c>
      <c r="G553" t="s">
        <v>20</v>
      </c>
      <c r="H553" s="2">
        <v>46179</v>
      </c>
      <c r="I553" s="2">
        <v>46179</v>
      </c>
      <c r="J553" t="s">
        <v>20</v>
      </c>
      <c r="K553">
        <v>-132.52000000000001</v>
      </c>
      <c r="L553">
        <v>-132.52000000000001</v>
      </c>
      <c r="M553">
        <v>-132.52000000000001</v>
      </c>
      <c r="N553" t="s">
        <v>158</v>
      </c>
      <c r="O553" s="3" t="s">
        <v>1482</v>
      </c>
      <c r="P553" s="3" t="s">
        <v>1482</v>
      </c>
      <c r="Q553" s="3" t="s">
        <v>1482</v>
      </c>
      <c r="R553" s="3" t="s">
        <v>1482</v>
      </c>
      <c r="S553" s="3" t="s">
        <v>1482</v>
      </c>
      <c r="T553" s="3" t="s">
        <v>1482</v>
      </c>
    </row>
    <row r="554" spans="1:20">
      <c r="A554" t="s">
        <v>971</v>
      </c>
      <c r="B554" t="s">
        <v>20</v>
      </c>
      <c r="C554" t="s">
        <v>21</v>
      </c>
      <c r="D554" t="s">
        <v>972</v>
      </c>
      <c r="E554" s="2">
        <v>46179</v>
      </c>
      <c r="F554" s="2">
        <v>46179</v>
      </c>
      <c r="G554" t="s">
        <v>20</v>
      </c>
      <c r="H554" s="2">
        <v>46179</v>
      </c>
      <c r="I554" s="2">
        <v>46179</v>
      </c>
      <c r="J554" t="s">
        <v>20</v>
      </c>
      <c r="K554">
        <v>-132.52000000000001</v>
      </c>
      <c r="L554">
        <v>-132.52000000000001</v>
      </c>
      <c r="M554">
        <v>-132.52000000000001</v>
      </c>
      <c r="N554" t="s">
        <v>158</v>
      </c>
      <c r="O554" s="3" t="s">
        <v>1482</v>
      </c>
      <c r="P554" s="3" t="s">
        <v>1482</v>
      </c>
      <c r="Q554" s="3" t="s">
        <v>1482</v>
      </c>
      <c r="R554" s="3" t="s">
        <v>1482</v>
      </c>
      <c r="S554" s="3" t="s">
        <v>1482</v>
      </c>
      <c r="T554" s="3" t="s">
        <v>1482</v>
      </c>
    </row>
    <row r="555" spans="1:20">
      <c r="A555" t="s">
        <v>973</v>
      </c>
      <c r="B555" t="s">
        <v>20</v>
      </c>
      <c r="C555" t="s">
        <v>21</v>
      </c>
      <c r="D555" t="s">
        <v>974</v>
      </c>
      <c r="E555" s="2">
        <v>46179</v>
      </c>
      <c r="F555" s="2">
        <v>46179</v>
      </c>
      <c r="G555" t="s">
        <v>20</v>
      </c>
      <c r="H555" s="2">
        <v>46179</v>
      </c>
      <c r="I555" s="2">
        <v>46179</v>
      </c>
      <c r="J555" t="s">
        <v>20</v>
      </c>
      <c r="K555">
        <v>-193.3</v>
      </c>
      <c r="L555">
        <v>-193.3</v>
      </c>
      <c r="M555">
        <v>-193.3</v>
      </c>
      <c r="N555" t="s">
        <v>158</v>
      </c>
      <c r="O555" s="3" t="s">
        <v>1482</v>
      </c>
      <c r="P555" s="3" t="s">
        <v>1482</v>
      </c>
      <c r="Q555" s="3" t="s">
        <v>1482</v>
      </c>
      <c r="R555" s="3" t="s">
        <v>1482</v>
      </c>
      <c r="S555" s="3" t="s">
        <v>1482</v>
      </c>
      <c r="T555" s="3" t="s">
        <v>1482</v>
      </c>
    </row>
    <row r="556" spans="1:20">
      <c r="A556" t="s">
        <v>975</v>
      </c>
      <c r="B556" t="s">
        <v>20</v>
      </c>
      <c r="C556" t="s">
        <v>21</v>
      </c>
      <c r="D556" t="s">
        <v>976</v>
      </c>
      <c r="E556" s="2">
        <v>46179</v>
      </c>
      <c r="F556" s="2">
        <v>46179</v>
      </c>
      <c r="G556" t="s">
        <v>20</v>
      </c>
      <c r="H556" s="2">
        <v>46179</v>
      </c>
      <c r="I556" s="2">
        <v>46179</v>
      </c>
      <c r="J556" t="s">
        <v>20</v>
      </c>
      <c r="K556">
        <v>-28.78</v>
      </c>
      <c r="L556">
        <v>-28.78</v>
      </c>
      <c r="M556">
        <v>-28.78</v>
      </c>
      <c r="N556" t="s">
        <v>158</v>
      </c>
      <c r="O556" s="3" t="s">
        <v>1482</v>
      </c>
      <c r="P556" s="3" t="s">
        <v>1482</v>
      </c>
      <c r="Q556" s="3" t="s">
        <v>1482</v>
      </c>
      <c r="R556" s="3" t="s">
        <v>1482</v>
      </c>
      <c r="S556" s="3" t="s">
        <v>1482</v>
      </c>
      <c r="T556" s="3" t="s">
        <v>1482</v>
      </c>
    </row>
    <row r="557" spans="1:20">
      <c r="A557" t="s">
        <v>977</v>
      </c>
      <c r="B557" t="s">
        <v>20</v>
      </c>
      <c r="C557" t="s">
        <v>21</v>
      </c>
      <c r="D557" t="s">
        <v>978</v>
      </c>
      <c r="E557" s="2">
        <v>46179</v>
      </c>
      <c r="F557" s="2">
        <v>46179</v>
      </c>
      <c r="G557" t="s">
        <v>20</v>
      </c>
      <c r="H557" s="2">
        <v>46179</v>
      </c>
      <c r="I557" s="2">
        <v>46179</v>
      </c>
      <c r="J557" t="s">
        <v>20</v>
      </c>
      <c r="K557">
        <v>-132.52000000000001</v>
      </c>
      <c r="L557">
        <v>-132.52000000000001</v>
      </c>
      <c r="M557">
        <v>-132.52000000000001</v>
      </c>
      <c r="N557" t="s">
        <v>158</v>
      </c>
      <c r="O557" s="3" t="s">
        <v>1482</v>
      </c>
      <c r="P557" s="3" t="s">
        <v>1482</v>
      </c>
      <c r="Q557" s="3" t="s">
        <v>1482</v>
      </c>
      <c r="R557" s="3" t="s">
        <v>1482</v>
      </c>
      <c r="S557" s="3" t="s">
        <v>1482</v>
      </c>
      <c r="T557" s="3" t="s">
        <v>1482</v>
      </c>
    </row>
    <row r="558" spans="1:20">
      <c r="A558" t="s">
        <v>979</v>
      </c>
      <c r="B558" t="s">
        <v>20</v>
      </c>
      <c r="C558" t="s">
        <v>21</v>
      </c>
      <c r="D558" t="s">
        <v>980</v>
      </c>
      <c r="E558" s="2">
        <v>46179</v>
      </c>
      <c r="F558" s="2">
        <v>46179</v>
      </c>
      <c r="G558" t="s">
        <v>20</v>
      </c>
      <c r="H558" s="2">
        <v>46179</v>
      </c>
      <c r="I558" s="2">
        <v>46179</v>
      </c>
      <c r="J558" t="s">
        <v>20</v>
      </c>
      <c r="K558">
        <v>-49.24</v>
      </c>
      <c r="L558">
        <v>-49.24</v>
      </c>
      <c r="M558">
        <v>-49.24</v>
      </c>
      <c r="N558" t="s">
        <v>158</v>
      </c>
      <c r="O558" s="3" t="s">
        <v>1482</v>
      </c>
      <c r="P558" s="3" t="s">
        <v>1482</v>
      </c>
      <c r="Q558" s="3" t="s">
        <v>1482</v>
      </c>
      <c r="R558" s="3" t="s">
        <v>1482</v>
      </c>
      <c r="S558" s="3" t="s">
        <v>1482</v>
      </c>
      <c r="T558" s="3" t="s">
        <v>1482</v>
      </c>
    </row>
    <row r="559" spans="1:20">
      <c r="A559" t="s">
        <v>981</v>
      </c>
      <c r="B559" t="s">
        <v>20</v>
      </c>
      <c r="C559" t="s">
        <v>21</v>
      </c>
      <c r="D559" t="s">
        <v>982</v>
      </c>
      <c r="E559" s="2">
        <v>46179</v>
      </c>
      <c r="F559" s="2">
        <v>46179</v>
      </c>
      <c r="G559" t="s">
        <v>20</v>
      </c>
      <c r="H559" s="2">
        <v>46179</v>
      </c>
      <c r="I559" s="2">
        <v>46179</v>
      </c>
      <c r="J559" t="s">
        <v>20</v>
      </c>
      <c r="K559">
        <v>-33.130000000000003</v>
      </c>
      <c r="L559">
        <v>-33.130000000000003</v>
      </c>
      <c r="M559">
        <v>-33.130000000000003</v>
      </c>
      <c r="N559" t="s">
        <v>158</v>
      </c>
      <c r="O559" s="3" t="s">
        <v>1482</v>
      </c>
      <c r="P559" s="3" t="s">
        <v>1482</v>
      </c>
      <c r="Q559" s="3" t="s">
        <v>1482</v>
      </c>
      <c r="R559" s="3" t="s">
        <v>1482</v>
      </c>
      <c r="S559" s="3" t="s">
        <v>1482</v>
      </c>
      <c r="T559" s="3" t="s">
        <v>1482</v>
      </c>
    </row>
    <row r="560" spans="1:20">
      <c r="A560" t="s">
        <v>983</v>
      </c>
      <c r="B560" t="s">
        <v>20</v>
      </c>
      <c r="C560" t="s">
        <v>21</v>
      </c>
      <c r="D560" t="s">
        <v>984</v>
      </c>
      <c r="E560" s="2">
        <v>46179</v>
      </c>
      <c r="F560" s="2">
        <v>46179</v>
      </c>
      <c r="G560" t="s">
        <v>20</v>
      </c>
      <c r="H560" s="2">
        <v>46179</v>
      </c>
      <c r="I560" s="2">
        <v>46179</v>
      </c>
      <c r="J560" t="s">
        <v>20</v>
      </c>
      <c r="K560">
        <v>-89.45</v>
      </c>
      <c r="L560">
        <v>-89.45</v>
      </c>
      <c r="M560">
        <v>-89.45</v>
      </c>
      <c r="N560" t="s">
        <v>158</v>
      </c>
      <c r="O560" s="3" t="s">
        <v>1482</v>
      </c>
      <c r="P560" s="3" t="s">
        <v>1482</v>
      </c>
      <c r="Q560" s="3" t="s">
        <v>1482</v>
      </c>
      <c r="R560" s="3" t="s">
        <v>1482</v>
      </c>
      <c r="S560" s="3" t="s">
        <v>1482</v>
      </c>
      <c r="T560" s="3" t="s">
        <v>1482</v>
      </c>
    </row>
    <row r="561" spans="1:20">
      <c r="A561" t="s">
        <v>985</v>
      </c>
      <c r="B561" t="s">
        <v>20</v>
      </c>
      <c r="C561" t="s">
        <v>21</v>
      </c>
      <c r="D561" t="s">
        <v>986</v>
      </c>
      <c r="E561" s="2">
        <v>46179</v>
      </c>
      <c r="F561" s="2">
        <v>46179</v>
      </c>
      <c r="G561" t="s">
        <v>20</v>
      </c>
      <c r="H561" s="2">
        <v>46179</v>
      </c>
      <c r="I561" s="2">
        <v>46179</v>
      </c>
      <c r="J561" t="s">
        <v>20</v>
      </c>
      <c r="K561">
        <v>-132.52000000000001</v>
      </c>
      <c r="L561">
        <v>-132.52000000000001</v>
      </c>
      <c r="M561">
        <v>-132.52000000000001</v>
      </c>
      <c r="N561" t="s">
        <v>158</v>
      </c>
      <c r="O561" s="3" t="s">
        <v>1482</v>
      </c>
      <c r="P561" s="3" t="s">
        <v>1482</v>
      </c>
      <c r="Q561" s="3" t="s">
        <v>1482</v>
      </c>
      <c r="R561" s="3" t="s">
        <v>1482</v>
      </c>
      <c r="S561" s="3" t="s">
        <v>1482</v>
      </c>
      <c r="T561" s="3" t="s">
        <v>1482</v>
      </c>
    </row>
    <row r="562" spans="1:20">
      <c r="A562" t="s">
        <v>987</v>
      </c>
      <c r="B562" t="s">
        <v>20</v>
      </c>
      <c r="C562" t="s">
        <v>21</v>
      </c>
      <c r="D562" t="s">
        <v>988</v>
      </c>
      <c r="E562" s="2">
        <v>46179</v>
      </c>
      <c r="F562" s="2">
        <v>46179</v>
      </c>
      <c r="G562" t="s">
        <v>20</v>
      </c>
      <c r="H562" s="2">
        <v>46179</v>
      </c>
      <c r="I562" s="2">
        <v>46179</v>
      </c>
      <c r="J562" t="s">
        <v>20</v>
      </c>
      <c r="K562">
        <v>-132.52000000000001</v>
      </c>
      <c r="L562">
        <v>-132.52000000000001</v>
      </c>
      <c r="M562">
        <v>-132.52000000000001</v>
      </c>
      <c r="N562" t="s">
        <v>158</v>
      </c>
      <c r="O562" s="3" t="s">
        <v>1482</v>
      </c>
      <c r="P562" s="3" t="s">
        <v>1482</v>
      </c>
      <c r="Q562" s="3" t="s">
        <v>1482</v>
      </c>
      <c r="R562" s="3" t="s">
        <v>1482</v>
      </c>
      <c r="S562" s="3" t="s">
        <v>1482</v>
      </c>
      <c r="T562" s="3" t="s">
        <v>1482</v>
      </c>
    </row>
    <row r="563" spans="1:20">
      <c r="A563" t="s">
        <v>989</v>
      </c>
      <c r="B563" t="s">
        <v>20</v>
      </c>
      <c r="C563" t="s">
        <v>21</v>
      </c>
      <c r="D563" t="s">
        <v>990</v>
      </c>
      <c r="E563" s="2">
        <v>46179</v>
      </c>
      <c r="F563" s="2">
        <v>46179</v>
      </c>
      <c r="G563" t="s">
        <v>20</v>
      </c>
      <c r="H563" s="2">
        <v>46179</v>
      </c>
      <c r="I563" s="2">
        <v>46179</v>
      </c>
      <c r="J563" t="s">
        <v>20</v>
      </c>
      <c r="K563">
        <v>-132.52000000000001</v>
      </c>
      <c r="L563">
        <v>-132.52000000000001</v>
      </c>
      <c r="M563">
        <v>-132.52000000000001</v>
      </c>
      <c r="N563" t="s">
        <v>158</v>
      </c>
      <c r="O563" s="3" t="s">
        <v>1482</v>
      </c>
      <c r="P563" s="3" t="s">
        <v>1482</v>
      </c>
      <c r="Q563" s="3" t="s">
        <v>1482</v>
      </c>
      <c r="R563" s="3" t="s">
        <v>1482</v>
      </c>
      <c r="S563" s="3" t="s">
        <v>1482</v>
      </c>
      <c r="T563" s="3" t="s">
        <v>1482</v>
      </c>
    </row>
    <row r="564" spans="1:20">
      <c r="A564" t="s">
        <v>991</v>
      </c>
      <c r="B564" t="s">
        <v>20</v>
      </c>
      <c r="C564" t="s">
        <v>21</v>
      </c>
      <c r="D564" t="s">
        <v>992</v>
      </c>
      <c r="E564" s="2">
        <v>46179</v>
      </c>
      <c r="F564" s="2">
        <v>46179</v>
      </c>
      <c r="G564" t="s">
        <v>20</v>
      </c>
      <c r="H564" s="2">
        <v>46179</v>
      </c>
      <c r="I564" s="2">
        <v>46179</v>
      </c>
      <c r="J564" t="s">
        <v>20</v>
      </c>
      <c r="K564">
        <v>-165.65</v>
      </c>
      <c r="L564">
        <v>-165.65</v>
      </c>
      <c r="M564">
        <v>-165.65</v>
      </c>
      <c r="N564" t="s">
        <v>158</v>
      </c>
      <c r="O564" s="3" t="s">
        <v>1482</v>
      </c>
      <c r="P564" s="3" t="s">
        <v>1482</v>
      </c>
      <c r="Q564" s="3" t="s">
        <v>1482</v>
      </c>
      <c r="R564" s="3" t="s">
        <v>1482</v>
      </c>
      <c r="S564" s="3" t="s">
        <v>1482</v>
      </c>
      <c r="T564" s="3" t="s">
        <v>1482</v>
      </c>
    </row>
    <row r="565" spans="1:20">
      <c r="A565" t="s">
        <v>993</v>
      </c>
      <c r="B565" t="s">
        <v>20</v>
      </c>
      <c r="C565" t="s">
        <v>21</v>
      </c>
      <c r="D565" t="s">
        <v>994</v>
      </c>
      <c r="E565" s="2">
        <v>46179</v>
      </c>
      <c r="F565" s="2">
        <v>46179</v>
      </c>
      <c r="G565" t="s">
        <v>20</v>
      </c>
      <c r="H565" s="2">
        <v>46179</v>
      </c>
      <c r="I565" s="2">
        <v>46179</v>
      </c>
      <c r="J565" t="s">
        <v>20</v>
      </c>
      <c r="K565">
        <v>-66.260000000000005</v>
      </c>
      <c r="L565">
        <v>-66.260000000000005</v>
      </c>
      <c r="M565">
        <v>-66.260000000000005</v>
      </c>
      <c r="N565" t="s">
        <v>158</v>
      </c>
      <c r="O565" s="3" t="s">
        <v>1482</v>
      </c>
      <c r="P565" s="3" t="s">
        <v>1482</v>
      </c>
      <c r="Q565" s="3" t="s">
        <v>1482</v>
      </c>
      <c r="R565" s="3" t="s">
        <v>1482</v>
      </c>
      <c r="S565" s="3" t="s">
        <v>1482</v>
      </c>
      <c r="T565" s="3" t="s">
        <v>1482</v>
      </c>
    </row>
    <row r="566" spans="1:20">
      <c r="A566" t="s">
        <v>995</v>
      </c>
      <c r="B566" t="s">
        <v>20</v>
      </c>
      <c r="C566" t="s">
        <v>21</v>
      </c>
      <c r="D566" t="s">
        <v>996</v>
      </c>
      <c r="E566" s="2">
        <v>46179</v>
      </c>
      <c r="F566" s="2">
        <v>46179</v>
      </c>
      <c r="G566" t="s">
        <v>20</v>
      </c>
      <c r="H566" s="2">
        <v>46179</v>
      </c>
      <c r="I566" s="2">
        <v>46179</v>
      </c>
      <c r="J566" t="s">
        <v>20</v>
      </c>
      <c r="K566">
        <v>-143.88</v>
      </c>
      <c r="L566">
        <v>-143.88</v>
      </c>
      <c r="M566">
        <v>-143.88</v>
      </c>
      <c r="N566" t="s">
        <v>158</v>
      </c>
      <c r="O566" s="3" t="s">
        <v>1482</v>
      </c>
      <c r="P566" s="3" t="s">
        <v>1482</v>
      </c>
      <c r="Q566" s="3" t="s">
        <v>1482</v>
      </c>
      <c r="R566" s="3" t="s">
        <v>1482</v>
      </c>
      <c r="S566" s="3" t="s">
        <v>1482</v>
      </c>
      <c r="T566" s="3" t="s">
        <v>1482</v>
      </c>
    </row>
    <row r="567" spans="1:20">
      <c r="A567" t="s">
        <v>997</v>
      </c>
      <c r="B567" t="s">
        <v>20</v>
      </c>
      <c r="C567" t="s">
        <v>21</v>
      </c>
      <c r="D567" t="s">
        <v>998</v>
      </c>
      <c r="E567" s="2">
        <v>46179</v>
      </c>
      <c r="F567" s="2">
        <v>46179</v>
      </c>
      <c r="G567" t="s">
        <v>20</v>
      </c>
      <c r="H567" s="2">
        <v>46179</v>
      </c>
      <c r="I567" s="2">
        <v>46179</v>
      </c>
      <c r="J567" t="s">
        <v>20</v>
      </c>
      <c r="K567">
        <v>-66.260000000000005</v>
      </c>
      <c r="L567">
        <v>-66.260000000000005</v>
      </c>
      <c r="M567">
        <v>-66.260000000000005</v>
      </c>
      <c r="N567" t="s">
        <v>158</v>
      </c>
      <c r="O567" s="3" t="s">
        <v>1482</v>
      </c>
      <c r="P567" s="3" t="s">
        <v>1482</v>
      </c>
      <c r="Q567" s="3" t="s">
        <v>1482</v>
      </c>
      <c r="R567" s="3" t="s">
        <v>1482</v>
      </c>
      <c r="S567" s="3" t="s">
        <v>1482</v>
      </c>
      <c r="T567" s="3" t="s">
        <v>1482</v>
      </c>
    </row>
    <row r="568" spans="1:20">
      <c r="A568" t="s">
        <v>999</v>
      </c>
      <c r="B568" t="s">
        <v>20</v>
      </c>
      <c r="C568" t="s">
        <v>21</v>
      </c>
      <c r="D568" t="s">
        <v>1000</v>
      </c>
      <c r="E568" s="2">
        <v>46179</v>
      </c>
      <c r="F568" s="2">
        <v>46179</v>
      </c>
      <c r="G568" t="s">
        <v>20</v>
      </c>
      <c r="H568" s="2">
        <v>46179</v>
      </c>
      <c r="I568" s="2">
        <v>46179</v>
      </c>
      <c r="J568" t="s">
        <v>20</v>
      </c>
      <c r="K568">
        <v>-33.130000000000003</v>
      </c>
      <c r="L568">
        <v>-33.130000000000003</v>
      </c>
      <c r="M568">
        <v>-33.130000000000003</v>
      </c>
      <c r="N568" t="s">
        <v>158</v>
      </c>
      <c r="O568" s="3" t="s">
        <v>1482</v>
      </c>
      <c r="P568" s="3" t="s">
        <v>1482</v>
      </c>
      <c r="Q568" s="3" t="s">
        <v>1482</v>
      </c>
      <c r="R568" s="3" t="s">
        <v>1482</v>
      </c>
      <c r="S568" s="3" t="s">
        <v>1482</v>
      </c>
      <c r="T568" s="3" t="s">
        <v>1482</v>
      </c>
    </row>
    <row r="569" spans="1:20">
      <c r="A569" t="s">
        <v>1001</v>
      </c>
      <c r="B569" t="s">
        <v>20</v>
      </c>
      <c r="C569" t="s">
        <v>21</v>
      </c>
      <c r="D569" t="s">
        <v>1002</v>
      </c>
      <c r="E569" s="2">
        <v>46179</v>
      </c>
      <c r="F569" s="2">
        <v>46179</v>
      </c>
      <c r="G569" t="s">
        <v>20</v>
      </c>
      <c r="H569" s="2">
        <v>46179</v>
      </c>
      <c r="I569" s="2">
        <v>46179</v>
      </c>
      <c r="J569" t="s">
        <v>20</v>
      </c>
      <c r="K569">
        <v>-165.65</v>
      </c>
      <c r="L569">
        <v>-165.65</v>
      </c>
      <c r="M569">
        <v>-165.65</v>
      </c>
      <c r="N569" t="s">
        <v>158</v>
      </c>
      <c r="O569" s="3" t="s">
        <v>1482</v>
      </c>
      <c r="P569" s="3" t="s">
        <v>1482</v>
      </c>
      <c r="Q569" s="3" t="s">
        <v>1482</v>
      </c>
      <c r="R569" s="3" t="s">
        <v>1482</v>
      </c>
      <c r="S569" s="3" t="s">
        <v>1482</v>
      </c>
      <c r="T569" s="3" t="s">
        <v>1482</v>
      </c>
    </row>
    <row r="570" spans="1:20">
      <c r="A570" t="s">
        <v>1003</v>
      </c>
      <c r="B570" t="s">
        <v>20</v>
      </c>
      <c r="C570" t="s">
        <v>21</v>
      </c>
      <c r="D570" t="s">
        <v>1004</v>
      </c>
      <c r="E570" s="2">
        <v>46179</v>
      </c>
      <c r="F570" s="2">
        <v>46179</v>
      </c>
      <c r="G570" t="s">
        <v>20</v>
      </c>
      <c r="H570" s="2">
        <v>46179</v>
      </c>
      <c r="I570" s="2">
        <v>46179</v>
      </c>
      <c r="J570" t="s">
        <v>20</v>
      </c>
      <c r="K570">
        <v>-66.260000000000005</v>
      </c>
      <c r="L570">
        <v>-66.260000000000005</v>
      </c>
      <c r="M570">
        <v>-66.260000000000005</v>
      </c>
      <c r="N570" t="s">
        <v>158</v>
      </c>
      <c r="O570" s="3" t="s">
        <v>1482</v>
      </c>
      <c r="P570" s="3" t="s">
        <v>1482</v>
      </c>
      <c r="Q570" s="3" t="s">
        <v>1482</v>
      </c>
      <c r="R570" s="3" t="s">
        <v>1482</v>
      </c>
      <c r="S570" s="3" t="s">
        <v>1482</v>
      </c>
      <c r="T570" s="3" t="s">
        <v>1482</v>
      </c>
    </row>
    <row r="571" spans="1:20">
      <c r="A571" t="s">
        <v>1005</v>
      </c>
      <c r="B571" t="s">
        <v>20</v>
      </c>
      <c r="C571" t="s">
        <v>21</v>
      </c>
      <c r="D571" t="s">
        <v>1006</v>
      </c>
      <c r="E571" s="2">
        <v>46179</v>
      </c>
      <c r="F571" s="2">
        <v>46179</v>
      </c>
      <c r="G571" t="s">
        <v>20</v>
      </c>
      <c r="H571" s="2">
        <v>46179</v>
      </c>
      <c r="I571" s="2">
        <v>46179</v>
      </c>
      <c r="J571" t="s">
        <v>20</v>
      </c>
      <c r="K571">
        <v>-66.260000000000005</v>
      </c>
      <c r="L571">
        <v>-66.260000000000005</v>
      </c>
      <c r="M571">
        <v>-66.260000000000005</v>
      </c>
      <c r="N571" t="s">
        <v>158</v>
      </c>
      <c r="O571" s="3" t="s">
        <v>1482</v>
      </c>
      <c r="P571" s="3" t="s">
        <v>1482</v>
      </c>
      <c r="Q571" s="3" t="s">
        <v>1482</v>
      </c>
      <c r="R571" s="3" t="s">
        <v>1482</v>
      </c>
      <c r="S571" s="3" t="s">
        <v>1482</v>
      </c>
      <c r="T571" s="3" t="s">
        <v>1482</v>
      </c>
    </row>
    <row r="572" spans="1:20">
      <c r="A572" t="s">
        <v>1007</v>
      </c>
      <c r="B572" t="s">
        <v>20</v>
      </c>
      <c r="C572" t="s">
        <v>21</v>
      </c>
      <c r="D572" t="s">
        <v>1008</v>
      </c>
      <c r="E572" s="2">
        <v>46179</v>
      </c>
      <c r="F572" s="2">
        <v>46179</v>
      </c>
      <c r="G572" t="s">
        <v>20</v>
      </c>
      <c r="H572" s="2">
        <v>46179</v>
      </c>
      <c r="I572" s="2">
        <v>46179</v>
      </c>
      <c r="J572" t="s">
        <v>20</v>
      </c>
      <c r="K572">
        <v>-33.130000000000003</v>
      </c>
      <c r="L572">
        <v>-33.130000000000003</v>
      </c>
      <c r="M572">
        <v>-33.130000000000003</v>
      </c>
      <c r="N572" t="s">
        <v>158</v>
      </c>
      <c r="O572" s="3" t="s">
        <v>1482</v>
      </c>
      <c r="P572" s="3" t="s">
        <v>1482</v>
      </c>
      <c r="Q572" s="3" t="s">
        <v>1482</v>
      </c>
      <c r="R572" s="3" t="s">
        <v>1482</v>
      </c>
      <c r="S572" s="3" t="s">
        <v>1482</v>
      </c>
      <c r="T572" s="3" t="s">
        <v>1482</v>
      </c>
    </row>
    <row r="573" spans="1:20">
      <c r="A573" t="s">
        <v>1009</v>
      </c>
      <c r="B573" t="s">
        <v>20</v>
      </c>
      <c r="C573" t="s">
        <v>21</v>
      </c>
      <c r="D573" t="s">
        <v>1010</v>
      </c>
      <c r="E573" s="2">
        <v>46179</v>
      </c>
      <c r="F573" s="2">
        <v>46179</v>
      </c>
      <c r="G573" t="s">
        <v>20</v>
      </c>
      <c r="H573" s="2">
        <v>46179</v>
      </c>
      <c r="I573" s="2">
        <v>46179</v>
      </c>
      <c r="J573" t="s">
        <v>20</v>
      </c>
      <c r="K573">
        <v>-99.39</v>
      </c>
      <c r="L573">
        <v>-99.39</v>
      </c>
      <c r="M573">
        <v>-99.39</v>
      </c>
      <c r="N573" t="s">
        <v>158</v>
      </c>
      <c r="O573" s="3" t="s">
        <v>1482</v>
      </c>
      <c r="P573" s="3" t="s">
        <v>1482</v>
      </c>
      <c r="Q573" s="3" t="s">
        <v>1482</v>
      </c>
      <c r="R573" s="3" t="s">
        <v>1482</v>
      </c>
      <c r="S573" s="3" t="s">
        <v>1482</v>
      </c>
      <c r="T573" s="3" t="s">
        <v>1482</v>
      </c>
    </row>
    <row r="574" spans="1:20">
      <c r="A574" t="s">
        <v>1011</v>
      </c>
      <c r="B574" t="s">
        <v>20</v>
      </c>
      <c r="C574" t="s">
        <v>21</v>
      </c>
      <c r="D574" t="s">
        <v>1012</v>
      </c>
      <c r="E574" s="2">
        <v>46179</v>
      </c>
      <c r="F574" s="2">
        <v>46179</v>
      </c>
      <c r="G574" t="s">
        <v>20</v>
      </c>
      <c r="H574" s="2">
        <v>46179</v>
      </c>
      <c r="I574" s="2">
        <v>46179</v>
      </c>
      <c r="J574" t="s">
        <v>20</v>
      </c>
      <c r="K574">
        <v>-33.130000000000003</v>
      </c>
      <c r="L574">
        <v>-33.130000000000003</v>
      </c>
      <c r="M574">
        <v>-33.130000000000003</v>
      </c>
      <c r="N574" t="s">
        <v>158</v>
      </c>
      <c r="O574" s="3" t="s">
        <v>1482</v>
      </c>
      <c r="P574" s="3" t="s">
        <v>1482</v>
      </c>
      <c r="Q574" s="3" t="s">
        <v>1482</v>
      </c>
      <c r="R574" s="3" t="s">
        <v>1482</v>
      </c>
      <c r="S574" s="3" t="s">
        <v>1482</v>
      </c>
      <c r="T574" s="3" t="s">
        <v>1482</v>
      </c>
    </row>
    <row r="575" spans="1:20">
      <c r="A575" t="s">
        <v>1013</v>
      </c>
      <c r="B575" t="s">
        <v>20</v>
      </c>
      <c r="C575" t="s">
        <v>21</v>
      </c>
      <c r="D575" t="s">
        <v>1014</v>
      </c>
      <c r="E575" s="2">
        <v>46179</v>
      </c>
      <c r="F575" s="2">
        <v>46179</v>
      </c>
      <c r="G575" t="s">
        <v>20</v>
      </c>
      <c r="H575" s="2">
        <v>46179</v>
      </c>
      <c r="I575" s="2">
        <v>46179</v>
      </c>
      <c r="J575" t="s">
        <v>20</v>
      </c>
      <c r="K575">
        <v>-132.52000000000001</v>
      </c>
      <c r="L575">
        <v>-132.52000000000001</v>
      </c>
      <c r="M575">
        <v>-132.52000000000001</v>
      </c>
      <c r="N575" t="s">
        <v>158</v>
      </c>
      <c r="O575" s="3" t="s">
        <v>1482</v>
      </c>
      <c r="P575" s="3" t="s">
        <v>1482</v>
      </c>
      <c r="Q575" s="3" t="s">
        <v>1482</v>
      </c>
      <c r="R575" s="3" t="s">
        <v>1482</v>
      </c>
      <c r="S575" s="3" t="s">
        <v>1482</v>
      </c>
      <c r="T575" s="3" t="s">
        <v>1482</v>
      </c>
    </row>
    <row r="576" spans="1:20">
      <c r="A576" t="s">
        <v>1015</v>
      </c>
      <c r="B576" t="s">
        <v>20</v>
      </c>
      <c r="C576" t="s">
        <v>21</v>
      </c>
      <c r="D576" t="s">
        <v>1016</v>
      </c>
      <c r="E576" s="2">
        <v>46179</v>
      </c>
      <c r="F576" s="2">
        <v>46179</v>
      </c>
      <c r="G576" t="s">
        <v>20</v>
      </c>
      <c r="H576" s="2">
        <v>46179</v>
      </c>
      <c r="I576" s="2">
        <v>46179</v>
      </c>
      <c r="J576" t="s">
        <v>20</v>
      </c>
      <c r="K576">
        <v>-66.260000000000005</v>
      </c>
      <c r="L576">
        <v>-66.260000000000005</v>
      </c>
      <c r="M576">
        <v>-66.260000000000005</v>
      </c>
      <c r="N576" t="s">
        <v>158</v>
      </c>
      <c r="O576" s="3" t="s">
        <v>1482</v>
      </c>
      <c r="P576" s="3" t="s">
        <v>1482</v>
      </c>
      <c r="Q576" s="3" t="s">
        <v>1482</v>
      </c>
      <c r="R576" s="3" t="s">
        <v>1482</v>
      </c>
      <c r="S576" s="3" t="s">
        <v>1482</v>
      </c>
      <c r="T576" s="3" t="s">
        <v>1482</v>
      </c>
    </row>
    <row r="577" spans="1:20">
      <c r="A577" t="s">
        <v>1017</v>
      </c>
      <c r="B577" t="s">
        <v>20</v>
      </c>
      <c r="C577" t="s">
        <v>21</v>
      </c>
      <c r="D577" t="s">
        <v>1018</v>
      </c>
      <c r="E577" s="2">
        <v>46179</v>
      </c>
      <c r="F577" s="2">
        <v>46179</v>
      </c>
      <c r="G577" t="s">
        <v>20</v>
      </c>
      <c r="H577" s="2">
        <v>46179</v>
      </c>
      <c r="I577" s="2">
        <v>46179</v>
      </c>
      <c r="J577" t="s">
        <v>20</v>
      </c>
      <c r="K577">
        <v>-26.26</v>
      </c>
      <c r="L577">
        <v>-26.26</v>
      </c>
      <c r="M577">
        <v>-26.26</v>
      </c>
      <c r="N577" t="s">
        <v>158</v>
      </c>
      <c r="O577" s="3" t="s">
        <v>1482</v>
      </c>
      <c r="P577" s="3" t="s">
        <v>1482</v>
      </c>
      <c r="Q577" s="3" t="s">
        <v>1482</v>
      </c>
      <c r="R577" s="3" t="s">
        <v>1482</v>
      </c>
      <c r="S577" s="3" t="s">
        <v>1482</v>
      </c>
      <c r="T577" s="3" t="s">
        <v>1482</v>
      </c>
    </row>
    <row r="578" spans="1:20">
      <c r="A578" t="s">
        <v>1019</v>
      </c>
      <c r="B578" t="s">
        <v>20</v>
      </c>
      <c r="C578" t="s">
        <v>21</v>
      </c>
      <c r="D578" t="s">
        <v>1020</v>
      </c>
      <c r="E578" s="2">
        <v>46179</v>
      </c>
      <c r="F578" s="2">
        <v>46179</v>
      </c>
      <c r="G578" t="s">
        <v>20</v>
      </c>
      <c r="H578" s="2">
        <v>46179</v>
      </c>
      <c r="I578" s="2">
        <v>46179</v>
      </c>
      <c r="J578" t="s">
        <v>20</v>
      </c>
      <c r="K578">
        <v>-29.82</v>
      </c>
      <c r="L578">
        <v>-29.82</v>
      </c>
      <c r="M578">
        <v>-29.82</v>
      </c>
      <c r="N578" t="s">
        <v>158</v>
      </c>
      <c r="O578" s="3" t="s">
        <v>1482</v>
      </c>
      <c r="P578" s="3" t="s">
        <v>1482</v>
      </c>
      <c r="Q578" s="3" t="s">
        <v>1482</v>
      </c>
      <c r="R578" s="3" t="s">
        <v>1482</v>
      </c>
      <c r="S578" s="3" t="s">
        <v>1482</v>
      </c>
      <c r="T578" s="3" t="s">
        <v>1482</v>
      </c>
    </row>
    <row r="579" spans="1:20">
      <c r="A579" t="s">
        <v>1021</v>
      </c>
      <c r="B579" t="s">
        <v>20</v>
      </c>
      <c r="C579" t="s">
        <v>21</v>
      </c>
      <c r="D579" t="s">
        <v>1022</v>
      </c>
      <c r="E579" s="2">
        <v>46179</v>
      </c>
      <c r="F579" s="2">
        <v>46179</v>
      </c>
      <c r="G579" t="s">
        <v>20</v>
      </c>
      <c r="H579" s="2">
        <v>46179</v>
      </c>
      <c r="I579" s="2">
        <v>46179</v>
      </c>
      <c r="J579" t="s">
        <v>20</v>
      </c>
      <c r="K579">
        <v>-33.130000000000003</v>
      </c>
      <c r="L579">
        <v>-33.130000000000003</v>
      </c>
      <c r="M579">
        <v>-33.130000000000003</v>
      </c>
      <c r="N579" t="s">
        <v>158</v>
      </c>
      <c r="O579" s="3" t="s">
        <v>1482</v>
      </c>
      <c r="P579" s="3" t="s">
        <v>1482</v>
      </c>
      <c r="Q579" s="3" t="s">
        <v>1482</v>
      </c>
      <c r="R579" s="3" t="s">
        <v>1482</v>
      </c>
      <c r="S579" s="3" t="s">
        <v>1482</v>
      </c>
      <c r="T579" s="3" t="s">
        <v>1482</v>
      </c>
    </row>
    <row r="580" spans="1:20">
      <c r="A580" t="s">
        <v>1023</v>
      </c>
      <c r="B580" t="s">
        <v>20</v>
      </c>
      <c r="C580" t="s">
        <v>21</v>
      </c>
      <c r="D580" t="s">
        <v>1024</v>
      </c>
      <c r="E580" s="2">
        <v>46179</v>
      </c>
      <c r="F580" s="2">
        <v>46179</v>
      </c>
      <c r="G580" t="s">
        <v>20</v>
      </c>
      <c r="H580" s="2">
        <v>46179</v>
      </c>
      <c r="I580" s="2">
        <v>46179</v>
      </c>
      <c r="J580" t="s">
        <v>20</v>
      </c>
      <c r="K580">
        <v>-26.26</v>
      </c>
      <c r="L580">
        <v>-26.26</v>
      </c>
      <c r="M580">
        <v>-26.26</v>
      </c>
      <c r="N580" t="s">
        <v>158</v>
      </c>
      <c r="O580" s="3" t="s">
        <v>1482</v>
      </c>
      <c r="P580" s="3" t="s">
        <v>1482</v>
      </c>
      <c r="Q580" s="3" t="s">
        <v>1482</v>
      </c>
      <c r="R580" s="3" t="s">
        <v>1482</v>
      </c>
      <c r="S580" s="3" t="s">
        <v>1482</v>
      </c>
      <c r="T580" s="3" t="s">
        <v>1482</v>
      </c>
    </row>
    <row r="581" spans="1:20">
      <c r="A581" t="s">
        <v>1025</v>
      </c>
      <c r="B581" t="s">
        <v>20</v>
      </c>
      <c r="C581" t="s">
        <v>21</v>
      </c>
      <c r="D581" t="s">
        <v>1026</v>
      </c>
      <c r="E581" s="2">
        <v>46179</v>
      </c>
      <c r="F581" s="2">
        <v>46179</v>
      </c>
      <c r="G581" t="s">
        <v>20</v>
      </c>
      <c r="H581" s="2">
        <v>46179</v>
      </c>
      <c r="I581" s="2">
        <v>46179</v>
      </c>
      <c r="J581" t="s">
        <v>20</v>
      </c>
      <c r="K581">
        <v>-66.260000000000005</v>
      </c>
      <c r="L581">
        <v>-66.260000000000005</v>
      </c>
      <c r="M581">
        <v>-66.260000000000005</v>
      </c>
      <c r="N581" t="s">
        <v>158</v>
      </c>
      <c r="O581" s="3" t="s">
        <v>1482</v>
      </c>
      <c r="P581" s="3" t="s">
        <v>1482</v>
      </c>
      <c r="Q581" s="3" t="s">
        <v>1482</v>
      </c>
      <c r="R581" s="3" t="s">
        <v>1482</v>
      </c>
      <c r="S581" s="3" t="s">
        <v>1482</v>
      </c>
      <c r="T581" s="3" t="s">
        <v>1482</v>
      </c>
    </row>
    <row r="582" spans="1:20">
      <c r="A582" t="s">
        <v>1027</v>
      </c>
      <c r="B582" t="s">
        <v>20</v>
      </c>
      <c r="C582" t="s">
        <v>21</v>
      </c>
      <c r="D582" t="s">
        <v>1028</v>
      </c>
      <c r="E582" s="2">
        <v>46179</v>
      </c>
      <c r="F582" s="2">
        <v>46179</v>
      </c>
      <c r="G582" t="s">
        <v>20</v>
      </c>
      <c r="H582" s="2">
        <v>46179</v>
      </c>
      <c r="I582" s="2">
        <v>46179</v>
      </c>
      <c r="J582" t="s">
        <v>20</v>
      </c>
      <c r="K582">
        <v>-98.48</v>
      </c>
      <c r="L582">
        <v>-98.48</v>
      </c>
      <c r="M582">
        <v>-98.48</v>
      </c>
      <c r="N582" t="s">
        <v>158</v>
      </c>
      <c r="O582" s="3" t="s">
        <v>1482</v>
      </c>
      <c r="P582" s="3" t="s">
        <v>1482</v>
      </c>
      <c r="Q582" s="3" t="s">
        <v>1482</v>
      </c>
      <c r="R582" s="3" t="s">
        <v>1482</v>
      </c>
      <c r="S582" s="3" t="s">
        <v>1482</v>
      </c>
      <c r="T582" s="3" t="s">
        <v>1482</v>
      </c>
    </row>
    <row r="583" spans="1:20">
      <c r="A583" t="s">
        <v>1029</v>
      </c>
      <c r="B583" t="s">
        <v>20</v>
      </c>
      <c r="C583" t="s">
        <v>21</v>
      </c>
      <c r="D583" t="s">
        <v>1030</v>
      </c>
      <c r="E583" s="2">
        <v>46179</v>
      </c>
      <c r="F583" s="2">
        <v>46179</v>
      </c>
      <c r="G583" t="s">
        <v>20</v>
      </c>
      <c r="H583" s="2">
        <v>46179</v>
      </c>
      <c r="I583" s="2">
        <v>46179</v>
      </c>
      <c r="J583" t="s">
        <v>20</v>
      </c>
      <c r="K583">
        <v>-66.260000000000005</v>
      </c>
      <c r="L583">
        <v>-66.260000000000005</v>
      </c>
      <c r="M583">
        <v>-66.260000000000005</v>
      </c>
      <c r="N583" t="s">
        <v>158</v>
      </c>
      <c r="O583" s="3" t="s">
        <v>1482</v>
      </c>
      <c r="P583" s="3" t="s">
        <v>1482</v>
      </c>
      <c r="Q583" s="3" t="s">
        <v>1482</v>
      </c>
      <c r="R583" s="3" t="s">
        <v>1482</v>
      </c>
      <c r="S583" s="3" t="s">
        <v>1482</v>
      </c>
      <c r="T583" s="3" t="s">
        <v>1482</v>
      </c>
    </row>
    <row r="584" spans="1:20">
      <c r="A584" t="s">
        <v>1031</v>
      </c>
      <c r="B584" t="s">
        <v>20</v>
      </c>
      <c r="C584" t="s">
        <v>21</v>
      </c>
      <c r="D584" t="s">
        <v>1032</v>
      </c>
      <c r="E584" s="2">
        <v>46179</v>
      </c>
      <c r="F584" s="2">
        <v>46179</v>
      </c>
      <c r="G584" t="s">
        <v>20</v>
      </c>
      <c r="H584" s="2">
        <v>46179</v>
      </c>
      <c r="I584" s="2">
        <v>46179</v>
      </c>
      <c r="J584" t="s">
        <v>20</v>
      </c>
      <c r="K584">
        <v>-24.62</v>
      </c>
      <c r="L584">
        <v>-24.62</v>
      </c>
      <c r="M584">
        <v>-24.62</v>
      </c>
      <c r="N584" t="s">
        <v>158</v>
      </c>
      <c r="O584" s="3" t="s">
        <v>1482</v>
      </c>
      <c r="P584" s="3" t="s">
        <v>1482</v>
      </c>
      <c r="Q584" s="3" t="s">
        <v>1482</v>
      </c>
      <c r="R584" s="3" t="s">
        <v>1482</v>
      </c>
      <c r="S584" s="3" t="s">
        <v>1482</v>
      </c>
      <c r="T584" s="3" t="s">
        <v>1482</v>
      </c>
    </row>
    <row r="585" spans="1:20">
      <c r="A585" t="s">
        <v>1033</v>
      </c>
      <c r="B585" t="s">
        <v>20</v>
      </c>
      <c r="C585" t="s">
        <v>21</v>
      </c>
      <c r="D585" t="s">
        <v>1034</v>
      </c>
      <c r="E585" s="2">
        <v>46179</v>
      </c>
      <c r="F585" s="2">
        <v>46179</v>
      </c>
      <c r="G585" t="s">
        <v>20</v>
      </c>
      <c r="H585" s="2">
        <v>46179</v>
      </c>
      <c r="I585" s="2">
        <v>46179</v>
      </c>
      <c r="J585" t="s">
        <v>20</v>
      </c>
      <c r="K585">
        <v>-33.130000000000003</v>
      </c>
      <c r="L585">
        <v>-33.130000000000003</v>
      </c>
      <c r="M585">
        <v>-33.130000000000003</v>
      </c>
      <c r="N585" t="s">
        <v>158</v>
      </c>
      <c r="O585" s="3" t="s">
        <v>1482</v>
      </c>
      <c r="P585" s="3" t="s">
        <v>1482</v>
      </c>
      <c r="Q585" s="3" t="s">
        <v>1482</v>
      </c>
      <c r="R585" s="3" t="s">
        <v>1482</v>
      </c>
      <c r="S585" s="3" t="s">
        <v>1482</v>
      </c>
      <c r="T585" s="3" t="s">
        <v>1482</v>
      </c>
    </row>
    <row r="586" spans="1:20">
      <c r="A586" t="s">
        <v>1035</v>
      </c>
      <c r="B586" t="s">
        <v>20</v>
      </c>
      <c r="C586" t="s">
        <v>21</v>
      </c>
      <c r="D586" t="s">
        <v>1036</v>
      </c>
      <c r="E586" s="2">
        <v>46179</v>
      </c>
      <c r="F586" s="2">
        <v>46179</v>
      </c>
      <c r="G586" t="s">
        <v>20</v>
      </c>
      <c r="H586" s="2">
        <v>46179</v>
      </c>
      <c r="I586" s="2">
        <v>46179</v>
      </c>
      <c r="J586" t="s">
        <v>20</v>
      </c>
      <c r="K586">
        <v>-47.94</v>
      </c>
      <c r="L586">
        <v>-47.94</v>
      </c>
      <c r="M586">
        <v>-47.94</v>
      </c>
      <c r="N586" t="s">
        <v>158</v>
      </c>
      <c r="O586" s="3" t="s">
        <v>1482</v>
      </c>
      <c r="P586" s="3" t="s">
        <v>1482</v>
      </c>
      <c r="Q586" s="3" t="s">
        <v>1482</v>
      </c>
      <c r="R586" s="3" t="s">
        <v>1482</v>
      </c>
      <c r="S586" s="3" t="s">
        <v>1482</v>
      </c>
      <c r="T586" s="3" t="s">
        <v>1482</v>
      </c>
    </row>
    <row r="587" spans="1:20">
      <c r="A587" t="s">
        <v>1037</v>
      </c>
      <c r="B587" t="s">
        <v>20</v>
      </c>
      <c r="C587" t="s">
        <v>21</v>
      </c>
      <c r="D587" t="s">
        <v>1038</v>
      </c>
      <c r="E587" s="2">
        <v>46179</v>
      </c>
      <c r="F587" s="2">
        <v>46179</v>
      </c>
      <c r="G587" t="s">
        <v>20</v>
      </c>
      <c r="H587" s="2">
        <v>46179</v>
      </c>
      <c r="I587" s="2">
        <v>46179</v>
      </c>
      <c r="J587" t="s">
        <v>20</v>
      </c>
      <c r="K587">
        <v>-70.22</v>
      </c>
      <c r="L587">
        <v>-70.22</v>
      </c>
      <c r="M587">
        <v>-70.22</v>
      </c>
      <c r="N587" t="s">
        <v>158</v>
      </c>
      <c r="O587" s="3" t="s">
        <v>1482</v>
      </c>
      <c r="P587" s="3" t="s">
        <v>1482</v>
      </c>
      <c r="Q587" s="3" t="s">
        <v>1482</v>
      </c>
      <c r="R587" s="3" t="s">
        <v>1482</v>
      </c>
      <c r="S587" s="3" t="s">
        <v>1482</v>
      </c>
      <c r="T587" s="3" t="s">
        <v>1482</v>
      </c>
    </row>
    <row r="588" spans="1:20">
      <c r="A588" t="s">
        <v>1039</v>
      </c>
      <c r="B588" t="s">
        <v>20</v>
      </c>
      <c r="C588" t="s">
        <v>21</v>
      </c>
      <c r="D588" t="s">
        <v>1040</v>
      </c>
      <c r="E588" s="2">
        <v>46179</v>
      </c>
      <c r="F588" s="2">
        <v>46179</v>
      </c>
      <c r="G588" t="s">
        <v>20</v>
      </c>
      <c r="H588" s="2">
        <v>46179</v>
      </c>
      <c r="I588" s="2">
        <v>46179</v>
      </c>
      <c r="J588" t="s">
        <v>20</v>
      </c>
      <c r="K588">
        <v>-18.16</v>
      </c>
      <c r="L588">
        <v>-18.16</v>
      </c>
      <c r="M588">
        <v>-18.16</v>
      </c>
      <c r="N588" t="s">
        <v>158</v>
      </c>
      <c r="O588" s="3" t="s">
        <v>1482</v>
      </c>
      <c r="P588" s="3" t="s">
        <v>1482</v>
      </c>
      <c r="Q588" s="3" t="s">
        <v>1482</v>
      </c>
      <c r="R588" s="3" t="s">
        <v>1482</v>
      </c>
      <c r="S588" s="3" t="s">
        <v>1482</v>
      </c>
      <c r="T588" s="3" t="s">
        <v>1482</v>
      </c>
    </row>
    <row r="589" spans="1:20">
      <c r="A589" t="s">
        <v>1041</v>
      </c>
      <c r="B589" t="s">
        <v>20</v>
      </c>
      <c r="C589" t="s">
        <v>21</v>
      </c>
      <c r="D589" t="s">
        <v>1042</v>
      </c>
      <c r="E589" s="2">
        <v>46179</v>
      </c>
      <c r="F589" s="2">
        <v>46179</v>
      </c>
      <c r="G589" t="s">
        <v>20</v>
      </c>
      <c r="H589" s="2">
        <v>46179</v>
      </c>
      <c r="I589" s="2">
        <v>46179</v>
      </c>
      <c r="J589" t="s">
        <v>20</v>
      </c>
      <c r="K589">
        <v>-131.29</v>
      </c>
      <c r="L589">
        <v>-131.29</v>
      </c>
      <c r="M589">
        <v>-131.29</v>
      </c>
      <c r="N589" t="s">
        <v>158</v>
      </c>
      <c r="O589" s="3" t="s">
        <v>1482</v>
      </c>
      <c r="P589" s="3" t="s">
        <v>1482</v>
      </c>
      <c r="Q589" s="3" t="s">
        <v>1482</v>
      </c>
      <c r="R589" s="3" t="s">
        <v>1482</v>
      </c>
      <c r="S589" s="3" t="s">
        <v>1482</v>
      </c>
      <c r="T589" s="3" t="s">
        <v>1482</v>
      </c>
    </row>
    <row r="590" spans="1:20">
      <c r="A590" t="s">
        <v>1043</v>
      </c>
      <c r="B590" t="s">
        <v>20</v>
      </c>
      <c r="C590" t="s">
        <v>21</v>
      </c>
      <c r="D590" t="s">
        <v>1044</v>
      </c>
      <c r="E590" s="2">
        <v>46179</v>
      </c>
      <c r="F590" s="2">
        <v>46179</v>
      </c>
      <c r="G590" t="s">
        <v>20</v>
      </c>
      <c r="H590" s="2">
        <v>46179</v>
      </c>
      <c r="I590" s="2">
        <v>46179</v>
      </c>
      <c r="J590" t="s">
        <v>20</v>
      </c>
      <c r="K590">
        <v>-99.39</v>
      </c>
      <c r="L590">
        <v>-99.39</v>
      </c>
      <c r="M590">
        <v>-99.39</v>
      </c>
      <c r="N590" t="s">
        <v>158</v>
      </c>
      <c r="O590" s="3" t="s">
        <v>1482</v>
      </c>
      <c r="P590" s="3" t="s">
        <v>1482</v>
      </c>
      <c r="Q590" s="3" t="s">
        <v>1482</v>
      </c>
      <c r="R590" s="3" t="s">
        <v>1482</v>
      </c>
      <c r="S590" s="3" t="s">
        <v>1482</v>
      </c>
      <c r="T590" s="3" t="s">
        <v>1482</v>
      </c>
    </row>
    <row r="591" spans="1:20">
      <c r="A591" t="s">
        <v>1045</v>
      </c>
      <c r="B591" t="s">
        <v>20</v>
      </c>
      <c r="C591" t="s">
        <v>21</v>
      </c>
      <c r="D591" t="s">
        <v>1046</v>
      </c>
      <c r="E591" s="2">
        <v>46179</v>
      </c>
      <c r="F591" s="2">
        <v>46179</v>
      </c>
      <c r="G591" t="s">
        <v>20</v>
      </c>
      <c r="H591" s="2">
        <v>46179</v>
      </c>
      <c r="I591" s="2">
        <v>46179</v>
      </c>
      <c r="J591" t="s">
        <v>20</v>
      </c>
      <c r="K591">
        <v>-123.1</v>
      </c>
      <c r="L591">
        <v>-123.1</v>
      </c>
      <c r="M591">
        <v>-123.1</v>
      </c>
      <c r="N591" t="s">
        <v>158</v>
      </c>
      <c r="O591" s="3" t="s">
        <v>1482</v>
      </c>
      <c r="P591" s="3" t="s">
        <v>1482</v>
      </c>
      <c r="Q591" s="3" t="s">
        <v>1482</v>
      </c>
      <c r="R591" s="3" t="s">
        <v>1482</v>
      </c>
      <c r="S591" s="3" t="s">
        <v>1482</v>
      </c>
      <c r="T591" s="3" t="s">
        <v>1482</v>
      </c>
    </row>
    <row r="592" spans="1:20">
      <c r="A592" t="s">
        <v>1047</v>
      </c>
      <c r="B592" t="s">
        <v>20</v>
      </c>
      <c r="C592" t="s">
        <v>21</v>
      </c>
      <c r="D592" t="s">
        <v>1048</v>
      </c>
      <c r="E592" s="2">
        <v>46179</v>
      </c>
      <c r="F592" s="2">
        <v>46179</v>
      </c>
      <c r="G592" t="s">
        <v>20</v>
      </c>
      <c r="H592" s="2">
        <v>46179</v>
      </c>
      <c r="I592" s="2">
        <v>46179</v>
      </c>
      <c r="J592" t="s">
        <v>20</v>
      </c>
      <c r="K592">
        <v>-66.260000000000005</v>
      </c>
      <c r="L592">
        <v>-66.260000000000005</v>
      </c>
      <c r="M592">
        <v>-66.260000000000005</v>
      </c>
      <c r="N592" t="s">
        <v>158</v>
      </c>
      <c r="O592" s="3" t="s">
        <v>1482</v>
      </c>
      <c r="P592" s="3" t="s">
        <v>1482</v>
      </c>
      <c r="Q592" s="3" t="s">
        <v>1482</v>
      </c>
      <c r="R592" s="3" t="s">
        <v>1482</v>
      </c>
      <c r="S592" s="3" t="s">
        <v>1482</v>
      </c>
      <c r="T592" s="3" t="s">
        <v>1482</v>
      </c>
    </row>
    <row r="593" spans="1:20">
      <c r="A593" t="s">
        <v>1049</v>
      </c>
      <c r="B593" t="s">
        <v>20</v>
      </c>
      <c r="C593" t="s">
        <v>21</v>
      </c>
      <c r="D593" t="s">
        <v>1050</v>
      </c>
      <c r="E593" s="2">
        <v>46179</v>
      </c>
      <c r="F593" s="2">
        <v>46179</v>
      </c>
      <c r="G593" t="s">
        <v>20</v>
      </c>
      <c r="H593" s="2">
        <v>46179</v>
      </c>
      <c r="I593" s="2">
        <v>46179</v>
      </c>
      <c r="J593" t="s">
        <v>20</v>
      </c>
      <c r="K593">
        <v>-99.39</v>
      </c>
      <c r="L593">
        <v>-99.39</v>
      </c>
      <c r="M593">
        <v>-99.39</v>
      </c>
      <c r="N593" t="s">
        <v>158</v>
      </c>
      <c r="O593" s="3" t="s">
        <v>1482</v>
      </c>
      <c r="P593" s="3" t="s">
        <v>1482</v>
      </c>
      <c r="Q593" s="3" t="s">
        <v>1482</v>
      </c>
      <c r="R593" s="3" t="s">
        <v>1482</v>
      </c>
      <c r="S593" s="3" t="s">
        <v>1482</v>
      </c>
      <c r="T593" s="3" t="s">
        <v>1482</v>
      </c>
    </row>
    <row r="594" spans="1:20">
      <c r="A594" t="s">
        <v>1051</v>
      </c>
      <c r="B594" t="s">
        <v>20</v>
      </c>
      <c r="C594" t="s">
        <v>21</v>
      </c>
      <c r="D594" t="s">
        <v>1052</v>
      </c>
      <c r="E594" s="2">
        <v>46179</v>
      </c>
      <c r="F594" s="2">
        <v>46179</v>
      </c>
      <c r="G594" t="s">
        <v>20</v>
      </c>
      <c r="H594" s="2">
        <v>46179</v>
      </c>
      <c r="I594" s="2">
        <v>46179</v>
      </c>
      <c r="J594" t="s">
        <v>20</v>
      </c>
      <c r="K594">
        <v>-99.39</v>
      </c>
      <c r="L594">
        <v>-99.39</v>
      </c>
      <c r="M594">
        <v>-99.39</v>
      </c>
      <c r="N594" t="s">
        <v>158</v>
      </c>
      <c r="O594" s="3" t="s">
        <v>1482</v>
      </c>
      <c r="P594" s="3" t="s">
        <v>1482</v>
      </c>
      <c r="Q594" s="3" t="s">
        <v>1482</v>
      </c>
      <c r="R594" s="3" t="s">
        <v>1482</v>
      </c>
      <c r="S594" s="3" t="s">
        <v>1482</v>
      </c>
      <c r="T594" s="3" t="s">
        <v>1482</v>
      </c>
    </row>
    <row r="595" spans="1:20">
      <c r="A595" t="s">
        <v>1053</v>
      </c>
      <c r="B595" t="s">
        <v>20</v>
      </c>
      <c r="C595" t="s">
        <v>21</v>
      </c>
      <c r="D595" t="s">
        <v>1054</v>
      </c>
      <c r="E595" s="2">
        <v>46179</v>
      </c>
      <c r="F595" s="2">
        <v>46179</v>
      </c>
      <c r="G595" t="s">
        <v>20</v>
      </c>
      <c r="H595" s="2">
        <v>46179</v>
      </c>
      <c r="I595" s="2">
        <v>46179</v>
      </c>
      <c r="J595" t="s">
        <v>20</v>
      </c>
      <c r="K595">
        <v>-33.130000000000003</v>
      </c>
      <c r="L595">
        <v>-33.130000000000003</v>
      </c>
      <c r="M595">
        <v>-33.130000000000003</v>
      </c>
      <c r="N595" t="s">
        <v>158</v>
      </c>
      <c r="O595" s="3" t="s">
        <v>1482</v>
      </c>
      <c r="P595" s="3" t="s">
        <v>1482</v>
      </c>
      <c r="Q595" s="3" t="s">
        <v>1482</v>
      </c>
      <c r="R595" s="3" t="s">
        <v>1482</v>
      </c>
      <c r="S595" s="3" t="s">
        <v>1482</v>
      </c>
      <c r="T595" s="3" t="s">
        <v>1482</v>
      </c>
    </row>
    <row r="596" spans="1:20">
      <c r="A596" t="s">
        <v>1055</v>
      </c>
      <c r="B596" t="s">
        <v>20</v>
      </c>
      <c r="C596" t="s">
        <v>21</v>
      </c>
      <c r="D596" t="s">
        <v>1056</v>
      </c>
      <c r="E596" s="2">
        <v>46179</v>
      </c>
      <c r="F596" s="2">
        <v>46179</v>
      </c>
      <c r="G596" t="s">
        <v>20</v>
      </c>
      <c r="H596" s="2">
        <v>46179</v>
      </c>
      <c r="I596" s="2">
        <v>46179</v>
      </c>
      <c r="J596" t="s">
        <v>20</v>
      </c>
      <c r="K596">
        <v>-165.65</v>
      </c>
      <c r="L596">
        <v>-165.65</v>
      </c>
      <c r="M596">
        <v>-165.65</v>
      </c>
      <c r="N596" t="s">
        <v>158</v>
      </c>
      <c r="O596" s="3" t="s">
        <v>1482</v>
      </c>
      <c r="P596" s="3" t="s">
        <v>1482</v>
      </c>
      <c r="Q596" s="3" t="s">
        <v>1482</v>
      </c>
      <c r="R596" s="3" t="s">
        <v>1482</v>
      </c>
      <c r="S596" s="3" t="s">
        <v>1482</v>
      </c>
      <c r="T596" s="3" t="s">
        <v>1482</v>
      </c>
    </row>
    <row r="597" spans="1:20">
      <c r="A597" t="s">
        <v>1057</v>
      </c>
      <c r="B597" t="s">
        <v>20</v>
      </c>
      <c r="C597" t="s">
        <v>21</v>
      </c>
      <c r="D597" t="s">
        <v>1058</v>
      </c>
      <c r="E597" s="2">
        <v>46179</v>
      </c>
      <c r="F597" s="2">
        <v>46179</v>
      </c>
      <c r="G597" t="s">
        <v>20</v>
      </c>
      <c r="H597" s="2">
        <v>46179</v>
      </c>
      <c r="I597" s="2">
        <v>46179</v>
      </c>
      <c r="J597" t="s">
        <v>20</v>
      </c>
      <c r="K597">
        <v>-26.26</v>
      </c>
      <c r="L597">
        <v>-26.26</v>
      </c>
      <c r="M597">
        <v>-26.26</v>
      </c>
      <c r="N597" t="s">
        <v>158</v>
      </c>
      <c r="O597" s="3" t="s">
        <v>1482</v>
      </c>
      <c r="P597" s="3" t="s">
        <v>1482</v>
      </c>
      <c r="Q597" s="3" t="s">
        <v>1482</v>
      </c>
      <c r="R597" s="3" t="s">
        <v>1482</v>
      </c>
      <c r="S597" s="3" t="s">
        <v>1482</v>
      </c>
      <c r="T597" s="3" t="s">
        <v>1482</v>
      </c>
    </row>
    <row r="598" spans="1:20">
      <c r="A598" t="s">
        <v>1059</v>
      </c>
      <c r="B598" t="s">
        <v>20</v>
      </c>
      <c r="C598" t="s">
        <v>21</v>
      </c>
      <c r="D598" t="s">
        <v>1060</v>
      </c>
      <c r="E598" s="2">
        <v>46179</v>
      </c>
      <c r="F598" s="2">
        <v>46179</v>
      </c>
      <c r="G598" t="s">
        <v>20</v>
      </c>
      <c r="H598" s="2">
        <v>46179</v>
      </c>
      <c r="I598" s="2">
        <v>46179</v>
      </c>
      <c r="J598" t="s">
        <v>20</v>
      </c>
      <c r="K598">
        <v>-132.52000000000001</v>
      </c>
      <c r="L598">
        <v>-132.52000000000001</v>
      </c>
      <c r="M598">
        <v>-132.52000000000001</v>
      </c>
      <c r="N598" t="s">
        <v>158</v>
      </c>
      <c r="O598" s="3" t="s">
        <v>1482</v>
      </c>
      <c r="P598" s="3" t="s">
        <v>1482</v>
      </c>
      <c r="Q598" s="3" t="s">
        <v>1482</v>
      </c>
      <c r="R598" s="3" t="s">
        <v>1482</v>
      </c>
      <c r="S598" s="3" t="s">
        <v>1482</v>
      </c>
      <c r="T598" s="3" t="s">
        <v>1482</v>
      </c>
    </row>
    <row r="599" spans="1:20">
      <c r="A599" t="s">
        <v>1061</v>
      </c>
      <c r="B599" t="s">
        <v>20</v>
      </c>
      <c r="C599" t="s">
        <v>21</v>
      </c>
      <c r="D599" t="s">
        <v>1062</v>
      </c>
      <c r="E599" s="2">
        <v>46179</v>
      </c>
      <c r="F599" s="2">
        <v>46179</v>
      </c>
      <c r="G599" t="s">
        <v>20</v>
      </c>
      <c r="H599" s="2">
        <v>46179</v>
      </c>
      <c r="I599" s="2">
        <v>46179</v>
      </c>
      <c r="J599" t="s">
        <v>20</v>
      </c>
      <c r="K599">
        <v>-147.72</v>
      </c>
      <c r="L599">
        <v>-147.72</v>
      </c>
      <c r="M599">
        <v>-147.72</v>
      </c>
      <c r="N599" t="s">
        <v>158</v>
      </c>
      <c r="O599" s="3" t="s">
        <v>1482</v>
      </c>
      <c r="P599" s="3" t="s">
        <v>1482</v>
      </c>
      <c r="Q599" s="3" t="s">
        <v>1482</v>
      </c>
      <c r="R599" s="3" t="s">
        <v>1482</v>
      </c>
      <c r="S599" s="3" t="s">
        <v>1482</v>
      </c>
      <c r="T599" s="3" t="s">
        <v>1482</v>
      </c>
    </row>
    <row r="600" spans="1:20">
      <c r="A600" t="s">
        <v>1063</v>
      </c>
      <c r="B600" t="s">
        <v>20</v>
      </c>
      <c r="C600" t="s">
        <v>21</v>
      </c>
      <c r="D600" t="s">
        <v>1064</v>
      </c>
      <c r="E600" s="2">
        <v>46179</v>
      </c>
      <c r="F600" s="2">
        <v>46179</v>
      </c>
      <c r="G600" t="s">
        <v>20</v>
      </c>
      <c r="H600" s="2">
        <v>46179</v>
      </c>
      <c r="I600" s="2">
        <v>46179</v>
      </c>
      <c r="J600" t="s">
        <v>20</v>
      </c>
      <c r="K600">
        <v>-99.39</v>
      </c>
      <c r="L600">
        <v>-99.39</v>
      </c>
      <c r="M600">
        <v>-99.39</v>
      </c>
      <c r="N600" t="s">
        <v>158</v>
      </c>
      <c r="O600" s="3" t="s">
        <v>1482</v>
      </c>
      <c r="P600" s="3" t="s">
        <v>1482</v>
      </c>
      <c r="Q600" s="3" t="s">
        <v>1482</v>
      </c>
      <c r="R600" s="3" t="s">
        <v>1482</v>
      </c>
      <c r="S600" s="3" t="s">
        <v>1482</v>
      </c>
      <c r="T600" s="3" t="s">
        <v>1482</v>
      </c>
    </row>
    <row r="601" spans="1:20">
      <c r="A601" t="s">
        <v>1065</v>
      </c>
      <c r="B601" t="s">
        <v>20</v>
      </c>
      <c r="C601" t="s">
        <v>21</v>
      </c>
      <c r="D601" t="s">
        <v>1066</v>
      </c>
      <c r="E601" s="2">
        <v>46179</v>
      </c>
      <c r="F601" s="2">
        <v>46179</v>
      </c>
      <c r="G601" t="s">
        <v>20</v>
      </c>
      <c r="H601" s="2">
        <v>46179</v>
      </c>
      <c r="I601" s="2">
        <v>46179</v>
      </c>
      <c r="J601" t="s">
        <v>20</v>
      </c>
      <c r="K601">
        <v>-99.39</v>
      </c>
      <c r="L601">
        <v>-99.39</v>
      </c>
      <c r="M601">
        <v>-99.39</v>
      </c>
      <c r="N601" t="s">
        <v>158</v>
      </c>
      <c r="O601" s="3" t="s">
        <v>1482</v>
      </c>
      <c r="P601" s="3" t="s">
        <v>1482</v>
      </c>
      <c r="Q601" s="3" t="s">
        <v>1482</v>
      </c>
      <c r="R601" s="3" t="s">
        <v>1482</v>
      </c>
      <c r="S601" s="3" t="s">
        <v>1482</v>
      </c>
      <c r="T601" s="3" t="s">
        <v>1482</v>
      </c>
    </row>
    <row r="602" spans="1:20">
      <c r="A602" t="s">
        <v>1067</v>
      </c>
      <c r="B602" t="s">
        <v>20</v>
      </c>
      <c r="C602" t="s">
        <v>21</v>
      </c>
      <c r="D602" t="s">
        <v>1068</v>
      </c>
      <c r="E602" s="2">
        <v>46179</v>
      </c>
      <c r="F602" s="2">
        <v>46179</v>
      </c>
      <c r="G602" t="s">
        <v>20</v>
      </c>
      <c r="H602" s="2">
        <v>46179</v>
      </c>
      <c r="I602" s="2">
        <v>46179</v>
      </c>
      <c r="J602" t="s">
        <v>20</v>
      </c>
      <c r="K602">
        <v>-24.62</v>
      </c>
      <c r="L602">
        <v>-24.62</v>
      </c>
      <c r="M602">
        <v>-24.62</v>
      </c>
      <c r="N602" t="s">
        <v>158</v>
      </c>
      <c r="O602" s="3" t="s">
        <v>1482</v>
      </c>
      <c r="P602" s="3" t="s">
        <v>1482</v>
      </c>
      <c r="Q602" s="3" t="s">
        <v>1482</v>
      </c>
      <c r="R602" s="3" t="s">
        <v>1482</v>
      </c>
      <c r="S602" s="3" t="s">
        <v>1482</v>
      </c>
      <c r="T602" s="3" t="s">
        <v>1482</v>
      </c>
    </row>
    <row r="603" spans="1:20">
      <c r="A603" t="s">
        <v>1069</v>
      </c>
      <c r="B603" t="s">
        <v>20</v>
      </c>
      <c r="C603" t="s">
        <v>21</v>
      </c>
      <c r="D603" t="s">
        <v>1070</v>
      </c>
      <c r="E603" s="2">
        <v>46179</v>
      </c>
      <c r="F603" s="2">
        <v>46179</v>
      </c>
      <c r="G603" t="s">
        <v>20</v>
      </c>
      <c r="H603" s="2">
        <v>46179</v>
      </c>
      <c r="I603" s="2">
        <v>46179</v>
      </c>
      <c r="J603" t="s">
        <v>20</v>
      </c>
      <c r="K603">
        <v>-33.130000000000003</v>
      </c>
      <c r="L603">
        <v>-33.130000000000003</v>
      </c>
      <c r="M603">
        <v>-33.130000000000003</v>
      </c>
      <c r="N603" t="s">
        <v>158</v>
      </c>
      <c r="O603" s="3" t="s">
        <v>1482</v>
      </c>
      <c r="P603" s="3" t="s">
        <v>1482</v>
      </c>
      <c r="Q603" s="3" t="s">
        <v>1482</v>
      </c>
      <c r="R603" s="3" t="s">
        <v>1482</v>
      </c>
      <c r="S603" s="3" t="s">
        <v>1482</v>
      </c>
      <c r="T603" s="3" t="s">
        <v>1482</v>
      </c>
    </row>
    <row r="604" spans="1:20">
      <c r="A604" t="s">
        <v>1071</v>
      </c>
      <c r="B604" t="s">
        <v>20</v>
      </c>
      <c r="C604" t="s">
        <v>21</v>
      </c>
      <c r="D604" t="s">
        <v>1072</v>
      </c>
      <c r="E604" s="2">
        <v>46179</v>
      </c>
      <c r="F604" s="2">
        <v>46179</v>
      </c>
      <c r="G604" t="s">
        <v>20</v>
      </c>
      <c r="H604" s="2">
        <v>46179</v>
      </c>
      <c r="I604" s="2">
        <v>46179</v>
      </c>
      <c r="J604" t="s">
        <v>20</v>
      </c>
      <c r="K604">
        <v>-53.01</v>
      </c>
      <c r="L604">
        <v>-53.01</v>
      </c>
      <c r="M604">
        <v>-53.01</v>
      </c>
      <c r="N604" t="s">
        <v>158</v>
      </c>
      <c r="O604" s="3" t="s">
        <v>1482</v>
      </c>
      <c r="P604" s="3" t="s">
        <v>1482</v>
      </c>
      <c r="Q604" s="3" t="s">
        <v>1482</v>
      </c>
      <c r="R604" s="3" t="s">
        <v>1482</v>
      </c>
      <c r="S604" s="3" t="s">
        <v>1482</v>
      </c>
      <c r="T604" s="3" t="s">
        <v>1482</v>
      </c>
    </row>
    <row r="605" spans="1:20">
      <c r="A605" t="s">
        <v>1073</v>
      </c>
      <c r="B605" t="s">
        <v>20</v>
      </c>
      <c r="C605" t="s">
        <v>21</v>
      </c>
      <c r="D605" t="s">
        <v>1074</v>
      </c>
      <c r="E605" s="2">
        <v>46179</v>
      </c>
      <c r="F605" s="2">
        <v>46179</v>
      </c>
      <c r="G605" t="s">
        <v>20</v>
      </c>
      <c r="H605" s="2">
        <v>46179</v>
      </c>
      <c r="I605" s="2">
        <v>46179</v>
      </c>
      <c r="J605" t="s">
        <v>20</v>
      </c>
      <c r="K605">
        <v>-33.130000000000003</v>
      </c>
      <c r="L605">
        <v>-33.130000000000003</v>
      </c>
      <c r="M605">
        <v>-33.130000000000003</v>
      </c>
      <c r="N605" t="s">
        <v>158</v>
      </c>
      <c r="O605" s="3" t="s">
        <v>1482</v>
      </c>
      <c r="P605" s="3" t="s">
        <v>1482</v>
      </c>
      <c r="Q605" s="3" t="s">
        <v>1482</v>
      </c>
      <c r="R605" s="3" t="s">
        <v>1482</v>
      </c>
      <c r="S605" s="3" t="s">
        <v>1482</v>
      </c>
      <c r="T605" s="3" t="s">
        <v>1482</v>
      </c>
    </row>
    <row r="606" spans="1:20">
      <c r="A606" t="s">
        <v>1075</v>
      </c>
      <c r="B606" t="s">
        <v>20</v>
      </c>
      <c r="C606" t="s">
        <v>21</v>
      </c>
      <c r="D606" t="s">
        <v>1076</v>
      </c>
      <c r="E606" s="2">
        <v>46179</v>
      </c>
      <c r="F606" s="2">
        <v>46179</v>
      </c>
      <c r="G606" t="s">
        <v>20</v>
      </c>
      <c r="H606" s="2">
        <v>46179</v>
      </c>
      <c r="I606" s="2">
        <v>46179</v>
      </c>
      <c r="J606" t="s">
        <v>20</v>
      </c>
      <c r="K606">
        <v>-99.39</v>
      </c>
      <c r="L606">
        <v>-99.39</v>
      </c>
      <c r="M606">
        <v>-99.39</v>
      </c>
      <c r="N606" t="s">
        <v>158</v>
      </c>
      <c r="O606" s="3" t="s">
        <v>1482</v>
      </c>
      <c r="P606" s="3" t="s">
        <v>1482</v>
      </c>
      <c r="Q606" s="3" t="s">
        <v>1482</v>
      </c>
      <c r="R606" s="3" t="s">
        <v>1482</v>
      </c>
      <c r="S606" s="3" t="s">
        <v>1482</v>
      </c>
      <c r="T606" s="3" t="s">
        <v>1482</v>
      </c>
    </row>
    <row r="607" spans="1:20">
      <c r="A607" t="s">
        <v>1077</v>
      </c>
      <c r="B607" t="s">
        <v>20</v>
      </c>
      <c r="C607" t="s">
        <v>21</v>
      </c>
      <c r="D607" t="s">
        <v>1078</v>
      </c>
      <c r="E607" s="2">
        <v>46179</v>
      </c>
      <c r="F607" s="2">
        <v>46179</v>
      </c>
      <c r="G607" t="s">
        <v>20</v>
      </c>
      <c r="H607" s="2">
        <v>46179</v>
      </c>
      <c r="I607" s="2">
        <v>46179</v>
      </c>
      <c r="J607" t="s">
        <v>20</v>
      </c>
      <c r="K607">
        <v>-71.900000000000006</v>
      </c>
      <c r="L607">
        <v>-71.900000000000006</v>
      </c>
      <c r="M607">
        <v>-71.900000000000006</v>
      </c>
      <c r="N607" t="s">
        <v>158</v>
      </c>
      <c r="O607" s="3" t="s">
        <v>1482</v>
      </c>
      <c r="P607" s="3" t="s">
        <v>1482</v>
      </c>
      <c r="Q607" s="3" t="s">
        <v>1482</v>
      </c>
      <c r="R607" s="3" t="s">
        <v>1482</v>
      </c>
      <c r="S607" s="3" t="s">
        <v>1482</v>
      </c>
      <c r="T607" s="3" t="s">
        <v>1482</v>
      </c>
    </row>
    <row r="608" spans="1:20">
      <c r="A608" t="s">
        <v>1079</v>
      </c>
      <c r="B608" t="s">
        <v>20</v>
      </c>
      <c r="C608" t="s">
        <v>21</v>
      </c>
      <c r="D608" t="s">
        <v>1080</v>
      </c>
      <c r="E608" s="2">
        <v>46179</v>
      </c>
      <c r="F608" s="2">
        <v>46179</v>
      </c>
      <c r="G608" t="s">
        <v>20</v>
      </c>
      <c r="H608" s="2">
        <v>46179</v>
      </c>
      <c r="I608" s="2">
        <v>46179</v>
      </c>
      <c r="J608" t="s">
        <v>20</v>
      </c>
      <c r="K608">
        <v>-165.65</v>
      </c>
      <c r="L608">
        <v>-165.65</v>
      </c>
      <c r="M608">
        <v>-165.65</v>
      </c>
      <c r="N608" t="s">
        <v>158</v>
      </c>
      <c r="O608" s="3" t="s">
        <v>1482</v>
      </c>
      <c r="P608" s="3" t="s">
        <v>1482</v>
      </c>
      <c r="Q608" s="3" t="s">
        <v>1482</v>
      </c>
      <c r="R608" s="3" t="s">
        <v>1482</v>
      </c>
      <c r="S608" s="3" t="s">
        <v>1482</v>
      </c>
      <c r="T608" s="3" t="s">
        <v>1482</v>
      </c>
    </row>
    <row r="609" spans="1:20">
      <c r="A609" t="s">
        <v>1081</v>
      </c>
      <c r="B609" t="s">
        <v>20</v>
      </c>
      <c r="C609" t="s">
        <v>21</v>
      </c>
      <c r="D609" t="s">
        <v>1082</v>
      </c>
      <c r="E609" s="2">
        <v>46179</v>
      </c>
      <c r="F609" s="2">
        <v>46179</v>
      </c>
      <c r="G609" t="s">
        <v>20</v>
      </c>
      <c r="H609" s="2">
        <v>46179</v>
      </c>
      <c r="I609" s="2">
        <v>46179</v>
      </c>
      <c r="J609" t="s">
        <v>20</v>
      </c>
      <c r="K609">
        <v>-66.260000000000005</v>
      </c>
      <c r="L609">
        <v>-66.260000000000005</v>
      </c>
      <c r="M609">
        <v>-66.260000000000005</v>
      </c>
      <c r="N609" t="s">
        <v>158</v>
      </c>
      <c r="O609" s="3" t="s">
        <v>1482</v>
      </c>
      <c r="P609" s="3" t="s">
        <v>1482</v>
      </c>
      <c r="Q609" s="3" t="s">
        <v>1482</v>
      </c>
      <c r="R609" s="3" t="s">
        <v>1482</v>
      </c>
      <c r="S609" s="3" t="s">
        <v>1482</v>
      </c>
      <c r="T609" s="3" t="s">
        <v>1482</v>
      </c>
    </row>
    <row r="610" spans="1:20">
      <c r="A610" t="s">
        <v>1083</v>
      </c>
      <c r="B610" t="s">
        <v>20</v>
      </c>
      <c r="C610" t="s">
        <v>21</v>
      </c>
      <c r="D610" t="s">
        <v>1084</v>
      </c>
      <c r="E610" s="2">
        <v>46179</v>
      </c>
      <c r="F610" s="2">
        <v>46179</v>
      </c>
      <c r="G610" t="s">
        <v>20</v>
      </c>
      <c r="H610" s="2">
        <v>46179</v>
      </c>
      <c r="I610" s="2">
        <v>46179</v>
      </c>
      <c r="J610" t="s">
        <v>20</v>
      </c>
      <c r="K610">
        <v>-52.52</v>
      </c>
      <c r="L610">
        <v>-52.52</v>
      </c>
      <c r="M610">
        <v>-52.52</v>
      </c>
      <c r="N610" t="s">
        <v>158</v>
      </c>
      <c r="O610" s="3" t="s">
        <v>1482</v>
      </c>
      <c r="P610" s="3" t="s">
        <v>1482</v>
      </c>
      <c r="Q610" s="3" t="s">
        <v>1482</v>
      </c>
      <c r="R610" s="3" t="s">
        <v>1482</v>
      </c>
      <c r="S610" s="3" t="s">
        <v>1482</v>
      </c>
      <c r="T610" s="3" t="s">
        <v>1482</v>
      </c>
    </row>
    <row r="611" spans="1:20">
      <c r="A611" t="s">
        <v>1085</v>
      </c>
      <c r="B611" t="s">
        <v>20</v>
      </c>
      <c r="C611" t="s">
        <v>21</v>
      </c>
      <c r="D611" t="s">
        <v>1086</v>
      </c>
      <c r="E611" s="2">
        <v>46179</v>
      </c>
      <c r="F611" s="2">
        <v>46179</v>
      </c>
      <c r="G611" t="s">
        <v>20</v>
      </c>
      <c r="H611" s="2">
        <v>46179</v>
      </c>
      <c r="I611" s="2">
        <v>46179</v>
      </c>
      <c r="J611" t="s">
        <v>20</v>
      </c>
      <c r="K611">
        <v>-33.130000000000003</v>
      </c>
      <c r="L611">
        <v>-33.130000000000003</v>
      </c>
      <c r="M611">
        <v>-33.130000000000003</v>
      </c>
      <c r="N611" t="s">
        <v>158</v>
      </c>
      <c r="O611" s="3" t="s">
        <v>1482</v>
      </c>
      <c r="P611" s="3" t="s">
        <v>1482</v>
      </c>
      <c r="Q611" s="3" t="s">
        <v>1482</v>
      </c>
      <c r="R611" s="3" t="s">
        <v>1482</v>
      </c>
      <c r="S611" s="3" t="s">
        <v>1482</v>
      </c>
      <c r="T611" s="3" t="s">
        <v>1482</v>
      </c>
    </row>
    <row r="612" spans="1:20">
      <c r="A612" t="s">
        <v>1087</v>
      </c>
      <c r="B612" t="s">
        <v>20</v>
      </c>
      <c r="C612" t="s">
        <v>21</v>
      </c>
      <c r="D612" t="s">
        <v>1088</v>
      </c>
      <c r="E612" s="2">
        <v>46179</v>
      </c>
      <c r="F612" s="2">
        <v>46179</v>
      </c>
      <c r="G612" t="s">
        <v>20</v>
      </c>
      <c r="H612" s="2">
        <v>46179</v>
      </c>
      <c r="I612" s="2">
        <v>46179</v>
      </c>
      <c r="J612" t="s">
        <v>20</v>
      </c>
      <c r="K612">
        <v>-78.78</v>
      </c>
      <c r="L612">
        <v>-78.78</v>
      </c>
      <c r="M612">
        <v>-78.78</v>
      </c>
      <c r="N612" t="s">
        <v>158</v>
      </c>
      <c r="O612" s="3" t="s">
        <v>1482</v>
      </c>
      <c r="P612" s="3" t="s">
        <v>1482</v>
      </c>
      <c r="Q612" s="3" t="s">
        <v>1482</v>
      </c>
      <c r="R612" s="3" t="s">
        <v>1482</v>
      </c>
      <c r="S612" s="3" t="s">
        <v>1482</v>
      </c>
      <c r="T612" s="3" t="s">
        <v>1482</v>
      </c>
    </row>
    <row r="613" spans="1:20">
      <c r="A613" t="s">
        <v>1089</v>
      </c>
      <c r="B613" t="s">
        <v>20</v>
      </c>
      <c r="C613" t="s">
        <v>21</v>
      </c>
      <c r="D613" t="s">
        <v>1090</v>
      </c>
      <c r="E613" s="2">
        <v>46179</v>
      </c>
      <c r="F613" s="2">
        <v>46179</v>
      </c>
      <c r="G613" t="s">
        <v>20</v>
      </c>
      <c r="H613" s="2">
        <v>46179</v>
      </c>
      <c r="I613" s="2">
        <v>46179</v>
      </c>
      <c r="J613" t="s">
        <v>20</v>
      </c>
      <c r="K613">
        <v>-198.78</v>
      </c>
      <c r="L613">
        <v>-198.78</v>
      </c>
      <c r="M613">
        <v>-198.78</v>
      </c>
      <c r="N613" t="s">
        <v>158</v>
      </c>
      <c r="O613" s="3" t="s">
        <v>1482</v>
      </c>
      <c r="P613" s="3" t="s">
        <v>1482</v>
      </c>
      <c r="Q613" s="3" t="s">
        <v>1482</v>
      </c>
      <c r="R613" s="3" t="s">
        <v>1482</v>
      </c>
      <c r="S613" s="3" t="s">
        <v>1482</v>
      </c>
      <c r="T613" s="3" t="s">
        <v>1482</v>
      </c>
    </row>
    <row r="614" spans="1:20">
      <c r="A614" t="s">
        <v>1091</v>
      </c>
      <c r="B614" t="s">
        <v>20</v>
      </c>
      <c r="C614" t="s">
        <v>21</v>
      </c>
      <c r="D614" t="s">
        <v>1092</v>
      </c>
      <c r="E614" s="2">
        <v>46179</v>
      </c>
      <c r="F614" s="2">
        <v>46179</v>
      </c>
      <c r="G614" t="s">
        <v>20</v>
      </c>
      <c r="H614" s="2">
        <v>46179</v>
      </c>
      <c r="I614" s="2">
        <v>46179</v>
      </c>
      <c r="J614" t="s">
        <v>20</v>
      </c>
      <c r="K614">
        <v>-23.97</v>
      </c>
      <c r="L614">
        <v>-23.97</v>
      </c>
      <c r="M614">
        <v>-23.97</v>
      </c>
      <c r="N614" t="s">
        <v>158</v>
      </c>
      <c r="O614" s="3" t="s">
        <v>1482</v>
      </c>
      <c r="P614" s="3" t="s">
        <v>1482</v>
      </c>
      <c r="Q614" s="3" t="s">
        <v>1482</v>
      </c>
      <c r="R614" s="3" t="s">
        <v>1482</v>
      </c>
      <c r="S614" s="3" t="s">
        <v>1482</v>
      </c>
      <c r="T614" s="3" t="s">
        <v>1482</v>
      </c>
    </row>
    <row r="615" spans="1:20">
      <c r="A615" t="s">
        <v>1093</v>
      </c>
      <c r="B615" t="s">
        <v>20</v>
      </c>
      <c r="C615" t="s">
        <v>21</v>
      </c>
      <c r="D615" t="s">
        <v>1094</v>
      </c>
      <c r="E615" s="2">
        <v>46179</v>
      </c>
      <c r="F615" s="2">
        <v>46179</v>
      </c>
      <c r="G615" t="s">
        <v>20</v>
      </c>
      <c r="H615" s="2">
        <v>46179</v>
      </c>
      <c r="I615" s="2">
        <v>46179</v>
      </c>
      <c r="J615" t="s">
        <v>20</v>
      </c>
      <c r="K615">
        <v>-33.130000000000003</v>
      </c>
      <c r="L615">
        <v>-33.130000000000003</v>
      </c>
      <c r="M615">
        <v>-33.130000000000003</v>
      </c>
      <c r="N615" t="s">
        <v>158</v>
      </c>
      <c r="O615" s="3" t="s">
        <v>1482</v>
      </c>
      <c r="P615" s="3" t="s">
        <v>1482</v>
      </c>
      <c r="Q615" s="3" t="s">
        <v>1482</v>
      </c>
      <c r="R615" s="3" t="s">
        <v>1482</v>
      </c>
      <c r="S615" s="3" t="s">
        <v>1482</v>
      </c>
      <c r="T615" s="3" t="s">
        <v>1482</v>
      </c>
    </row>
    <row r="616" spans="1:20">
      <c r="A616" t="s">
        <v>1095</v>
      </c>
      <c r="B616" t="s">
        <v>20</v>
      </c>
      <c r="C616" t="s">
        <v>21</v>
      </c>
      <c r="D616" t="s">
        <v>1096</v>
      </c>
      <c r="E616" s="2">
        <v>46179</v>
      </c>
      <c r="F616" s="2">
        <v>46179</v>
      </c>
      <c r="G616" t="s">
        <v>20</v>
      </c>
      <c r="H616" s="2">
        <v>46179</v>
      </c>
      <c r="I616" s="2">
        <v>46179</v>
      </c>
      <c r="J616" t="s">
        <v>20</v>
      </c>
      <c r="K616">
        <v>-77.319999999999993</v>
      </c>
      <c r="L616">
        <v>-77.319999999999993</v>
      </c>
      <c r="M616">
        <v>-77.319999999999993</v>
      </c>
      <c r="N616" t="s">
        <v>158</v>
      </c>
      <c r="O616" s="3" t="s">
        <v>1482</v>
      </c>
      <c r="P616" s="3" t="s">
        <v>1482</v>
      </c>
      <c r="Q616" s="3" t="s">
        <v>1482</v>
      </c>
      <c r="R616" s="3" t="s">
        <v>1482</v>
      </c>
      <c r="S616" s="3" t="s">
        <v>1482</v>
      </c>
      <c r="T616" s="3" t="s">
        <v>1482</v>
      </c>
    </row>
    <row r="617" spans="1:20">
      <c r="A617" t="s">
        <v>1097</v>
      </c>
      <c r="B617" t="s">
        <v>20</v>
      </c>
      <c r="C617" t="s">
        <v>21</v>
      </c>
      <c r="D617" t="s">
        <v>1098</v>
      </c>
      <c r="E617" s="2">
        <v>46179</v>
      </c>
      <c r="F617" s="2">
        <v>46179</v>
      </c>
      <c r="G617" t="s">
        <v>20</v>
      </c>
      <c r="H617" s="2">
        <v>46179</v>
      </c>
      <c r="I617" s="2">
        <v>46179</v>
      </c>
      <c r="J617" t="s">
        <v>20</v>
      </c>
      <c r="K617">
        <v>-86.33</v>
      </c>
      <c r="L617">
        <v>-86.33</v>
      </c>
      <c r="M617">
        <v>-86.33</v>
      </c>
      <c r="N617" t="s">
        <v>158</v>
      </c>
      <c r="O617" s="3" t="s">
        <v>1482</v>
      </c>
      <c r="P617" s="3" t="s">
        <v>1482</v>
      </c>
      <c r="Q617" s="3" t="s">
        <v>1482</v>
      </c>
      <c r="R617" s="3" t="s">
        <v>1482</v>
      </c>
      <c r="S617" s="3" t="s">
        <v>1482</v>
      </c>
      <c r="T617" s="3" t="s">
        <v>1482</v>
      </c>
    </row>
    <row r="618" spans="1:20">
      <c r="A618" t="s">
        <v>1099</v>
      </c>
      <c r="B618" t="s">
        <v>20</v>
      </c>
      <c r="C618" t="s">
        <v>21</v>
      </c>
      <c r="D618" t="s">
        <v>1100</v>
      </c>
      <c r="E618" s="2">
        <v>46179</v>
      </c>
      <c r="F618" s="2">
        <v>46179</v>
      </c>
      <c r="G618" t="s">
        <v>20</v>
      </c>
      <c r="H618" s="2">
        <v>46179</v>
      </c>
      <c r="I618" s="2">
        <v>46179</v>
      </c>
      <c r="J618" t="s">
        <v>20</v>
      </c>
      <c r="K618">
        <v>-78.78</v>
      </c>
      <c r="L618">
        <v>-78.78</v>
      </c>
      <c r="M618">
        <v>-78.78</v>
      </c>
      <c r="N618" t="s">
        <v>158</v>
      </c>
      <c r="O618" s="3" t="s">
        <v>1482</v>
      </c>
      <c r="P618" s="3" t="s">
        <v>1482</v>
      </c>
      <c r="Q618" s="3" t="s">
        <v>1482</v>
      </c>
      <c r="R618" s="3" t="s">
        <v>1482</v>
      </c>
      <c r="S618" s="3" t="s">
        <v>1482</v>
      </c>
      <c r="T618" s="3" t="s">
        <v>1482</v>
      </c>
    </row>
    <row r="619" spans="1:20">
      <c r="A619" t="s">
        <v>1101</v>
      </c>
      <c r="B619" t="s">
        <v>20</v>
      </c>
      <c r="C619" t="s">
        <v>21</v>
      </c>
      <c r="D619" t="s">
        <v>1102</v>
      </c>
      <c r="E619" s="2">
        <v>46179</v>
      </c>
      <c r="F619" s="2">
        <v>46179</v>
      </c>
      <c r="G619" t="s">
        <v>20</v>
      </c>
      <c r="H619" s="2">
        <v>46179</v>
      </c>
      <c r="I619" s="2">
        <v>46179</v>
      </c>
      <c r="J619" t="s">
        <v>20</v>
      </c>
      <c r="K619">
        <v>-86.33</v>
      </c>
      <c r="L619">
        <v>-86.33</v>
      </c>
      <c r="M619">
        <v>-86.33</v>
      </c>
      <c r="N619" t="s">
        <v>158</v>
      </c>
      <c r="O619" s="3" t="s">
        <v>1482</v>
      </c>
      <c r="P619" s="3" t="s">
        <v>1482</v>
      </c>
      <c r="Q619" s="3" t="s">
        <v>1482</v>
      </c>
      <c r="R619" s="3" t="s">
        <v>1482</v>
      </c>
      <c r="S619" s="3" t="s">
        <v>1482</v>
      </c>
      <c r="T619" s="3" t="s">
        <v>1482</v>
      </c>
    </row>
    <row r="620" spans="1:20">
      <c r="A620" t="s">
        <v>1103</v>
      </c>
      <c r="B620" t="s">
        <v>20</v>
      </c>
      <c r="C620" t="s">
        <v>21</v>
      </c>
      <c r="D620" t="s">
        <v>1104</v>
      </c>
      <c r="E620" s="2">
        <v>46179</v>
      </c>
      <c r="F620" s="2">
        <v>46179</v>
      </c>
      <c r="G620" t="s">
        <v>20</v>
      </c>
      <c r="H620" s="2">
        <v>46179</v>
      </c>
      <c r="I620" s="2">
        <v>46179</v>
      </c>
      <c r="J620" t="s">
        <v>20</v>
      </c>
      <c r="K620">
        <v>-73.86</v>
      </c>
      <c r="L620">
        <v>-73.86</v>
      </c>
      <c r="M620">
        <v>-73.86</v>
      </c>
      <c r="N620" t="s">
        <v>158</v>
      </c>
      <c r="O620" s="3" t="s">
        <v>1482</v>
      </c>
      <c r="P620" s="3" t="s">
        <v>1482</v>
      </c>
      <c r="Q620" s="3" t="s">
        <v>1482</v>
      </c>
      <c r="R620" s="3" t="s">
        <v>1482</v>
      </c>
      <c r="S620" s="3" t="s">
        <v>1482</v>
      </c>
      <c r="T620" s="3" t="s">
        <v>1482</v>
      </c>
    </row>
    <row r="621" spans="1:20">
      <c r="A621" t="s">
        <v>1105</v>
      </c>
      <c r="B621" t="s">
        <v>20</v>
      </c>
      <c r="C621" t="s">
        <v>21</v>
      </c>
      <c r="D621" t="s">
        <v>1106</v>
      </c>
      <c r="E621" s="2">
        <v>46179</v>
      </c>
      <c r="F621" s="2">
        <v>46179</v>
      </c>
      <c r="G621" t="s">
        <v>20</v>
      </c>
      <c r="H621" s="2">
        <v>46179</v>
      </c>
      <c r="I621" s="2">
        <v>46179</v>
      </c>
      <c r="J621" t="s">
        <v>20</v>
      </c>
      <c r="K621">
        <v>-132.52000000000001</v>
      </c>
      <c r="L621">
        <v>-132.52000000000001</v>
      </c>
      <c r="M621">
        <v>-132.52000000000001</v>
      </c>
      <c r="N621" t="s">
        <v>158</v>
      </c>
      <c r="O621" s="3" t="s">
        <v>1482</v>
      </c>
      <c r="P621" s="3" t="s">
        <v>1482</v>
      </c>
      <c r="Q621" s="3" t="s">
        <v>1482</v>
      </c>
      <c r="R621" s="3" t="s">
        <v>1482</v>
      </c>
      <c r="S621" s="3" t="s">
        <v>1482</v>
      </c>
      <c r="T621" s="3" t="s">
        <v>1482</v>
      </c>
    </row>
    <row r="622" spans="1:20">
      <c r="A622" t="s">
        <v>1107</v>
      </c>
      <c r="B622" t="s">
        <v>20</v>
      </c>
      <c r="C622" t="s">
        <v>21</v>
      </c>
      <c r="D622" t="s">
        <v>1108</v>
      </c>
      <c r="E622" s="2">
        <v>46179</v>
      </c>
      <c r="F622" s="2">
        <v>46179</v>
      </c>
      <c r="G622" t="s">
        <v>20</v>
      </c>
      <c r="H622" s="2">
        <v>46179</v>
      </c>
      <c r="I622" s="2">
        <v>46179</v>
      </c>
      <c r="J622" t="s">
        <v>20</v>
      </c>
      <c r="K622">
        <v>-149.09</v>
      </c>
      <c r="L622">
        <v>-149.09</v>
      </c>
      <c r="M622">
        <v>-149.09</v>
      </c>
      <c r="N622" t="s">
        <v>158</v>
      </c>
      <c r="O622" s="3" t="s">
        <v>1482</v>
      </c>
      <c r="P622" s="3" t="s">
        <v>1482</v>
      </c>
      <c r="Q622" s="3" t="s">
        <v>1482</v>
      </c>
      <c r="R622" s="3" t="s">
        <v>1482</v>
      </c>
      <c r="S622" s="3" t="s">
        <v>1482</v>
      </c>
      <c r="T622" s="3" t="s">
        <v>1482</v>
      </c>
    </row>
    <row r="623" spans="1:20">
      <c r="A623" t="s">
        <v>1109</v>
      </c>
      <c r="B623" t="s">
        <v>20</v>
      </c>
      <c r="C623" t="s">
        <v>21</v>
      </c>
      <c r="D623" t="s">
        <v>1110</v>
      </c>
      <c r="E623" s="2">
        <v>46179</v>
      </c>
      <c r="F623" s="2">
        <v>46179</v>
      </c>
      <c r="G623" t="s">
        <v>20</v>
      </c>
      <c r="H623" s="2">
        <v>46179</v>
      </c>
      <c r="I623" s="2">
        <v>46179</v>
      </c>
      <c r="J623" t="s">
        <v>20</v>
      </c>
      <c r="K623">
        <v>-99.39</v>
      </c>
      <c r="L623">
        <v>-99.39</v>
      </c>
      <c r="M623">
        <v>-99.39</v>
      </c>
      <c r="N623" t="s">
        <v>158</v>
      </c>
      <c r="O623" s="3" t="s">
        <v>1482</v>
      </c>
      <c r="P623" s="3" t="s">
        <v>1482</v>
      </c>
      <c r="Q623" s="3" t="s">
        <v>1482</v>
      </c>
      <c r="R623" s="3" t="s">
        <v>1482</v>
      </c>
      <c r="S623" s="3" t="s">
        <v>1482</v>
      </c>
      <c r="T623" s="3" t="s">
        <v>1482</v>
      </c>
    </row>
    <row r="624" spans="1:20">
      <c r="A624" t="s">
        <v>1111</v>
      </c>
      <c r="B624" t="s">
        <v>20</v>
      </c>
      <c r="C624" t="s">
        <v>21</v>
      </c>
      <c r="D624" t="s">
        <v>1112</v>
      </c>
      <c r="E624" s="2">
        <v>46179</v>
      </c>
      <c r="F624" s="2">
        <v>46179</v>
      </c>
      <c r="G624" t="s">
        <v>20</v>
      </c>
      <c r="H624" s="2">
        <v>46179</v>
      </c>
      <c r="I624" s="2">
        <v>46179</v>
      </c>
      <c r="J624" t="s">
        <v>20</v>
      </c>
      <c r="K624">
        <v>-71.900000000000006</v>
      </c>
      <c r="L624">
        <v>-71.900000000000006</v>
      </c>
      <c r="M624">
        <v>-71.900000000000006</v>
      </c>
      <c r="N624" t="s">
        <v>158</v>
      </c>
      <c r="O624" s="3" t="s">
        <v>1482</v>
      </c>
      <c r="P624" s="3" t="s">
        <v>1482</v>
      </c>
      <c r="Q624" s="3" t="s">
        <v>1482</v>
      </c>
      <c r="R624" s="3" t="s">
        <v>1482</v>
      </c>
      <c r="S624" s="3" t="s">
        <v>1482</v>
      </c>
      <c r="T624" s="3" t="s">
        <v>1482</v>
      </c>
    </row>
    <row r="625" spans="1:20">
      <c r="A625" t="s">
        <v>1113</v>
      </c>
      <c r="B625" t="s">
        <v>20</v>
      </c>
      <c r="C625" t="s">
        <v>21</v>
      </c>
      <c r="D625" t="s">
        <v>1114</v>
      </c>
      <c r="E625" s="2">
        <v>46179</v>
      </c>
      <c r="F625" s="2">
        <v>46179</v>
      </c>
      <c r="G625" t="s">
        <v>20</v>
      </c>
      <c r="H625" s="2">
        <v>46179</v>
      </c>
      <c r="I625" s="2">
        <v>46179</v>
      </c>
      <c r="J625" t="s">
        <v>20</v>
      </c>
      <c r="K625">
        <v>-33.130000000000003</v>
      </c>
      <c r="L625">
        <v>-33.130000000000003</v>
      </c>
      <c r="M625">
        <v>-33.130000000000003</v>
      </c>
      <c r="N625" t="s">
        <v>158</v>
      </c>
      <c r="O625" s="3" t="s">
        <v>1482</v>
      </c>
      <c r="P625" s="3" t="s">
        <v>1482</v>
      </c>
      <c r="Q625" s="3" t="s">
        <v>1482</v>
      </c>
      <c r="R625" s="3" t="s">
        <v>1482</v>
      </c>
      <c r="S625" s="3" t="s">
        <v>1482</v>
      </c>
      <c r="T625" s="3" t="s">
        <v>1482</v>
      </c>
    </row>
    <row r="626" spans="1:20">
      <c r="A626" t="s">
        <v>1115</v>
      </c>
      <c r="B626" t="s">
        <v>20</v>
      </c>
      <c r="C626" t="s">
        <v>21</v>
      </c>
      <c r="D626" t="s">
        <v>1116</v>
      </c>
      <c r="E626" s="2">
        <v>46179</v>
      </c>
      <c r="F626" s="2">
        <v>46179</v>
      </c>
      <c r="G626" t="s">
        <v>20</v>
      </c>
      <c r="H626" s="2">
        <v>46179</v>
      </c>
      <c r="I626" s="2">
        <v>46179</v>
      </c>
      <c r="J626" t="s">
        <v>20</v>
      </c>
      <c r="K626">
        <v>-165.65</v>
      </c>
      <c r="L626">
        <v>-165.65</v>
      </c>
      <c r="M626">
        <v>-165.65</v>
      </c>
      <c r="N626" t="s">
        <v>158</v>
      </c>
      <c r="O626" s="3" t="s">
        <v>1482</v>
      </c>
      <c r="P626" s="3" t="s">
        <v>1482</v>
      </c>
      <c r="Q626" s="3" t="s">
        <v>1482</v>
      </c>
      <c r="R626" s="3" t="s">
        <v>1482</v>
      </c>
      <c r="S626" s="3" t="s">
        <v>1482</v>
      </c>
      <c r="T626" s="3" t="s">
        <v>1482</v>
      </c>
    </row>
    <row r="627" spans="1:20">
      <c r="A627" t="s">
        <v>1117</v>
      </c>
      <c r="B627" t="s">
        <v>20</v>
      </c>
      <c r="C627" t="s">
        <v>21</v>
      </c>
      <c r="D627" t="s">
        <v>1118</v>
      </c>
      <c r="E627" s="2">
        <v>46179</v>
      </c>
      <c r="F627" s="2">
        <v>46179</v>
      </c>
      <c r="G627" t="s">
        <v>20</v>
      </c>
      <c r="H627" s="2">
        <v>46179</v>
      </c>
      <c r="I627" s="2">
        <v>46179</v>
      </c>
      <c r="J627" t="s">
        <v>20</v>
      </c>
      <c r="K627">
        <v>-99.39</v>
      </c>
      <c r="L627">
        <v>-99.39</v>
      </c>
      <c r="M627">
        <v>-99.39</v>
      </c>
      <c r="N627" t="s">
        <v>158</v>
      </c>
      <c r="O627" s="3" t="s">
        <v>1482</v>
      </c>
      <c r="P627" s="3" t="s">
        <v>1482</v>
      </c>
      <c r="Q627" s="3" t="s">
        <v>1482</v>
      </c>
      <c r="R627" s="3" t="s">
        <v>1482</v>
      </c>
      <c r="S627" s="3" t="s">
        <v>1482</v>
      </c>
      <c r="T627" s="3" t="s">
        <v>1482</v>
      </c>
    </row>
    <row r="628" spans="1:20">
      <c r="A628" t="s">
        <v>1119</v>
      </c>
      <c r="B628" t="s">
        <v>20</v>
      </c>
      <c r="C628" t="s">
        <v>21</v>
      </c>
      <c r="D628" t="s">
        <v>1120</v>
      </c>
      <c r="E628" s="2">
        <v>46179</v>
      </c>
      <c r="F628" s="2">
        <v>46179</v>
      </c>
      <c r="G628" t="s">
        <v>20</v>
      </c>
      <c r="H628" s="2">
        <v>46179</v>
      </c>
      <c r="I628" s="2">
        <v>46179</v>
      </c>
      <c r="J628" t="s">
        <v>20</v>
      </c>
      <c r="K628">
        <v>-59.86</v>
      </c>
      <c r="L628">
        <v>-59.86</v>
      </c>
      <c r="M628">
        <v>-59.86</v>
      </c>
      <c r="N628" t="s">
        <v>158</v>
      </c>
      <c r="O628" s="3" t="s">
        <v>1482</v>
      </c>
      <c r="P628" s="3" t="s">
        <v>1482</v>
      </c>
      <c r="Q628" s="3" t="s">
        <v>1482</v>
      </c>
      <c r="R628" s="3" t="s">
        <v>1482</v>
      </c>
      <c r="S628" s="3" t="s">
        <v>1482</v>
      </c>
      <c r="T628" s="3" t="s">
        <v>1482</v>
      </c>
    </row>
    <row r="629" spans="1:20">
      <c r="A629" t="s">
        <v>1121</v>
      </c>
      <c r="B629" t="s">
        <v>20</v>
      </c>
      <c r="C629" t="s">
        <v>21</v>
      </c>
      <c r="D629" t="s">
        <v>1122</v>
      </c>
      <c r="E629" s="2">
        <v>46179</v>
      </c>
      <c r="F629" s="2">
        <v>46179</v>
      </c>
      <c r="G629" t="s">
        <v>20</v>
      </c>
      <c r="H629" s="2">
        <v>46179</v>
      </c>
      <c r="I629" s="2">
        <v>46179</v>
      </c>
      <c r="J629" t="s">
        <v>20</v>
      </c>
      <c r="K629">
        <v>-52.52</v>
      </c>
      <c r="L629">
        <v>-52.52</v>
      </c>
      <c r="M629">
        <v>-52.52</v>
      </c>
      <c r="N629" t="s">
        <v>158</v>
      </c>
      <c r="O629" s="3" t="s">
        <v>1482</v>
      </c>
      <c r="P629" s="3" t="s">
        <v>1482</v>
      </c>
      <c r="Q629" s="3" t="s">
        <v>1482</v>
      </c>
      <c r="R629" s="3" t="s">
        <v>1482</v>
      </c>
      <c r="S629" s="3" t="s">
        <v>1482</v>
      </c>
      <c r="T629" s="3" t="s">
        <v>1482</v>
      </c>
    </row>
    <row r="630" spans="1:20">
      <c r="A630" t="s">
        <v>1123</v>
      </c>
      <c r="B630" t="s">
        <v>20</v>
      </c>
      <c r="C630" t="s">
        <v>21</v>
      </c>
      <c r="D630" t="s">
        <v>1124</v>
      </c>
      <c r="E630" s="2">
        <v>46179</v>
      </c>
      <c r="F630" s="2">
        <v>46179</v>
      </c>
      <c r="G630" t="s">
        <v>20</v>
      </c>
      <c r="H630" s="2">
        <v>46179</v>
      </c>
      <c r="I630" s="2">
        <v>46179</v>
      </c>
      <c r="J630" t="s">
        <v>20</v>
      </c>
      <c r="K630">
        <v>-26.26</v>
      </c>
      <c r="L630">
        <v>-26.26</v>
      </c>
      <c r="M630">
        <v>-26.26</v>
      </c>
      <c r="N630" t="s">
        <v>158</v>
      </c>
      <c r="O630" s="3" t="s">
        <v>1482</v>
      </c>
      <c r="P630" s="3" t="s">
        <v>1482</v>
      </c>
      <c r="Q630" s="3" t="s">
        <v>1482</v>
      </c>
      <c r="R630" s="3" t="s">
        <v>1482</v>
      </c>
      <c r="S630" s="3" t="s">
        <v>1482</v>
      </c>
      <c r="T630" s="3" t="s">
        <v>1482</v>
      </c>
    </row>
    <row r="631" spans="1:20">
      <c r="A631" t="s">
        <v>1125</v>
      </c>
      <c r="B631" t="s">
        <v>20</v>
      </c>
      <c r="C631" t="s">
        <v>21</v>
      </c>
      <c r="D631" t="s">
        <v>1126</v>
      </c>
      <c r="E631" s="2">
        <v>46179</v>
      </c>
      <c r="F631" s="2">
        <v>46179</v>
      </c>
      <c r="G631" t="s">
        <v>20</v>
      </c>
      <c r="H631" s="2">
        <v>46179</v>
      </c>
      <c r="I631" s="2">
        <v>46179</v>
      </c>
      <c r="J631" t="s">
        <v>20</v>
      </c>
      <c r="K631">
        <v>-99.39</v>
      </c>
      <c r="L631">
        <v>-99.39</v>
      </c>
      <c r="M631">
        <v>-99.39</v>
      </c>
      <c r="N631" t="s">
        <v>158</v>
      </c>
      <c r="O631" s="3" t="s">
        <v>1482</v>
      </c>
      <c r="P631" s="3" t="s">
        <v>1482</v>
      </c>
      <c r="Q631" s="3" t="s">
        <v>1482</v>
      </c>
      <c r="R631" s="3" t="s">
        <v>1482</v>
      </c>
      <c r="S631" s="3" t="s">
        <v>1482</v>
      </c>
      <c r="T631" s="3" t="s">
        <v>1482</v>
      </c>
    </row>
    <row r="632" spans="1:20">
      <c r="A632" t="s">
        <v>1127</v>
      </c>
      <c r="B632" t="s">
        <v>20</v>
      </c>
      <c r="C632" t="s">
        <v>21</v>
      </c>
      <c r="D632" t="s">
        <v>1128</v>
      </c>
      <c r="E632" s="2">
        <v>46179</v>
      </c>
      <c r="F632" s="2">
        <v>46179</v>
      </c>
      <c r="G632" t="s">
        <v>20</v>
      </c>
      <c r="H632" s="2">
        <v>46179</v>
      </c>
      <c r="I632" s="2">
        <v>46179</v>
      </c>
      <c r="J632" t="s">
        <v>20</v>
      </c>
      <c r="K632">
        <v>-132.52000000000001</v>
      </c>
      <c r="L632">
        <v>-132.52000000000001</v>
      </c>
      <c r="M632">
        <v>-132.52000000000001</v>
      </c>
      <c r="N632" t="s">
        <v>158</v>
      </c>
      <c r="O632" s="3" t="s">
        <v>1482</v>
      </c>
      <c r="P632" s="3" t="s">
        <v>1482</v>
      </c>
      <c r="Q632" s="3" t="s">
        <v>1482</v>
      </c>
      <c r="R632" s="3" t="s">
        <v>1482</v>
      </c>
      <c r="S632" s="3" t="s">
        <v>1482</v>
      </c>
      <c r="T632" s="3" t="s">
        <v>1482</v>
      </c>
    </row>
    <row r="633" spans="1:20">
      <c r="A633" t="s">
        <v>1129</v>
      </c>
      <c r="B633" t="s">
        <v>20</v>
      </c>
      <c r="C633" t="s">
        <v>21</v>
      </c>
      <c r="D633" t="s">
        <v>1130</v>
      </c>
      <c r="E633" s="2">
        <v>46179</v>
      </c>
      <c r="F633" s="2">
        <v>46179</v>
      </c>
      <c r="G633" t="s">
        <v>20</v>
      </c>
      <c r="H633" s="2">
        <v>46179</v>
      </c>
      <c r="I633" s="2">
        <v>46179</v>
      </c>
      <c r="J633" t="s">
        <v>20</v>
      </c>
      <c r="K633">
        <v>-132.52000000000001</v>
      </c>
      <c r="L633">
        <v>-132.52000000000001</v>
      </c>
      <c r="M633">
        <v>-132.52000000000001</v>
      </c>
      <c r="N633" t="s">
        <v>158</v>
      </c>
      <c r="O633" s="3" t="s">
        <v>1482</v>
      </c>
      <c r="P633" s="3" t="s">
        <v>1482</v>
      </c>
      <c r="Q633" s="3" t="s">
        <v>1482</v>
      </c>
      <c r="R633" s="3" t="s">
        <v>1482</v>
      </c>
      <c r="S633" s="3" t="s">
        <v>1482</v>
      </c>
      <c r="T633" s="3" t="s">
        <v>1482</v>
      </c>
    </row>
    <row r="634" spans="1:20">
      <c r="A634" t="s">
        <v>1131</v>
      </c>
      <c r="B634" t="s">
        <v>20</v>
      </c>
      <c r="C634" t="s">
        <v>21</v>
      </c>
      <c r="D634" t="s">
        <v>1132</v>
      </c>
      <c r="E634" s="2">
        <v>46179</v>
      </c>
      <c r="F634" s="2">
        <v>46179</v>
      </c>
      <c r="G634" t="s">
        <v>20</v>
      </c>
      <c r="H634" s="2">
        <v>46179</v>
      </c>
      <c r="I634" s="2">
        <v>46179</v>
      </c>
      <c r="J634" t="s">
        <v>20</v>
      </c>
      <c r="K634">
        <v>-47.94</v>
      </c>
      <c r="L634">
        <v>-47.94</v>
      </c>
      <c r="M634">
        <v>-47.94</v>
      </c>
      <c r="N634" t="s">
        <v>158</v>
      </c>
      <c r="O634" s="3" t="s">
        <v>1482</v>
      </c>
      <c r="P634" s="3" t="s">
        <v>1482</v>
      </c>
      <c r="Q634" s="3" t="s">
        <v>1482</v>
      </c>
      <c r="R634" s="3" t="s">
        <v>1482</v>
      </c>
      <c r="S634" s="3" t="s">
        <v>1482</v>
      </c>
      <c r="T634" s="3" t="s">
        <v>1482</v>
      </c>
    </row>
    <row r="635" spans="1:20">
      <c r="A635" t="s">
        <v>1133</v>
      </c>
      <c r="B635" t="s">
        <v>20</v>
      </c>
      <c r="C635" t="s">
        <v>21</v>
      </c>
      <c r="D635" t="s">
        <v>1134</v>
      </c>
      <c r="E635" s="2">
        <v>46179</v>
      </c>
      <c r="F635" s="2">
        <v>46179</v>
      </c>
      <c r="G635" t="s">
        <v>20</v>
      </c>
      <c r="H635" s="2">
        <v>46179</v>
      </c>
      <c r="I635" s="2">
        <v>46179</v>
      </c>
      <c r="J635" t="s">
        <v>20</v>
      </c>
      <c r="K635">
        <v>-86.33</v>
      </c>
      <c r="L635">
        <v>-86.33</v>
      </c>
      <c r="M635">
        <v>-86.33</v>
      </c>
      <c r="N635" t="s">
        <v>158</v>
      </c>
      <c r="O635" s="3" t="s">
        <v>1482</v>
      </c>
      <c r="P635" s="3" t="s">
        <v>1482</v>
      </c>
      <c r="Q635" s="3" t="s">
        <v>1482</v>
      </c>
      <c r="R635" s="3" t="s">
        <v>1482</v>
      </c>
      <c r="S635" s="3" t="s">
        <v>1482</v>
      </c>
      <c r="T635" s="3" t="s">
        <v>1482</v>
      </c>
    </row>
    <row r="636" spans="1:20">
      <c r="A636" t="s">
        <v>1135</v>
      </c>
      <c r="B636" t="s">
        <v>20</v>
      </c>
      <c r="C636" t="s">
        <v>21</v>
      </c>
      <c r="D636" t="s">
        <v>1136</v>
      </c>
      <c r="E636" s="2">
        <v>46179</v>
      </c>
      <c r="F636" s="2">
        <v>46179</v>
      </c>
      <c r="G636" t="s">
        <v>20</v>
      </c>
      <c r="H636" s="2">
        <v>46179</v>
      </c>
      <c r="I636" s="2">
        <v>46179</v>
      </c>
      <c r="J636" t="s">
        <v>20</v>
      </c>
      <c r="K636">
        <v>-33.130000000000003</v>
      </c>
      <c r="L636">
        <v>-33.130000000000003</v>
      </c>
      <c r="M636">
        <v>-33.130000000000003</v>
      </c>
      <c r="N636" t="s">
        <v>158</v>
      </c>
      <c r="O636" s="3" t="s">
        <v>1482</v>
      </c>
      <c r="P636" s="3" t="s">
        <v>1482</v>
      </c>
      <c r="Q636" s="3" t="s">
        <v>1482</v>
      </c>
      <c r="R636" s="3" t="s">
        <v>1482</v>
      </c>
      <c r="S636" s="3" t="s">
        <v>1482</v>
      </c>
      <c r="T636" s="3" t="s">
        <v>1482</v>
      </c>
    </row>
    <row r="637" spans="1:20">
      <c r="A637" t="s">
        <v>1137</v>
      </c>
      <c r="B637" t="s">
        <v>20</v>
      </c>
      <c r="C637" t="s">
        <v>21</v>
      </c>
      <c r="D637" t="s">
        <v>1138</v>
      </c>
      <c r="E637" s="2">
        <v>46179</v>
      </c>
      <c r="F637" s="2">
        <v>46179</v>
      </c>
      <c r="G637" t="s">
        <v>20</v>
      </c>
      <c r="H637" s="2">
        <v>46179</v>
      </c>
      <c r="I637" s="2">
        <v>46179</v>
      </c>
      <c r="J637" t="s">
        <v>20</v>
      </c>
      <c r="K637">
        <v>-26.26</v>
      </c>
      <c r="L637">
        <v>-26.26</v>
      </c>
      <c r="M637">
        <v>-26.26</v>
      </c>
      <c r="N637" t="s">
        <v>158</v>
      </c>
      <c r="O637" s="3" t="s">
        <v>1482</v>
      </c>
      <c r="P637" s="3" t="s">
        <v>1482</v>
      </c>
      <c r="Q637" s="3" t="s">
        <v>1482</v>
      </c>
      <c r="R637" s="3" t="s">
        <v>1482</v>
      </c>
      <c r="S637" s="3" t="s">
        <v>1482</v>
      </c>
      <c r="T637" s="3" t="s">
        <v>1482</v>
      </c>
    </row>
    <row r="638" spans="1:20">
      <c r="A638" t="s">
        <v>1139</v>
      </c>
      <c r="B638" t="s">
        <v>20</v>
      </c>
      <c r="C638" t="s">
        <v>21</v>
      </c>
      <c r="D638" t="s">
        <v>1140</v>
      </c>
      <c r="E638" s="2">
        <v>46179</v>
      </c>
      <c r="F638" s="2">
        <v>46179</v>
      </c>
      <c r="G638" t="s">
        <v>20</v>
      </c>
      <c r="H638" s="2">
        <v>46179</v>
      </c>
      <c r="I638" s="2">
        <v>46179</v>
      </c>
      <c r="J638" t="s">
        <v>20</v>
      </c>
      <c r="K638">
        <v>-132.52000000000001</v>
      </c>
      <c r="L638">
        <v>-132.52000000000001</v>
      </c>
      <c r="M638">
        <v>-132.52000000000001</v>
      </c>
      <c r="N638" t="s">
        <v>158</v>
      </c>
      <c r="O638" s="3" t="s">
        <v>1482</v>
      </c>
      <c r="P638" s="3" t="s">
        <v>1482</v>
      </c>
      <c r="Q638" s="3" t="s">
        <v>1482</v>
      </c>
      <c r="R638" s="3" t="s">
        <v>1482</v>
      </c>
      <c r="S638" s="3" t="s">
        <v>1482</v>
      </c>
      <c r="T638" s="3" t="s">
        <v>1482</v>
      </c>
    </row>
    <row r="639" spans="1:20">
      <c r="A639" t="s">
        <v>1141</v>
      </c>
      <c r="B639" t="s">
        <v>20</v>
      </c>
      <c r="C639" t="s">
        <v>21</v>
      </c>
      <c r="D639" t="s">
        <v>1142</v>
      </c>
      <c r="E639" s="2">
        <v>46179</v>
      </c>
      <c r="F639" s="2">
        <v>46179</v>
      </c>
      <c r="G639" t="s">
        <v>20</v>
      </c>
      <c r="H639" s="2">
        <v>46179</v>
      </c>
      <c r="I639" s="2">
        <v>46179</v>
      </c>
      <c r="J639" t="s">
        <v>20</v>
      </c>
      <c r="K639">
        <v>-99.39</v>
      </c>
      <c r="L639">
        <v>-99.39</v>
      </c>
      <c r="M639">
        <v>-99.39</v>
      </c>
      <c r="N639" t="s">
        <v>158</v>
      </c>
      <c r="O639" s="3" t="s">
        <v>1482</v>
      </c>
      <c r="P639" s="3" t="s">
        <v>1482</v>
      </c>
      <c r="Q639" s="3" t="s">
        <v>1482</v>
      </c>
      <c r="R639" s="3" t="s">
        <v>1482</v>
      </c>
      <c r="S639" s="3" t="s">
        <v>1482</v>
      </c>
      <c r="T639" s="3" t="s">
        <v>1482</v>
      </c>
    </row>
    <row r="640" spans="1:20">
      <c r="A640" t="s">
        <v>1143</v>
      </c>
      <c r="B640" t="s">
        <v>20</v>
      </c>
      <c r="C640" t="s">
        <v>21</v>
      </c>
      <c r="D640" t="s">
        <v>1144</v>
      </c>
      <c r="E640" s="2">
        <v>46179</v>
      </c>
      <c r="F640" s="2">
        <v>46179</v>
      </c>
      <c r="G640" t="s">
        <v>20</v>
      </c>
      <c r="H640" s="2">
        <v>46179</v>
      </c>
      <c r="I640" s="2">
        <v>46179</v>
      </c>
      <c r="J640" t="s">
        <v>20</v>
      </c>
      <c r="K640">
        <v>-33.130000000000003</v>
      </c>
      <c r="L640">
        <v>-33.130000000000003</v>
      </c>
      <c r="M640">
        <v>-33.130000000000003</v>
      </c>
      <c r="N640" t="s">
        <v>158</v>
      </c>
      <c r="O640" s="3" t="s">
        <v>1482</v>
      </c>
      <c r="P640" s="3" t="s">
        <v>1482</v>
      </c>
      <c r="Q640" s="3" t="s">
        <v>1482</v>
      </c>
      <c r="R640" s="3" t="s">
        <v>1482</v>
      </c>
      <c r="S640" s="3" t="s">
        <v>1482</v>
      </c>
      <c r="T640" s="3" t="s">
        <v>1482</v>
      </c>
    </row>
    <row r="641" spans="1:20">
      <c r="A641" t="s">
        <v>1145</v>
      </c>
      <c r="B641" t="s">
        <v>20</v>
      </c>
      <c r="C641" t="s">
        <v>21</v>
      </c>
      <c r="D641" t="s">
        <v>1146</v>
      </c>
      <c r="E641" s="2">
        <v>46179</v>
      </c>
      <c r="F641" s="2">
        <v>46179</v>
      </c>
      <c r="G641" t="s">
        <v>20</v>
      </c>
      <c r="H641" s="2">
        <v>46179</v>
      </c>
      <c r="I641" s="2">
        <v>46179</v>
      </c>
      <c r="J641" t="s">
        <v>20</v>
      </c>
      <c r="K641">
        <v>-66.260000000000005</v>
      </c>
      <c r="L641">
        <v>-66.260000000000005</v>
      </c>
      <c r="M641">
        <v>-66.260000000000005</v>
      </c>
      <c r="N641" t="s">
        <v>158</v>
      </c>
      <c r="O641" s="3" t="s">
        <v>1482</v>
      </c>
      <c r="P641" s="3" t="s">
        <v>1482</v>
      </c>
      <c r="Q641" s="3" t="s">
        <v>1482</v>
      </c>
      <c r="R641" s="3" t="s">
        <v>1482</v>
      </c>
      <c r="S641" s="3" t="s">
        <v>1482</v>
      </c>
      <c r="T641" s="3" t="s">
        <v>1482</v>
      </c>
    </row>
    <row r="642" spans="1:20">
      <c r="A642" t="s">
        <v>1147</v>
      </c>
      <c r="B642" t="s">
        <v>20</v>
      </c>
      <c r="C642" t="s">
        <v>21</v>
      </c>
      <c r="D642" t="s">
        <v>1148</v>
      </c>
      <c r="E642" s="2">
        <v>46179</v>
      </c>
      <c r="F642" s="2">
        <v>46179</v>
      </c>
      <c r="G642" t="s">
        <v>20</v>
      </c>
      <c r="H642" s="2">
        <v>46179</v>
      </c>
      <c r="I642" s="2">
        <v>46179</v>
      </c>
      <c r="J642" t="s">
        <v>20</v>
      </c>
      <c r="K642">
        <v>-99.39</v>
      </c>
      <c r="L642">
        <v>-99.39</v>
      </c>
      <c r="M642">
        <v>-99.39</v>
      </c>
      <c r="N642" t="s">
        <v>158</v>
      </c>
      <c r="O642" s="3" t="s">
        <v>1482</v>
      </c>
      <c r="P642" s="3" t="s">
        <v>1482</v>
      </c>
      <c r="Q642" s="3" t="s">
        <v>1482</v>
      </c>
      <c r="R642" s="3" t="s">
        <v>1482</v>
      </c>
      <c r="S642" s="3" t="s">
        <v>1482</v>
      </c>
      <c r="T642" s="3" t="s">
        <v>1482</v>
      </c>
    </row>
    <row r="643" spans="1:20">
      <c r="A643" t="s">
        <v>1149</v>
      </c>
      <c r="B643" t="s">
        <v>20</v>
      </c>
      <c r="C643" t="s">
        <v>21</v>
      </c>
      <c r="D643" t="s">
        <v>1150</v>
      </c>
      <c r="E643" s="2">
        <v>46179</v>
      </c>
      <c r="F643" s="2">
        <v>46179</v>
      </c>
      <c r="G643" t="s">
        <v>20</v>
      </c>
      <c r="H643" s="2">
        <v>46179</v>
      </c>
      <c r="I643" s="2">
        <v>46179</v>
      </c>
      <c r="J643" t="s">
        <v>20</v>
      </c>
      <c r="K643">
        <v>-33.130000000000003</v>
      </c>
      <c r="L643">
        <v>-33.130000000000003</v>
      </c>
      <c r="M643">
        <v>-33.130000000000003</v>
      </c>
      <c r="N643" t="s">
        <v>158</v>
      </c>
      <c r="O643" s="3" t="s">
        <v>1482</v>
      </c>
      <c r="P643" s="3" t="s">
        <v>1482</v>
      </c>
      <c r="Q643" s="3" t="s">
        <v>1482</v>
      </c>
      <c r="R643" s="3" t="s">
        <v>1482</v>
      </c>
      <c r="S643" s="3" t="s">
        <v>1482</v>
      </c>
      <c r="T643" s="3" t="s">
        <v>1482</v>
      </c>
    </row>
    <row r="644" spans="1:20">
      <c r="A644" t="s">
        <v>1151</v>
      </c>
      <c r="B644" t="s">
        <v>20</v>
      </c>
      <c r="C644" t="s">
        <v>21</v>
      </c>
      <c r="D644" t="s">
        <v>1152</v>
      </c>
      <c r="E644" s="2">
        <v>46179</v>
      </c>
      <c r="F644" s="2">
        <v>46179</v>
      </c>
      <c r="G644" t="s">
        <v>20</v>
      </c>
      <c r="H644" s="2">
        <v>46179</v>
      </c>
      <c r="I644" s="2">
        <v>46179</v>
      </c>
      <c r="J644" t="s">
        <v>20</v>
      </c>
      <c r="K644">
        <v>-95.87</v>
      </c>
      <c r="L644">
        <v>-95.87</v>
      </c>
      <c r="M644">
        <v>-95.87</v>
      </c>
      <c r="N644" t="s">
        <v>158</v>
      </c>
      <c r="O644" s="3" t="s">
        <v>1482</v>
      </c>
      <c r="P644" s="3" t="s">
        <v>1482</v>
      </c>
      <c r="Q644" s="3" t="s">
        <v>1482</v>
      </c>
      <c r="R644" s="3" t="s">
        <v>1482</v>
      </c>
      <c r="S644" s="3" t="s">
        <v>1482</v>
      </c>
      <c r="T644" s="3" t="s">
        <v>1482</v>
      </c>
    </row>
    <row r="645" spans="1:20">
      <c r="A645" t="s">
        <v>1153</v>
      </c>
      <c r="B645" t="s">
        <v>20</v>
      </c>
      <c r="C645" t="s">
        <v>21</v>
      </c>
      <c r="D645" t="s">
        <v>1154</v>
      </c>
      <c r="E645" s="2">
        <v>46179</v>
      </c>
      <c r="F645" s="2">
        <v>46179</v>
      </c>
      <c r="G645" t="s">
        <v>20</v>
      </c>
      <c r="H645" s="2">
        <v>46179</v>
      </c>
      <c r="I645" s="2">
        <v>46179</v>
      </c>
      <c r="J645" t="s">
        <v>20</v>
      </c>
      <c r="K645">
        <v>-99.39</v>
      </c>
      <c r="L645">
        <v>-99.39</v>
      </c>
      <c r="M645">
        <v>-99.39</v>
      </c>
      <c r="N645" t="s">
        <v>158</v>
      </c>
      <c r="O645" s="3" t="s">
        <v>1482</v>
      </c>
      <c r="P645" s="3" t="s">
        <v>1482</v>
      </c>
      <c r="Q645" s="3" t="s">
        <v>1482</v>
      </c>
      <c r="R645" s="3" t="s">
        <v>1482</v>
      </c>
      <c r="S645" s="3" t="s">
        <v>1482</v>
      </c>
      <c r="T645" s="3" t="s">
        <v>1482</v>
      </c>
    </row>
    <row r="646" spans="1:20">
      <c r="A646" t="s">
        <v>1155</v>
      </c>
      <c r="B646" t="s">
        <v>20</v>
      </c>
      <c r="C646" t="s">
        <v>21</v>
      </c>
      <c r="D646" t="s">
        <v>1156</v>
      </c>
      <c r="E646" s="2">
        <v>46179</v>
      </c>
      <c r="F646" s="2">
        <v>46179</v>
      </c>
      <c r="G646" t="s">
        <v>20</v>
      </c>
      <c r="H646" s="2">
        <v>46179</v>
      </c>
      <c r="I646" s="2">
        <v>46179</v>
      </c>
      <c r="J646" t="s">
        <v>20</v>
      </c>
      <c r="K646">
        <v>-99.39</v>
      </c>
      <c r="L646">
        <v>-99.39</v>
      </c>
      <c r="M646">
        <v>-99.39</v>
      </c>
      <c r="N646" t="s">
        <v>158</v>
      </c>
      <c r="O646" s="3" t="s">
        <v>1482</v>
      </c>
      <c r="P646" s="3" t="s">
        <v>1482</v>
      </c>
      <c r="Q646" s="3" t="s">
        <v>1482</v>
      </c>
      <c r="R646" s="3" t="s">
        <v>1482</v>
      </c>
      <c r="S646" s="3" t="s">
        <v>1482</v>
      </c>
      <c r="T646" s="3" t="s">
        <v>1482</v>
      </c>
    </row>
    <row r="647" spans="1:20">
      <c r="A647" t="s">
        <v>1157</v>
      </c>
      <c r="B647" t="s">
        <v>20</v>
      </c>
      <c r="C647" t="s">
        <v>21</v>
      </c>
      <c r="D647" t="s">
        <v>1158</v>
      </c>
      <c r="E647" s="2">
        <v>46179</v>
      </c>
      <c r="F647" s="2">
        <v>46179</v>
      </c>
      <c r="G647" t="s">
        <v>20</v>
      </c>
      <c r="H647" s="2">
        <v>46179</v>
      </c>
      <c r="I647" s="2">
        <v>46179</v>
      </c>
      <c r="J647" t="s">
        <v>20</v>
      </c>
      <c r="K647">
        <v>-143.81</v>
      </c>
      <c r="L647">
        <v>-143.81</v>
      </c>
      <c r="M647">
        <v>-143.81</v>
      </c>
      <c r="N647" t="s">
        <v>158</v>
      </c>
      <c r="O647" s="3" t="s">
        <v>1482</v>
      </c>
      <c r="P647" s="3" t="s">
        <v>1482</v>
      </c>
      <c r="Q647" s="3" t="s">
        <v>1482</v>
      </c>
      <c r="R647" s="3" t="s">
        <v>1482</v>
      </c>
      <c r="S647" s="3" t="s">
        <v>1482</v>
      </c>
      <c r="T647" s="3" t="s">
        <v>1482</v>
      </c>
    </row>
    <row r="648" spans="1:20">
      <c r="A648" t="s">
        <v>1159</v>
      </c>
      <c r="B648" t="s">
        <v>20</v>
      </c>
      <c r="C648" t="s">
        <v>21</v>
      </c>
      <c r="D648" t="s">
        <v>1160</v>
      </c>
      <c r="E648" s="2">
        <v>46179</v>
      </c>
      <c r="F648" s="2">
        <v>46179</v>
      </c>
      <c r="G648" t="s">
        <v>20</v>
      </c>
      <c r="H648" s="2">
        <v>46179</v>
      </c>
      <c r="I648" s="2">
        <v>46179</v>
      </c>
      <c r="J648" t="s">
        <v>20</v>
      </c>
      <c r="K648">
        <v>-33.130000000000003</v>
      </c>
      <c r="L648">
        <v>-33.130000000000003</v>
      </c>
      <c r="M648">
        <v>-33.130000000000003</v>
      </c>
      <c r="N648" t="s">
        <v>158</v>
      </c>
      <c r="O648" s="3" t="s">
        <v>1482</v>
      </c>
      <c r="P648" s="3" t="s">
        <v>1482</v>
      </c>
      <c r="Q648" s="3" t="s">
        <v>1482</v>
      </c>
      <c r="R648" s="3" t="s">
        <v>1482</v>
      </c>
      <c r="S648" s="3" t="s">
        <v>1482</v>
      </c>
      <c r="T648" s="3" t="s">
        <v>1482</v>
      </c>
    </row>
    <row r="649" spans="1:20">
      <c r="A649" t="s">
        <v>1161</v>
      </c>
      <c r="B649" t="s">
        <v>20</v>
      </c>
      <c r="C649" t="s">
        <v>21</v>
      </c>
      <c r="D649" t="s">
        <v>1162</v>
      </c>
      <c r="E649" s="2">
        <v>46179</v>
      </c>
      <c r="F649" s="2">
        <v>46179</v>
      </c>
      <c r="G649" t="s">
        <v>20</v>
      </c>
      <c r="H649" s="2">
        <v>46179</v>
      </c>
      <c r="I649" s="2">
        <v>46179</v>
      </c>
      <c r="J649" t="s">
        <v>20</v>
      </c>
      <c r="K649">
        <v>-165.65</v>
      </c>
      <c r="L649">
        <v>-165.65</v>
      </c>
      <c r="M649">
        <v>-165.65</v>
      </c>
      <c r="N649" t="s">
        <v>158</v>
      </c>
      <c r="O649" s="3" t="s">
        <v>1482</v>
      </c>
      <c r="P649" s="3" t="s">
        <v>1482</v>
      </c>
      <c r="Q649" s="3" t="s">
        <v>1482</v>
      </c>
      <c r="R649" s="3" t="s">
        <v>1482</v>
      </c>
      <c r="S649" s="3" t="s">
        <v>1482</v>
      </c>
      <c r="T649" s="3" t="s">
        <v>1482</v>
      </c>
    </row>
    <row r="650" spans="1:20">
      <c r="A650" t="s">
        <v>1163</v>
      </c>
      <c r="B650" t="s">
        <v>20</v>
      </c>
      <c r="C650" t="s">
        <v>21</v>
      </c>
      <c r="D650" t="s">
        <v>1164</v>
      </c>
      <c r="E650" s="2">
        <v>46179</v>
      </c>
      <c r="F650" s="2">
        <v>46179</v>
      </c>
      <c r="G650" t="s">
        <v>20</v>
      </c>
      <c r="H650" s="2">
        <v>46179</v>
      </c>
      <c r="I650" s="2">
        <v>46179</v>
      </c>
      <c r="J650" t="s">
        <v>20</v>
      </c>
      <c r="K650">
        <v>-33.130000000000003</v>
      </c>
      <c r="L650">
        <v>-33.130000000000003</v>
      </c>
      <c r="M650">
        <v>-33.130000000000003</v>
      </c>
      <c r="N650" t="s">
        <v>158</v>
      </c>
      <c r="O650" s="3" t="s">
        <v>1482</v>
      </c>
      <c r="P650" s="3" t="s">
        <v>1482</v>
      </c>
      <c r="Q650" s="3" t="s">
        <v>1482</v>
      </c>
      <c r="R650" s="3" t="s">
        <v>1482</v>
      </c>
      <c r="S650" s="3" t="s">
        <v>1482</v>
      </c>
      <c r="T650" s="3" t="s">
        <v>1482</v>
      </c>
    </row>
    <row r="651" spans="1:20">
      <c r="A651" t="s">
        <v>1165</v>
      </c>
      <c r="B651" t="s">
        <v>20</v>
      </c>
      <c r="C651" t="s">
        <v>21</v>
      </c>
      <c r="D651" t="s">
        <v>1166</v>
      </c>
      <c r="E651" s="2">
        <v>46179</v>
      </c>
      <c r="F651" s="2">
        <v>46179</v>
      </c>
      <c r="G651" t="s">
        <v>20</v>
      </c>
      <c r="H651" s="2">
        <v>46179</v>
      </c>
      <c r="I651" s="2">
        <v>46179</v>
      </c>
      <c r="J651" t="s">
        <v>20</v>
      </c>
      <c r="K651">
        <v>-132.52000000000001</v>
      </c>
      <c r="L651">
        <v>-132.52000000000001</v>
      </c>
      <c r="M651">
        <v>-132.52000000000001</v>
      </c>
      <c r="N651" t="s">
        <v>158</v>
      </c>
      <c r="O651" s="3" t="s">
        <v>1482</v>
      </c>
      <c r="P651" s="3" t="s">
        <v>1482</v>
      </c>
      <c r="Q651" s="3" t="s">
        <v>1482</v>
      </c>
      <c r="R651" s="3" t="s">
        <v>1482</v>
      </c>
      <c r="S651" s="3" t="s">
        <v>1482</v>
      </c>
      <c r="T651" s="3" t="s">
        <v>1482</v>
      </c>
    </row>
    <row r="652" spans="1:20">
      <c r="A652" t="s">
        <v>1167</v>
      </c>
      <c r="B652" t="s">
        <v>20</v>
      </c>
      <c r="C652" t="s">
        <v>21</v>
      </c>
      <c r="D652" t="s">
        <v>1168</v>
      </c>
      <c r="E652" s="2">
        <v>46179</v>
      </c>
      <c r="F652" s="2">
        <v>46179</v>
      </c>
      <c r="G652" t="s">
        <v>20</v>
      </c>
      <c r="H652" s="2">
        <v>46179</v>
      </c>
      <c r="I652" s="2">
        <v>46179</v>
      </c>
      <c r="J652" t="s">
        <v>20</v>
      </c>
      <c r="K652">
        <v>-66.260000000000005</v>
      </c>
      <c r="L652">
        <v>-66.260000000000005</v>
      </c>
      <c r="M652">
        <v>-66.260000000000005</v>
      </c>
      <c r="N652" t="s">
        <v>158</v>
      </c>
      <c r="O652" s="3" t="s">
        <v>1482</v>
      </c>
      <c r="P652" s="3" t="s">
        <v>1482</v>
      </c>
      <c r="Q652" s="3" t="s">
        <v>1482</v>
      </c>
      <c r="R652" s="3" t="s">
        <v>1482</v>
      </c>
      <c r="S652" s="3" t="s">
        <v>1482</v>
      </c>
      <c r="T652" s="3" t="s">
        <v>1482</v>
      </c>
    </row>
    <row r="653" spans="1:20">
      <c r="A653" t="s">
        <v>1169</v>
      </c>
      <c r="B653" t="s">
        <v>20</v>
      </c>
      <c r="C653" t="s">
        <v>21</v>
      </c>
      <c r="D653" t="s">
        <v>1170</v>
      </c>
      <c r="E653" s="2">
        <v>46179</v>
      </c>
      <c r="F653" s="2">
        <v>46179</v>
      </c>
      <c r="G653" t="s">
        <v>20</v>
      </c>
      <c r="H653" s="2">
        <v>46179</v>
      </c>
      <c r="I653" s="2">
        <v>46179</v>
      </c>
      <c r="J653" t="s">
        <v>20</v>
      </c>
      <c r="K653">
        <v>-99.39</v>
      </c>
      <c r="L653">
        <v>-99.39</v>
      </c>
      <c r="M653">
        <v>-99.39</v>
      </c>
      <c r="N653" t="s">
        <v>158</v>
      </c>
      <c r="O653" s="3" t="s">
        <v>1482</v>
      </c>
      <c r="P653" s="3" t="s">
        <v>1482</v>
      </c>
      <c r="Q653" s="3" t="s">
        <v>1482</v>
      </c>
      <c r="R653" s="3" t="s">
        <v>1482</v>
      </c>
      <c r="S653" s="3" t="s">
        <v>1482</v>
      </c>
      <c r="T653" s="3" t="s">
        <v>1482</v>
      </c>
    </row>
    <row r="654" spans="1:20">
      <c r="A654" t="s">
        <v>1171</v>
      </c>
      <c r="B654" t="s">
        <v>20</v>
      </c>
      <c r="C654" t="s">
        <v>21</v>
      </c>
      <c r="D654" t="s">
        <v>1172</v>
      </c>
      <c r="E654" s="2">
        <v>46179</v>
      </c>
      <c r="F654" s="2">
        <v>46179</v>
      </c>
      <c r="G654" t="s">
        <v>20</v>
      </c>
      <c r="H654" s="2">
        <v>46179</v>
      </c>
      <c r="I654" s="2">
        <v>46179</v>
      </c>
      <c r="J654" t="s">
        <v>20</v>
      </c>
      <c r="K654">
        <v>-66.260000000000005</v>
      </c>
      <c r="L654">
        <v>-66.260000000000005</v>
      </c>
      <c r="M654">
        <v>-66.260000000000005</v>
      </c>
      <c r="N654" t="s">
        <v>158</v>
      </c>
      <c r="O654" s="3" t="s">
        <v>1482</v>
      </c>
      <c r="P654" s="3" t="s">
        <v>1482</v>
      </c>
      <c r="Q654" s="3" t="s">
        <v>1482</v>
      </c>
      <c r="R654" s="3" t="s">
        <v>1482</v>
      </c>
      <c r="S654" s="3" t="s">
        <v>1482</v>
      </c>
      <c r="T654" s="3" t="s">
        <v>1482</v>
      </c>
    </row>
    <row r="655" spans="1:20">
      <c r="A655" t="s">
        <v>1173</v>
      </c>
      <c r="B655" t="s">
        <v>20</v>
      </c>
      <c r="C655" t="s">
        <v>21</v>
      </c>
      <c r="D655" t="s">
        <v>1174</v>
      </c>
      <c r="E655" s="2">
        <v>46179</v>
      </c>
      <c r="F655" s="2">
        <v>46179</v>
      </c>
      <c r="G655" t="s">
        <v>20</v>
      </c>
      <c r="H655" s="2">
        <v>46179</v>
      </c>
      <c r="I655" s="2">
        <v>46179</v>
      </c>
      <c r="J655" t="s">
        <v>20</v>
      </c>
      <c r="K655">
        <v>-198.78</v>
      </c>
      <c r="L655">
        <v>-198.78</v>
      </c>
      <c r="M655">
        <v>-198.78</v>
      </c>
      <c r="N655" t="s">
        <v>158</v>
      </c>
      <c r="O655" s="3" t="s">
        <v>1482</v>
      </c>
      <c r="P655" s="3" t="s">
        <v>1482</v>
      </c>
      <c r="Q655" s="3" t="s">
        <v>1482</v>
      </c>
      <c r="R655" s="3" t="s">
        <v>1482</v>
      </c>
      <c r="S655" s="3" t="s">
        <v>1482</v>
      </c>
      <c r="T655" s="3" t="s">
        <v>1482</v>
      </c>
    </row>
    <row r="656" spans="1:20">
      <c r="A656" t="s">
        <v>1175</v>
      </c>
      <c r="B656" t="s">
        <v>20</v>
      </c>
      <c r="C656" t="s">
        <v>21</v>
      </c>
      <c r="D656" t="s">
        <v>1176</v>
      </c>
      <c r="E656" s="2">
        <v>46179</v>
      </c>
      <c r="F656" s="2">
        <v>46179</v>
      </c>
      <c r="G656" t="s">
        <v>20</v>
      </c>
      <c r="H656" s="2">
        <v>46179</v>
      </c>
      <c r="I656" s="2">
        <v>46179</v>
      </c>
      <c r="J656" t="s">
        <v>20</v>
      </c>
      <c r="K656">
        <v>-132.52000000000001</v>
      </c>
      <c r="L656">
        <v>-132.52000000000001</v>
      </c>
      <c r="M656">
        <v>-132.52000000000001</v>
      </c>
      <c r="N656" t="s">
        <v>158</v>
      </c>
      <c r="O656" s="3" t="s">
        <v>1482</v>
      </c>
      <c r="P656" s="3" t="s">
        <v>1482</v>
      </c>
      <c r="Q656" s="3" t="s">
        <v>1482</v>
      </c>
      <c r="R656" s="3" t="s">
        <v>1482</v>
      </c>
      <c r="S656" s="3" t="s">
        <v>1482</v>
      </c>
      <c r="T656" s="3" t="s">
        <v>1482</v>
      </c>
    </row>
    <row r="657" spans="1:20">
      <c r="A657" t="s">
        <v>1177</v>
      </c>
      <c r="B657" t="s">
        <v>20</v>
      </c>
      <c r="C657" t="s">
        <v>21</v>
      </c>
      <c r="D657" t="s">
        <v>1178</v>
      </c>
      <c r="E657" s="2">
        <v>46179</v>
      </c>
      <c r="F657" s="2">
        <v>46179</v>
      </c>
      <c r="G657" t="s">
        <v>20</v>
      </c>
      <c r="H657" s="2">
        <v>46179</v>
      </c>
      <c r="I657" s="2">
        <v>46179</v>
      </c>
      <c r="J657" t="s">
        <v>20</v>
      </c>
      <c r="K657">
        <v>-99.39</v>
      </c>
      <c r="L657">
        <v>-99.39</v>
      </c>
      <c r="M657">
        <v>-99.39</v>
      </c>
      <c r="N657" t="s">
        <v>158</v>
      </c>
      <c r="O657" s="3" t="s">
        <v>1482</v>
      </c>
      <c r="P657" s="3" t="s">
        <v>1482</v>
      </c>
      <c r="Q657" s="3" t="s">
        <v>1482</v>
      </c>
      <c r="R657" s="3" t="s">
        <v>1482</v>
      </c>
      <c r="S657" s="3" t="s">
        <v>1482</v>
      </c>
      <c r="T657" s="3" t="s">
        <v>1482</v>
      </c>
    </row>
    <row r="658" spans="1:20">
      <c r="A658" t="s">
        <v>1179</v>
      </c>
      <c r="B658" t="s">
        <v>20</v>
      </c>
      <c r="C658" t="s">
        <v>21</v>
      </c>
      <c r="D658" t="s">
        <v>1180</v>
      </c>
      <c r="E658" s="2">
        <v>46179</v>
      </c>
      <c r="F658" s="2">
        <v>46179</v>
      </c>
      <c r="G658" t="s">
        <v>20</v>
      </c>
      <c r="H658" s="2">
        <v>46179</v>
      </c>
      <c r="I658" s="2">
        <v>46179</v>
      </c>
      <c r="J658" t="s">
        <v>20</v>
      </c>
      <c r="K658">
        <v>-99.39</v>
      </c>
      <c r="L658">
        <v>-99.39</v>
      </c>
      <c r="M658">
        <v>-99.39</v>
      </c>
      <c r="N658" t="s">
        <v>158</v>
      </c>
      <c r="O658" s="3" t="s">
        <v>1482</v>
      </c>
      <c r="P658" s="3" t="s">
        <v>1482</v>
      </c>
      <c r="Q658" s="3" t="s">
        <v>1482</v>
      </c>
      <c r="R658" s="3" t="s">
        <v>1482</v>
      </c>
      <c r="S658" s="3" t="s">
        <v>1482</v>
      </c>
      <c r="T658" s="3" t="s">
        <v>1482</v>
      </c>
    </row>
    <row r="659" spans="1:20">
      <c r="A659" t="s">
        <v>1181</v>
      </c>
      <c r="B659" t="s">
        <v>20</v>
      </c>
      <c r="C659" t="s">
        <v>21</v>
      </c>
      <c r="D659" t="s">
        <v>1182</v>
      </c>
      <c r="E659" s="2">
        <v>46179</v>
      </c>
      <c r="F659" s="2">
        <v>46179</v>
      </c>
      <c r="G659" t="s">
        <v>20</v>
      </c>
      <c r="H659" s="2">
        <v>46179</v>
      </c>
      <c r="I659" s="2">
        <v>46179</v>
      </c>
      <c r="J659" t="s">
        <v>20</v>
      </c>
      <c r="K659">
        <v>-99.39</v>
      </c>
      <c r="L659">
        <v>-99.39</v>
      </c>
      <c r="M659">
        <v>-99.39</v>
      </c>
      <c r="N659" t="s">
        <v>158</v>
      </c>
      <c r="O659" s="3" t="s">
        <v>1482</v>
      </c>
      <c r="P659" s="3" t="s">
        <v>1482</v>
      </c>
      <c r="Q659" s="3" t="s">
        <v>1482</v>
      </c>
      <c r="R659" s="3" t="s">
        <v>1482</v>
      </c>
      <c r="S659" s="3" t="s">
        <v>1482</v>
      </c>
      <c r="T659" s="3" t="s">
        <v>1482</v>
      </c>
    </row>
    <row r="660" spans="1:20">
      <c r="A660" t="s">
        <v>1183</v>
      </c>
      <c r="B660" t="s">
        <v>20</v>
      </c>
      <c r="C660" t="s">
        <v>21</v>
      </c>
      <c r="D660" t="s">
        <v>1184</v>
      </c>
      <c r="E660" s="2">
        <v>46179</v>
      </c>
      <c r="F660" s="2">
        <v>46179</v>
      </c>
      <c r="G660" t="s">
        <v>20</v>
      </c>
      <c r="H660" s="2">
        <v>46179</v>
      </c>
      <c r="I660" s="2">
        <v>46179</v>
      </c>
      <c r="J660" t="s">
        <v>20</v>
      </c>
      <c r="K660">
        <v>-178.91</v>
      </c>
      <c r="L660">
        <v>-178.91</v>
      </c>
      <c r="M660">
        <v>-178.91</v>
      </c>
      <c r="N660" t="s">
        <v>158</v>
      </c>
      <c r="O660" s="3" t="s">
        <v>1482</v>
      </c>
      <c r="P660" s="3" t="s">
        <v>1482</v>
      </c>
      <c r="Q660" s="3" t="s">
        <v>1482</v>
      </c>
      <c r="R660" s="3" t="s">
        <v>1482</v>
      </c>
      <c r="S660" s="3" t="s">
        <v>1482</v>
      </c>
      <c r="T660" s="3" t="s">
        <v>1482</v>
      </c>
    </row>
    <row r="661" spans="1:20">
      <c r="A661" t="s">
        <v>1185</v>
      </c>
      <c r="B661" t="s">
        <v>20</v>
      </c>
      <c r="C661" t="s">
        <v>21</v>
      </c>
      <c r="D661" t="s">
        <v>1186</v>
      </c>
      <c r="E661" s="2">
        <v>46179</v>
      </c>
      <c r="F661" s="2">
        <v>46179</v>
      </c>
      <c r="G661" t="s">
        <v>20</v>
      </c>
      <c r="H661" s="2">
        <v>46179</v>
      </c>
      <c r="I661" s="2">
        <v>46179</v>
      </c>
      <c r="J661" t="s">
        <v>20</v>
      </c>
      <c r="K661">
        <v>-99.39</v>
      </c>
      <c r="L661">
        <v>-99.39</v>
      </c>
      <c r="M661">
        <v>-99.39</v>
      </c>
      <c r="N661" t="s">
        <v>158</v>
      </c>
      <c r="O661" s="3" t="s">
        <v>1482</v>
      </c>
      <c r="P661" s="3" t="s">
        <v>1482</v>
      </c>
      <c r="Q661" s="3" t="s">
        <v>1482</v>
      </c>
      <c r="R661" s="3" t="s">
        <v>1482</v>
      </c>
      <c r="S661" s="3" t="s">
        <v>1482</v>
      </c>
      <c r="T661" s="3" t="s">
        <v>1482</v>
      </c>
    </row>
    <row r="662" spans="1:20">
      <c r="A662" t="s">
        <v>1187</v>
      </c>
      <c r="B662" t="s">
        <v>20</v>
      </c>
      <c r="C662" t="s">
        <v>21</v>
      </c>
      <c r="D662" t="s">
        <v>1188</v>
      </c>
      <c r="E662" s="2">
        <v>46179</v>
      </c>
      <c r="F662" s="2">
        <v>46179</v>
      </c>
      <c r="G662" t="s">
        <v>20</v>
      </c>
      <c r="H662" s="2">
        <v>46179</v>
      </c>
      <c r="I662" s="2">
        <v>46179</v>
      </c>
      <c r="J662" t="s">
        <v>20</v>
      </c>
      <c r="K662">
        <v>-132.52000000000001</v>
      </c>
      <c r="L662">
        <v>-132.52000000000001</v>
      </c>
      <c r="M662">
        <v>-132.52000000000001</v>
      </c>
      <c r="N662" t="s">
        <v>158</v>
      </c>
      <c r="O662" s="3" t="s">
        <v>1482</v>
      </c>
      <c r="P662" s="3" t="s">
        <v>1482</v>
      </c>
      <c r="Q662" s="3" t="s">
        <v>1482</v>
      </c>
      <c r="R662" s="3" t="s">
        <v>1482</v>
      </c>
      <c r="S662" s="3" t="s">
        <v>1482</v>
      </c>
      <c r="T662" s="3" t="s">
        <v>1482</v>
      </c>
    </row>
    <row r="663" spans="1:20">
      <c r="A663" t="s">
        <v>1189</v>
      </c>
      <c r="B663" t="s">
        <v>20</v>
      </c>
      <c r="C663" t="s">
        <v>21</v>
      </c>
      <c r="D663" t="s">
        <v>1190</v>
      </c>
      <c r="E663" s="2">
        <v>46179</v>
      </c>
      <c r="F663" s="2">
        <v>46179</v>
      </c>
      <c r="G663" t="s">
        <v>20</v>
      </c>
      <c r="H663" s="2">
        <v>46179</v>
      </c>
      <c r="I663" s="2">
        <v>46179</v>
      </c>
      <c r="J663" t="s">
        <v>20</v>
      </c>
      <c r="K663">
        <v>-66.260000000000005</v>
      </c>
      <c r="L663">
        <v>-66.260000000000005</v>
      </c>
      <c r="M663">
        <v>-66.260000000000005</v>
      </c>
      <c r="N663" t="s">
        <v>158</v>
      </c>
      <c r="O663" s="3" t="s">
        <v>1482</v>
      </c>
      <c r="P663" s="3" t="s">
        <v>1482</v>
      </c>
      <c r="Q663" s="3" t="s">
        <v>1482</v>
      </c>
      <c r="R663" s="3" t="s">
        <v>1482</v>
      </c>
      <c r="S663" s="3" t="s">
        <v>1482</v>
      </c>
      <c r="T663" s="3" t="s">
        <v>1482</v>
      </c>
    </row>
    <row r="664" spans="1:20">
      <c r="A664" t="s">
        <v>1191</v>
      </c>
      <c r="B664" t="s">
        <v>20</v>
      </c>
      <c r="C664" t="s">
        <v>21</v>
      </c>
      <c r="D664" t="s">
        <v>1192</v>
      </c>
      <c r="E664" s="2">
        <v>46179</v>
      </c>
      <c r="F664" s="2">
        <v>46179</v>
      </c>
      <c r="G664" t="s">
        <v>20</v>
      </c>
      <c r="H664" s="2">
        <v>46179</v>
      </c>
      <c r="I664" s="2">
        <v>46179</v>
      </c>
      <c r="J664" t="s">
        <v>20</v>
      </c>
      <c r="K664">
        <v>-66.260000000000005</v>
      </c>
      <c r="L664">
        <v>-66.260000000000005</v>
      </c>
      <c r="M664">
        <v>-66.260000000000005</v>
      </c>
      <c r="N664" t="s">
        <v>158</v>
      </c>
      <c r="O664" s="3" t="s">
        <v>1482</v>
      </c>
      <c r="P664" s="3" t="s">
        <v>1482</v>
      </c>
      <c r="Q664" s="3" t="s">
        <v>1482</v>
      </c>
      <c r="R664" s="3" t="s">
        <v>1482</v>
      </c>
      <c r="S664" s="3" t="s">
        <v>1482</v>
      </c>
      <c r="T664" s="3" t="s">
        <v>1482</v>
      </c>
    </row>
    <row r="665" spans="1:20">
      <c r="A665" t="s">
        <v>1193</v>
      </c>
      <c r="B665" t="s">
        <v>20</v>
      </c>
      <c r="C665" t="s">
        <v>21</v>
      </c>
      <c r="D665" t="s">
        <v>1194</v>
      </c>
      <c r="E665" s="2">
        <v>46179</v>
      </c>
      <c r="F665" s="2">
        <v>46179</v>
      </c>
      <c r="G665" t="s">
        <v>20</v>
      </c>
      <c r="H665" s="2">
        <v>46179</v>
      </c>
      <c r="I665" s="2">
        <v>46179</v>
      </c>
      <c r="J665" t="s">
        <v>20</v>
      </c>
      <c r="K665">
        <v>-165.65</v>
      </c>
      <c r="L665">
        <v>-165.65</v>
      </c>
      <c r="M665">
        <v>-165.65</v>
      </c>
      <c r="N665" t="s">
        <v>158</v>
      </c>
      <c r="O665" s="3" t="s">
        <v>1482</v>
      </c>
      <c r="P665" s="3" t="s">
        <v>1482</v>
      </c>
      <c r="Q665" s="3" t="s">
        <v>1482</v>
      </c>
      <c r="R665" s="3" t="s">
        <v>1482</v>
      </c>
      <c r="S665" s="3" t="s">
        <v>1482</v>
      </c>
      <c r="T665" s="3" t="s">
        <v>1482</v>
      </c>
    </row>
    <row r="666" spans="1:20">
      <c r="A666" t="s">
        <v>1195</v>
      </c>
      <c r="B666" t="s">
        <v>20</v>
      </c>
      <c r="C666" t="s">
        <v>21</v>
      </c>
      <c r="D666" t="s">
        <v>1196</v>
      </c>
      <c r="E666" s="2">
        <v>46179</v>
      </c>
      <c r="F666" s="2">
        <v>46179</v>
      </c>
      <c r="G666" t="s">
        <v>20</v>
      </c>
      <c r="H666" s="2">
        <v>46179</v>
      </c>
      <c r="I666" s="2">
        <v>46179</v>
      </c>
      <c r="J666" t="s">
        <v>20</v>
      </c>
      <c r="K666">
        <v>-28.78</v>
      </c>
      <c r="L666">
        <v>-28.78</v>
      </c>
      <c r="M666">
        <v>-28.78</v>
      </c>
      <c r="N666" t="s">
        <v>158</v>
      </c>
      <c r="O666" s="3" t="s">
        <v>1482</v>
      </c>
      <c r="P666" s="3" t="s">
        <v>1482</v>
      </c>
      <c r="Q666" s="3" t="s">
        <v>1482</v>
      </c>
      <c r="R666" s="3" t="s">
        <v>1482</v>
      </c>
      <c r="S666" s="3" t="s">
        <v>1482</v>
      </c>
      <c r="T666" s="3" t="s">
        <v>1482</v>
      </c>
    </row>
    <row r="667" spans="1:20">
      <c r="A667" t="s">
        <v>1197</v>
      </c>
      <c r="B667" t="s">
        <v>20</v>
      </c>
      <c r="C667" t="s">
        <v>21</v>
      </c>
      <c r="D667" t="s">
        <v>1198</v>
      </c>
      <c r="E667" s="2">
        <v>46179</v>
      </c>
      <c r="F667" s="2">
        <v>46179</v>
      </c>
      <c r="G667" t="s">
        <v>20</v>
      </c>
      <c r="H667" s="2">
        <v>46179</v>
      </c>
      <c r="I667" s="2">
        <v>46179</v>
      </c>
      <c r="J667" t="s">
        <v>20</v>
      </c>
      <c r="K667">
        <v>-66.260000000000005</v>
      </c>
      <c r="L667">
        <v>-66.260000000000005</v>
      </c>
      <c r="M667">
        <v>-66.260000000000005</v>
      </c>
      <c r="N667" t="s">
        <v>158</v>
      </c>
      <c r="O667" s="3" t="s">
        <v>1482</v>
      </c>
      <c r="P667" s="3" t="s">
        <v>1482</v>
      </c>
      <c r="Q667" s="3" t="s">
        <v>1482</v>
      </c>
      <c r="R667" s="3" t="s">
        <v>1482</v>
      </c>
      <c r="S667" s="3" t="s">
        <v>1482</v>
      </c>
      <c r="T667" s="3" t="s">
        <v>1482</v>
      </c>
    </row>
    <row r="668" spans="1:20">
      <c r="A668" t="s">
        <v>1199</v>
      </c>
      <c r="B668" t="s">
        <v>20</v>
      </c>
      <c r="C668" t="s">
        <v>21</v>
      </c>
      <c r="D668" t="s">
        <v>1200</v>
      </c>
      <c r="E668" s="2">
        <v>46179</v>
      </c>
      <c r="F668" s="2">
        <v>46179</v>
      </c>
      <c r="G668" t="s">
        <v>20</v>
      </c>
      <c r="H668" s="2">
        <v>46179</v>
      </c>
      <c r="I668" s="2">
        <v>46179</v>
      </c>
      <c r="J668" t="s">
        <v>20</v>
      </c>
      <c r="K668">
        <v>-132.52000000000001</v>
      </c>
      <c r="L668">
        <v>-132.52000000000001</v>
      </c>
      <c r="M668">
        <v>-132.52000000000001</v>
      </c>
      <c r="N668" t="s">
        <v>158</v>
      </c>
      <c r="O668" s="3" t="s">
        <v>1482</v>
      </c>
      <c r="P668" s="3" t="s">
        <v>1482</v>
      </c>
      <c r="Q668" s="3" t="s">
        <v>1482</v>
      </c>
      <c r="R668" s="3" t="s">
        <v>1482</v>
      </c>
      <c r="S668" s="3" t="s">
        <v>1482</v>
      </c>
      <c r="T668" s="3" t="s">
        <v>1482</v>
      </c>
    </row>
    <row r="669" spans="1:20">
      <c r="A669" t="s">
        <v>1201</v>
      </c>
      <c r="B669" t="s">
        <v>20</v>
      </c>
      <c r="C669" t="s">
        <v>21</v>
      </c>
      <c r="D669" t="s">
        <v>1202</v>
      </c>
      <c r="E669" s="2">
        <v>46179</v>
      </c>
      <c r="F669" s="2">
        <v>46179</v>
      </c>
      <c r="G669" t="s">
        <v>20</v>
      </c>
      <c r="H669" s="2">
        <v>46179</v>
      </c>
      <c r="I669" s="2">
        <v>46179</v>
      </c>
      <c r="J669" t="s">
        <v>20</v>
      </c>
      <c r="K669">
        <v>-33.130000000000003</v>
      </c>
      <c r="L669">
        <v>-33.130000000000003</v>
      </c>
      <c r="M669">
        <v>-33.130000000000003</v>
      </c>
      <c r="N669" t="s">
        <v>158</v>
      </c>
      <c r="O669" s="3" t="s">
        <v>1482</v>
      </c>
      <c r="P669" s="3" t="s">
        <v>1482</v>
      </c>
      <c r="Q669" s="3" t="s">
        <v>1482</v>
      </c>
      <c r="R669" s="3" t="s">
        <v>1482</v>
      </c>
      <c r="S669" s="3" t="s">
        <v>1482</v>
      </c>
      <c r="T669" s="3" t="s">
        <v>1482</v>
      </c>
    </row>
    <row r="670" spans="1:20">
      <c r="A670" t="s">
        <v>1203</v>
      </c>
      <c r="B670" t="s">
        <v>20</v>
      </c>
      <c r="C670" t="s">
        <v>21</v>
      </c>
      <c r="D670" t="s">
        <v>1204</v>
      </c>
      <c r="E670" s="2">
        <v>46179</v>
      </c>
      <c r="F670" s="2">
        <v>46179</v>
      </c>
      <c r="G670" t="s">
        <v>20</v>
      </c>
      <c r="H670" s="2">
        <v>46179</v>
      </c>
      <c r="I670" s="2">
        <v>46179</v>
      </c>
      <c r="J670" t="s">
        <v>20</v>
      </c>
      <c r="K670">
        <v>-77.319999999999993</v>
      </c>
      <c r="L670">
        <v>-77.319999999999993</v>
      </c>
      <c r="M670">
        <v>-77.319999999999993</v>
      </c>
      <c r="N670" t="s">
        <v>158</v>
      </c>
      <c r="O670" s="3" t="s">
        <v>1482</v>
      </c>
      <c r="P670" s="3" t="s">
        <v>1482</v>
      </c>
      <c r="Q670" s="3" t="s">
        <v>1482</v>
      </c>
      <c r="R670" s="3" t="s">
        <v>1482</v>
      </c>
      <c r="S670" s="3" t="s">
        <v>1482</v>
      </c>
      <c r="T670" s="3" t="s">
        <v>1482</v>
      </c>
    </row>
    <row r="671" spans="1:20">
      <c r="A671" t="s">
        <v>1205</v>
      </c>
      <c r="B671" t="s">
        <v>20</v>
      </c>
      <c r="C671" t="s">
        <v>21</v>
      </c>
      <c r="D671" t="s">
        <v>1206</v>
      </c>
      <c r="E671" s="2">
        <v>46179</v>
      </c>
      <c r="F671" s="2">
        <v>46179</v>
      </c>
      <c r="G671" t="s">
        <v>20</v>
      </c>
      <c r="H671" s="2">
        <v>46179</v>
      </c>
      <c r="I671" s="2">
        <v>46179</v>
      </c>
      <c r="J671" t="s">
        <v>20</v>
      </c>
      <c r="K671">
        <v>-52.52</v>
      </c>
      <c r="L671">
        <v>-52.52</v>
      </c>
      <c r="M671">
        <v>-52.52</v>
      </c>
      <c r="N671" t="s">
        <v>158</v>
      </c>
      <c r="O671" s="3" t="s">
        <v>1482</v>
      </c>
      <c r="P671" s="3" t="s">
        <v>1482</v>
      </c>
      <c r="Q671" s="3" t="s">
        <v>1482</v>
      </c>
      <c r="R671" s="3" t="s">
        <v>1482</v>
      </c>
      <c r="S671" s="3" t="s">
        <v>1482</v>
      </c>
      <c r="T671" s="3" t="s">
        <v>1482</v>
      </c>
    </row>
    <row r="672" spans="1:20">
      <c r="A672" t="s">
        <v>1207</v>
      </c>
      <c r="B672" t="s">
        <v>20</v>
      </c>
      <c r="C672" t="s">
        <v>21</v>
      </c>
      <c r="D672" t="s">
        <v>1208</v>
      </c>
      <c r="E672" s="2">
        <v>46179</v>
      </c>
      <c r="F672" s="2">
        <v>46179</v>
      </c>
      <c r="G672" t="s">
        <v>20</v>
      </c>
      <c r="H672" s="2">
        <v>46179</v>
      </c>
      <c r="I672" s="2">
        <v>46179</v>
      </c>
      <c r="J672" t="s">
        <v>20</v>
      </c>
      <c r="K672">
        <v>-24.62</v>
      </c>
      <c r="L672">
        <v>-24.62</v>
      </c>
      <c r="M672">
        <v>-24.62</v>
      </c>
      <c r="N672" t="s">
        <v>158</v>
      </c>
      <c r="O672" s="3" t="s">
        <v>1482</v>
      </c>
      <c r="P672" s="3" t="s">
        <v>1482</v>
      </c>
      <c r="Q672" s="3" t="s">
        <v>1482</v>
      </c>
      <c r="R672" s="3" t="s">
        <v>1482</v>
      </c>
      <c r="S672" s="3" t="s">
        <v>1482</v>
      </c>
      <c r="T672" s="3" t="s">
        <v>1482</v>
      </c>
    </row>
    <row r="673" spans="1:20">
      <c r="A673" t="s">
        <v>1209</v>
      </c>
      <c r="B673" t="s">
        <v>20</v>
      </c>
      <c r="C673" t="s">
        <v>21</v>
      </c>
      <c r="D673" t="s">
        <v>1210</v>
      </c>
      <c r="E673" s="2">
        <v>46179</v>
      </c>
      <c r="F673" s="2">
        <v>46179</v>
      </c>
      <c r="G673" t="s">
        <v>20</v>
      </c>
      <c r="H673" s="2">
        <v>46179</v>
      </c>
      <c r="I673" s="2">
        <v>46179</v>
      </c>
      <c r="J673" t="s">
        <v>20</v>
      </c>
      <c r="K673">
        <v>-33.130000000000003</v>
      </c>
      <c r="L673">
        <v>-33.130000000000003</v>
      </c>
      <c r="M673">
        <v>-33.130000000000003</v>
      </c>
      <c r="N673" t="s">
        <v>158</v>
      </c>
      <c r="O673" s="3" t="s">
        <v>1482</v>
      </c>
      <c r="P673" s="3" t="s">
        <v>1482</v>
      </c>
      <c r="Q673" s="3" t="s">
        <v>1482</v>
      </c>
      <c r="R673" s="3" t="s">
        <v>1482</v>
      </c>
      <c r="S673" s="3" t="s">
        <v>1482</v>
      </c>
      <c r="T673" s="3" t="s">
        <v>1482</v>
      </c>
    </row>
    <row r="674" spans="1:20">
      <c r="A674" t="s">
        <v>1211</v>
      </c>
      <c r="B674" t="s">
        <v>20</v>
      </c>
      <c r="C674" t="s">
        <v>21</v>
      </c>
      <c r="D674" t="s">
        <v>1212</v>
      </c>
      <c r="E674" s="2">
        <v>46179</v>
      </c>
      <c r="F674" s="2">
        <v>46179</v>
      </c>
      <c r="G674" t="s">
        <v>20</v>
      </c>
      <c r="H674" s="2">
        <v>46179</v>
      </c>
      <c r="I674" s="2">
        <v>46179</v>
      </c>
      <c r="J674" t="s">
        <v>20</v>
      </c>
      <c r="K674">
        <v>-132.52000000000001</v>
      </c>
      <c r="L674">
        <v>-132.52000000000001</v>
      </c>
      <c r="M674">
        <v>-132.52000000000001</v>
      </c>
      <c r="N674" t="s">
        <v>158</v>
      </c>
      <c r="O674" s="3" t="s">
        <v>1482</v>
      </c>
      <c r="P674" s="3" t="s">
        <v>1482</v>
      </c>
      <c r="Q674" s="3" t="s">
        <v>1482</v>
      </c>
      <c r="R674" s="3" t="s">
        <v>1482</v>
      </c>
      <c r="S674" s="3" t="s">
        <v>1482</v>
      </c>
      <c r="T674" s="3" t="s">
        <v>1482</v>
      </c>
    </row>
    <row r="675" spans="1:20">
      <c r="A675" t="s">
        <v>1213</v>
      </c>
      <c r="B675" t="s">
        <v>20</v>
      </c>
      <c r="C675" t="s">
        <v>21</v>
      </c>
      <c r="D675" t="s">
        <v>1214</v>
      </c>
      <c r="E675" s="2">
        <v>46179</v>
      </c>
      <c r="F675" s="2">
        <v>46179</v>
      </c>
      <c r="G675" t="s">
        <v>20</v>
      </c>
      <c r="H675" s="2">
        <v>46179</v>
      </c>
      <c r="I675" s="2">
        <v>46179</v>
      </c>
      <c r="J675" t="s">
        <v>20</v>
      </c>
      <c r="K675">
        <v>-52.52</v>
      </c>
      <c r="L675">
        <v>-52.52</v>
      </c>
      <c r="M675">
        <v>-52.52</v>
      </c>
      <c r="N675" t="s">
        <v>158</v>
      </c>
      <c r="O675" s="3" t="s">
        <v>1482</v>
      </c>
      <c r="P675" s="3" t="s">
        <v>1482</v>
      </c>
      <c r="Q675" s="3" t="s">
        <v>1482</v>
      </c>
      <c r="R675" s="3" t="s">
        <v>1482</v>
      </c>
      <c r="S675" s="3" t="s">
        <v>1482</v>
      </c>
      <c r="T675" s="3" t="s">
        <v>1482</v>
      </c>
    </row>
    <row r="676" spans="1:20">
      <c r="A676" t="s">
        <v>1215</v>
      </c>
      <c r="B676" t="s">
        <v>20</v>
      </c>
      <c r="C676" t="s">
        <v>21</v>
      </c>
      <c r="D676" t="s">
        <v>1216</v>
      </c>
      <c r="E676" s="2">
        <v>46179</v>
      </c>
      <c r="F676" s="2">
        <v>46179</v>
      </c>
      <c r="G676" t="s">
        <v>20</v>
      </c>
      <c r="H676" s="2">
        <v>46179</v>
      </c>
      <c r="I676" s="2">
        <v>46179</v>
      </c>
      <c r="J676" t="s">
        <v>20</v>
      </c>
      <c r="K676">
        <v>-52.52</v>
      </c>
      <c r="L676">
        <v>-52.52</v>
      </c>
      <c r="M676">
        <v>-52.52</v>
      </c>
      <c r="N676" t="s">
        <v>158</v>
      </c>
      <c r="O676" s="3" t="s">
        <v>1482</v>
      </c>
      <c r="P676" s="3" t="s">
        <v>1482</v>
      </c>
      <c r="Q676" s="3" t="s">
        <v>1482</v>
      </c>
      <c r="R676" s="3" t="s">
        <v>1482</v>
      </c>
      <c r="S676" s="3" t="s">
        <v>1482</v>
      </c>
      <c r="T676" s="3" t="s">
        <v>1482</v>
      </c>
    </row>
    <row r="677" spans="1:20">
      <c r="A677" t="s">
        <v>1217</v>
      </c>
      <c r="B677" t="s">
        <v>20</v>
      </c>
      <c r="C677" t="s">
        <v>21</v>
      </c>
      <c r="D677" t="s">
        <v>1218</v>
      </c>
      <c r="E677" s="2">
        <v>46179</v>
      </c>
      <c r="F677" s="2">
        <v>46179</v>
      </c>
      <c r="G677" t="s">
        <v>20</v>
      </c>
      <c r="H677" s="2">
        <v>46179</v>
      </c>
      <c r="I677" s="2">
        <v>46179</v>
      </c>
      <c r="J677" t="s">
        <v>20</v>
      </c>
      <c r="K677">
        <v>-132.52000000000001</v>
      </c>
      <c r="L677">
        <v>-132.52000000000001</v>
      </c>
      <c r="M677">
        <v>-132.52000000000001</v>
      </c>
      <c r="N677" t="s">
        <v>158</v>
      </c>
      <c r="O677" s="3" t="s">
        <v>1482</v>
      </c>
      <c r="P677" s="3" t="s">
        <v>1482</v>
      </c>
      <c r="Q677" s="3" t="s">
        <v>1482</v>
      </c>
      <c r="R677" s="3" t="s">
        <v>1482</v>
      </c>
      <c r="S677" s="3" t="s">
        <v>1482</v>
      </c>
      <c r="T677" s="3" t="s">
        <v>1482</v>
      </c>
    </row>
    <row r="678" spans="1:20">
      <c r="A678" t="s">
        <v>1219</v>
      </c>
      <c r="B678" t="s">
        <v>20</v>
      </c>
      <c r="C678" t="s">
        <v>21</v>
      </c>
      <c r="D678" t="s">
        <v>1220</v>
      </c>
      <c r="E678" s="2">
        <v>46179</v>
      </c>
      <c r="F678" s="2">
        <v>46179</v>
      </c>
      <c r="G678" t="s">
        <v>20</v>
      </c>
      <c r="H678" s="2">
        <v>46179</v>
      </c>
      <c r="I678" s="2">
        <v>46179</v>
      </c>
      <c r="J678" t="s">
        <v>20</v>
      </c>
      <c r="K678">
        <v>-78.78</v>
      </c>
      <c r="L678">
        <v>-78.78</v>
      </c>
      <c r="M678">
        <v>-78.78</v>
      </c>
      <c r="N678" t="s">
        <v>158</v>
      </c>
      <c r="O678" s="3" t="s">
        <v>1482</v>
      </c>
      <c r="P678" s="3" t="s">
        <v>1482</v>
      </c>
      <c r="Q678" s="3" t="s">
        <v>1482</v>
      </c>
      <c r="R678" s="3" t="s">
        <v>1482</v>
      </c>
      <c r="S678" s="3" t="s">
        <v>1482</v>
      </c>
      <c r="T678" s="3" t="s">
        <v>1482</v>
      </c>
    </row>
    <row r="679" spans="1:20">
      <c r="A679" t="s">
        <v>1221</v>
      </c>
      <c r="B679" t="s">
        <v>20</v>
      </c>
      <c r="C679" t="s">
        <v>21</v>
      </c>
      <c r="D679" t="s">
        <v>1222</v>
      </c>
      <c r="E679" s="2">
        <v>46179</v>
      </c>
      <c r="F679" s="2">
        <v>46179</v>
      </c>
      <c r="G679" t="s">
        <v>20</v>
      </c>
      <c r="H679" s="2">
        <v>46179</v>
      </c>
      <c r="I679" s="2">
        <v>46179</v>
      </c>
      <c r="J679" t="s">
        <v>20</v>
      </c>
      <c r="K679">
        <v>-198.78</v>
      </c>
      <c r="L679">
        <v>-198.78</v>
      </c>
      <c r="M679">
        <v>-198.78</v>
      </c>
      <c r="N679" t="s">
        <v>158</v>
      </c>
      <c r="O679" s="3" t="s">
        <v>1482</v>
      </c>
      <c r="P679" s="3" t="s">
        <v>1482</v>
      </c>
      <c r="Q679" s="3" t="s">
        <v>1482</v>
      </c>
      <c r="R679" s="3" t="s">
        <v>1482</v>
      </c>
      <c r="S679" s="3" t="s">
        <v>1482</v>
      </c>
      <c r="T679" s="3" t="s">
        <v>1482</v>
      </c>
    </row>
    <row r="680" spans="1:20">
      <c r="A680" t="s">
        <v>1223</v>
      </c>
      <c r="B680" t="s">
        <v>20</v>
      </c>
      <c r="C680" t="s">
        <v>21</v>
      </c>
      <c r="D680" t="s">
        <v>1224</v>
      </c>
      <c r="E680" s="2">
        <v>46179</v>
      </c>
      <c r="F680" s="2">
        <v>46179</v>
      </c>
      <c r="G680" t="s">
        <v>20</v>
      </c>
      <c r="H680" s="2">
        <v>46179</v>
      </c>
      <c r="I680" s="2">
        <v>46179</v>
      </c>
      <c r="J680" t="s">
        <v>20</v>
      </c>
      <c r="K680">
        <v>-66.260000000000005</v>
      </c>
      <c r="L680">
        <v>-66.260000000000005</v>
      </c>
      <c r="M680">
        <v>-66.260000000000005</v>
      </c>
      <c r="N680" t="s">
        <v>158</v>
      </c>
      <c r="O680" s="3" t="s">
        <v>1482</v>
      </c>
      <c r="P680" s="3" t="s">
        <v>1482</v>
      </c>
      <c r="Q680" s="3" t="s">
        <v>1482</v>
      </c>
      <c r="R680" s="3" t="s">
        <v>1482</v>
      </c>
      <c r="S680" s="3" t="s">
        <v>1482</v>
      </c>
      <c r="T680" s="3" t="s">
        <v>1482</v>
      </c>
    </row>
    <row r="681" spans="1:20">
      <c r="A681" t="s">
        <v>1225</v>
      </c>
      <c r="B681" t="s">
        <v>20</v>
      </c>
      <c r="C681" t="s">
        <v>21</v>
      </c>
      <c r="D681" t="s">
        <v>1226</v>
      </c>
      <c r="E681" s="2">
        <v>46179</v>
      </c>
      <c r="F681" s="2">
        <v>46179</v>
      </c>
      <c r="G681" t="s">
        <v>20</v>
      </c>
      <c r="H681" s="2">
        <v>46179</v>
      </c>
      <c r="I681" s="2">
        <v>46179</v>
      </c>
      <c r="J681" t="s">
        <v>20</v>
      </c>
      <c r="K681">
        <v>-165.65</v>
      </c>
      <c r="L681">
        <v>-165.65</v>
      </c>
      <c r="M681">
        <v>-165.65</v>
      </c>
      <c r="N681" t="s">
        <v>158</v>
      </c>
      <c r="O681" s="3" t="s">
        <v>1482</v>
      </c>
      <c r="P681" s="3" t="s">
        <v>1482</v>
      </c>
      <c r="Q681" s="3" t="s">
        <v>1482</v>
      </c>
      <c r="R681" s="3" t="s">
        <v>1482</v>
      </c>
      <c r="S681" s="3" t="s">
        <v>1482</v>
      </c>
      <c r="T681" s="3" t="s">
        <v>1482</v>
      </c>
    </row>
    <row r="682" spans="1:20">
      <c r="A682" t="s">
        <v>1227</v>
      </c>
      <c r="B682" t="s">
        <v>20</v>
      </c>
      <c r="C682" t="s">
        <v>21</v>
      </c>
      <c r="D682" t="s">
        <v>1228</v>
      </c>
      <c r="E682" s="2">
        <v>46179</v>
      </c>
      <c r="F682" s="2">
        <v>46179</v>
      </c>
      <c r="G682" t="s">
        <v>20</v>
      </c>
      <c r="H682" s="2">
        <v>46179</v>
      </c>
      <c r="I682" s="2">
        <v>46179</v>
      </c>
      <c r="J682" t="s">
        <v>20</v>
      </c>
      <c r="K682">
        <v>-33.130000000000003</v>
      </c>
      <c r="L682">
        <v>-33.130000000000003</v>
      </c>
      <c r="M682">
        <v>-33.130000000000003</v>
      </c>
      <c r="N682" t="s">
        <v>158</v>
      </c>
      <c r="O682" s="3" t="s">
        <v>1482</v>
      </c>
      <c r="P682" s="3" t="s">
        <v>1482</v>
      </c>
      <c r="Q682" s="3" t="s">
        <v>1482</v>
      </c>
      <c r="R682" s="3" t="s">
        <v>1482</v>
      </c>
      <c r="S682" s="3" t="s">
        <v>1482</v>
      </c>
      <c r="T682" s="3" t="s">
        <v>1482</v>
      </c>
    </row>
    <row r="683" spans="1:20">
      <c r="A683" t="s">
        <v>1229</v>
      </c>
      <c r="B683" t="s">
        <v>20</v>
      </c>
      <c r="C683" t="s">
        <v>21</v>
      </c>
      <c r="D683" t="s">
        <v>1230</v>
      </c>
      <c r="E683" s="2">
        <v>46179</v>
      </c>
      <c r="F683" s="2">
        <v>46179</v>
      </c>
      <c r="G683" t="s">
        <v>20</v>
      </c>
      <c r="H683" s="2">
        <v>46179</v>
      </c>
      <c r="I683" s="2">
        <v>46179</v>
      </c>
      <c r="J683" t="s">
        <v>20</v>
      </c>
      <c r="K683">
        <v>-73.86</v>
      </c>
      <c r="L683">
        <v>-73.86</v>
      </c>
      <c r="M683">
        <v>-73.86</v>
      </c>
      <c r="N683" t="s">
        <v>158</v>
      </c>
      <c r="O683" s="3" t="s">
        <v>1482</v>
      </c>
      <c r="P683" s="3" t="s">
        <v>1482</v>
      </c>
      <c r="Q683" s="3" t="s">
        <v>1482</v>
      </c>
      <c r="R683" s="3" t="s">
        <v>1482</v>
      </c>
      <c r="S683" s="3" t="s">
        <v>1482</v>
      </c>
      <c r="T683" s="3" t="s">
        <v>1482</v>
      </c>
    </row>
    <row r="684" spans="1:20">
      <c r="A684" t="s">
        <v>1231</v>
      </c>
      <c r="B684" t="s">
        <v>20</v>
      </c>
      <c r="C684" t="s">
        <v>21</v>
      </c>
      <c r="D684" t="s">
        <v>1232</v>
      </c>
      <c r="E684" s="2">
        <v>46179</v>
      </c>
      <c r="F684" s="2">
        <v>46179</v>
      </c>
      <c r="G684" t="s">
        <v>20</v>
      </c>
      <c r="H684" s="2">
        <v>46179</v>
      </c>
      <c r="I684" s="2">
        <v>46179</v>
      </c>
      <c r="J684" t="s">
        <v>20</v>
      </c>
      <c r="K684">
        <v>-28.78</v>
      </c>
      <c r="L684">
        <v>-28.78</v>
      </c>
      <c r="M684">
        <v>-28.78</v>
      </c>
      <c r="N684" t="s">
        <v>158</v>
      </c>
      <c r="O684" s="3" t="s">
        <v>1482</v>
      </c>
      <c r="P684" s="3" t="s">
        <v>1482</v>
      </c>
      <c r="Q684" s="3" t="s">
        <v>1482</v>
      </c>
      <c r="R684" s="3" t="s">
        <v>1482</v>
      </c>
      <c r="S684" s="3" t="s">
        <v>1482</v>
      </c>
      <c r="T684" s="3" t="s">
        <v>1482</v>
      </c>
    </row>
    <row r="685" spans="1:20">
      <c r="A685" t="s">
        <v>1233</v>
      </c>
      <c r="B685" t="s">
        <v>20</v>
      </c>
      <c r="C685" t="s">
        <v>21</v>
      </c>
      <c r="D685" t="s">
        <v>1234</v>
      </c>
      <c r="E685" s="2">
        <v>46179</v>
      </c>
      <c r="F685" s="2">
        <v>46179</v>
      </c>
      <c r="G685" t="s">
        <v>20</v>
      </c>
      <c r="H685" s="2">
        <v>46179</v>
      </c>
      <c r="I685" s="2">
        <v>46179</v>
      </c>
      <c r="J685" t="s">
        <v>20</v>
      </c>
      <c r="K685">
        <v>-105.03</v>
      </c>
      <c r="L685">
        <v>-105.03</v>
      </c>
      <c r="M685">
        <v>-105.03</v>
      </c>
      <c r="N685" t="s">
        <v>158</v>
      </c>
      <c r="O685" s="3" t="s">
        <v>1482</v>
      </c>
      <c r="P685" s="3" t="s">
        <v>1482</v>
      </c>
      <c r="Q685" s="3" t="s">
        <v>1482</v>
      </c>
      <c r="R685" s="3" t="s">
        <v>1482</v>
      </c>
      <c r="S685" s="3" t="s">
        <v>1482</v>
      </c>
      <c r="T685" s="3" t="s">
        <v>1482</v>
      </c>
    </row>
    <row r="686" spans="1:20">
      <c r="A686" t="s">
        <v>1235</v>
      </c>
      <c r="B686" t="s">
        <v>20</v>
      </c>
      <c r="C686" t="s">
        <v>21</v>
      </c>
      <c r="D686" t="s">
        <v>1236</v>
      </c>
      <c r="E686" s="2">
        <v>46179</v>
      </c>
      <c r="F686" s="2">
        <v>46179</v>
      </c>
      <c r="G686" t="s">
        <v>20</v>
      </c>
      <c r="H686" s="2">
        <v>46179</v>
      </c>
      <c r="I686" s="2">
        <v>46179</v>
      </c>
      <c r="J686" t="s">
        <v>20</v>
      </c>
      <c r="K686">
        <v>-78.78</v>
      </c>
      <c r="L686">
        <v>-78.78</v>
      </c>
      <c r="M686">
        <v>-78.78</v>
      </c>
      <c r="N686" t="s">
        <v>158</v>
      </c>
      <c r="O686" s="3" t="s">
        <v>1482</v>
      </c>
      <c r="P686" s="3" t="s">
        <v>1482</v>
      </c>
      <c r="Q686" s="3" t="s">
        <v>1482</v>
      </c>
      <c r="R686" s="3" t="s">
        <v>1482</v>
      </c>
      <c r="S686" s="3" t="s">
        <v>1482</v>
      </c>
      <c r="T686" s="3" t="s">
        <v>1482</v>
      </c>
    </row>
    <row r="687" spans="1:20">
      <c r="A687" t="s">
        <v>1237</v>
      </c>
      <c r="B687" t="s">
        <v>20</v>
      </c>
      <c r="C687" t="s">
        <v>21</v>
      </c>
      <c r="D687" t="s">
        <v>1238</v>
      </c>
      <c r="E687" s="2">
        <v>46179</v>
      </c>
      <c r="F687" s="2">
        <v>46179</v>
      </c>
      <c r="G687" t="s">
        <v>20</v>
      </c>
      <c r="H687" s="2">
        <v>46179</v>
      </c>
      <c r="I687" s="2">
        <v>46179</v>
      </c>
      <c r="J687" t="s">
        <v>20</v>
      </c>
      <c r="K687">
        <v>-99.39</v>
      </c>
      <c r="L687">
        <v>-99.39</v>
      </c>
      <c r="M687">
        <v>-99.39</v>
      </c>
      <c r="N687" t="s">
        <v>158</v>
      </c>
      <c r="O687" s="3" t="s">
        <v>1482</v>
      </c>
      <c r="P687" s="3" t="s">
        <v>1482</v>
      </c>
      <c r="Q687" s="3" t="s">
        <v>1482</v>
      </c>
      <c r="R687" s="3" t="s">
        <v>1482</v>
      </c>
      <c r="S687" s="3" t="s">
        <v>1482</v>
      </c>
      <c r="T687" s="3" t="s">
        <v>1482</v>
      </c>
    </row>
    <row r="688" spans="1:20">
      <c r="A688" t="s">
        <v>1239</v>
      </c>
      <c r="B688" t="s">
        <v>20</v>
      </c>
      <c r="C688" t="s">
        <v>21</v>
      </c>
      <c r="D688" t="s">
        <v>1240</v>
      </c>
      <c r="E688" s="2">
        <v>46179</v>
      </c>
      <c r="F688" s="2">
        <v>46179</v>
      </c>
      <c r="G688" t="s">
        <v>20</v>
      </c>
      <c r="H688" s="2">
        <v>46179</v>
      </c>
      <c r="I688" s="2">
        <v>46179</v>
      </c>
      <c r="J688" t="s">
        <v>20</v>
      </c>
      <c r="K688">
        <v>-99.39</v>
      </c>
      <c r="L688">
        <v>-99.39</v>
      </c>
      <c r="M688">
        <v>-99.39</v>
      </c>
      <c r="N688" t="s">
        <v>158</v>
      </c>
      <c r="O688" s="3" t="s">
        <v>1482</v>
      </c>
      <c r="P688" s="3" t="s">
        <v>1482</v>
      </c>
      <c r="Q688" s="3" t="s">
        <v>1482</v>
      </c>
      <c r="R688" s="3" t="s">
        <v>1482</v>
      </c>
      <c r="S688" s="3" t="s">
        <v>1482</v>
      </c>
      <c r="T688" s="3" t="s">
        <v>1482</v>
      </c>
    </row>
    <row r="689" spans="1:20">
      <c r="A689" t="s">
        <v>1241</v>
      </c>
      <c r="B689" t="s">
        <v>20</v>
      </c>
      <c r="C689" t="s">
        <v>21</v>
      </c>
      <c r="D689" t="s">
        <v>1242</v>
      </c>
      <c r="E689" s="2">
        <v>46179</v>
      </c>
      <c r="F689" s="2">
        <v>46179</v>
      </c>
      <c r="G689" t="s">
        <v>20</v>
      </c>
      <c r="H689" s="2">
        <v>46179</v>
      </c>
      <c r="I689" s="2">
        <v>46179</v>
      </c>
      <c r="J689" t="s">
        <v>20</v>
      </c>
      <c r="K689">
        <v>-47.94</v>
      </c>
      <c r="L689">
        <v>-47.94</v>
      </c>
      <c r="M689">
        <v>-47.94</v>
      </c>
      <c r="N689" t="s">
        <v>158</v>
      </c>
      <c r="O689" s="3" t="s">
        <v>1482</v>
      </c>
      <c r="P689" s="3" t="s">
        <v>1482</v>
      </c>
      <c r="Q689" s="3" t="s">
        <v>1482</v>
      </c>
      <c r="R689" s="3" t="s">
        <v>1482</v>
      </c>
      <c r="S689" s="3" t="s">
        <v>1482</v>
      </c>
      <c r="T689" s="3" t="s">
        <v>1482</v>
      </c>
    </row>
    <row r="690" spans="1:20">
      <c r="A690" t="s">
        <v>1243</v>
      </c>
      <c r="B690" t="s">
        <v>20</v>
      </c>
      <c r="C690" t="s">
        <v>21</v>
      </c>
      <c r="D690" t="s">
        <v>1244</v>
      </c>
      <c r="E690" s="2">
        <v>46179</v>
      </c>
      <c r="F690" s="2">
        <v>46179</v>
      </c>
      <c r="G690" t="s">
        <v>20</v>
      </c>
      <c r="H690" s="2">
        <v>46179</v>
      </c>
      <c r="I690" s="2">
        <v>46179</v>
      </c>
      <c r="J690" t="s">
        <v>20</v>
      </c>
      <c r="K690">
        <v>-33.130000000000003</v>
      </c>
      <c r="L690">
        <v>-33.130000000000003</v>
      </c>
      <c r="M690">
        <v>-33.130000000000003</v>
      </c>
      <c r="N690" t="s">
        <v>158</v>
      </c>
      <c r="O690" s="3" t="s">
        <v>1482</v>
      </c>
      <c r="P690" s="3" t="s">
        <v>1482</v>
      </c>
      <c r="Q690" s="3" t="s">
        <v>1482</v>
      </c>
      <c r="R690" s="3" t="s">
        <v>1482</v>
      </c>
      <c r="S690" s="3" t="s">
        <v>1482</v>
      </c>
      <c r="T690" s="3" t="s">
        <v>1482</v>
      </c>
    </row>
    <row r="691" spans="1:20">
      <c r="A691" t="s">
        <v>1245</v>
      </c>
      <c r="B691" t="s">
        <v>20</v>
      </c>
      <c r="C691" t="s">
        <v>21</v>
      </c>
      <c r="D691" t="s">
        <v>1246</v>
      </c>
      <c r="E691" s="2">
        <v>46179</v>
      </c>
      <c r="F691" s="2">
        <v>46179</v>
      </c>
      <c r="G691" t="s">
        <v>20</v>
      </c>
      <c r="H691" s="2">
        <v>46179</v>
      </c>
      <c r="I691" s="2">
        <v>46179</v>
      </c>
      <c r="J691" t="s">
        <v>20</v>
      </c>
      <c r="K691">
        <v>-33.130000000000003</v>
      </c>
      <c r="L691">
        <v>-33.130000000000003</v>
      </c>
      <c r="M691">
        <v>-33.130000000000003</v>
      </c>
      <c r="N691" t="s">
        <v>158</v>
      </c>
      <c r="O691" s="3" t="s">
        <v>1482</v>
      </c>
      <c r="P691" s="3" t="s">
        <v>1482</v>
      </c>
      <c r="Q691" s="3" t="s">
        <v>1482</v>
      </c>
      <c r="R691" s="3" t="s">
        <v>1482</v>
      </c>
      <c r="S691" s="3" t="s">
        <v>1482</v>
      </c>
      <c r="T691" s="3" t="s">
        <v>1482</v>
      </c>
    </row>
    <row r="692" spans="1:20">
      <c r="A692" t="s">
        <v>1247</v>
      </c>
      <c r="B692" t="s">
        <v>20</v>
      </c>
      <c r="C692" t="s">
        <v>21</v>
      </c>
      <c r="D692" t="s">
        <v>1248</v>
      </c>
      <c r="E692" s="2">
        <v>46179</v>
      </c>
      <c r="F692" s="2">
        <v>46179</v>
      </c>
      <c r="G692" t="s">
        <v>20</v>
      </c>
      <c r="H692" s="2">
        <v>46179</v>
      </c>
      <c r="I692" s="2">
        <v>46179</v>
      </c>
      <c r="J692" t="s">
        <v>20</v>
      </c>
      <c r="K692">
        <v>-75.900000000000006</v>
      </c>
      <c r="L692">
        <v>-75.900000000000006</v>
      </c>
      <c r="M692">
        <v>-75.900000000000006</v>
      </c>
      <c r="N692" t="s">
        <v>158</v>
      </c>
      <c r="O692" s="3" t="s">
        <v>1482</v>
      </c>
      <c r="P692" s="3" t="s">
        <v>1482</v>
      </c>
      <c r="Q692" s="3" t="s">
        <v>1482</v>
      </c>
      <c r="R692" s="3" t="s">
        <v>1482</v>
      </c>
      <c r="S692" s="3" t="s">
        <v>1482</v>
      </c>
      <c r="T692" s="3" t="s">
        <v>1482</v>
      </c>
    </row>
    <row r="693" spans="1:20">
      <c r="A693" t="s">
        <v>1249</v>
      </c>
      <c r="B693" t="s">
        <v>20</v>
      </c>
      <c r="C693" t="s">
        <v>21</v>
      </c>
      <c r="D693" t="s">
        <v>1250</v>
      </c>
      <c r="E693" s="2">
        <v>46179</v>
      </c>
      <c r="F693" s="2">
        <v>46179</v>
      </c>
      <c r="G693" t="s">
        <v>20</v>
      </c>
      <c r="H693" s="2">
        <v>46179</v>
      </c>
      <c r="I693" s="2">
        <v>46179</v>
      </c>
      <c r="J693" t="s">
        <v>20</v>
      </c>
      <c r="K693">
        <v>-78.78</v>
      </c>
      <c r="L693">
        <v>-78.78</v>
      </c>
      <c r="M693">
        <v>-78.78</v>
      </c>
      <c r="N693" t="s">
        <v>158</v>
      </c>
      <c r="O693" s="3" t="s">
        <v>1482</v>
      </c>
      <c r="P693" s="3" t="s">
        <v>1482</v>
      </c>
      <c r="Q693" s="3" t="s">
        <v>1482</v>
      </c>
      <c r="R693" s="3" t="s">
        <v>1482</v>
      </c>
      <c r="S693" s="3" t="s">
        <v>1482</v>
      </c>
      <c r="T693" s="3" t="s">
        <v>1482</v>
      </c>
    </row>
    <row r="694" spans="1:20">
      <c r="A694" t="s">
        <v>1251</v>
      </c>
      <c r="B694" t="s">
        <v>20</v>
      </c>
      <c r="C694" t="s">
        <v>21</v>
      </c>
      <c r="D694" t="s">
        <v>1252</v>
      </c>
      <c r="E694" s="2">
        <v>46179</v>
      </c>
      <c r="F694" s="2">
        <v>46179</v>
      </c>
      <c r="G694" t="s">
        <v>20</v>
      </c>
      <c r="H694" s="2">
        <v>46179</v>
      </c>
      <c r="I694" s="2">
        <v>46179</v>
      </c>
      <c r="J694" t="s">
        <v>20</v>
      </c>
      <c r="K694">
        <v>-66.260000000000005</v>
      </c>
      <c r="L694">
        <v>-66.260000000000005</v>
      </c>
      <c r="M694">
        <v>-66.260000000000005</v>
      </c>
      <c r="N694" t="s">
        <v>158</v>
      </c>
      <c r="O694" s="3" t="s">
        <v>1482</v>
      </c>
      <c r="P694" s="3" t="s">
        <v>1482</v>
      </c>
      <c r="Q694" s="3" t="s">
        <v>1482</v>
      </c>
      <c r="R694" s="3" t="s">
        <v>1482</v>
      </c>
      <c r="S694" s="3" t="s">
        <v>1482</v>
      </c>
      <c r="T694" s="3" t="s">
        <v>1482</v>
      </c>
    </row>
    <row r="695" spans="1:20">
      <c r="A695" t="s">
        <v>1253</v>
      </c>
      <c r="B695" t="s">
        <v>20</v>
      </c>
      <c r="C695" t="s">
        <v>21</v>
      </c>
      <c r="D695" t="s">
        <v>1254</v>
      </c>
      <c r="E695" s="2">
        <v>46179</v>
      </c>
      <c r="F695" s="2">
        <v>46179</v>
      </c>
      <c r="G695" t="s">
        <v>20</v>
      </c>
      <c r="H695" s="2">
        <v>46179</v>
      </c>
      <c r="I695" s="2">
        <v>46179</v>
      </c>
      <c r="J695" t="s">
        <v>20</v>
      </c>
      <c r="K695">
        <v>-154.63999999999999</v>
      </c>
      <c r="L695">
        <v>-154.63999999999999</v>
      </c>
      <c r="M695">
        <v>-154.63999999999999</v>
      </c>
      <c r="N695" t="s">
        <v>158</v>
      </c>
      <c r="O695" s="3" t="s">
        <v>1482</v>
      </c>
      <c r="P695" s="3" t="s">
        <v>1482</v>
      </c>
      <c r="Q695" s="3" t="s">
        <v>1482</v>
      </c>
      <c r="R695" s="3" t="s">
        <v>1482</v>
      </c>
      <c r="S695" s="3" t="s">
        <v>1482</v>
      </c>
      <c r="T695" s="3" t="s">
        <v>1482</v>
      </c>
    </row>
    <row r="696" spans="1:20">
      <c r="A696" t="s">
        <v>1255</v>
      </c>
      <c r="B696" t="s">
        <v>20</v>
      </c>
      <c r="C696" t="s">
        <v>21</v>
      </c>
      <c r="D696" t="s">
        <v>1256</v>
      </c>
      <c r="E696" s="2">
        <v>46179</v>
      </c>
      <c r="F696" s="2">
        <v>46179</v>
      </c>
      <c r="G696" t="s">
        <v>20</v>
      </c>
      <c r="H696" s="2">
        <v>46179</v>
      </c>
      <c r="I696" s="2">
        <v>46179</v>
      </c>
      <c r="J696" t="s">
        <v>20</v>
      </c>
      <c r="K696">
        <v>-151.79</v>
      </c>
      <c r="L696">
        <v>-151.79</v>
      </c>
      <c r="M696">
        <v>-151.79</v>
      </c>
      <c r="N696" t="s">
        <v>158</v>
      </c>
      <c r="O696" s="3" t="s">
        <v>1482</v>
      </c>
      <c r="P696" s="3" t="s">
        <v>1482</v>
      </c>
      <c r="Q696" s="3" t="s">
        <v>1482</v>
      </c>
      <c r="R696" s="3" t="s">
        <v>1482</v>
      </c>
      <c r="S696" s="3" t="s">
        <v>1482</v>
      </c>
      <c r="T696" s="3" t="s">
        <v>1482</v>
      </c>
    </row>
    <row r="697" spans="1:20">
      <c r="A697" t="s">
        <v>1257</v>
      </c>
      <c r="B697" t="s">
        <v>20</v>
      </c>
      <c r="C697" t="s">
        <v>21</v>
      </c>
      <c r="D697" t="s">
        <v>1258</v>
      </c>
      <c r="E697" s="2">
        <v>46179</v>
      </c>
      <c r="F697" s="2">
        <v>46179</v>
      </c>
      <c r="G697" t="s">
        <v>20</v>
      </c>
      <c r="H697" s="2">
        <v>46179</v>
      </c>
      <c r="I697" s="2">
        <v>46179</v>
      </c>
      <c r="J697" t="s">
        <v>20</v>
      </c>
      <c r="K697">
        <v>-114.94</v>
      </c>
      <c r="L697">
        <v>-114.94</v>
      </c>
      <c r="M697">
        <v>-114.94</v>
      </c>
      <c r="N697" t="s">
        <v>158</v>
      </c>
      <c r="O697" s="3" t="s">
        <v>1482</v>
      </c>
      <c r="P697" s="3" t="s">
        <v>1482</v>
      </c>
      <c r="Q697" s="3" t="s">
        <v>1482</v>
      </c>
      <c r="R697" s="3" t="s">
        <v>1482</v>
      </c>
      <c r="S697" s="3" t="s">
        <v>1482</v>
      </c>
      <c r="T697" s="3" t="s">
        <v>1482</v>
      </c>
    </row>
    <row r="698" spans="1:20">
      <c r="A698" t="s">
        <v>1259</v>
      </c>
      <c r="B698" t="s">
        <v>20</v>
      </c>
      <c r="C698" t="s">
        <v>21</v>
      </c>
      <c r="D698" t="s">
        <v>1260</v>
      </c>
      <c r="E698" s="2">
        <v>46179</v>
      </c>
      <c r="F698" s="2">
        <v>46179</v>
      </c>
      <c r="G698" t="s">
        <v>20</v>
      </c>
      <c r="H698" s="2">
        <v>46179</v>
      </c>
      <c r="I698" s="2">
        <v>46179</v>
      </c>
      <c r="J698" t="s">
        <v>20</v>
      </c>
      <c r="K698">
        <v>-89.45</v>
      </c>
      <c r="L698">
        <v>-89.45</v>
      </c>
      <c r="M698">
        <v>-89.45</v>
      </c>
      <c r="N698" t="s">
        <v>158</v>
      </c>
      <c r="O698" s="3" t="s">
        <v>1482</v>
      </c>
      <c r="P698" s="3" t="s">
        <v>1482</v>
      </c>
      <c r="Q698" s="3" t="s">
        <v>1482</v>
      </c>
      <c r="R698" s="3" t="s">
        <v>1482</v>
      </c>
      <c r="S698" s="3" t="s">
        <v>1482</v>
      </c>
      <c r="T698" s="3" t="s">
        <v>1482</v>
      </c>
    </row>
    <row r="699" spans="1:20">
      <c r="A699" t="s">
        <v>1261</v>
      </c>
      <c r="B699" t="s">
        <v>20</v>
      </c>
      <c r="C699" t="s">
        <v>21</v>
      </c>
      <c r="D699" t="s">
        <v>1262</v>
      </c>
      <c r="E699" s="2">
        <v>46179</v>
      </c>
      <c r="F699" s="2">
        <v>46179</v>
      </c>
      <c r="G699" t="s">
        <v>20</v>
      </c>
      <c r="H699" s="2">
        <v>46179</v>
      </c>
      <c r="I699" s="2">
        <v>46179</v>
      </c>
      <c r="J699" t="s">
        <v>20</v>
      </c>
      <c r="K699">
        <v>-105.33</v>
      </c>
      <c r="L699">
        <v>-105.33</v>
      </c>
      <c r="M699">
        <v>-105.33</v>
      </c>
      <c r="N699" t="s">
        <v>158</v>
      </c>
      <c r="O699" s="3" t="s">
        <v>1482</v>
      </c>
      <c r="P699" s="3" t="s">
        <v>1482</v>
      </c>
      <c r="Q699" s="3" t="s">
        <v>1482</v>
      </c>
      <c r="R699" s="3" t="s">
        <v>1482</v>
      </c>
      <c r="S699" s="3" t="s">
        <v>1482</v>
      </c>
      <c r="T699" s="3" t="s">
        <v>1482</v>
      </c>
    </row>
    <row r="700" spans="1:20">
      <c r="A700" t="s">
        <v>1263</v>
      </c>
      <c r="B700" t="s">
        <v>20</v>
      </c>
      <c r="C700" t="s">
        <v>21</v>
      </c>
      <c r="D700" t="s">
        <v>1264</v>
      </c>
      <c r="E700" s="2">
        <v>46179</v>
      </c>
      <c r="F700" s="2">
        <v>46179</v>
      </c>
      <c r="G700" t="s">
        <v>20</v>
      </c>
      <c r="H700" s="2">
        <v>46179</v>
      </c>
      <c r="I700" s="2">
        <v>46179</v>
      </c>
      <c r="J700" t="s">
        <v>20</v>
      </c>
      <c r="K700">
        <v>-99.39</v>
      </c>
      <c r="L700">
        <v>-99.39</v>
      </c>
      <c r="M700">
        <v>-99.39</v>
      </c>
      <c r="N700" t="s">
        <v>158</v>
      </c>
      <c r="O700" s="3" t="s">
        <v>1482</v>
      </c>
      <c r="P700" s="3" t="s">
        <v>1482</v>
      </c>
      <c r="Q700" s="3" t="s">
        <v>1482</v>
      </c>
      <c r="R700" s="3" t="s">
        <v>1482</v>
      </c>
      <c r="S700" s="3" t="s">
        <v>1482</v>
      </c>
      <c r="T700" s="3" t="s">
        <v>1482</v>
      </c>
    </row>
    <row r="701" spans="1:20">
      <c r="A701" t="s">
        <v>1265</v>
      </c>
      <c r="B701" t="s">
        <v>20</v>
      </c>
      <c r="C701" t="s">
        <v>21</v>
      </c>
      <c r="D701" t="s">
        <v>1266</v>
      </c>
      <c r="E701" s="2">
        <v>46179</v>
      </c>
      <c r="F701" s="2">
        <v>46179</v>
      </c>
      <c r="G701" t="s">
        <v>20</v>
      </c>
      <c r="H701" s="2">
        <v>46179</v>
      </c>
      <c r="I701" s="2">
        <v>46179</v>
      </c>
      <c r="J701" t="s">
        <v>20</v>
      </c>
      <c r="K701">
        <v>-99.39</v>
      </c>
      <c r="L701">
        <v>-99.39</v>
      </c>
      <c r="M701">
        <v>-99.39</v>
      </c>
      <c r="N701" t="s">
        <v>158</v>
      </c>
      <c r="O701" s="3" t="s">
        <v>1482</v>
      </c>
      <c r="P701" s="3" t="s">
        <v>1482</v>
      </c>
      <c r="Q701" s="3" t="s">
        <v>1482</v>
      </c>
      <c r="R701" s="3" t="s">
        <v>1482</v>
      </c>
      <c r="S701" s="3" t="s">
        <v>1482</v>
      </c>
      <c r="T701" s="3" t="s">
        <v>1482</v>
      </c>
    </row>
    <row r="702" spans="1:20">
      <c r="A702" t="s">
        <v>1267</v>
      </c>
      <c r="B702" t="s">
        <v>20</v>
      </c>
      <c r="C702" t="s">
        <v>21</v>
      </c>
      <c r="D702" t="s">
        <v>1268</v>
      </c>
      <c r="E702" s="2">
        <v>46179</v>
      </c>
      <c r="F702" s="2">
        <v>46179</v>
      </c>
      <c r="G702" t="s">
        <v>20</v>
      </c>
      <c r="H702" s="2">
        <v>46179</v>
      </c>
      <c r="I702" s="2">
        <v>46179</v>
      </c>
      <c r="J702" t="s">
        <v>20</v>
      </c>
      <c r="K702">
        <v>-132.52000000000001</v>
      </c>
      <c r="L702">
        <v>-132.52000000000001</v>
      </c>
      <c r="M702">
        <v>-132.52000000000001</v>
      </c>
      <c r="N702" t="s">
        <v>158</v>
      </c>
      <c r="O702" s="3" t="s">
        <v>1482</v>
      </c>
      <c r="P702" s="3" t="s">
        <v>1482</v>
      </c>
      <c r="Q702" s="3" t="s">
        <v>1482</v>
      </c>
      <c r="R702" s="3" t="s">
        <v>1482</v>
      </c>
      <c r="S702" s="3" t="s">
        <v>1482</v>
      </c>
      <c r="T702" s="3" t="s">
        <v>1482</v>
      </c>
    </row>
    <row r="703" spans="1:20">
      <c r="A703" t="s">
        <v>1269</v>
      </c>
      <c r="B703" t="s">
        <v>20</v>
      </c>
      <c r="C703" t="s">
        <v>21</v>
      </c>
      <c r="D703" t="s">
        <v>1270</v>
      </c>
      <c r="E703" s="2">
        <v>46179</v>
      </c>
      <c r="F703" s="2">
        <v>46179</v>
      </c>
      <c r="G703" t="s">
        <v>20</v>
      </c>
      <c r="H703" s="2">
        <v>46179</v>
      </c>
      <c r="I703" s="2">
        <v>46179</v>
      </c>
      <c r="J703" t="s">
        <v>20</v>
      </c>
      <c r="K703">
        <v>-29.82</v>
      </c>
      <c r="L703">
        <v>-29.82</v>
      </c>
      <c r="M703">
        <v>-29.82</v>
      </c>
      <c r="N703" t="s">
        <v>158</v>
      </c>
      <c r="O703" s="3" t="s">
        <v>1482</v>
      </c>
      <c r="P703" s="3" t="s">
        <v>1482</v>
      </c>
      <c r="Q703" s="3" t="s">
        <v>1482</v>
      </c>
      <c r="R703" s="3" t="s">
        <v>1482</v>
      </c>
      <c r="S703" s="3" t="s">
        <v>1482</v>
      </c>
      <c r="T703" s="3" t="s">
        <v>1482</v>
      </c>
    </row>
    <row r="704" spans="1:20">
      <c r="A704" t="s">
        <v>1271</v>
      </c>
      <c r="B704" t="s">
        <v>20</v>
      </c>
      <c r="C704" t="s">
        <v>21</v>
      </c>
      <c r="D704" t="s">
        <v>1272</v>
      </c>
      <c r="E704" s="2">
        <v>46179</v>
      </c>
      <c r="F704" s="2">
        <v>46179</v>
      </c>
      <c r="G704" t="s">
        <v>20</v>
      </c>
      <c r="H704" s="2">
        <v>46179</v>
      </c>
      <c r="I704" s="2">
        <v>46179</v>
      </c>
      <c r="J704" t="s">
        <v>20</v>
      </c>
      <c r="K704">
        <v>-23.97</v>
      </c>
      <c r="L704">
        <v>-23.97</v>
      </c>
      <c r="M704">
        <v>-23.97</v>
      </c>
      <c r="N704" t="s">
        <v>158</v>
      </c>
      <c r="O704" s="3" t="s">
        <v>1482</v>
      </c>
      <c r="P704" s="3" t="s">
        <v>1482</v>
      </c>
      <c r="Q704" s="3" t="s">
        <v>1482</v>
      </c>
      <c r="R704" s="3" t="s">
        <v>1482</v>
      </c>
      <c r="S704" s="3" t="s">
        <v>1482</v>
      </c>
      <c r="T704" s="3" t="s">
        <v>1482</v>
      </c>
    </row>
    <row r="705" spans="1:20">
      <c r="A705" t="s">
        <v>1273</v>
      </c>
      <c r="B705" t="s">
        <v>20</v>
      </c>
      <c r="C705" t="s">
        <v>21</v>
      </c>
      <c r="D705" t="s">
        <v>1274</v>
      </c>
      <c r="E705" s="2">
        <v>46179</v>
      </c>
      <c r="F705" s="2">
        <v>46179</v>
      </c>
      <c r="G705" t="s">
        <v>20</v>
      </c>
      <c r="H705" s="2">
        <v>46179</v>
      </c>
      <c r="I705" s="2">
        <v>46179</v>
      </c>
      <c r="J705" t="s">
        <v>20</v>
      </c>
      <c r="K705">
        <v>-66.260000000000005</v>
      </c>
      <c r="L705">
        <v>-66.260000000000005</v>
      </c>
      <c r="M705">
        <v>-66.260000000000005</v>
      </c>
      <c r="N705" t="s">
        <v>158</v>
      </c>
      <c r="O705" s="3" t="s">
        <v>1482</v>
      </c>
      <c r="P705" s="3" t="s">
        <v>1482</v>
      </c>
      <c r="Q705" s="3" t="s">
        <v>1482</v>
      </c>
      <c r="R705" s="3" t="s">
        <v>1482</v>
      </c>
      <c r="S705" s="3" t="s">
        <v>1482</v>
      </c>
      <c r="T705" s="3" t="s">
        <v>1482</v>
      </c>
    </row>
    <row r="706" spans="1:20">
      <c r="A706" t="s">
        <v>1275</v>
      </c>
      <c r="B706" t="s">
        <v>20</v>
      </c>
      <c r="C706" t="s">
        <v>21</v>
      </c>
      <c r="D706" t="s">
        <v>1276</v>
      </c>
      <c r="E706" s="2">
        <v>46179</v>
      </c>
      <c r="F706" s="2">
        <v>46179</v>
      </c>
      <c r="G706" t="s">
        <v>20</v>
      </c>
      <c r="H706" s="2">
        <v>46179</v>
      </c>
      <c r="I706" s="2">
        <v>46179</v>
      </c>
      <c r="J706" t="s">
        <v>20</v>
      </c>
      <c r="K706">
        <v>-105.03</v>
      </c>
      <c r="L706">
        <v>-105.03</v>
      </c>
      <c r="M706">
        <v>-105.03</v>
      </c>
      <c r="N706" t="s">
        <v>158</v>
      </c>
      <c r="O706" s="3" t="s">
        <v>1482</v>
      </c>
      <c r="P706" s="3" t="s">
        <v>1482</v>
      </c>
      <c r="Q706" s="3" t="s">
        <v>1482</v>
      </c>
      <c r="R706" s="3" t="s">
        <v>1482</v>
      </c>
      <c r="S706" s="3" t="s">
        <v>1482</v>
      </c>
      <c r="T706" s="3" t="s">
        <v>1482</v>
      </c>
    </row>
    <row r="707" spans="1:20">
      <c r="A707" t="s">
        <v>1277</v>
      </c>
      <c r="B707" t="s">
        <v>20</v>
      </c>
      <c r="C707" t="s">
        <v>21</v>
      </c>
      <c r="D707" t="s">
        <v>1278</v>
      </c>
      <c r="E707" s="2">
        <v>46179</v>
      </c>
      <c r="F707" s="2">
        <v>46179</v>
      </c>
      <c r="G707" t="s">
        <v>20</v>
      </c>
      <c r="H707" s="2">
        <v>46179</v>
      </c>
      <c r="I707" s="2">
        <v>46179</v>
      </c>
      <c r="J707" t="s">
        <v>20</v>
      </c>
      <c r="K707">
        <v>-33.130000000000003</v>
      </c>
      <c r="L707">
        <v>-33.130000000000003</v>
      </c>
      <c r="M707">
        <v>-33.130000000000003</v>
      </c>
      <c r="N707" t="s">
        <v>158</v>
      </c>
      <c r="O707" s="3" t="s">
        <v>1482</v>
      </c>
      <c r="P707" s="3" t="s">
        <v>1482</v>
      </c>
      <c r="Q707" s="3" t="s">
        <v>1482</v>
      </c>
      <c r="R707" s="3" t="s">
        <v>1482</v>
      </c>
      <c r="S707" s="3" t="s">
        <v>1482</v>
      </c>
      <c r="T707" s="3" t="s">
        <v>1482</v>
      </c>
    </row>
    <row r="708" spans="1:20">
      <c r="A708" t="s">
        <v>1279</v>
      </c>
      <c r="B708" t="s">
        <v>20</v>
      </c>
      <c r="C708" t="s">
        <v>21</v>
      </c>
      <c r="D708" t="s">
        <v>1280</v>
      </c>
      <c r="E708" s="2">
        <v>46179</v>
      </c>
      <c r="F708" s="2">
        <v>46179</v>
      </c>
      <c r="G708" t="s">
        <v>20</v>
      </c>
      <c r="H708" s="2">
        <v>46179</v>
      </c>
      <c r="I708" s="2">
        <v>46179</v>
      </c>
      <c r="J708" t="s">
        <v>20</v>
      </c>
      <c r="K708">
        <v>-157.55000000000001</v>
      </c>
      <c r="L708">
        <v>-157.55000000000001</v>
      </c>
      <c r="M708">
        <v>-157.55000000000001</v>
      </c>
      <c r="N708" t="s">
        <v>158</v>
      </c>
      <c r="O708" s="3" t="s">
        <v>1482</v>
      </c>
      <c r="P708" s="3" t="s">
        <v>1482</v>
      </c>
      <c r="Q708" s="3" t="s">
        <v>1482</v>
      </c>
      <c r="R708" s="3" t="s">
        <v>1482</v>
      </c>
      <c r="S708" s="3" t="s">
        <v>1482</v>
      </c>
      <c r="T708" s="3" t="s">
        <v>1482</v>
      </c>
    </row>
    <row r="709" spans="1:20">
      <c r="A709" t="s">
        <v>1281</v>
      </c>
      <c r="B709" t="s">
        <v>20</v>
      </c>
      <c r="C709" t="s">
        <v>21</v>
      </c>
      <c r="D709" t="s">
        <v>1282</v>
      </c>
      <c r="E709" s="2">
        <v>46179</v>
      </c>
      <c r="F709" s="2">
        <v>46179</v>
      </c>
      <c r="G709" t="s">
        <v>20</v>
      </c>
      <c r="H709" s="2">
        <v>46179</v>
      </c>
      <c r="I709" s="2">
        <v>46179</v>
      </c>
      <c r="J709" t="s">
        <v>20</v>
      </c>
      <c r="K709">
        <v>-99.39</v>
      </c>
      <c r="L709">
        <v>-99.39</v>
      </c>
      <c r="M709">
        <v>-99.39</v>
      </c>
      <c r="N709" t="s">
        <v>158</v>
      </c>
      <c r="O709" s="3" t="s">
        <v>1482</v>
      </c>
      <c r="P709" s="3" t="s">
        <v>1482</v>
      </c>
      <c r="Q709" s="3" t="s">
        <v>1482</v>
      </c>
      <c r="R709" s="3" t="s">
        <v>1482</v>
      </c>
      <c r="S709" s="3" t="s">
        <v>1482</v>
      </c>
      <c r="T709" s="3" t="s">
        <v>1482</v>
      </c>
    </row>
    <row r="710" spans="1:20">
      <c r="A710" t="s">
        <v>1283</v>
      </c>
      <c r="B710" t="s">
        <v>20</v>
      </c>
      <c r="C710" t="s">
        <v>21</v>
      </c>
      <c r="D710" t="s">
        <v>1284</v>
      </c>
      <c r="E710" s="2">
        <v>46179</v>
      </c>
      <c r="F710" s="2">
        <v>46179</v>
      </c>
      <c r="G710" t="s">
        <v>20</v>
      </c>
      <c r="H710" s="2">
        <v>46179</v>
      </c>
      <c r="I710" s="2">
        <v>46179</v>
      </c>
      <c r="J710" t="s">
        <v>20</v>
      </c>
      <c r="K710">
        <v>-26.26</v>
      </c>
      <c r="L710">
        <v>-26.26</v>
      </c>
      <c r="M710">
        <v>-26.26</v>
      </c>
      <c r="N710" t="s">
        <v>158</v>
      </c>
      <c r="O710" s="3" t="s">
        <v>1482</v>
      </c>
      <c r="P710" s="3" t="s">
        <v>1482</v>
      </c>
      <c r="Q710" s="3" t="s">
        <v>1482</v>
      </c>
      <c r="R710" s="3" t="s">
        <v>1482</v>
      </c>
      <c r="S710" s="3" t="s">
        <v>1482</v>
      </c>
      <c r="T710" s="3" t="s">
        <v>1482</v>
      </c>
    </row>
    <row r="711" spans="1:20">
      <c r="A711" t="s">
        <v>1285</v>
      </c>
      <c r="B711" t="s">
        <v>20</v>
      </c>
      <c r="C711" t="s">
        <v>21</v>
      </c>
      <c r="D711" t="s">
        <v>1286</v>
      </c>
      <c r="E711" s="2">
        <v>46179</v>
      </c>
      <c r="F711" s="2">
        <v>46179</v>
      </c>
      <c r="G711" t="s">
        <v>20</v>
      </c>
      <c r="H711" s="2">
        <v>46179</v>
      </c>
      <c r="I711" s="2">
        <v>46179</v>
      </c>
      <c r="J711" t="s">
        <v>20</v>
      </c>
      <c r="K711">
        <v>-198.78</v>
      </c>
      <c r="L711">
        <v>-198.78</v>
      </c>
      <c r="M711">
        <v>-198.78</v>
      </c>
      <c r="N711" t="s">
        <v>158</v>
      </c>
      <c r="O711" s="3" t="s">
        <v>1482</v>
      </c>
      <c r="P711" s="3" t="s">
        <v>1482</v>
      </c>
      <c r="Q711" s="3" t="s">
        <v>1482</v>
      </c>
      <c r="R711" s="3" t="s">
        <v>1482</v>
      </c>
      <c r="S711" s="3" t="s">
        <v>1482</v>
      </c>
      <c r="T711" s="3" t="s">
        <v>1482</v>
      </c>
    </row>
    <row r="712" spans="1:20">
      <c r="A712" t="s">
        <v>1287</v>
      </c>
      <c r="B712" t="s">
        <v>20</v>
      </c>
      <c r="C712" t="s">
        <v>21</v>
      </c>
      <c r="D712" t="s">
        <v>1288</v>
      </c>
      <c r="E712" s="2">
        <v>46179</v>
      </c>
      <c r="F712" s="2">
        <v>46179</v>
      </c>
      <c r="G712" t="s">
        <v>20</v>
      </c>
      <c r="H712" s="2">
        <v>46179</v>
      </c>
      <c r="I712" s="2">
        <v>46179</v>
      </c>
      <c r="J712" t="s">
        <v>20</v>
      </c>
      <c r="K712">
        <v>-231.91</v>
      </c>
      <c r="L712">
        <v>-231.91</v>
      </c>
      <c r="M712">
        <v>-231.91</v>
      </c>
      <c r="N712" t="s">
        <v>158</v>
      </c>
      <c r="O712" s="3" t="s">
        <v>1482</v>
      </c>
      <c r="P712" s="3" t="s">
        <v>1482</v>
      </c>
      <c r="Q712" s="3" t="s">
        <v>1482</v>
      </c>
      <c r="R712" s="3" t="s">
        <v>1482</v>
      </c>
      <c r="S712" s="3" t="s">
        <v>1482</v>
      </c>
      <c r="T712" s="3" t="s">
        <v>1482</v>
      </c>
    </row>
    <row r="713" spans="1:20">
      <c r="A713" t="s">
        <v>1289</v>
      </c>
      <c r="B713" t="s">
        <v>20</v>
      </c>
      <c r="C713" t="s">
        <v>21</v>
      </c>
      <c r="D713" t="s">
        <v>1290</v>
      </c>
      <c r="E713" s="2">
        <v>46179</v>
      </c>
      <c r="F713" s="2">
        <v>46179</v>
      </c>
      <c r="G713" t="s">
        <v>20</v>
      </c>
      <c r="H713" s="2">
        <v>46179</v>
      </c>
      <c r="I713" s="2">
        <v>46179</v>
      </c>
      <c r="J713" t="s">
        <v>20</v>
      </c>
      <c r="K713">
        <v>-24.62</v>
      </c>
      <c r="L713">
        <v>-24.62</v>
      </c>
      <c r="M713">
        <v>-24.62</v>
      </c>
      <c r="N713" t="s">
        <v>158</v>
      </c>
      <c r="O713" s="3" t="s">
        <v>1482</v>
      </c>
      <c r="P713" s="3" t="s">
        <v>1482</v>
      </c>
      <c r="Q713" s="3" t="s">
        <v>1482</v>
      </c>
      <c r="R713" s="3" t="s">
        <v>1482</v>
      </c>
      <c r="S713" s="3" t="s">
        <v>1482</v>
      </c>
      <c r="T713" s="3" t="s">
        <v>1482</v>
      </c>
    </row>
    <row r="714" spans="1:20">
      <c r="A714" t="s">
        <v>1291</v>
      </c>
      <c r="B714" t="s">
        <v>20</v>
      </c>
      <c r="C714" t="s">
        <v>21</v>
      </c>
      <c r="D714" t="s">
        <v>1292</v>
      </c>
      <c r="E714" s="2">
        <v>46179</v>
      </c>
      <c r="F714" s="2">
        <v>46179</v>
      </c>
      <c r="G714" t="s">
        <v>20</v>
      </c>
      <c r="H714" s="2">
        <v>46179</v>
      </c>
      <c r="I714" s="2">
        <v>46179</v>
      </c>
      <c r="J714" t="s">
        <v>20</v>
      </c>
      <c r="K714">
        <v>-33.130000000000003</v>
      </c>
      <c r="L714">
        <v>-33.130000000000003</v>
      </c>
      <c r="M714">
        <v>-33.130000000000003</v>
      </c>
      <c r="N714" t="s">
        <v>158</v>
      </c>
      <c r="O714" s="3" t="s">
        <v>1482</v>
      </c>
      <c r="P714" s="3" t="s">
        <v>1482</v>
      </c>
      <c r="Q714" s="3" t="s">
        <v>1482</v>
      </c>
      <c r="R714" s="3" t="s">
        <v>1482</v>
      </c>
      <c r="S714" s="3" t="s">
        <v>1482</v>
      </c>
      <c r="T714" s="3" t="s">
        <v>1482</v>
      </c>
    </row>
    <row r="715" spans="1:20">
      <c r="A715" t="s">
        <v>1293</v>
      </c>
      <c r="B715" t="s">
        <v>20</v>
      </c>
      <c r="C715" t="s">
        <v>21</v>
      </c>
      <c r="D715" t="s">
        <v>1294</v>
      </c>
      <c r="E715" s="2">
        <v>46179</v>
      </c>
      <c r="F715" s="2">
        <v>46179</v>
      </c>
      <c r="G715" t="s">
        <v>20</v>
      </c>
      <c r="H715" s="2">
        <v>46179</v>
      </c>
      <c r="I715" s="2">
        <v>46179</v>
      </c>
      <c r="J715" t="s">
        <v>20</v>
      </c>
      <c r="K715">
        <v>-123.1</v>
      </c>
      <c r="L715">
        <v>-123.1</v>
      </c>
      <c r="M715">
        <v>-123.1</v>
      </c>
      <c r="N715" t="s">
        <v>158</v>
      </c>
      <c r="O715" s="3" t="s">
        <v>1482</v>
      </c>
      <c r="P715" s="3" t="s">
        <v>1482</v>
      </c>
      <c r="Q715" s="3" t="s">
        <v>1482</v>
      </c>
      <c r="R715" s="3" t="s">
        <v>1482</v>
      </c>
      <c r="S715" s="3" t="s">
        <v>1482</v>
      </c>
      <c r="T715" s="3" t="s">
        <v>1482</v>
      </c>
    </row>
    <row r="716" spans="1:20">
      <c r="A716" t="s">
        <v>1295</v>
      </c>
      <c r="B716" t="s">
        <v>20</v>
      </c>
      <c r="C716" t="s">
        <v>21</v>
      </c>
      <c r="D716" t="s">
        <v>1296</v>
      </c>
      <c r="E716" s="2">
        <v>46179</v>
      </c>
      <c r="F716" s="2">
        <v>46179</v>
      </c>
      <c r="G716" t="s">
        <v>20</v>
      </c>
      <c r="H716" s="2">
        <v>46179</v>
      </c>
      <c r="I716" s="2">
        <v>46179</v>
      </c>
      <c r="J716" t="s">
        <v>20</v>
      </c>
      <c r="K716">
        <v>-66.260000000000005</v>
      </c>
      <c r="L716">
        <v>-66.260000000000005</v>
      </c>
      <c r="M716">
        <v>-66.260000000000005</v>
      </c>
      <c r="N716" t="s">
        <v>158</v>
      </c>
      <c r="O716" s="3" t="s">
        <v>1482</v>
      </c>
      <c r="P716" s="3" t="s">
        <v>1482</v>
      </c>
      <c r="Q716" s="3" t="s">
        <v>1482</v>
      </c>
      <c r="R716" s="3" t="s">
        <v>1482</v>
      </c>
      <c r="S716" s="3" t="s">
        <v>1482</v>
      </c>
      <c r="T716" s="3" t="s">
        <v>1482</v>
      </c>
    </row>
    <row r="717" spans="1:20">
      <c r="A717" t="s">
        <v>1297</v>
      </c>
      <c r="B717" t="s">
        <v>20</v>
      </c>
      <c r="C717" t="s">
        <v>21</v>
      </c>
      <c r="D717" t="s">
        <v>1298</v>
      </c>
      <c r="E717" s="2">
        <v>46179</v>
      </c>
      <c r="F717" s="2">
        <v>46179</v>
      </c>
      <c r="G717" t="s">
        <v>20</v>
      </c>
      <c r="H717" s="2">
        <v>46179</v>
      </c>
      <c r="I717" s="2">
        <v>46179</v>
      </c>
      <c r="J717" t="s">
        <v>20</v>
      </c>
      <c r="K717">
        <v>-33.130000000000003</v>
      </c>
      <c r="L717">
        <v>-33.130000000000003</v>
      </c>
      <c r="M717">
        <v>-33.130000000000003</v>
      </c>
      <c r="N717" t="s">
        <v>158</v>
      </c>
      <c r="O717" s="3" t="s">
        <v>1482</v>
      </c>
      <c r="P717" s="3" t="s">
        <v>1482</v>
      </c>
      <c r="Q717" s="3" t="s">
        <v>1482</v>
      </c>
      <c r="R717" s="3" t="s">
        <v>1482</v>
      </c>
      <c r="S717" s="3" t="s">
        <v>1482</v>
      </c>
      <c r="T717" s="3" t="s">
        <v>1482</v>
      </c>
    </row>
    <row r="718" spans="1:20">
      <c r="A718" t="s">
        <v>1299</v>
      </c>
      <c r="B718" t="s">
        <v>20</v>
      </c>
      <c r="C718" t="s">
        <v>21</v>
      </c>
      <c r="D718" t="s">
        <v>1300</v>
      </c>
      <c r="E718" s="2">
        <v>46179</v>
      </c>
      <c r="F718" s="2">
        <v>46179</v>
      </c>
      <c r="G718" t="s">
        <v>20</v>
      </c>
      <c r="H718" s="2">
        <v>46179</v>
      </c>
      <c r="I718" s="2">
        <v>46179</v>
      </c>
      <c r="J718" t="s">
        <v>20</v>
      </c>
      <c r="K718">
        <v>-89.45</v>
      </c>
      <c r="L718">
        <v>-89.45</v>
      </c>
      <c r="M718">
        <v>-89.45</v>
      </c>
      <c r="N718" t="s">
        <v>158</v>
      </c>
      <c r="O718" s="3" t="s">
        <v>1482</v>
      </c>
      <c r="P718" s="3" t="s">
        <v>1482</v>
      </c>
      <c r="Q718" s="3" t="s">
        <v>1482</v>
      </c>
      <c r="R718" s="3" t="s">
        <v>1482</v>
      </c>
      <c r="S718" s="3" t="s">
        <v>1482</v>
      </c>
      <c r="T718" s="3" t="s">
        <v>1482</v>
      </c>
    </row>
    <row r="719" spans="1:20">
      <c r="A719" t="s">
        <v>1301</v>
      </c>
      <c r="B719" t="s">
        <v>20</v>
      </c>
      <c r="C719" t="s">
        <v>21</v>
      </c>
      <c r="D719" t="s">
        <v>1302</v>
      </c>
      <c r="E719" s="2">
        <v>46179</v>
      </c>
      <c r="F719" s="2">
        <v>46179</v>
      </c>
      <c r="G719" t="s">
        <v>20</v>
      </c>
      <c r="H719" s="2">
        <v>46179</v>
      </c>
      <c r="I719" s="2">
        <v>46179</v>
      </c>
      <c r="J719" t="s">
        <v>20</v>
      </c>
      <c r="K719">
        <v>-105.03</v>
      </c>
      <c r="L719">
        <v>-105.03</v>
      </c>
      <c r="M719">
        <v>-105.03</v>
      </c>
      <c r="N719" t="s">
        <v>158</v>
      </c>
      <c r="O719" s="3" t="s">
        <v>1482</v>
      </c>
      <c r="P719" s="3" t="s">
        <v>1482</v>
      </c>
      <c r="Q719" s="3" t="s">
        <v>1482</v>
      </c>
      <c r="R719" s="3" t="s">
        <v>1482</v>
      </c>
      <c r="S719" s="3" t="s">
        <v>1482</v>
      </c>
      <c r="T719" s="3" t="s">
        <v>1482</v>
      </c>
    </row>
    <row r="720" spans="1:20">
      <c r="A720" t="s">
        <v>1303</v>
      </c>
      <c r="B720" t="s">
        <v>20</v>
      </c>
      <c r="C720" t="s">
        <v>21</v>
      </c>
      <c r="D720" t="s">
        <v>1304</v>
      </c>
      <c r="E720" s="2">
        <v>46179</v>
      </c>
      <c r="F720" s="2">
        <v>46179</v>
      </c>
      <c r="G720" t="s">
        <v>20</v>
      </c>
      <c r="H720" s="2">
        <v>46179</v>
      </c>
      <c r="I720" s="2">
        <v>46179</v>
      </c>
      <c r="J720" t="s">
        <v>20</v>
      </c>
      <c r="K720">
        <v>-99.39</v>
      </c>
      <c r="L720">
        <v>-99.39</v>
      </c>
      <c r="M720">
        <v>-99.39</v>
      </c>
      <c r="N720" t="s">
        <v>158</v>
      </c>
      <c r="O720" s="3" t="s">
        <v>1482</v>
      </c>
      <c r="P720" s="3" t="s">
        <v>1482</v>
      </c>
      <c r="Q720" s="3" t="s">
        <v>1482</v>
      </c>
      <c r="R720" s="3" t="s">
        <v>1482</v>
      </c>
      <c r="S720" s="3" t="s">
        <v>1482</v>
      </c>
      <c r="T720" s="3" t="s">
        <v>1482</v>
      </c>
    </row>
    <row r="721" spans="1:20">
      <c r="A721" t="s">
        <v>1305</v>
      </c>
      <c r="B721" t="s">
        <v>20</v>
      </c>
      <c r="C721" t="s">
        <v>21</v>
      </c>
      <c r="D721" t="s">
        <v>1306</v>
      </c>
      <c r="E721" s="2">
        <v>46179</v>
      </c>
      <c r="F721" s="2">
        <v>46179</v>
      </c>
      <c r="G721" t="s">
        <v>20</v>
      </c>
      <c r="H721" s="2">
        <v>46179</v>
      </c>
      <c r="I721" s="2">
        <v>46179</v>
      </c>
      <c r="J721" t="s">
        <v>20</v>
      </c>
      <c r="K721">
        <v>-33.130000000000003</v>
      </c>
      <c r="L721">
        <v>-33.130000000000003</v>
      </c>
      <c r="M721">
        <v>-33.130000000000003</v>
      </c>
      <c r="N721" t="s">
        <v>158</v>
      </c>
      <c r="O721" s="3" t="s">
        <v>1482</v>
      </c>
      <c r="P721" s="3" t="s">
        <v>1482</v>
      </c>
      <c r="Q721" s="3" t="s">
        <v>1482</v>
      </c>
      <c r="R721" s="3" t="s">
        <v>1482</v>
      </c>
      <c r="S721" s="3" t="s">
        <v>1482</v>
      </c>
      <c r="T721" s="3" t="s">
        <v>1482</v>
      </c>
    </row>
    <row r="722" spans="1:20">
      <c r="A722" t="s">
        <v>1307</v>
      </c>
      <c r="B722" t="s">
        <v>20</v>
      </c>
      <c r="C722" t="s">
        <v>21</v>
      </c>
      <c r="D722" t="s">
        <v>1308</v>
      </c>
      <c r="E722" s="2">
        <v>46179</v>
      </c>
      <c r="F722" s="2">
        <v>46179</v>
      </c>
      <c r="G722" t="s">
        <v>20</v>
      </c>
      <c r="H722" s="2">
        <v>46179</v>
      </c>
      <c r="I722" s="2">
        <v>46179</v>
      </c>
      <c r="J722" t="s">
        <v>20</v>
      </c>
      <c r="K722">
        <v>-66.260000000000005</v>
      </c>
      <c r="L722">
        <v>-66.260000000000005</v>
      </c>
      <c r="M722">
        <v>-66.260000000000005</v>
      </c>
      <c r="N722" t="s">
        <v>158</v>
      </c>
      <c r="O722" s="3" t="s">
        <v>1482</v>
      </c>
      <c r="P722" s="3" t="s">
        <v>1482</v>
      </c>
      <c r="Q722" s="3" t="s">
        <v>1482</v>
      </c>
      <c r="R722" s="3" t="s">
        <v>1482</v>
      </c>
      <c r="S722" s="3" t="s">
        <v>1482</v>
      </c>
      <c r="T722" s="3" t="s">
        <v>1482</v>
      </c>
    </row>
    <row r="723" spans="1:20">
      <c r="A723" t="s">
        <v>1309</v>
      </c>
      <c r="B723" t="s">
        <v>20</v>
      </c>
      <c r="C723" t="s">
        <v>21</v>
      </c>
      <c r="D723" t="s">
        <v>1310</v>
      </c>
      <c r="E723" s="2">
        <v>46179</v>
      </c>
      <c r="F723" s="2">
        <v>46179</v>
      </c>
      <c r="G723" t="s">
        <v>20</v>
      </c>
      <c r="H723" s="2">
        <v>46179</v>
      </c>
      <c r="I723" s="2">
        <v>46179</v>
      </c>
      <c r="J723" t="s">
        <v>20</v>
      </c>
      <c r="K723">
        <v>-33.130000000000003</v>
      </c>
      <c r="L723">
        <v>-33.130000000000003</v>
      </c>
      <c r="M723">
        <v>-33.130000000000003</v>
      </c>
      <c r="N723" t="s">
        <v>158</v>
      </c>
      <c r="O723" s="3" t="s">
        <v>1482</v>
      </c>
      <c r="P723" s="3" t="s">
        <v>1482</v>
      </c>
      <c r="Q723" s="3" t="s">
        <v>1482</v>
      </c>
      <c r="R723" s="3" t="s">
        <v>1482</v>
      </c>
      <c r="S723" s="3" t="s">
        <v>1482</v>
      </c>
      <c r="T723" s="3" t="s">
        <v>1482</v>
      </c>
    </row>
    <row r="724" spans="1:20">
      <c r="A724" t="s">
        <v>1311</v>
      </c>
      <c r="B724" t="s">
        <v>20</v>
      </c>
      <c r="C724" t="s">
        <v>21</v>
      </c>
      <c r="D724" t="s">
        <v>1312</v>
      </c>
      <c r="E724" s="2">
        <v>46179</v>
      </c>
      <c r="F724" s="2">
        <v>46179</v>
      </c>
      <c r="G724" t="s">
        <v>20</v>
      </c>
      <c r="H724" s="2">
        <v>46179</v>
      </c>
      <c r="I724" s="2">
        <v>46179</v>
      </c>
      <c r="J724" t="s">
        <v>20</v>
      </c>
      <c r="K724">
        <v>-151.79</v>
      </c>
      <c r="L724">
        <v>-151.79</v>
      </c>
      <c r="M724">
        <v>-151.79</v>
      </c>
      <c r="N724" t="s">
        <v>158</v>
      </c>
      <c r="O724" s="3" t="s">
        <v>1482</v>
      </c>
      <c r="P724" s="3" t="s">
        <v>1482</v>
      </c>
      <c r="Q724" s="3" t="s">
        <v>1482</v>
      </c>
      <c r="R724" s="3" t="s">
        <v>1482</v>
      </c>
      <c r="S724" s="3" t="s">
        <v>1482</v>
      </c>
      <c r="T724" s="3" t="s">
        <v>1482</v>
      </c>
    </row>
    <row r="725" spans="1:20">
      <c r="A725" t="s">
        <v>1313</v>
      </c>
      <c r="B725" t="s">
        <v>20</v>
      </c>
      <c r="C725" t="s">
        <v>21</v>
      </c>
      <c r="D725" t="s">
        <v>1314</v>
      </c>
      <c r="E725" s="2">
        <v>46179</v>
      </c>
      <c r="F725" s="2">
        <v>46179</v>
      </c>
      <c r="G725" t="s">
        <v>20</v>
      </c>
      <c r="H725" s="2">
        <v>46179</v>
      </c>
      <c r="I725" s="2">
        <v>46179</v>
      </c>
      <c r="J725" t="s">
        <v>20</v>
      </c>
      <c r="K725">
        <v>-98.48</v>
      </c>
      <c r="L725">
        <v>-98.48</v>
      </c>
      <c r="M725">
        <v>-98.48</v>
      </c>
      <c r="N725" t="s">
        <v>158</v>
      </c>
      <c r="O725" s="3" t="s">
        <v>1482</v>
      </c>
      <c r="P725" s="3" t="s">
        <v>1482</v>
      </c>
      <c r="Q725" s="3" t="s">
        <v>1482</v>
      </c>
      <c r="R725" s="3" t="s">
        <v>1482</v>
      </c>
      <c r="S725" s="3" t="s">
        <v>1482</v>
      </c>
      <c r="T725" s="3" t="s">
        <v>1482</v>
      </c>
    </row>
    <row r="726" spans="1:20">
      <c r="A726" t="s">
        <v>1315</v>
      </c>
      <c r="B726" t="s">
        <v>20</v>
      </c>
      <c r="C726" t="s">
        <v>21</v>
      </c>
      <c r="D726" t="s">
        <v>1316</v>
      </c>
      <c r="E726" s="2">
        <v>46179</v>
      </c>
      <c r="F726" s="2">
        <v>46179</v>
      </c>
      <c r="G726" t="s">
        <v>20</v>
      </c>
      <c r="H726" s="2">
        <v>46179</v>
      </c>
      <c r="I726" s="2">
        <v>46179</v>
      </c>
      <c r="J726" t="s">
        <v>20</v>
      </c>
      <c r="K726">
        <v>-105.03</v>
      </c>
      <c r="L726">
        <v>-105.03</v>
      </c>
      <c r="M726">
        <v>-105.03</v>
      </c>
      <c r="N726" t="s">
        <v>158</v>
      </c>
      <c r="O726" s="3" t="s">
        <v>1482</v>
      </c>
      <c r="P726" s="3" t="s">
        <v>1482</v>
      </c>
      <c r="Q726" s="3" t="s">
        <v>1482</v>
      </c>
      <c r="R726" s="3" t="s">
        <v>1482</v>
      </c>
      <c r="S726" s="3" t="s">
        <v>1482</v>
      </c>
      <c r="T726" s="3" t="s">
        <v>1482</v>
      </c>
    </row>
    <row r="727" spans="1:20">
      <c r="A727" t="s">
        <v>1317</v>
      </c>
      <c r="B727" t="s">
        <v>20</v>
      </c>
      <c r="C727" t="s">
        <v>21</v>
      </c>
      <c r="D727" t="s">
        <v>1318</v>
      </c>
      <c r="E727" s="2">
        <v>46179</v>
      </c>
      <c r="F727" s="2">
        <v>46179</v>
      </c>
      <c r="G727" t="s">
        <v>20</v>
      </c>
      <c r="H727" s="2">
        <v>46179</v>
      </c>
      <c r="I727" s="2">
        <v>46179</v>
      </c>
      <c r="J727" t="s">
        <v>20</v>
      </c>
      <c r="K727">
        <v>-49.24</v>
      </c>
      <c r="L727">
        <v>-49.24</v>
      </c>
      <c r="M727">
        <v>-49.24</v>
      </c>
      <c r="N727" t="s">
        <v>158</v>
      </c>
      <c r="O727" s="3" t="s">
        <v>1482</v>
      </c>
      <c r="P727" s="3" t="s">
        <v>1482</v>
      </c>
      <c r="Q727" s="3" t="s">
        <v>1482</v>
      </c>
      <c r="R727" s="3" t="s">
        <v>1482</v>
      </c>
      <c r="S727" s="3" t="s">
        <v>1482</v>
      </c>
      <c r="T727" s="3" t="s">
        <v>1482</v>
      </c>
    </row>
    <row r="728" spans="1:20">
      <c r="A728" t="s">
        <v>1319</v>
      </c>
      <c r="B728" t="s">
        <v>20</v>
      </c>
      <c r="C728" t="s">
        <v>21</v>
      </c>
      <c r="D728" t="s">
        <v>1320</v>
      </c>
      <c r="E728" s="2">
        <v>46179</v>
      </c>
      <c r="F728" s="2">
        <v>46179</v>
      </c>
      <c r="G728" t="s">
        <v>20</v>
      </c>
      <c r="H728" s="2">
        <v>46179</v>
      </c>
      <c r="I728" s="2">
        <v>46179</v>
      </c>
      <c r="J728" t="s">
        <v>20</v>
      </c>
      <c r="K728">
        <v>-97.11</v>
      </c>
      <c r="L728">
        <v>-97.11</v>
      </c>
      <c r="M728">
        <v>-97.11</v>
      </c>
      <c r="N728" t="s">
        <v>158</v>
      </c>
      <c r="O728" s="3" t="s">
        <v>1482</v>
      </c>
      <c r="P728" s="3" t="s">
        <v>1482</v>
      </c>
      <c r="Q728" s="3" t="s">
        <v>1482</v>
      </c>
      <c r="R728" s="3" t="s">
        <v>1482</v>
      </c>
      <c r="S728" s="3" t="s">
        <v>1482</v>
      </c>
      <c r="T728" s="3" t="s">
        <v>1482</v>
      </c>
    </row>
    <row r="729" spans="1:20">
      <c r="A729" t="s">
        <v>1321</v>
      </c>
      <c r="B729" t="s">
        <v>20</v>
      </c>
      <c r="C729" t="s">
        <v>21</v>
      </c>
      <c r="D729" t="s">
        <v>1322</v>
      </c>
      <c r="E729" s="2">
        <v>46179</v>
      </c>
      <c r="F729" s="2">
        <v>46179</v>
      </c>
      <c r="G729" t="s">
        <v>20</v>
      </c>
      <c r="H729" s="2">
        <v>46179</v>
      </c>
      <c r="I729" s="2">
        <v>46179</v>
      </c>
      <c r="J729" t="s">
        <v>20</v>
      </c>
      <c r="K729">
        <v>-131.29</v>
      </c>
      <c r="L729">
        <v>-131.29</v>
      </c>
      <c r="M729">
        <v>-131.29</v>
      </c>
      <c r="N729" t="s">
        <v>158</v>
      </c>
      <c r="O729" s="3" t="s">
        <v>1482</v>
      </c>
      <c r="P729" s="3" t="s">
        <v>1482</v>
      </c>
      <c r="Q729" s="3" t="s">
        <v>1482</v>
      </c>
      <c r="R729" s="3" t="s">
        <v>1482</v>
      </c>
      <c r="S729" s="3" t="s">
        <v>1482</v>
      </c>
      <c r="T729" s="3" t="s">
        <v>1482</v>
      </c>
    </row>
    <row r="730" spans="1:20">
      <c r="A730" t="s">
        <v>1323</v>
      </c>
      <c r="B730" t="s">
        <v>20</v>
      </c>
      <c r="C730" t="s">
        <v>21</v>
      </c>
      <c r="D730" t="s">
        <v>1324</v>
      </c>
      <c r="E730" s="2">
        <v>46179</v>
      </c>
      <c r="F730" s="2">
        <v>46179</v>
      </c>
      <c r="G730" t="s">
        <v>20</v>
      </c>
      <c r="H730" s="2">
        <v>46179</v>
      </c>
      <c r="I730" s="2">
        <v>46179</v>
      </c>
      <c r="J730" t="s">
        <v>20</v>
      </c>
      <c r="K730">
        <v>-132.52000000000001</v>
      </c>
      <c r="L730">
        <v>-132.52000000000001</v>
      </c>
      <c r="M730">
        <v>-132.52000000000001</v>
      </c>
      <c r="N730" t="s">
        <v>158</v>
      </c>
      <c r="O730" s="3" t="s">
        <v>1482</v>
      </c>
      <c r="P730" s="3" t="s">
        <v>1482</v>
      </c>
      <c r="Q730" s="3" t="s">
        <v>1482</v>
      </c>
      <c r="R730" s="3" t="s">
        <v>1482</v>
      </c>
      <c r="S730" s="3" t="s">
        <v>1482</v>
      </c>
      <c r="T730" s="3" t="s">
        <v>1482</v>
      </c>
    </row>
    <row r="731" spans="1:20">
      <c r="A731" t="s">
        <v>1325</v>
      </c>
      <c r="B731" t="s">
        <v>20</v>
      </c>
      <c r="C731" t="s">
        <v>21</v>
      </c>
      <c r="D731" t="s">
        <v>1326</v>
      </c>
      <c r="E731" s="2">
        <v>46179</v>
      </c>
      <c r="F731" s="2">
        <v>46179</v>
      </c>
      <c r="G731" t="s">
        <v>20</v>
      </c>
      <c r="H731" s="2">
        <v>46179</v>
      </c>
      <c r="I731" s="2">
        <v>46179</v>
      </c>
      <c r="J731" t="s">
        <v>20</v>
      </c>
      <c r="K731">
        <v>-78.78</v>
      </c>
      <c r="L731">
        <v>-78.78</v>
      </c>
      <c r="M731">
        <v>-78.78</v>
      </c>
      <c r="N731" t="s">
        <v>158</v>
      </c>
      <c r="O731" s="3" t="s">
        <v>1482</v>
      </c>
      <c r="P731" s="3" t="s">
        <v>1482</v>
      </c>
      <c r="Q731" s="3" t="s">
        <v>1482</v>
      </c>
      <c r="R731" s="3" t="s">
        <v>1482</v>
      </c>
      <c r="S731" s="3" t="s">
        <v>1482</v>
      </c>
      <c r="T731" s="3" t="s">
        <v>1482</v>
      </c>
    </row>
    <row r="732" spans="1:20">
      <c r="A732" t="s">
        <v>1327</v>
      </c>
      <c r="B732" t="s">
        <v>20</v>
      </c>
      <c r="C732" t="s">
        <v>21</v>
      </c>
      <c r="D732" t="s">
        <v>1328</v>
      </c>
      <c r="E732" s="2">
        <v>46179</v>
      </c>
      <c r="F732" s="2">
        <v>46179</v>
      </c>
      <c r="G732" t="s">
        <v>20</v>
      </c>
      <c r="H732" s="2">
        <v>46179</v>
      </c>
      <c r="I732" s="2">
        <v>46179</v>
      </c>
      <c r="J732" t="s">
        <v>20</v>
      </c>
      <c r="K732">
        <v>-66.260000000000005</v>
      </c>
      <c r="L732">
        <v>-66.260000000000005</v>
      </c>
      <c r="M732">
        <v>-66.260000000000005</v>
      </c>
      <c r="N732" t="s">
        <v>158</v>
      </c>
      <c r="O732" s="3" t="s">
        <v>1482</v>
      </c>
      <c r="P732" s="3" t="s">
        <v>1482</v>
      </c>
      <c r="Q732" s="3" t="s">
        <v>1482</v>
      </c>
      <c r="R732" s="3" t="s">
        <v>1482</v>
      </c>
      <c r="S732" s="3" t="s">
        <v>1482</v>
      </c>
      <c r="T732" s="3" t="s">
        <v>1482</v>
      </c>
    </row>
    <row r="733" spans="1:20">
      <c r="A733" t="s">
        <v>1329</v>
      </c>
      <c r="B733" t="s">
        <v>20</v>
      </c>
      <c r="C733" t="s">
        <v>21</v>
      </c>
      <c r="D733" t="s">
        <v>1330</v>
      </c>
      <c r="E733" s="2">
        <v>46179</v>
      </c>
      <c r="F733" s="2">
        <v>46179</v>
      </c>
      <c r="G733" t="s">
        <v>20</v>
      </c>
      <c r="H733" s="2">
        <v>46179</v>
      </c>
      <c r="I733" s="2">
        <v>46179</v>
      </c>
      <c r="J733" t="s">
        <v>20</v>
      </c>
      <c r="K733">
        <v>-26.26</v>
      </c>
      <c r="L733">
        <v>-26.26</v>
      </c>
      <c r="M733">
        <v>-26.26</v>
      </c>
      <c r="N733" t="s">
        <v>158</v>
      </c>
      <c r="O733" s="3" t="s">
        <v>1482</v>
      </c>
      <c r="P733" s="3" t="s">
        <v>1482</v>
      </c>
      <c r="Q733" s="3" t="s">
        <v>1482</v>
      </c>
      <c r="R733" s="3" t="s">
        <v>1482</v>
      </c>
      <c r="S733" s="3" t="s">
        <v>1482</v>
      </c>
      <c r="T733" s="3" t="s">
        <v>1482</v>
      </c>
    </row>
    <row r="734" spans="1:20">
      <c r="A734" t="s">
        <v>1331</v>
      </c>
      <c r="B734" t="s">
        <v>20</v>
      </c>
      <c r="C734" t="s">
        <v>21</v>
      </c>
      <c r="D734" t="s">
        <v>1332</v>
      </c>
      <c r="E734" s="2">
        <v>46179</v>
      </c>
      <c r="F734" s="2">
        <v>46179</v>
      </c>
      <c r="G734" t="s">
        <v>20</v>
      </c>
      <c r="H734" s="2">
        <v>46179</v>
      </c>
      <c r="I734" s="2">
        <v>46179</v>
      </c>
      <c r="J734" t="s">
        <v>20</v>
      </c>
      <c r="K734">
        <v>-66.260000000000005</v>
      </c>
      <c r="L734">
        <v>-66.260000000000005</v>
      </c>
      <c r="M734">
        <v>-66.260000000000005</v>
      </c>
      <c r="N734" t="s">
        <v>158</v>
      </c>
      <c r="O734" s="3" t="s">
        <v>1482</v>
      </c>
      <c r="P734" s="3" t="s">
        <v>1482</v>
      </c>
      <c r="Q734" s="3" t="s">
        <v>1482</v>
      </c>
      <c r="R734" s="3" t="s">
        <v>1482</v>
      </c>
      <c r="S734" s="3" t="s">
        <v>1482</v>
      </c>
      <c r="T734" s="3" t="s">
        <v>1482</v>
      </c>
    </row>
    <row r="735" spans="1:20">
      <c r="A735" t="s">
        <v>1333</v>
      </c>
      <c r="B735" t="s">
        <v>20</v>
      </c>
      <c r="C735" t="s">
        <v>21</v>
      </c>
      <c r="D735" t="s">
        <v>1334</v>
      </c>
      <c r="E735" s="2">
        <v>46179</v>
      </c>
      <c r="F735" s="2">
        <v>46179</v>
      </c>
      <c r="G735" t="s">
        <v>20</v>
      </c>
      <c r="H735" s="2">
        <v>46179</v>
      </c>
      <c r="I735" s="2">
        <v>46179</v>
      </c>
      <c r="J735" t="s">
        <v>20</v>
      </c>
      <c r="K735">
        <v>-99.39</v>
      </c>
      <c r="L735">
        <v>-99.39</v>
      </c>
      <c r="M735">
        <v>-99.39</v>
      </c>
      <c r="N735" t="s">
        <v>158</v>
      </c>
      <c r="O735" s="3" t="s">
        <v>1482</v>
      </c>
      <c r="P735" s="3" t="s">
        <v>1482</v>
      </c>
      <c r="Q735" s="3" t="s">
        <v>1482</v>
      </c>
      <c r="R735" s="3" t="s">
        <v>1482</v>
      </c>
      <c r="S735" s="3" t="s">
        <v>1482</v>
      </c>
      <c r="T735" s="3" t="s">
        <v>1482</v>
      </c>
    </row>
    <row r="736" spans="1:20">
      <c r="A736" t="s">
        <v>1335</v>
      </c>
      <c r="B736" t="s">
        <v>20</v>
      </c>
      <c r="C736" t="s">
        <v>21</v>
      </c>
      <c r="D736" t="s">
        <v>1336</v>
      </c>
      <c r="E736" s="2">
        <v>46179</v>
      </c>
      <c r="F736" s="2">
        <v>46179</v>
      </c>
      <c r="G736" t="s">
        <v>20</v>
      </c>
      <c r="H736" s="2">
        <v>46179</v>
      </c>
      <c r="I736" s="2">
        <v>46179</v>
      </c>
      <c r="J736" t="s">
        <v>20</v>
      </c>
      <c r="K736">
        <v>-47.94</v>
      </c>
      <c r="L736">
        <v>-47.94</v>
      </c>
      <c r="M736">
        <v>-47.94</v>
      </c>
      <c r="N736" t="s">
        <v>158</v>
      </c>
      <c r="O736" s="3" t="s">
        <v>1482</v>
      </c>
      <c r="P736" s="3" t="s">
        <v>1482</v>
      </c>
      <c r="Q736" s="3" t="s">
        <v>1482</v>
      </c>
      <c r="R736" s="3" t="s">
        <v>1482</v>
      </c>
      <c r="S736" s="3" t="s">
        <v>1482</v>
      </c>
      <c r="T736" s="3" t="s">
        <v>1482</v>
      </c>
    </row>
    <row r="737" spans="1:20">
      <c r="A737" t="s">
        <v>1337</v>
      </c>
      <c r="B737" t="s">
        <v>20</v>
      </c>
      <c r="C737" t="s">
        <v>21</v>
      </c>
      <c r="D737" t="s">
        <v>1338</v>
      </c>
      <c r="E737" s="2">
        <v>46179</v>
      </c>
      <c r="F737" s="2">
        <v>46179</v>
      </c>
      <c r="G737" t="s">
        <v>20</v>
      </c>
      <c r="H737" s="2">
        <v>46179</v>
      </c>
      <c r="I737" s="2">
        <v>46179</v>
      </c>
      <c r="J737" t="s">
        <v>20</v>
      </c>
      <c r="K737">
        <v>-131.29</v>
      </c>
      <c r="L737">
        <v>-131.29</v>
      </c>
      <c r="M737">
        <v>-131.29</v>
      </c>
      <c r="N737" t="s">
        <v>158</v>
      </c>
      <c r="O737" s="3" t="s">
        <v>1482</v>
      </c>
      <c r="P737" s="3" t="s">
        <v>1482</v>
      </c>
      <c r="Q737" s="3" t="s">
        <v>1482</v>
      </c>
      <c r="R737" s="3" t="s">
        <v>1482</v>
      </c>
      <c r="S737" s="3" t="s">
        <v>1482</v>
      </c>
      <c r="T737" s="3" t="s">
        <v>1482</v>
      </c>
    </row>
    <row r="738" spans="1:20">
      <c r="A738" t="s">
        <v>1339</v>
      </c>
      <c r="B738" t="s">
        <v>20</v>
      </c>
      <c r="C738" t="s">
        <v>21</v>
      </c>
      <c r="D738" t="s">
        <v>1340</v>
      </c>
      <c r="E738" s="2">
        <v>46179</v>
      </c>
      <c r="F738" s="2">
        <v>46179</v>
      </c>
      <c r="G738" t="s">
        <v>20</v>
      </c>
      <c r="H738" s="2">
        <v>46179</v>
      </c>
      <c r="I738" s="2">
        <v>46179</v>
      </c>
      <c r="J738" t="s">
        <v>20</v>
      </c>
      <c r="K738">
        <v>-33.130000000000003</v>
      </c>
      <c r="L738">
        <v>-33.130000000000003</v>
      </c>
      <c r="M738">
        <v>-33.130000000000003</v>
      </c>
      <c r="N738" t="s">
        <v>158</v>
      </c>
      <c r="O738" s="3" t="s">
        <v>1482</v>
      </c>
      <c r="P738" s="3" t="s">
        <v>1482</v>
      </c>
      <c r="Q738" s="3" t="s">
        <v>1482</v>
      </c>
      <c r="R738" s="3" t="s">
        <v>1482</v>
      </c>
      <c r="S738" s="3" t="s">
        <v>1482</v>
      </c>
      <c r="T738" s="3" t="s">
        <v>1482</v>
      </c>
    </row>
    <row r="739" spans="1:20">
      <c r="A739" t="s">
        <v>1341</v>
      </c>
      <c r="B739" t="s">
        <v>20</v>
      </c>
      <c r="C739" t="s">
        <v>21</v>
      </c>
      <c r="D739" t="s">
        <v>1342</v>
      </c>
      <c r="E739" s="2">
        <v>46179</v>
      </c>
      <c r="F739" s="2">
        <v>46179</v>
      </c>
      <c r="G739" t="s">
        <v>20</v>
      </c>
      <c r="H739" s="2">
        <v>46179</v>
      </c>
      <c r="I739" s="2">
        <v>46179</v>
      </c>
      <c r="J739" t="s">
        <v>20</v>
      </c>
      <c r="K739">
        <v>-33.130000000000003</v>
      </c>
      <c r="L739">
        <v>-33.130000000000003</v>
      </c>
      <c r="M739">
        <v>-33.130000000000003</v>
      </c>
      <c r="N739" t="s">
        <v>158</v>
      </c>
      <c r="O739" s="3" t="s">
        <v>1482</v>
      </c>
      <c r="P739" s="3" t="s">
        <v>1482</v>
      </c>
      <c r="Q739" s="3" t="s">
        <v>1482</v>
      </c>
      <c r="R739" s="3" t="s">
        <v>1482</v>
      </c>
      <c r="S739" s="3" t="s">
        <v>1482</v>
      </c>
      <c r="T739" s="3" t="s">
        <v>1482</v>
      </c>
    </row>
    <row r="740" spans="1:20">
      <c r="A740" t="s">
        <v>1343</v>
      </c>
      <c r="B740" t="s">
        <v>20</v>
      </c>
      <c r="C740" t="s">
        <v>21</v>
      </c>
      <c r="D740" t="s">
        <v>1344</v>
      </c>
      <c r="E740" s="2">
        <v>46179</v>
      </c>
      <c r="F740" s="2">
        <v>46179</v>
      </c>
      <c r="G740" t="s">
        <v>20</v>
      </c>
      <c r="H740" s="2">
        <v>46179</v>
      </c>
      <c r="I740" s="2">
        <v>46179</v>
      </c>
      <c r="J740" t="s">
        <v>20</v>
      </c>
      <c r="K740">
        <v>-66.260000000000005</v>
      </c>
      <c r="L740">
        <v>-66.260000000000005</v>
      </c>
      <c r="M740">
        <v>-66.260000000000005</v>
      </c>
      <c r="N740" t="s">
        <v>158</v>
      </c>
      <c r="O740" s="3" t="s">
        <v>1482</v>
      </c>
      <c r="P740" s="3" t="s">
        <v>1482</v>
      </c>
      <c r="Q740" s="3" t="s">
        <v>1482</v>
      </c>
      <c r="R740" s="3" t="s">
        <v>1482</v>
      </c>
      <c r="S740" s="3" t="s">
        <v>1482</v>
      </c>
      <c r="T740" s="3" t="s">
        <v>1482</v>
      </c>
    </row>
    <row r="741" spans="1:20">
      <c r="A741" t="s">
        <v>1345</v>
      </c>
      <c r="B741" t="s">
        <v>20</v>
      </c>
      <c r="C741" t="s">
        <v>21</v>
      </c>
      <c r="D741" t="s">
        <v>1346</v>
      </c>
      <c r="E741" s="2">
        <v>46179</v>
      </c>
      <c r="F741" s="2">
        <v>46179</v>
      </c>
      <c r="G741" t="s">
        <v>20</v>
      </c>
      <c r="H741" s="2">
        <v>46179</v>
      </c>
      <c r="I741" s="2">
        <v>46179</v>
      </c>
      <c r="J741" t="s">
        <v>20</v>
      </c>
      <c r="K741">
        <v>-38.659999999999997</v>
      </c>
      <c r="L741">
        <v>-38.659999999999997</v>
      </c>
      <c r="M741">
        <v>-38.659999999999997</v>
      </c>
      <c r="N741" t="s">
        <v>158</v>
      </c>
      <c r="O741" s="3" t="s">
        <v>1482</v>
      </c>
      <c r="P741" s="3" t="s">
        <v>1482</v>
      </c>
      <c r="Q741" s="3" t="s">
        <v>1482</v>
      </c>
      <c r="R741" s="3" t="s">
        <v>1482</v>
      </c>
      <c r="S741" s="3" t="s">
        <v>1482</v>
      </c>
      <c r="T741" s="3" t="s">
        <v>1482</v>
      </c>
    </row>
    <row r="742" spans="1:20">
      <c r="A742" t="s">
        <v>1347</v>
      </c>
      <c r="B742" t="s">
        <v>20</v>
      </c>
      <c r="C742" t="s">
        <v>21</v>
      </c>
      <c r="D742" t="s">
        <v>1348</v>
      </c>
      <c r="E742" s="2">
        <v>46179</v>
      </c>
      <c r="F742" s="2">
        <v>46179</v>
      </c>
      <c r="G742" t="s">
        <v>20</v>
      </c>
      <c r="H742" s="2">
        <v>46179</v>
      </c>
      <c r="I742" s="2">
        <v>46179</v>
      </c>
      <c r="J742" t="s">
        <v>20</v>
      </c>
      <c r="K742">
        <v>-49.24</v>
      </c>
      <c r="L742">
        <v>-49.24</v>
      </c>
      <c r="M742">
        <v>-49.24</v>
      </c>
      <c r="N742" t="s">
        <v>158</v>
      </c>
      <c r="O742" s="3" t="s">
        <v>1482</v>
      </c>
      <c r="P742" s="3" t="s">
        <v>1482</v>
      </c>
      <c r="Q742" s="3" t="s">
        <v>1482</v>
      </c>
      <c r="R742" s="3" t="s">
        <v>1482</v>
      </c>
      <c r="S742" s="3" t="s">
        <v>1482</v>
      </c>
      <c r="T742" s="3" t="s">
        <v>1482</v>
      </c>
    </row>
    <row r="743" spans="1:20">
      <c r="A743" t="s">
        <v>1349</v>
      </c>
      <c r="B743" t="s">
        <v>20</v>
      </c>
      <c r="C743" t="s">
        <v>21</v>
      </c>
      <c r="D743" t="s">
        <v>1350</v>
      </c>
      <c r="E743" s="2">
        <v>46179</v>
      </c>
      <c r="F743" s="2">
        <v>46179</v>
      </c>
      <c r="G743" t="s">
        <v>20</v>
      </c>
      <c r="H743" s="2">
        <v>46179</v>
      </c>
      <c r="I743" s="2">
        <v>46179</v>
      </c>
      <c r="J743" t="s">
        <v>20</v>
      </c>
      <c r="K743">
        <v>-132.52000000000001</v>
      </c>
      <c r="L743">
        <v>-132.52000000000001</v>
      </c>
      <c r="M743">
        <v>-132.52000000000001</v>
      </c>
      <c r="N743" t="s">
        <v>158</v>
      </c>
      <c r="O743" s="3" t="s">
        <v>1482</v>
      </c>
      <c r="P743" s="3" t="s">
        <v>1482</v>
      </c>
      <c r="Q743" s="3" t="s">
        <v>1482</v>
      </c>
      <c r="R743" s="3" t="s">
        <v>1482</v>
      </c>
      <c r="S743" s="3" t="s">
        <v>1482</v>
      </c>
      <c r="T743" s="3" t="s">
        <v>1482</v>
      </c>
    </row>
    <row r="744" spans="1:20">
      <c r="A744" t="s">
        <v>1351</v>
      </c>
      <c r="B744" t="s">
        <v>20</v>
      </c>
      <c r="C744" t="s">
        <v>21</v>
      </c>
      <c r="D744" t="s">
        <v>1352</v>
      </c>
      <c r="E744" s="2">
        <v>46179</v>
      </c>
      <c r="F744" s="2">
        <v>46179</v>
      </c>
      <c r="G744" t="s">
        <v>20</v>
      </c>
      <c r="H744" s="2">
        <v>46179</v>
      </c>
      <c r="I744" s="2">
        <v>46179</v>
      </c>
      <c r="J744" t="s">
        <v>20</v>
      </c>
      <c r="K744">
        <v>-26.26</v>
      </c>
      <c r="L744">
        <v>-26.26</v>
      </c>
      <c r="M744">
        <v>-26.26</v>
      </c>
      <c r="N744" t="s">
        <v>158</v>
      </c>
      <c r="O744" s="3" t="s">
        <v>1482</v>
      </c>
      <c r="P744" s="3" t="s">
        <v>1482</v>
      </c>
      <c r="Q744" s="3" t="s">
        <v>1482</v>
      </c>
      <c r="R744" s="3" t="s">
        <v>1482</v>
      </c>
      <c r="S744" s="3" t="s">
        <v>1482</v>
      </c>
      <c r="T744" s="3" t="s">
        <v>1482</v>
      </c>
    </row>
    <row r="745" spans="1:20">
      <c r="A745" t="s">
        <v>1353</v>
      </c>
      <c r="B745" t="s">
        <v>20</v>
      </c>
      <c r="C745" t="s">
        <v>21</v>
      </c>
      <c r="D745" t="s">
        <v>1354</v>
      </c>
      <c r="E745" s="2">
        <v>46179</v>
      </c>
      <c r="F745" s="2">
        <v>46179</v>
      </c>
      <c r="G745" t="s">
        <v>20</v>
      </c>
      <c r="H745" s="2">
        <v>46179</v>
      </c>
      <c r="I745" s="2">
        <v>46179</v>
      </c>
      <c r="J745" t="s">
        <v>20</v>
      </c>
      <c r="K745">
        <v>-33.130000000000003</v>
      </c>
      <c r="L745">
        <v>-33.130000000000003</v>
      </c>
      <c r="M745">
        <v>-33.130000000000003</v>
      </c>
      <c r="N745" t="s">
        <v>158</v>
      </c>
      <c r="O745" s="3" t="s">
        <v>1482</v>
      </c>
      <c r="P745" s="3" t="s">
        <v>1482</v>
      </c>
      <c r="Q745" s="3" t="s">
        <v>1482</v>
      </c>
      <c r="R745" s="3" t="s">
        <v>1482</v>
      </c>
      <c r="S745" s="3" t="s">
        <v>1482</v>
      </c>
      <c r="T745" s="3" t="s">
        <v>1482</v>
      </c>
    </row>
    <row r="746" spans="1:20">
      <c r="A746" t="s">
        <v>1355</v>
      </c>
      <c r="B746" t="s">
        <v>20</v>
      </c>
      <c r="C746" t="s">
        <v>21</v>
      </c>
      <c r="D746" t="s">
        <v>1356</v>
      </c>
      <c r="E746" s="2">
        <v>46179</v>
      </c>
      <c r="F746" s="2">
        <v>46179</v>
      </c>
      <c r="G746" t="s">
        <v>20</v>
      </c>
      <c r="H746" s="2">
        <v>46179</v>
      </c>
      <c r="I746" s="2">
        <v>46179</v>
      </c>
      <c r="J746" t="s">
        <v>20</v>
      </c>
      <c r="K746">
        <v>-99.39</v>
      </c>
      <c r="L746">
        <v>-99.39</v>
      </c>
      <c r="M746">
        <v>-99.39</v>
      </c>
      <c r="N746" t="s">
        <v>158</v>
      </c>
      <c r="O746" s="3" t="s">
        <v>1482</v>
      </c>
      <c r="P746" s="3" t="s">
        <v>1482</v>
      </c>
      <c r="Q746" s="3" t="s">
        <v>1482</v>
      </c>
      <c r="R746" s="3" t="s">
        <v>1482</v>
      </c>
      <c r="S746" s="3" t="s">
        <v>1482</v>
      </c>
      <c r="T746" s="3" t="s">
        <v>1482</v>
      </c>
    </row>
    <row r="747" spans="1:20">
      <c r="A747" t="s">
        <v>1357</v>
      </c>
      <c r="B747" t="s">
        <v>20</v>
      </c>
      <c r="C747" t="s">
        <v>21</v>
      </c>
      <c r="D747" t="s">
        <v>1358</v>
      </c>
      <c r="E747" s="2">
        <v>46179</v>
      </c>
      <c r="F747" s="2">
        <v>46179</v>
      </c>
      <c r="G747" t="s">
        <v>20</v>
      </c>
      <c r="H747" s="2">
        <v>46179</v>
      </c>
      <c r="I747" s="2">
        <v>46179</v>
      </c>
      <c r="J747" t="s">
        <v>20</v>
      </c>
      <c r="K747">
        <v>-79.510000000000005</v>
      </c>
      <c r="L747">
        <v>-79.510000000000005</v>
      </c>
      <c r="M747">
        <v>-79.510000000000005</v>
      </c>
      <c r="N747" t="s">
        <v>158</v>
      </c>
      <c r="O747" s="3" t="s">
        <v>1482</v>
      </c>
      <c r="P747" s="3" t="s">
        <v>1482</v>
      </c>
      <c r="Q747" s="3" t="s">
        <v>1482</v>
      </c>
      <c r="R747" s="3" t="s">
        <v>1482</v>
      </c>
      <c r="S747" s="3" t="s">
        <v>1482</v>
      </c>
      <c r="T747" s="3" t="s">
        <v>1482</v>
      </c>
    </row>
    <row r="748" spans="1:20">
      <c r="A748" t="s">
        <v>1359</v>
      </c>
      <c r="B748" t="s">
        <v>20</v>
      </c>
      <c r="C748" t="s">
        <v>21</v>
      </c>
      <c r="D748" t="s">
        <v>1360</v>
      </c>
      <c r="E748" s="2">
        <v>46179</v>
      </c>
      <c r="F748" s="2">
        <v>46179</v>
      </c>
      <c r="G748" t="s">
        <v>20</v>
      </c>
      <c r="H748" s="2">
        <v>46179</v>
      </c>
      <c r="I748" s="2">
        <v>46179</v>
      </c>
      <c r="J748" t="s">
        <v>20</v>
      </c>
      <c r="K748">
        <v>-119.84</v>
      </c>
      <c r="L748">
        <v>-119.84</v>
      </c>
      <c r="M748">
        <v>-119.84</v>
      </c>
      <c r="N748" t="s">
        <v>158</v>
      </c>
      <c r="O748" s="3" t="s">
        <v>1482</v>
      </c>
      <c r="P748" s="3" t="s">
        <v>1482</v>
      </c>
      <c r="Q748" s="3" t="s">
        <v>1482</v>
      </c>
      <c r="R748" s="3" t="s">
        <v>1482</v>
      </c>
      <c r="S748" s="3" t="s">
        <v>1482</v>
      </c>
      <c r="T748" s="3" t="s">
        <v>1482</v>
      </c>
    </row>
    <row r="749" spans="1:20">
      <c r="A749" t="s">
        <v>1361</v>
      </c>
      <c r="B749" t="s">
        <v>20</v>
      </c>
      <c r="C749" t="s">
        <v>21</v>
      </c>
      <c r="D749" t="s">
        <v>1362</v>
      </c>
      <c r="E749" s="2">
        <v>46179</v>
      </c>
      <c r="F749" s="2">
        <v>46179</v>
      </c>
      <c r="G749" t="s">
        <v>20</v>
      </c>
      <c r="H749" s="2">
        <v>46179</v>
      </c>
      <c r="I749" s="2">
        <v>46179</v>
      </c>
      <c r="J749" t="s">
        <v>20</v>
      </c>
      <c r="K749">
        <v>-59.64</v>
      </c>
      <c r="L749">
        <v>-59.64</v>
      </c>
      <c r="M749">
        <v>-59.64</v>
      </c>
      <c r="N749" t="s">
        <v>158</v>
      </c>
      <c r="O749" s="3" t="s">
        <v>1482</v>
      </c>
      <c r="P749" s="3" t="s">
        <v>1482</v>
      </c>
      <c r="Q749" s="3" t="s">
        <v>1482</v>
      </c>
      <c r="R749" s="3" t="s">
        <v>1482</v>
      </c>
      <c r="S749" s="3" t="s">
        <v>1482</v>
      </c>
      <c r="T749" s="3" t="s">
        <v>1482</v>
      </c>
    </row>
    <row r="750" spans="1:20">
      <c r="A750" t="s">
        <v>1363</v>
      </c>
      <c r="B750" t="s">
        <v>20</v>
      </c>
      <c r="C750" t="s">
        <v>21</v>
      </c>
      <c r="D750" t="s">
        <v>1364</v>
      </c>
      <c r="E750" s="2">
        <v>46179</v>
      </c>
      <c r="F750" s="2">
        <v>46179</v>
      </c>
      <c r="G750" t="s">
        <v>20</v>
      </c>
      <c r="H750" s="2">
        <v>46179</v>
      </c>
      <c r="I750" s="2">
        <v>46179</v>
      </c>
      <c r="J750" t="s">
        <v>20</v>
      </c>
      <c r="K750">
        <v>-119.73</v>
      </c>
      <c r="L750">
        <v>-119.73</v>
      </c>
      <c r="M750">
        <v>-119.73</v>
      </c>
      <c r="N750" t="s">
        <v>158</v>
      </c>
      <c r="O750" s="3" t="s">
        <v>1482</v>
      </c>
      <c r="P750" s="3" t="s">
        <v>1482</v>
      </c>
      <c r="Q750" s="3" t="s">
        <v>1482</v>
      </c>
      <c r="R750" s="3" t="s">
        <v>1482</v>
      </c>
      <c r="S750" s="3" t="s">
        <v>1482</v>
      </c>
      <c r="T750" s="3" t="s">
        <v>1482</v>
      </c>
    </row>
    <row r="751" spans="1:20">
      <c r="A751" t="s">
        <v>1365</v>
      </c>
      <c r="B751" t="s">
        <v>20</v>
      </c>
      <c r="C751" t="s">
        <v>21</v>
      </c>
      <c r="D751" t="s">
        <v>1366</v>
      </c>
      <c r="E751" s="2">
        <v>46179</v>
      </c>
      <c r="F751" s="2">
        <v>46179</v>
      </c>
      <c r="G751" t="s">
        <v>20</v>
      </c>
      <c r="H751" s="2">
        <v>46179</v>
      </c>
      <c r="I751" s="2">
        <v>46179</v>
      </c>
      <c r="J751" t="s">
        <v>20</v>
      </c>
      <c r="K751">
        <v>-149.09</v>
      </c>
      <c r="L751">
        <v>-149.09</v>
      </c>
      <c r="M751">
        <v>-149.09</v>
      </c>
      <c r="N751" t="s">
        <v>158</v>
      </c>
      <c r="O751" s="3" t="s">
        <v>1482</v>
      </c>
      <c r="P751" s="3" t="s">
        <v>1482</v>
      </c>
      <c r="Q751" s="3" t="s">
        <v>1482</v>
      </c>
      <c r="R751" s="3" t="s">
        <v>1482</v>
      </c>
      <c r="S751" s="3" t="s">
        <v>1482</v>
      </c>
      <c r="T751" s="3" t="s">
        <v>1482</v>
      </c>
    </row>
    <row r="752" spans="1:20">
      <c r="A752" t="s">
        <v>1367</v>
      </c>
      <c r="B752" t="s">
        <v>20</v>
      </c>
      <c r="C752" t="s">
        <v>21</v>
      </c>
      <c r="D752" t="s">
        <v>1368</v>
      </c>
      <c r="E752" s="2">
        <v>46179</v>
      </c>
      <c r="F752" s="2">
        <v>46179</v>
      </c>
      <c r="G752" t="s">
        <v>20</v>
      </c>
      <c r="H752" s="2">
        <v>46179</v>
      </c>
      <c r="I752" s="2">
        <v>46179</v>
      </c>
      <c r="J752" t="s">
        <v>20</v>
      </c>
      <c r="K752">
        <v>-105.03</v>
      </c>
      <c r="L752">
        <v>-105.03</v>
      </c>
      <c r="M752">
        <v>-105.03</v>
      </c>
      <c r="N752" t="s">
        <v>158</v>
      </c>
      <c r="O752" s="3" t="s">
        <v>1482</v>
      </c>
      <c r="P752" s="3" t="s">
        <v>1482</v>
      </c>
      <c r="Q752" s="3" t="s">
        <v>1482</v>
      </c>
      <c r="R752" s="3" t="s">
        <v>1482</v>
      </c>
      <c r="S752" s="3" t="s">
        <v>1482</v>
      </c>
      <c r="T752" s="3" t="s">
        <v>1482</v>
      </c>
    </row>
    <row r="753" spans="1:20">
      <c r="A753" t="s">
        <v>1369</v>
      </c>
      <c r="B753" t="s">
        <v>20</v>
      </c>
      <c r="C753" t="s">
        <v>21</v>
      </c>
      <c r="D753" t="s">
        <v>1370</v>
      </c>
      <c r="E753" s="2">
        <v>46179</v>
      </c>
      <c r="F753" s="2">
        <v>46179</v>
      </c>
      <c r="G753" t="s">
        <v>20</v>
      </c>
      <c r="H753" s="2">
        <v>46179</v>
      </c>
      <c r="I753" s="2">
        <v>46179</v>
      </c>
      <c r="J753" t="s">
        <v>20</v>
      </c>
      <c r="K753">
        <v>-105.03</v>
      </c>
      <c r="L753">
        <v>-105.03</v>
      </c>
      <c r="M753">
        <v>-105.03</v>
      </c>
      <c r="N753" t="s">
        <v>158</v>
      </c>
      <c r="O753" s="3" t="s">
        <v>1482</v>
      </c>
      <c r="P753" s="3" t="s">
        <v>1482</v>
      </c>
      <c r="Q753" s="3" t="s">
        <v>1482</v>
      </c>
      <c r="R753" s="3" t="s">
        <v>1482</v>
      </c>
      <c r="S753" s="3" t="s">
        <v>1482</v>
      </c>
      <c r="T753" s="3" t="s">
        <v>1482</v>
      </c>
    </row>
    <row r="754" spans="1:20">
      <c r="A754" t="s">
        <v>1371</v>
      </c>
      <c r="B754" t="s">
        <v>20</v>
      </c>
      <c r="C754" t="s">
        <v>21</v>
      </c>
      <c r="D754" t="s">
        <v>1372</v>
      </c>
      <c r="E754" s="2">
        <v>46179</v>
      </c>
      <c r="F754" s="2">
        <v>46179</v>
      </c>
      <c r="G754" t="s">
        <v>20</v>
      </c>
      <c r="H754" s="2">
        <v>46179</v>
      </c>
      <c r="I754" s="2">
        <v>46179</v>
      </c>
      <c r="J754" t="s">
        <v>20</v>
      </c>
      <c r="K754">
        <v>-33.130000000000003</v>
      </c>
      <c r="L754">
        <v>-33.130000000000003</v>
      </c>
      <c r="M754">
        <v>-33.130000000000003</v>
      </c>
      <c r="N754" t="s">
        <v>158</v>
      </c>
      <c r="O754" s="3" t="s">
        <v>1482</v>
      </c>
      <c r="P754" s="3" t="s">
        <v>1482</v>
      </c>
      <c r="Q754" s="3" t="s">
        <v>1482</v>
      </c>
      <c r="R754" s="3" t="s">
        <v>1482</v>
      </c>
      <c r="S754" s="3" t="s">
        <v>1482</v>
      </c>
      <c r="T754" s="3" t="s">
        <v>1482</v>
      </c>
    </row>
    <row r="755" spans="1:20">
      <c r="A755" t="s">
        <v>1373</v>
      </c>
      <c r="B755" t="s">
        <v>20</v>
      </c>
      <c r="C755" t="s">
        <v>21</v>
      </c>
      <c r="D755" t="s">
        <v>1374</v>
      </c>
      <c r="E755" s="2">
        <v>46179</v>
      </c>
      <c r="F755" s="2">
        <v>46179</v>
      </c>
      <c r="G755" t="s">
        <v>20</v>
      </c>
      <c r="H755" s="2">
        <v>46179</v>
      </c>
      <c r="I755" s="2">
        <v>46179</v>
      </c>
      <c r="J755" t="s">
        <v>20</v>
      </c>
      <c r="K755">
        <v>-132.52000000000001</v>
      </c>
      <c r="L755">
        <v>-132.52000000000001</v>
      </c>
      <c r="M755">
        <v>-132.52000000000001</v>
      </c>
      <c r="N755" t="s">
        <v>158</v>
      </c>
      <c r="O755" s="3" t="s">
        <v>1482</v>
      </c>
      <c r="P755" s="3" t="s">
        <v>1482</v>
      </c>
      <c r="Q755" s="3" t="s">
        <v>1482</v>
      </c>
      <c r="R755" s="3" t="s">
        <v>1482</v>
      </c>
      <c r="S755" s="3" t="s">
        <v>1482</v>
      </c>
      <c r="T755" s="3" t="s">
        <v>1482</v>
      </c>
    </row>
    <row r="756" spans="1:20">
      <c r="A756" t="s">
        <v>1375</v>
      </c>
      <c r="B756" t="s">
        <v>20</v>
      </c>
      <c r="C756" t="s">
        <v>21</v>
      </c>
      <c r="D756" t="s">
        <v>1376</v>
      </c>
      <c r="E756" s="2">
        <v>46179</v>
      </c>
      <c r="F756" s="2">
        <v>46179</v>
      </c>
      <c r="G756" t="s">
        <v>20</v>
      </c>
      <c r="H756" s="2">
        <v>46179</v>
      </c>
      <c r="I756" s="2">
        <v>46179</v>
      </c>
      <c r="J756" t="s">
        <v>20</v>
      </c>
      <c r="K756">
        <v>-33.130000000000003</v>
      </c>
      <c r="L756">
        <v>-33.130000000000003</v>
      </c>
      <c r="M756">
        <v>-33.130000000000003</v>
      </c>
      <c r="N756" t="s">
        <v>158</v>
      </c>
      <c r="O756" s="3" t="s">
        <v>1482</v>
      </c>
      <c r="P756" s="3" t="s">
        <v>1482</v>
      </c>
      <c r="Q756" s="3" t="s">
        <v>1482</v>
      </c>
      <c r="R756" s="3" t="s">
        <v>1482</v>
      </c>
      <c r="S756" s="3" t="s">
        <v>1482</v>
      </c>
      <c r="T756" s="3" t="s">
        <v>1482</v>
      </c>
    </row>
    <row r="757" spans="1:20">
      <c r="A757" t="s">
        <v>1377</v>
      </c>
      <c r="B757" t="s">
        <v>20</v>
      </c>
      <c r="C757" t="s">
        <v>21</v>
      </c>
      <c r="D757" t="s">
        <v>1378</v>
      </c>
      <c r="E757" s="2">
        <v>46179</v>
      </c>
      <c r="F757" s="2">
        <v>46179</v>
      </c>
      <c r="G757" t="s">
        <v>20</v>
      </c>
      <c r="H757" s="2">
        <v>46179</v>
      </c>
      <c r="I757" s="2">
        <v>46179</v>
      </c>
      <c r="J757" t="s">
        <v>20</v>
      </c>
      <c r="K757">
        <v>-78.78</v>
      </c>
      <c r="L757">
        <v>-78.78</v>
      </c>
      <c r="M757">
        <v>-78.78</v>
      </c>
      <c r="N757" t="s">
        <v>158</v>
      </c>
      <c r="O757" s="3" t="s">
        <v>1482</v>
      </c>
      <c r="P757" s="3" t="s">
        <v>1482</v>
      </c>
      <c r="Q757" s="3" t="s">
        <v>1482</v>
      </c>
      <c r="R757" s="3" t="s">
        <v>1482</v>
      </c>
      <c r="S757" s="3" t="s">
        <v>1482</v>
      </c>
      <c r="T757" s="3" t="s">
        <v>1482</v>
      </c>
    </row>
    <row r="758" spans="1:20">
      <c r="A758" t="s">
        <v>1379</v>
      </c>
      <c r="B758" t="s">
        <v>20</v>
      </c>
      <c r="C758" t="s">
        <v>21</v>
      </c>
      <c r="D758" t="s">
        <v>1380</v>
      </c>
      <c r="E758" s="2">
        <v>46179</v>
      </c>
      <c r="F758" s="2">
        <v>46179</v>
      </c>
      <c r="G758" t="s">
        <v>20</v>
      </c>
      <c r="H758" s="2">
        <v>46179</v>
      </c>
      <c r="I758" s="2">
        <v>46179</v>
      </c>
      <c r="J758" t="s">
        <v>20</v>
      </c>
      <c r="K758">
        <v>-86.33</v>
      </c>
      <c r="L758">
        <v>-86.33</v>
      </c>
      <c r="M758">
        <v>-86.33</v>
      </c>
      <c r="N758" t="s">
        <v>158</v>
      </c>
      <c r="O758" s="3" t="s">
        <v>1482</v>
      </c>
      <c r="P758" s="3" t="s">
        <v>1482</v>
      </c>
      <c r="Q758" s="3" t="s">
        <v>1482</v>
      </c>
      <c r="R758" s="3" t="s">
        <v>1482</v>
      </c>
      <c r="S758" s="3" t="s">
        <v>1482</v>
      </c>
      <c r="T758" s="3" t="s">
        <v>1482</v>
      </c>
    </row>
    <row r="759" spans="1:20">
      <c r="A759" t="s">
        <v>1381</v>
      </c>
      <c r="B759" t="s">
        <v>20</v>
      </c>
      <c r="C759" t="s">
        <v>21</v>
      </c>
      <c r="D759" t="s">
        <v>1382</v>
      </c>
      <c r="E759" s="2">
        <v>46179</v>
      </c>
      <c r="F759" s="2">
        <v>46179</v>
      </c>
      <c r="G759" t="s">
        <v>20</v>
      </c>
      <c r="H759" s="2">
        <v>46179</v>
      </c>
      <c r="I759" s="2">
        <v>46179</v>
      </c>
      <c r="J759" t="s">
        <v>20</v>
      </c>
      <c r="K759">
        <v>-165.65</v>
      </c>
      <c r="L759">
        <v>-165.65</v>
      </c>
      <c r="M759">
        <v>-165.65</v>
      </c>
      <c r="N759" t="s">
        <v>158</v>
      </c>
      <c r="O759" s="3" t="s">
        <v>1482</v>
      </c>
      <c r="P759" s="3" t="s">
        <v>1482</v>
      </c>
      <c r="Q759" s="3" t="s">
        <v>1482</v>
      </c>
      <c r="R759" s="3" t="s">
        <v>1482</v>
      </c>
      <c r="S759" s="3" t="s">
        <v>1482</v>
      </c>
      <c r="T759" s="3" t="s">
        <v>1482</v>
      </c>
    </row>
    <row r="760" spans="1:20">
      <c r="A760" t="s">
        <v>1383</v>
      </c>
      <c r="B760" t="s">
        <v>20</v>
      </c>
      <c r="C760" t="s">
        <v>21</v>
      </c>
      <c r="D760" t="s">
        <v>1384</v>
      </c>
      <c r="E760" s="2">
        <v>46179</v>
      </c>
      <c r="F760" s="2">
        <v>46179</v>
      </c>
      <c r="G760" t="s">
        <v>20</v>
      </c>
      <c r="H760" s="2">
        <v>46179</v>
      </c>
      <c r="I760" s="2">
        <v>46179</v>
      </c>
      <c r="J760" t="s">
        <v>20</v>
      </c>
      <c r="K760">
        <v>-132.52000000000001</v>
      </c>
      <c r="L760">
        <v>-132.52000000000001</v>
      </c>
      <c r="M760">
        <v>-132.52000000000001</v>
      </c>
      <c r="N760" t="s">
        <v>158</v>
      </c>
      <c r="O760" s="3" t="s">
        <v>1482</v>
      </c>
      <c r="P760" s="3" t="s">
        <v>1482</v>
      </c>
      <c r="Q760" s="3" t="s">
        <v>1482</v>
      </c>
      <c r="R760" s="3" t="s">
        <v>1482</v>
      </c>
      <c r="S760" s="3" t="s">
        <v>1482</v>
      </c>
      <c r="T760" s="3" t="s">
        <v>1482</v>
      </c>
    </row>
    <row r="761" spans="1:20">
      <c r="A761" t="s">
        <v>1385</v>
      </c>
      <c r="B761" t="s">
        <v>20</v>
      </c>
      <c r="C761" t="s">
        <v>21</v>
      </c>
      <c r="D761" t="s">
        <v>1386</v>
      </c>
      <c r="E761" s="2">
        <v>46179</v>
      </c>
      <c r="F761" s="2">
        <v>46179</v>
      </c>
      <c r="G761" t="s">
        <v>20</v>
      </c>
      <c r="H761" s="2">
        <v>46179</v>
      </c>
      <c r="I761" s="2">
        <v>46179</v>
      </c>
      <c r="J761" t="s">
        <v>20</v>
      </c>
      <c r="K761">
        <v>-99.39</v>
      </c>
      <c r="L761">
        <v>-99.39</v>
      </c>
      <c r="M761">
        <v>-99.39</v>
      </c>
      <c r="N761" t="s">
        <v>158</v>
      </c>
      <c r="O761" s="3" t="s">
        <v>1482</v>
      </c>
      <c r="P761" s="3" t="s">
        <v>1482</v>
      </c>
      <c r="Q761" s="3" t="s">
        <v>1482</v>
      </c>
      <c r="R761" s="3" t="s">
        <v>1482</v>
      </c>
      <c r="S761" s="3" t="s">
        <v>1482</v>
      </c>
      <c r="T761" s="3" t="s">
        <v>1482</v>
      </c>
    </row>
    <row r="762" spans="1:20">
      <c r="A762" t="s">
        <v>1387</v>
      </c>
      <c r="B762" t="s">
        <v>20</v>
      </c>
      <c r="C762" t="s">
        <v>21</v>
      </c>
      <c r="D762" t="s">
        <v>1388</v>
      </c>
      <c r="E762" s="2">
        <v>46179</v>
      </c>
      <c r="F762" s="2">
        <v>46179</v>
      </c>
      <c r="G762" t="s">
        <v>20</v>
      </c>
      <c r="H762" s="2">
        <v>46179</v>
      </c>
      <c r="I762" s="2">
        <v>46179</v>
      </c>
      <c r="J762" t="s">
        <v>20</v>
      </c>
      <c r="K762">
        <v>-33.130000000000003</v>
      </c>
      <c r="L762">
        <v>-33.130000000000003</v>
      </c>
      <c r="M762">
        <v>-33.130000000000003</v>
      </c>
      <c r="N762" t="s">
        <v>158</v>
      </c>
      <c r="O762" s="3" t="s">
        <v>1482</v>
      </c>
      <c r="P762" s="3" t="s">
        <v>1482</v>
      </c>
      <c r="Q762" s="3" t="s">
        <v>1482</v>
      </c>
      <c r="R762" s="3" t="s">
        <v>1482</v>
      </c>
      <c r="S762" s="3" t="s">
        <v>1482</v>
      </c>
      <c r="T762" s="3" t="s">
        <v>1482</v>
      </c>
    </row>
    <row r="763" spans="1:20">
      <c r="A763" t="s">
        <v>1389</v>
      </c>
      <c r="B763" t="s">
        <v>20</v>
      </c>
      <c r="C763" t="s">
        <v>21</v>
      </c>
      <c r="D763" t="s">
        <v>1390</v>
      </c>
      <c r="E763" s="2">
        <v>46179</v>
      </c>
      <c r="F763" s="2">
        <v>46179</v>
      </c>
      <c r="G763" t="s">
        <v>20</v>
      </c>
      <c r="H763" s="2">
        <v>46179</v>
      </c>
      <c r="I763" s="2">
        <v>46179</v>
      </c>
      <c r="J763" t="s">
        <v>20</v>
      </c>
      <c r="K763">
        <v>-231.91</v>
      </c>
      <c r="L763">
        <v>-231.91</v>
      </c>
      <c r="M763">
        <v>-231.91</v>
      </c>
      <c r="N763" t="s">
        <v>158</v>
      </c>
      <c r="O763" s="3" t="s">
        <v>1482</v>
      </c>
      <c r="P763" s="3" t="s">
        <v>1482</v>
      </c>
      <c r="Q763" s="3" t="s">
        <v>1482</v>
      </c>
      <c r="R763" s="3" t="s">
        <v>1482</v>
      </c>
      <c r="S763" s="3" t="s">
        <v>1482</v>
      </c>
      <c r="T763" s="3" t="s">
        <v>1482</v>
      </c>
    </row>
    <row r="764" spans="1:20">
      <c r="A764" t="s">
        <v>1391</v>
      </c>
      <c r="B764" t="s">
        <v>20</v>
      </c>
      <c r="C764" t="s">
        <v>21</v>
      </c>
      <c r="D764" t="s">
        <v>1392</v>
      </c>
      <c r="E764" s="2">
        <v>46179</v>
      </c>
      <c r="F764" s="2">
        <v>46179</v>
      </c>
      <c r="G764" t="s">
        <v>20</v>
      </c>
      <c r="H764" s="2">
        <v>46179</v>
      </c>
      <c r="I764" s="2">
        <v>46179</v>
      </c>
      <c r="J764" t="s">
        <v>20</v>
      </c>
      <c r="K764">
        <v>-99.39</v>
      </c>
      <c r="L764">
        <v>-99.39</v>
      </c>
      <c r="M764">
        <v>-99.39</v>
      </c>
      <c r="N764" t="s">
        <v>158</v>
      </c>
      <c r="O764" s="3" t="s">
        <v>1482</v>
      </c>
      <c r="P764" s="3" t="s">
        <v>1482</v>
      </c>
      <c r="Q764" s="3" t="s">
        <v>1482</v>
      </c>
      <c r="R764" s="3" t="s">
        <v>1482</v>
      </c>
      <c r="S764" s="3" t="s">
        <v>1482</v>
      </c>
      <c r="T764" s="3" t="s">
        <v>1482</v>
      </c>
    </row>
    <row r="765" spans="1:20">
      <c r="A765" t="s">
        <v>1393</v>
      </c>
      <c r="B765" t="s">
        <v>20</v>
      </c>
      <c r="C765" t="s">
        <v>21</v>
      </c>
      <c r="D765" t="s">
        <v>1394</v>
      </c>
      <c r="E765" s="2">
        <v>46179</v>
      </c>
      <c r="F765" s="2">
        <v>46179</v>
      </c>
      <c r="G765" t="s">
        <v>20</v>
      </c>
      <c r="H765" s="2">
        <v>46179</v>
      </c>
      <c r="I765" s="2">
        <v>46179</v>
      </c>
      <c r="J765" t="s">
        <v>20</v>
      </c>
      <c r="K765">
        <v>-52.52</v>
      </c>
      <c r="L765">
        <v>-52.52</v>
      </c>
      <c r="M765">
        <v>-52.52</v>
      </c>
      <c r="N765" t="s">
        <v>158</v>
      </c>
      <c r="O765" s="3" t="s">
        <v>1482</v>
      </c>
      <c r="P765" s="3" t="s">
        <v>1482</v>
      </c>
      <c r="Q765" s="3" t="s">
        <v>1482</v>
      </c>
      <c r="R765" s="3" t="s">
        <v>1482</v>
      </c>
      <c r="S765" s="3" t="s">
        <v>1482</v>
      </c>
      <c r="T765" s="3" t="s">
        <v>1482</v>
      </c>
    </row>
    <row r="766" spans="1:20">
      <c r="A766" t="s">
        <v>1395</v>
      </c>
      <c r="B766" t="s">
        <v>20</v>
      </c>
      <c r="C766" t="s">
        <v>21</v>
      </c>
      <c r="D766" t="s">
        <v>1396</v>
      </c>
      <c r="E766" s="2">
        <v>46179</v>
      </c>
      <c r="F766" s="2">
        <v>46179</v>
      </c>
      <c r="G766" t="s">
        <v>20</v>
      </c>
      <c r="H766" s="2">
        <v>46179</v>
      </c>
      <c r="I766" s="2">
        <v>46179</v>
      </c>
      <c r="J766" t="s">
        <v>20</v>
      </c>
      <c r="K766">
        <v>-57.55</v>
      </c>
      <c r="L766">
        <v>-57.55</v>
      </c>
      <c r="M766">
        <v>-57.55</v>
      </c>
      <c r="N766" t="s">
        <v>158</v>
      </c>
      <c r="O766" s="3" t="s">
        <v>1482</v>
      </c>
      <c r="P766" s="3" t="s">
        <v>1482</v>
      </c>
      <c r="Q766" s="3" t="s">
        <v>1482</v>
      </c>
      <c r="R766" s="3" t="s">
        <v>1482</v>
      </c>
      <c r="S766" s="3" t="s">
        <v>1482</v>
      </c>
      <c r="T766" s="3" t="s">
        <v>1482</v>
      </c>
    </row>
    <row r="767" spans="1:20">
      <c r="A767" t="s">
        <v>1397</v>
      </c>
      <c r="B767" t="s">
        <v>20</v>
      </c>
      <c r="C767" t="s">
        <v>21</v>
      </c>
      <c r="D767" t="s">
        <v>1398</v>
      </c>
      <c r="E767" s="2">
        <v>46179</v>
      </c>
      <c r="F767" s="2">
        <v>46179</v>
      </c>
      <c r="G767" t="s">
        <v>20</v>
      </c>
      <c r="H767" s="2">
        <v>46179</v>
      </c>
      <c r="I767" s="2">
        <v>46179</v>
      </c>
      <c r="J767" t="s">
        <v>20</v>
      </c>
      <c r="K767">
        <v>-131.29</v>
      </c>
      <c r="L767">
        <v>-131.29</v>
      </c>
      <c r="M767">
        <v>-131.29</v>
      </c>
      <c r="N767" t="s">
        <v>158</v>
      </c>
      <c r="O767" s="3" t="s">
        <v>1482</v>
      </c>
      <c r="P767" s="3" t="s">
        <v>1482</v>
      </c>
      <c r="Q767" s="3" t="s">
        <v>1482</v>
      </c>
      <c r="R767" s="3" t="s">
        <v>1482</v>
      </c>
      <c r="S767" s="3" t="s">
        <v>1482</v>
      </c>
      <c r="T767" s="3" t="s">
        <v>1482</v>
      </c>
    </row>
    <row r="768" spans="1:20">
      <c r="A768" t="s">
        <v>1399</v>
      </c>
      <c r="B768" t="s">
        <v>20</v>
      </c>
      <c r="C768" t="s">
        <v>21</v>
      </c>
      <c r="D768" t="s">
        <v>1400</v>
      </c>
      <c r="E768" s="2">
        <v>46179</v>
      </c>
      <c r="F768" s="2">
        <v>46179</v>
      </c>
      <c r="G768" t="s">
        <v>20</v>
      </c>
      <c r="H768" s="2">
        <v>46179</v>
      </c>
      <c r="I768" s="2">
        <v>46179</v>
      </c>
      <c r="J768" t="s">
        <v>20</v>
      </c>
      <c r="K768">
        <v>-24.62</v>
      </c>
      <c r="L768">
        <v>-24.62</v>
      </c>
      <c r="M768">
        <v>-24.62</v>
      </c>
      <c r="N768" t="s">
        <v>158</v>
      </c>
      <c r="O768" s="3" t="s">
        <v>1482</v>
      </c>
      <c r="P768" s="3" t="s">
        <v>1482</v>
      </c>
      <c r="Q768" s="3" t="s">
        <v>1482</v>
      </c>
      <c r="R768" s="3" t="s">
        <v>1482</v>
      </c>
      <c r="S768" s="3" t="s">
        <v>1482</v>
      </c>
      <c r="T768" s="3" t="s">
        <v>1482</v>
      </c>
    </row>
    <row r="769" spans="1:20">
      <c r="A769" t="s">
        <v>1401</v>
      </c>
      <c r="B769" t="s">
        <v>20</v>
      </c>
      <c r="C769" t="s">
        <v>21</v>
      </c>
      <c r="D769" t="s">
        <v>1402</v>
      </c>
      <c r="E769" s="2">
        <v>46179</v>
      </c>
      <c r="F769" s="2">
        <v>46179</v>
      </c>
      <c r="G769" t="s">
        <v>20</v>
      </c>
      <c r="H769" s="2">
        <v>46179</v>
      </c>
      <c r="I769" s="2">
        <v>46179</v>
      </c>
      <c r="J769" t="s">
        <v>20</v>
      </c>
      <c r="K769">
        <v>-52.52</v>
      </c>
      <c r="L769">
        <v>-52.52</v>
      </c>
      <c r="M769">
        <v>-52.52</v>
      </c>
      <c r="N769" t="s">
        <v>158</v>
      </c>
      <c r="O769" s="3" t="s">
        <v>1482</v>
      </c>
      <c r="P769" s="3" t="s">
        <v>1482</v>
      </c>
      <c r="Q769" s="3" t="s">
        <v>1482</v>
      </c>
      <c r="R769" s="3" t="s">
        <v>1482</v>
      </c>
      <c r="S769" s="3" t="s">
        <v>1482</v>
      </c>
      <c r="T769" s="3" t="s">
        <v>1482</v>
      </c>
    </row>
    <row r="770" spans="1:20">
      <c r="A770" t="s">
        <v>1403</v>
      </c>
      <c r="B770" t="s">
        <v>20</v>
      </c>
      <c r="C770" t="s">
        <v>21</v>
      </c>
      <c r="D770" t="s">
        <v>1404</v>
      </c>
      <c r="E770" s="2">
        <v>46179</v>
      </c>
      <c r="F770" s="2">
        <v>46179</v>
      </c>
      <c r="G770" t="s">
        <v>20</v>
      </c>
      <c r="H770" s="2">
        <v>46179</v>
      </c>
      <c r="I770" s="2">
        <v>46179</v>
      </c>
      <c r="J770" t="s">
        <v>20</v>
      </c>
      <c r="K770">
        <v>-105.03</v>
      </c>
      <c r="L770">
        <v>-105.03</v>
      </c>
      <c r="M770">
        <v>-105.03</v>
      </c>
      <c r="N770" t="s">
        <v>158</v>
      </c>
      <c r="O770" s="3" t="s">
        <v>1482</v>
      </c>
      <c r="P770" s="3" t="s">
        <v>1482</v>
      </c>
      <c r="Q770" s="3" t="s">
        <v>1482</v>
      </c>
      <c r="R770" s="3" t="s">
        <v>1482</v>
      </c>
      <c r="S770" s="3" t="s">
        <v>1482</v>
      </c>
      <c r="T770" s="3" t="s">
        <v>1482</v>
      </c>
    </row>
    <row r="771" spans="1:20">
      <c r="A771" t="s">
        <v>1405</v>
      </c>
      <c r="B771" t="s">
        <v>20</v>
      </c>
      <c r="C771" t="s">
        <v>21</v>
      </c>
      <c r="D771" t="s">
        <v>1406</v>
      </c>
      <c r="E771" s="2">
        <v>46179</v>
      </c>
      <c r="F771" s="2">
        <v>46179</v>
      </c>
      <c r="G771" t="s">
        <v>20</v>
      </c>
      <c r="H771" s="2">
        <v>46179</v>
      </c>
      <c r="I771" s="2">
        <v>46179</v>
      </c>
      <c r="J771" t="s">
        <v>20</v>
      </c>
      <c r="K771">
        <v>-77.319999999999993</v>
      </c>
      <c r="L771">
        <v>-77.319999999999993</v>
      </c>
      <c r="M771">
        <v>-77.319999999999993</v>
      </c>
      <c r="N771" t="s">
        <v>158</v>
      </c>
      <c r="O771" s="3" t="s">
        <v>1482</v>
      </c>
      <c r="P771" s="3" t="s">
        <v>1482</v>
      </c>
      <c r="Q771" s="3" t="s">
        <v>1482</v>
      </c>
      <c r="R771" s="3" t="s">
        <v>1482</v>
      </c>
      <c r="S771" s="3" t="s">
        <v>1482</v>
      </c>
      <c r="T771" s="3" t="s">
        <v>1482</v>
      </c>
    </row>
    <row r="772" spans="1:20">
      <c r="A772" t="s">
        <v>1407</v>
      </c>
      <c r="B772" t="s">
        <v>20</v>
      </c>
      <c r="C772" t="s">
        <v>21</v>
      </c>
      <c r="D772" t="s">
        <v>1408</v>
      </c>
      <c r="E772" s="2">
        <v>46179</v>
      </c>
      <c r="F772" s="2">
        <v>46179</v>
      </c>
      <c r="G772" t="s">
        <v>20</v>
      </c>
      <c r="H772" s="2">
        <v>46179</v>
      </c>
      <c r="I772" s="2">
        <v>46179</v>
      </c>
      <c r="J772" t="s">
        <v>20</v>
      </c>
      <c r="K772">
        <v>-33.130000000000003</v>
      </c>
      <c r="L772">
        <v>-33.130000000000003</v>
      </c>
      <c r="M772">
        <v>-33.130000000000003</v>
      </c>
      <c r="N772" t="s">
        <v>158</v>
      </c>
      <c r="O772" s="3" t="s">
        <v>1482</v>
      </c>
      <c r="P772" s="3" t="s">
        <v>1482</v>
      </c>
      <c r="Q772" s="3" t="s">
        <v>1482</v>
      </c>
      <c r="R772" s="3" t="s">
        <v>1482</v>
      </c>
      <c r="S772" s="3" t="s">
        <v>1482</v>
      </c>
      <c r="T772" s="3" t="s">
        <v>1482</v>
      </c>
    </row>
    <row r="773" spans="1:20">
      <c r="A773" t="s">
        <v>1409</v>
      </c>
      <c r="B773" t="s">
        <v>20</v>
      </c>
      <c r="C773" t="s">
        <v>21</v>
      </c>
      <c r="D773" t="s">
        <v>1410</v>
      </c>
      <c r="E773" s="2">
        <v>46179</v>
      </c>
      <c r="F773" s="2">
        <v>46179</v>
      </c>
      <c r="G773" t="s">
        <v>20</v>
      </c>
      <c r="H773" s="2">
        <v>46179</v>
      </c>
      <c r="I773" s="2">
        <v>46179</v>
      </c>
      <c r="J773" t="s">
        <v>20</v>
      </c>
      <c r="K773">
        <v>-113.84</v>
      </c>
      <c r="L773">
        <v>-113.84</v>
      </c>
      <c r="M773">
        <v>-113.84</v>
      </c>
      <c r="N773" t="s">
        <v>158</v>
      </c>
      <c r="O773" s="3" t="s">
        <v>1482</v>
      </c>
      <c r="P773" s="3" t="s">
        <v>1482</v>
      </c>
      <c r="Q773" s="3" t="s">
        <v>1482</v>
      </c>
      <c r="R773" s="3" t="s">
        <v>1482</v>
      </c>
      <c r="S773" s="3" t="s">
        <v>1482</v>
      </c>
      <c r="T773" s="3" t="s">
        <v>1482</v>
      </c>
    </row>
    <row r="774" spans="1:20">
      <c r="A774" t="s">
        <v>1411</v>
      </c>
      <c r="B774" t="s">
        <v>20</v>
      </c>
      <c r="C774" t="s">
        <v>21</v>
      </c>
      <c r="D774" t="s">
        <v>1412</v>
      </c>
      <c r="E774" s="2">
        <v>46179</v>
      </c>
      <c r="F774" s="2">
        <v>46179</v>
      </c>
      <c r="G774" t="s">
        <v>20</v>
      </c>
      <c r="H774" s="2">
        <v>46179</v>
      </c>
      <c r="I774" s="2">
        <v>46179</v>
      </c>
      <c r="J774" t="s">
        <v>20</v>
      </c>
      <c r="K774">
        <v>-99.39</v>
      </c>
      <c r="L774">
        <v>-99.39</v>
      </c>
      <c r="M774">
        <v>-99.39</v>
      </c>
      <c r="N774" t="s">
        <v>158</v>
      </c>
      <c r="O774" s="3" t="s">
        <v>1482</v>
      </c>
      <c r="P774" s="3" t="s">
        <v>1482</v>
      </c>
      <c r="Q774" s="3" t="s">
        <v>1482</v>
      </c>
      <c r="R774" s="3" t="s">
        <v>1482</v>
      </c>
      <c r="S774" s="3" t="s">
        <v>1482</v>
      </c>
      <c r="T774" s="3" t="s">
        <v>1482</v>
      </c>
    </row>
    <row r="775" spans="1:20">
      <c r="A775" t="s">
        <v>1413</v>
      </c>
      <c r="B775" t="s">
        <v>20</v>
      </c>
      <c r="C775" t="s">
        <v>21</v>
      </c>
      <c r="D775" t="s">
        <v>1414</v>
      </c>
      <c r="E775" s="2">
        <v>46179</v>
      </c>
      <c r="F775" s="2">
        <v>46179</v>
      </c>
      <c r="G775" t="s">
        <v>20</v>
      </c>
      <c r="H775" s="2">
        <v>46179</v>
      </c>
      <c r="I775" s="2">
        <v>46179</v>
      </c>
      <c r="J775" t="s">
        <v>20</v>
      </c>
      <c r="K775">
        <v>-29.82</v>
      </c>
      <c r="L775">
        <v>-29.82</v>
      </c>
      <c r="M775">
        <v>-29.82</v>
      </c>
      <c r="N775" t="s">
        <v>158</v>
      </c>
      <c r="O775" s="3" t="s">
        <v>1482</v>
      </c>
      <c r="P775" s="3" t="s">
        <v>1482</v>
      </c>
      <c r="Q775" s="3" t="s">
        <v>1482</v>
      </c>
      <c r="R775" s="3" t="s">
        <v>1482</v>
      </c>
      <c r="S775" s="3" t="s">
        <v>1482</v>
      </c>
      <c r="T775" s="3" t="s">
        <v>1482</v>
      </c>
    </row>
    <row r="776" spans="1:20">
      <c r="A776" t="s">
        <v>1415</v>
      </c>
      <c r="B776" t="s">
        <v>20</v>
      </c>
      <c r="C776" t="s">
        <v>21</v>
      </c>
      <c r="D776" t="s">
        <v>1416</v>
      </c>
      <c r="E776" s="2">
        <v>46179</v>
      </c>
      <c r="F776" s="2">
        <v>46179</v>
      </c>
      <c r="G776" t="s">
        <v>20</v>
      </c>
      <c r="H776" s="2">
        <v>46179</v>
      </c>
      <c r="I776" s="2">
        <v>46179</v>
      </c>
      <c r="J776" t="s">
        <v>20</v>
      </c>
      <c r="K776">
        <v>-99.39</v>
      </c>
      <c r="L776">
        <v>-99.39</v>
      </c>
      <c r="M776">
        <v>-99.39</v>
      </c>
      <c r="N776" t="s">
        <v>158</v>
      </c>
      <c r="O776" s="3" t="s">
        <v>1482</v>
      </c>
      <c r="P776" s="3" t="s">
        <v>1482</v>
      </c>
      <c r="Q776" s="3" t="s">
        <v>1482</v>
      </c>
      <c r="R776" s="3" t="s">
        <v>1482</v>
      </c>
      <c r="S776" s="3" t="s">
        <v>1482</v>
      </c>
      <c r="T776" s="3" t="s">
        <v>1482</v>
      </c>
    </row>
    <row r="777" spans="1:20">
      <c r="A777" t="s">
        <v>1417</v>
      </c>
      <c r="B777" t="s">
        <v>20</v>
      </c>
      <c r="C777" t="s">
        <v>21</v>
      </c>
      <c r="D777" t="s">
        <v>1418</v>
      </c>
      <c r="E777" s="2">
        <v>46179</v>
      </c>
      <c r="F777" s="2">
        <v>46179</v>
      </c>
      <c r="G777" t="s">
        <v>20</v>
      </c>
      <c r="H777" s="2">
        <v>46179</v>
      </c>
      <c r="I777" s="2">
        <v>46179</v>
      </c>
      <c r="J777" t="s">
        <v>20</v>
      </c>
      <c r="K777">
        <v>-89.45</v>
      </c>
      <c r="L777">
        <v>-89.45</v>
      </c>
      <c r="M777">
        <v>-89.45</v>
      </c>
      <c r="N777" t="s">
        <v>158</v>
      </c>
      <c r="O777" s="3" t="s">
        <v>1482</v>
      </c>
      <c r="P777" s="3" t="s">
        <v>1482</v>
      </c>
      <c r="Q777" s="3" t="s">
        <v>1482</v>
      </c>
      <c r="R777" s="3" t="s">
        <v>1482</v>
      </c>
      <c r="S777" s="3" t="s">
        <v>1482</v>
      </c>
      <c r="T777" s="3" t="s">
        <v>1482</v>
      </c>
    </row>
    <row r="778" spans="1:20">
      <c r="A778" t="s">
        <v>1419</v>
      </c>
      <c r="B778" t="s">
        <v>20</v>
      </c>
      <c r="C778" t="s">
        <v>21</v>
      </c>
      <c r="D778" t="s">
        <v>1420</v>
      </c>
      <c r="E778" s="2">
        <v>46179</v>
      </c>
      <c r="F778" s="2">
        <v>46179</v>
      </c>
      <c r="G778" t="s">
        <v>20</v>
      </c>
      <c r="H778" s="2">
        <v>46179</v>
      </c>
      <c r="I778" s="2">
        <v>46179</v>
      </c>
      <c r="J778" t="s">
        <v>20</v>
      </c>
      <c r="K778">
        <v>-71.900000000000006</v>
      </c>
      <c r="L778">
        <v>-71.900000000000006</v>
      </c>
      <c r="M778">
        <v>-71.900000000000006</v>
      </c>
      <c r="N778" t="s">
        <v>158</v>
      </c>
      <c r="O778" s="3" t="s">
        <v>1482</v>
      </c>
      <c r="P778" s="3" t="s">
        <v>1482</v>
      </c>
      <c r="Q778" s="3" t="s">
        <v>1482</v>
      </c>
      <c r="R778" s="3" t="s">
        <v>1482</v>
      </c>
      <c r="S778" s="3" t="s">
        <v>1482</v>
      </c>
      <c r="T778" s="3" t="s">
        <v>1482</v>
      </c>
    </row>
    <row r="779" spans="1:20">
      <c r="A779" t="s">
        <v>1421</v>
      </c>
      <c r="B779" t="s">
        <v>20</v>
      </c>
      <c r="C779" t="s">
        <v>21</v>
      </c>
      <c r="D779" t="s">
        <v>1422</v>
      </c>
      <c r="E779" s="2">
        <v>46179</v>
      </c>
      <c r="F779" s="2">
        <v>46179</v>
      </c>
      <c r="G779" t="s">
        <v>20</v>
      </c>
      <c r="H779" s="2">
        <v>46179</v>
      </c>
      <c r="I779" s="2">
        <v>46179</v>
      </c>
      <c r="J779" t="s">
        <v>20</v>
      </c>
      <c r="K779">
        <v>-57.55</v>
      </c>
      <c r="L779">
        <v>-57.55</v>
      </c>
      <c r="M779">
        <v>-57.55</v>
      </c>
      <c r="N779" t="s">
        <v>158</v>
      </c>
      <c r="O779" s="3" t="s">
        <v>1482</v>
      </c>
      <c r="P779" s="3" t="s">
        <v>1482</v>
      </c>
      <c r="Q779" s="3" t="s">
        <v>1482</v>
      </c>
      <c r="R779" s="3" t="s">
        <v>1482</v>
      </c>
      <c r="S779" s="3" t="s">
        <v>1482</v>
      </c>
      <c r="T779" s="3" t="s">
        <v>1482</v>
      </c>
    </row>
    <row r="780" spans="1:20">
      <c r="A780" t="s">
        <v>1423</v>
      </c>
      <c r="B780" t="s">
        <v>20</v>
      </c>
      <c r="C780" t="s">
        <v>21</v>
      </c>
      <c r="D780" t="s">
        <v>1424</v>
      </c>
      <c r="E780" s="2">
        <v>46179</v>
      </c>
      <c r="F780" s="2">
        <v>46179</v>
      </c>
      <c r="G780" t="s">
        <v>20</v>
      </c>
      <c r="H780" s="2">
        <v>46179</v>
      </c>
      <c r="I780" s="2">
        <v>46179</v>
      </c>
      <c r="J780" t="s">
        <v>20</v>
      </c>
      <c r="K780">
        <v>-76.58</v>
      </c>
      <c r="L780">
        <v>-76.58</v>
      </c>
      <c r="M780">
        <v>-76.58</v>
      </c>
      <c r="N780" t="s">
        <v>158</v>
      </c>
      <c r="O780" s="3" t="s">
        <v>1482</v>
      </c>
      <c r="P780" s="3" t="s">
        <v>1482</v>
      </c>
      <c r="Q780" s="3" t="s">
        <v>1482</v>
      </c>
      <c r="R780" s="3" t="s">
        <v>1482</v>
      </c>
      <c r="S780" s="3" t="s">
        <v>1482</v>
      </c>
      <c r="T780" s="3" t="s">
        <v>1482</v>
      </c>
    </row>
    <row r="781" spans="1:20">
      <c r="A781" t="s">
        <v>1425</v>
      </c>
      <c r="B781" t="s">
        <v>20</v>
      </c>
      <c r="C781" t="s">
        <v>21</v>
      </c>
      <c r="D781" t="s">
        <v>1426</v>
      </c>
      <c r="E781" s="2">
        <v>46179</v>
      </c>
      <c r="F781" s="2">
        <v>46179</v>
      </c>
      <c r="G781" t="s">
        <v>20</v>
      </c>
      <c r="H781" s="2">
        <v>46179</v>
      </c>
      <c r="I781" s="2">
        <v>46179</v>
      </c>
      <c r="J781" t="s">
        <v>20</v>
      </c>
      <c r="K781">
        <v>-132.52000000000001</v>
      </c>
      <c r="L781">
        <v>-132.52000000000001</v>
      </c>
      <c r="M781">
        <v>-132.52000000000001</v>
      </c>
      <c r="N781" t="s">
        <v>158</v>
      </c>
      <c r="O781" s="3" t="s">
        <v>1482</v>
      </c>
      <c r="P781" s="3" t="s">
        <v>1482</v>
      </c>
      <c r="Q781" s="3" t="s">
        <v>1482</v>
      </c>
      <c r="R781" s="3" t="s">
        <v>1482</v>
      </c>
      <c r="S781" s="3" t="s">
        <v>1482</v>
      </c>
      <c r="T781" s="3" t="s">
        <v>1482</v>
      </c>
    </row>
    <row r="782" spans="1:20">
      <c r="A782" t="s">
        <v>1427</v>
      </c>
      <c r="B782" t="s">
        <v>20</v>
      </c>
      <c r="C782" t="s">
        <v>21</v>
      </c>
      <c r="D782" t="s">
        <v>1428</v>
      </c>
      <c r="E782" s="2">
        <v>46179</v>
      </c>
      <c r="F782" s="2">
        <v>46179</v>
      </c>
      <c r="G782" t="s">
        <v>20</v>
      </c>
      <c r="H782" s="2">
        <v>46179</v>
      </c>
      <c r="I782" s="2">
        <v>46179</v>
      </c>
      <c r="J782" t="s">
        <v>20</v>
      </c>
      <c r="K782">
        <v>-52.52</v>
      </c>
      <c r="L782">
        <v>-52.52</v>
      </c>
      <c r="M782">
        <v>-52.52</v>
      </c>
      <c r="N782" t="s">
        <v>158</v>
      </c>
      <c r="O782" s="3" t="s">
        <v>1482</v>
      </c>
      <c r="P782" s="3" t="s">
        <v>1482</v>
      </c>
      <c r="Q782" s="3" t="s">
        <v>1482</v>
      </c>
      <c r="R782" s="3" t="s">
        <v>1482</v>
      </c>
      <c r="S782" s="3" t="s">
        <v>1482</v>
      </c>
      <c r="T782" s="3" t="s">
        <v>1482</v>
      </c>
    </row>
    <row r="783" spans="1:20">
      <c r="A783" t="s">
        <v>1429</v>
      </c>
      <c r="B783" t="s">
        <v>20</v>
      </c>
      <c r="C783" t="s">
        <v>21</v>
      </c>
      <c r="D783" t="s">
        <v>1430</v>
      </c>
      <c r="E783" s="2">
        <v>46179</v>
      </c>
      <c r="F783" s="2">
        <v>46179</v>
      </c>
      <c r="G783" t="s">
        <v>20</v>
      </c>
      <c r="H783" s="2">
        <v>46179</v>
      </c>
      <c r="I783" s="2">
        <v>46179</v>
      </c>
      <c r="J783" t="s">
        <v>20</v>
      </c>
      <c r="K783">
        <v>-33.130000000000003</v>
      </c>
      <c r="L783">
        <v>-33.130000000000003</v>
      </c>
      <c r="M783">
        <v>-33.130000000000003</v>
      </c>
      <c r="N783" t="s">
        <v>158</v>
      </c>
      <c r="O783" s="3" t="s">
        <v>1482</v>
      </c>
      <c r="P783" s="3" t="s">
        <v>1482</v>
      </c>
      <c r="Q783" s="3" t="s">
        <v>1482</v>
      </c>
      <c r="R783" s="3" t="s">
        <v>1482</v>
      </c>
      <c r="S783" s="3" t="s">
        <v>1482</v>
      </c>
      <c r="T783" s="3" t="s">
        <v>1482</v>
      </c>
    </row>
    <row r="784" spans="1:20">
      <c r="A784" t="s">
        <v>1431</v>
      </c>
      <c r="B784" t="s">
        <v>20</v>
      </c>
      <c r="C784" t="s">
        <v>21</v>
      </c>
      <c r="D784" t="s">
        <v>1432</v>
      </c>
      <c r="E784" s="2">
        <v>46179</v>
      </c>
      <c r="F784" s="2">
        <v>46179</v>
      </c>
      <c r="G784" t="s">
        <v>20</v>
      </c>
      <c r="H784" s="2">
        <v>46179</v>
      </c>
      <c r="I784" s="2">
        <v>46179</v>
      </c>
      <c r="J784" t="s">
        <v>20</v>
      </c>
      <c r="K784">
        <v>-33.130000000000003</v>
      </c>
      <c r="L784">
        <v>-33.130000000000003</v>
      </c>
      <c r="M784">
        <v>-33.130000000000003</v>
      </c>
      <c r="N784" t="s">
        <v>158</v>
      </c>
      <c r="O784" s="3" t="s">
        <v>1482</v>
      </c>
      <c r="P784" s="3" t="s">
        <v>1482</v>
      </c>
      <c r="Q784" s="3" t="s">
        <v>1482</v>
      </c>
      <c r="R784" s="3" t="s">
        <v>1482</v>
      </c>
      <c r="S784" s="3" t="s">
        <v>1482</v>
      </c>
      <c r="T784" s="3" t="s">
        <v>1482</v>
      </c>
    </row>
    <row r="785" spans="1:20">
      <c r="A785" t="s">
        <v>1433</v>
      </c>
      <c r="B785" t="s">
        <v>20</v>
      </c>
      <c r="C785" t="s">
        <v>21</v>
      </c>
      <c r="D785" t="s">
        <v>1434</v>
      </c>
      <c r="E785" s="2">
        <v>46179</v>
      </c>
      <c r="F785" s="2">
        <v>46179</v>
      </c>
      <c r="G785" t="s">
        <v>20</v>
      </c>
      <c r="H785" s="2">
        <v>46179</v>
      </c>
      <c r="I785" s="2">
        <v>46179</v>
      </c>
      <c r="J785" t="s">
        <v>20</v>
      </c>
      <c r="K785">
        <v>-79.510000000000005</v>
      </c>
      <c r="L785">
        <v>-79.510000000000005</v>
      </c>
      <c r="M785">
        <v>-79.510000000000005</v>
      </c>
      <c r="N785" t="s">
        <v>158</v>
      </c>
      <c r="O785" s="3" t="s">
        <v>1482</v>
      </c>
      <c r="P785" s="3" t="s">
        <v>1482</v>
      </c>
      <c r="Q785" s="3" t="s">
        <v>1482</v>
      </c>
      <c r="R785" s="3" t="s">
        <v>1482</v>
      </c>
      <c r="S785" s="3" t="s">
        <v>1482</v>
      </c>
      <c r="T785" s="3" t="s">
        <v>1482</v>
      </c>
    </row>
    <row r="786" spans="1:20">
      <c r="A786" t="s">
        <v>1435</v>
      </c>
      <c r="B786" t="s">
        <v>20</v>
      </c>
      <c r="C786" t="s">
        <v>21</v>
      </c>
      <c r="D786" t="s">
        <v>1436</v>
      </c>
      <c r="E786" s="2">
        <v>46179</v>
      </c>
      <c r="F786" s="2">
        <v>46179</v>
      </c>
      <c r="G786" t="s">
        <v>20</v>
      </c>
      <c r="H786" s="2">
        <v>46179</v>
      </c>
      <c r="I786" s="2">
        <v>46179</v>
      </c>
      <c r="J786" t="s">
        <v>20</v>
      </c>
      <c r="K786">
        <v>-49.24</v>
      </c>
      <c r="L786">
        <v>-49.24</v>
      </c>
      <c r="M786">
        <v>-49.24</v>
      </c>
      <c r="N786" t="s">
        <v>158</v>
      </c>
      <c r="O786" s="3" t="s">
        <v>1482</v>
      </c>
      <c r="P786" s="3" t="s">
        <v>1482</v>
      </c>
      <c r="Q786" s="3" t="s">
        <v>1482</v>
      </c>
      <c r="R786" s="3" t="s">
        <v>1482</v>
      </c>
      <c r="S786" s="3" t="s">
        <v>1482</v>
      </c>
      <c r="T786" s="3" t="s">
        <v>1482</v>
      </c>
    </row>
    <row r="787" spans="1:20">
      <c r="A787" t="s">
        <v>1437</v>
      </c>
      <c r="B787" t="s">
        <v>20</v>
      </c>
      <c r="C787" t="s">
        <v>21</v>
      </c>
      <c r="D787" t="s">
        <v>1438</v>
      </c>
      <c r="E787" s="2">
        <v>46179</v>
      </c>
      <c r="F787" s="2">
        <v>46179</v>
      </c>
      <c r="G787" t="s">
        <v>20</v>
      </c>
      <c r="H787" s="2">
        <v>46179</v>
      </c>
      <c r="I787" s="2">
        <v>46179</v>
      </c>
      <c r="J787" t="s">
        <v>20</v>
      </c>
      <c r="K787">
        <v>-38.659999999999997</v>
      </c>
      <c r="L787">
        <v>-38.659999999999997</v>
      </c>
      <c r="M787">
        <v>-38.659999999999997</v>
      </c>
      <c r="N787" t="s">
        <v>158</v>
      </c>
      <c r="O787" s="3" t="s">
        <v>1482</v>
      </c>
      <c r="P787" s="3" t="s">
        <v>1482</v>
      </c>
      <c r="Q787" s="3" t="s">
        <v>1482</v>
      </c>
      <c r="R787" s="3" t="s">
        <v>1482</v>
      </c>
      <c r="S787" s="3" t="s">
        <v>1482</v>
      </c>
      <c r="T787" s="3" t="s">
        <v>1482</v>
      </c>
    </row>
    <row r="788" spans="1:20">
      <c r="A788" t="s">
        <v>1439</v>
      </c>
      <c r="B788" t="s">
        <v>20</v>
      </c>
      <c r="C788" t="s">
        <v>21</v>
      </c>
      <c r="D788" t="s">
        <v>1440</v>
      </c>
      <c r="E788" s="2">
        <v>46179</v>
      </c>
      <c r="F788" s="2">
        <v>46179</v>
      </c>
      <c r="G788" t="s">
        <v>20</v>
      </c>
      <c r="H788" s="2">
        <v>46179</v>
      </c>
      <c r="I788" s="2">
        <v>46179</v>
      </c>
      <c r="J788" t="s">
        <v>20</v>
      </c>
      <c r="K788">
        <v>-66.260000000000005</v>
      </c>
      <c r="L788">
        <v>-66.260000000000005</v>
      </c>
      <c r="M788">
        <v>-66.260000000000005</v>
      </c>
      <c r="N788" t="s">
        <v>158</v>
      </c>
      <c r="O788" s="3" t="s">
        <v>1482</v>
      </c>
      <c r="P788" s="3" t="s">
        <v>1482</v>
      </c>
      <c r="Q788" s="3" t="s">
        <v>1482</v>
      </c>
      <c r="R788" s="3" t="s">
        <v>1482</v>
      </c>
      <c r="S788" s="3" t="s">
        <v>1482</v>
      </c>
      <c r="T788" s="3" t="s">
        <v>1482</v>
      </c>
    </row>
    <row r="789" spans="1:20">
      <c r="A789" t="s">
        <v>1441</v>
      </c>
      <c r="B789" t="s">
        <v>20</v>
      </c>
      <c r="C789" t="s">
        <v>21</v>
      </c>
      <c r="D789" t="s">
        <v>1442</v>
      </c>
      <c r="E789" s="2">
        <v>46179</v>
      </c>
      <c r="F789" s="2">
        <v>46179</v>
      </c>
      <c r="G789" t="s">
        <v>20</v>
      </c>
      <c r="H789" s="2">
        <v>46179</v>
      </c>
      <c r="I789" s="2">
        <v>46179</v>
      </c>
      <c r="J789" t="s">
        <v>20</v>
      </c>
      <c r="K789">
        <v>-66.260000000000005</v>
      </c>
      <c r="L789">
        <v>-66.260000000000005</v>
      </c>
      <c r="M789">
        <v>-66.260000000000005</v>
      </c>
      <c r="N789" t="s">
        <v>158</v>
      </c>
      <c r="O789" s="3" t="s">
        <v>1482</v>
      </c>
      <c r="P789" s="3" t="s">
        <v>1482</v>
      </c>
      <c r="Q789" s="3" t="s">
        <v>1482</v>
      </c>
      <c r="R789" s="3" t="s">
        <v>1482</v>
      </c>
      <c r="S789" s="3" t="s">
        <v>1482</v>
      </c>
      <c r="T789" s="3" t="s">
        <v>1482</v>
      </c>
    </row>
    <row r="790" spans="1:20">
      <c r="A790" t="s">
        <v>1443</v>
      </c>
      <c r="B790" t="s">
        <v>20</v>
      </c>
      <c r="C790" t="s">
        <v>21</v>
      </c>
      <c r="D790" t="s">
        <v>1444</v>
      </c>
      <c r="E790" s="2">
        <v>46179</v>
      </c>
      <c r="F790" s="2">
        <v>46179</v>
      </c>
      <c r="G790" t="s">
        <v>20</v>
      </c>
      <c r="H790" s="2">
        <v>46179</v>
      </c>
      <c r="I790" s="2">
        <v>46179</v>
      </c>
      <c r="J790" t="s">
        <v>20</v>
      </c>
      <c r="K790">
        <v>-105.03</v>
      </c>
      <c r="L790">
        <v>-105.03</v>
      </c>
      <c r="M790">
        <v>-105.03</v>
      </c>
      <c r="N790" t="s">
        <v>158</v>
      </c>
      <c r="O790" s="3" t="s">
        <v>1482</v>
      </c>
      <c r="P790" s="3" t="s">
        <v>1482</v>
      </c>
      <c r="Q790" s="3" t="s">
        <v>1482</v>
      </c>
      <c r="R790" s="3" t="s">
        <v>1482</v>
      </c>
      <c r="S790" s="3" t="s">
        <v>1482</v>
      </c>
      <c r="T790" s="3" t="s">
        <v>1482</v>
      </c>
    </row>
    <row r="791" spans="1:20">
      <c r="A791" t="s">
        <v>1445</v>
      </c>
      <c r="B791" t="s">
        <v>20</v>
      </c>
      <c r="C791" t="s">
        <v>21</v>
      </c>
      <c r="D791" t="s">
        <v>1446</v>
      </c>
      <c r="E791" s="2">
        <v>46179</v>
      </c>
      <c r="F791" s="2">
        <v>46179</v>
      </c>
      <c r="G791" t="s">
        <v>20</v>
      </c>
      <c r="H791" s="2">
        <v>46179</v>
      </c>
      <c r="I791" s="2">
        <v>46179</v>
      </c>
      <c r="J791" t="s">
        <v>20</v>
      </c>
      <c r="K791">
        <v>-33.130000000000003</v>
      </c>
      <c r="L791">
        <v>-33.130000000000003</v>
      </c>
      <c r="M791">
        <v>-33.130000000000003</v>
      </c>
      <c r="N791" t="s">
        <v>158</v>
      </c>
      <c r="O791" s="3" t="s">
        <v>1482</v>
      </c>
      <c r="P791" s="3" t="s">
        <v>1482</v>
      </c>
      <c r="Q791" s="3" t="s">
        <v>1482</v>
      </c>
      <c r="R791" s="3" t="s">
        <v>1482</v>
      </c>
      <c r="S791" s="3" t="s">
        <v>1482</v>
      </c>
      <c r="T791" s="3" t="s">
        <v>1482</v>
      </c>
    </row>
    <row r="792" spans="1:20">
      <c r="A792" t="s">
        <v>1447</v>
      </c>
      <c r="B792" t="s">
        <v>20</v>
      </c>
      <c r="C792" t="s">
        <v>21</v>
      </c>
      <c r="D792" t="s">
        <v>1448</v>
      </c>
      <c r="E792" s="2">
        <v>46179</v>
      </c>
      <c r="F792" s="2">
        <v>46179</v>
      </c>
      <c r="G792" t="s">
        <v>20</v>
      </c>
      <c r="H792" s="2">
        <v>46179</v>
      </c>
      <c r="I792" s="2">
        <v>46179</v>
      </c>
      <c r="J792" t="s">
        <v>20</v>
      </c>
      <c r="K792">
        <v>-151.79</v>
      </c>
      <c r="L792">
        <v>-151.79</v>
      </c>
      <c r="M792">
        <v>-151.79</v>
      </c>
      <c r="N792" t="s">
        <v>158</v>
      </c>
      <c r="O792" s="3" t="s">
        <v>1482</v>
      </c>
      <c r="P792" s="3" t="s">
        <v>1482</v>
      </c>
      <c r="Q792" s="3" t="s">
        <v>1482</v>
      </c>
      <c r="R792" s="3" t="s">
        <v>1482</v>
      </c>
      <c r="S792" s="3" t="s">
        <v>1482</v>
      </c>
      <c r="T792" s="3" t="s">
        <v>1482</v>
      </c>
    </row>
    <row r="793" spans="1:20">
      <c r="A793" t="s">
        <v>1449</v>
      </c>
      <c r="B793" t="s">
        <v>20</v>
      </c>
      <c r="C793" t="s">
        <v>21</v>
      </c>
      <c r="D793" t="s">
        <v>1450</v>
      </c>
      <c r="E793" s="2">
        <v>46179</v>
      </c>
      <c r="F793" s="2">
        <v>46179</v>
      </c>
      <c r="G793" t="s">
        <v>20</v>
      </c>
      <c r="H793" s="2">
        <v>46179</v>
      </c>
      <c r="I793" s="2">
        <v>46179</v>
      </c>
      <c r="J793" t="s">
        <v>20</v>
      </c>
      <c r="K793">
        <v>-165.65</v>
      </c>
      <c r="L793">
        <v>-165.65</v>
      </c>
      <c r="M793">
        <v>-165.65</v>
      </c>
      <c r="N793" t="s">
        <v>158</v>
      </c>
      <c r="O793" s="3" t="s">
        <v>1482</v>
      </c>
      <c r="P793" s="3" t="s">
        <v>1482</v>
      </c>
      <c r="Q793" s="3" t="s">
        <v>1482</v>
      </c>
      <c r="R793" s="3" t="s">
        <v>1482</v>
      </c>
      <c r="S793" s="3" t="s">
        <v>1482</v>
      </c>
      <c r="T793" s="3" t="s">
        <v>1482</v>
      </c>
    </row>
    <row r="794" spans="1:20">
      <c r="A794" t="s">
        <v>1451</v>
      </c>
      <c r="B794" t="s">
        <v>20</v>
      </c>
      <c r="C794" t="s">
        <v>21</v>
      </c>
      <c r="D794" t="s">
        <v>1452</v>
      </c>
      <c r="E794" s="2">
        <v>46179</v>
      </c>
      <c r="F794" s="2">
        <v>46179</v>
      </c>
      <c r="G794" t="s">
        <v>20</v>
      </c>
      <c r="H794" s="2">
        <v>46179</v>
      </c>
      <c r="I794" s="2">
        <v>46179</v>
      </c>
      <c r="J794" t="s">
        <v>20</v>
      </c>
      <c r="K794">
        <v>-165.65</v>
      </c>
      <c r="L794">
        <v>-165.65</v>
      </c>
      <c r="M794">
        <v>-165.65</v>
      </c>
      <c r="N794" t="s">
        <v>158</v>
      </c>
      <c r="O794" s="3" t="s">
        <v>1482</v>
      </c>
      <c r="P794" s="3" t="s">
        <v>1482</v>
      </c>
      <c r="Q794" s="3" t="s">
        <v>1482</v>
      </c>
      <c r="R794" s="3" t="s">
        <v>1482</v>
      </c>
      <c r="S794" s="3" t="s">
        <v>1482</v>
      </c>
      <c r="T794" s="3" t="s">
        <v>1482</v>
      </c>
    </row>
    <row r="795" spans="1:20">
      <c r="A795" t="s">
        <v>1453</v>
      </c>
      <c r="B795" t="s">
        <v>20</v>
      </c>
      <c r="C795" t="s">
        <v>21</v>
      </c>
      <c r="D795" t="s">
        <v>1454</v>
      </c>
      <c r="E795" s="2">
        <v>46179</v>
      </c>
      <c r="F795" s="2">
        <v>46179</v>
      </c>
      <c r="G795" t="s">
        <v>20</v>
      </c>
      <c r="H795" s="2">
        <v>46179</v>
      </c>
      <c r="I795" s="2">
        <v>46179</v>
      </c>
      <c r="J795" t="s">
        <v>20</v>
      </c>
      <c r="K795">
        <v>-105.03</v>
      </c>
      <c r="L795">
        <v>-105.03</v>
      </c>
      <c r="M795">
        <v>-105.03</v>
      </c>
      <c r="N795" t="s">
        <v>158</v>
      </c>
      <c r="O795" s="3" t="s">
        <v>1482</v>
      </c>
      <c r="P795" s="3" t="s">
        <v>1482</v>
      </c>
      <c r="Q795" s="3" t="s">
        <v>1482</v>
      </c>
      <c r="R795" s="3" t="s">
        <v>1482</v>
      </c>
      <c r="S795" s="3" t="s">
        <v>1482</v>
      </c>
      <c r="T795" s="3" t="s">
        <v>1482</v>
      </c>
    </row>
    <row r="796" spans="1:20">
      <c r="A796" t="s">
        <v>1455</v>
      </c>
      <c r="B796" t="s">
        <v>20</v>
      </c>
      <c r="C796" t="s">
        <v>21</v>
      </c>
      <c r="D796" t="s">
        <v>1456</v>
      </c>
      <c r="E796" s="2">
        <v>46179</v>
      </c>
      <c r="F796" s="2">
        <v>46179</v>
      </c>
      <c r="G796" t="s">
        <v>20</v>
      </c>
      <c r="H796" s="2">
        <v>46179</v>
      </c>
      <c r="I796" s="2">
        <v>46179</v>
      </c>
      <c r="J796" t="s">
        <v>20</v>
      </c>
      <c r="K796">
        <v>-99.39</v>
      </c>
      <c r="L796">
        <v>-99.39</v>
      </c>
      <c r="M796">
        <v>-99.39</v>
      </c>
      <c r="N796" t="s">
        <v>158</v>
      </c>
      <c r="O796" s="3" t="s">
        <v>1482</v>
      </c>
      <c r="P796" s="3" t="s">
        <v>1482</v>
      </c>
      <c r="Q796" s="3" t="s">
        <v>1482</v>
      </c>
      <c r="R796" s="3" t="s">
        <v>1482</v>
      </c>
      <c r="S796" s="3" t="s">
        <v>1482</v>
      </c>
      <c r="T796" s="3" t="s">
        <v>1482</v>
      </c>
    </row>
    <row r="797" spans="1:20">
      <c r="A797" t="s">
        <v>1457</v>
      </c>
      <c r="B797" t="s">
        <v>20</v>
      </c>
      <c r="C797" t="s">
        <v>21</v>
      </c>
      <c r="D797" t="s">
        <v>1458</v>
      </c>
      <c r="E797" s="2">
        <v>46179</v>
      </c>
      <c r="F797" s="2">
        <v>46179</v>
      </c>
      <c r="G797" t="s">
        <v>20</v>
      </c>
      <c r="H797" s="2">
        <v>46179</v>
      </c>
      <c r="I797" s="2">
        <v>46179</v>
      </c>
      <c r="J797" t="s">
        <v>20</v>
      </c>
      <c r="K797">
        <v>-33.130000000000003</v>
      </c>
      <c r="L797">
        <v>-33.130000000000003</v>
      </c>
      <c r="M797">
        <v>-33.130000000000003</v>
      </c>
      <c r="N797" t="s">
        <v>158</v>
      </c>
      <c r="O797" s="3" t="s">
        <v>1482</v>
      </c>
      <c r="P797" s="3" t="s">
        <v>1482</v>
      </c>
      <c r="Q797" s="3" t="s">
        <v>1482</v>
      </c>
      <c r="R797" s="3" t="s">
        <v>1482</v>
      </c>
      <c r="S797" s="3" t="s">
        <v>1482</v>
      </c>
      <c r="T797" s="3" t="s">
        <v>1482</v>
      </c>
    </row>
    <row r="798" spans="1:20">
      <c r="A798" t="s">
        <v>1459</v>
      </c>
      <c r="B798" t="s">
        <v>20</v>
      </c>
      <c r="C798" t="s">
        <v>21</v>
      </c>
      <c r="D798" t="s">
        <v>1460</v>
      </c>
      <c r="E798" s="2">
        <v>46179</v>
      </c>
      <c r="F798" s="2">
        <v>46179</v>
      </c>
      <c r="G798" t="s">
        <v>20</v>
      </c>
      <c r="H798" s="2">
        <v>46179</v>
      </c>
      <c r="I798" s="2">
        <v>46179</v>
      </c>
      <c r="J798" t="s">
        <v>20</v>
      </c>
      <c r="K798">
        <v>-66.260000000000005</v>
      </c>
      <c r="L798">
        <v>-66.260000000000005</v>
      </c>
      <c r="M798">
        <v>-66.260000000000005</v>
      </c>
      <c r="N798" t="s">
        <v>158</v>
      </c>
      <c r="O798" s="3" t="s">
        <v>1482</v>
      </c>
      <c r="P798" s="3" t="s">
        <v>1482</v>
      </c>
      <c r="Q798" s="3" t="s">
        <v>1482</v>
      </c>
      <c r="R798" s="3" t="s">
        <v>1482</v>
      </c>
      <c r="S798" s="3" t="s">
        <v>1482</v>
      </c>
      <c r="T798" s="3" t="s">
        <v>1482</v>
      </c>
    </row>
    <row r="799" spans="1:20">
      <c r="K799">
        <f>SUBTOTAL(9,K9:K798)</f>
        <v>-70023.849999999904</v>
      </c>
    </row>
    <row r="800" spans="1:20">
      <c r="A800" t="s">
        <v>1461</v>
      </c>
      <c r="K800">
        <f>SUBTOTAL(9,K142:K798)</f>
        <v>-58896.4399999999</v>
      </c>
      <c r="L800">
        <f>SUBTOTAL(9,L142:L798)</f>
        <v>-58896.4399999999</v>
      </c>
      <c r="M800">
        <f>SUBTOTAL(9,M142:M798)</f>
        <v>-58896.4399999999</v>
      </c>
    </row>
  </sheetData>
  <autoFilter ref="A8:T799" xr:uid="{00000000-0001-0000-0000-000000000000}"/>
  <mergeCells count="1"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A2D4-CF1D-46F6-9F0D-872FF71C2815}">
  <dimension ref="A1:AG797"/>
  <sheetViews>
    <sheetView topLeftCell="K1" workbookViewId="0">
      <selection activeCell="D8" sqref="D8"/>
    </sheetView>
  </sheetViews>
  <sheetFormatPr defaultRowHeight="14.4"/>
  <cols>
    <col min="1" max="2" width="27.21875" customWidth="1"/>
    <col min="3" max="4" width="27.21875" style="4" customWidth="1"/>
    <col min="5" max="6" width="8.88671875" customWidth="1"/>
    <col min="7" max="9" width="12.109375" customWidth="1"/>
    <col min="10" max="10" width="41" customWidth="1"/>
    <col min="11" max="11" width="39.88671875" customWidth="1"/>
    <col min="12" max="12" width="32.88671875" customWidth="1"/>
    <col min="13" max="13" width="36" customWidth="1"/>
    <col min="14" max="14" width="34.88671875" customWidth="1"/>
    <col min="15" max="15" width="41.44140625" customWidth="1"/>
    <col min="16" max="16" width="54.5546875" bestFit="1" customWidth="1"/>
    <col min="17" max="17" width="62.5546875" bestFit="1" customWidth="1"/>
    <col min="18" max="18" width="20.77734375" customWidth="1"/>
    <col min="19" max="19" width="72.21875" customWidth="1"/>
    <col min="20" max="20" width="80.21875" customWidth="1"/>
    <col min="21" max="21" width="8.88671875" customWidth="1"/>
    <col min="22" max="22" width="53.5546875" customWidth="1"/>
    <col min="23" max="24" width="8.88671875" customWidth="1"/>
    <col min="26" max="26" width="41.109375" bestFit="1" customWidth="1"/>
    <col min="27" max="27" width="41.109375" customWidth="1"/>
    <col min="28" max="28" width="28.6640625" bestFit="1" customWidth="1"/>
    <col min="33" max="33" width="68.109375" bestFit="1" customWidth="1"/>
  </cols>
  <sheetData>
    <row r="1" spans="1:33" ht="100.8">
      <c r="A1" s="11" t="s">
        <v>2061</v>
      </c>
      <c r="B1" s="13"/>
      <c r="G1" s="8" t="s">
        <v>1494</v>
      </c>
      <c r="J1" s="9" t="s">
        <v>1496</v>
      </c>
      <c r="K1" s="9" t="s">
        <v>1495</v>
      </c>
      <c r="M1" s="11" t="s">
        <v>1488</v>
      </c>
      <c r="N1" s="11" t="s">
        <v>1488</v>
      </c>
    </row>
    <row r="2" spans="1:33">
      <c r="A2" s="1" t="s">
        <v>0</v>
      </c>
      <c r="B2" s="12" t="s">
        <v>1501</v>
      </c>
      <c r="C2" s="10" t="s">
        <v>1490</v>
      </c>
      <c r="D2" s="12" t="s">
        <v>2056</v>
      </c>
      <c r="E2" s="1" t="s">
        <v>1</v>
      </c>
      <c r="F2" s="1" t="s">
        <v>2</v>
      </c>
      <c r="G2" s="12" t="s">
        <v>1493</v>
      </c>
      <c r="H2" s="12" t="s">
        <v>1491</v>
      </c>
      <c r="I2" s="12" t="s">
        <v>1492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5" t="s">
        <v>1497</v>
      </c>
      <c r="R2" s="12" t="s">
        <v>1498</v>
      </c>
      <c r="S2" s="12" t="s">
        <v>11</v>
      </c>
      <c r="T2" s="15" t="s">
        <v>1499</v>
      </c>
      <c r="U2" s="12" t="s">
        <v>1498</v>
      </c>
      <c r="V2" s="12" t="s">
        <v>2060</v>
      </c>
      <c r="W2" s="15" t="s">
        <v>1500</v>
      </c>
      <c r="X2" s="12" t="s">
        <v>1498</v>
      </c>
      <c r="Y2" s="12" t="s">
        <v>13</v>
      </c>
      <c r="Z2" s="15" t="s">
        <v>2057</v>
      </c>
      <c r="AA2" s="12" t="s">
        <v>2058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18</v>
      </c>
      <c r="AG2" s="1" t="s">
        <v>19</v>
      </c>
    </row>
    <row r="3" spans="1:33">
      <c r="A3" s="13"/>
      <c r="C3" s="4">
        <v>202512302699362</v>
      </c>
      <c r="E3" t="s">
        <v>20</v>
      </c>
      <c r="F3" t="s">
        <v>21</v>
      </c>
      <c r="G3" t="s">
        <v>22</v>
      </c>
      <c r="H3" t="str">
        <f>VLOOKUP(C3,'[1]Erogati mag-giu 2026_791_old'!$B:$E,4,FALSE)</f>
        <v>0012002335</v>
      </c>
      <c r="I3" t="b">
        <f>EXACT(G3,H3)</f>
        <v>1</v>
      </c>
      <c r="J3" s="14">
        <v>46188</v>
      </c>
      <c r="K3" s="14">
        <v>46188</v>
      </c>
      <c r="L3" t="s">
        <v>20</v>
      </c>
      <c r="M3" s="14">
        <v>46188</v>
      </c>
      <c r="N3" s="14">
        <v>46188</v>
      </c>
      <c r="O3" t="s">
        <v>20</v>
      </c>
      <c r="P3">
        <v>-17.71</v>
      </c>
      <c r="Q3">
        <f>VLOOKUP(G3,'[1]Erogati mag-giu 2026_791_old'!$A:$W,12,FALSE)</f>
        <v>-17.71</v>
      </c>
      <c r="R3">
        <f>P3-Q3</f>
        <v>0</v>
      </c>
      <c r="S3">
        <v>-17.71</v>
      </c>
      <c r="T3">
        <f>VLOOKUP(G3,'[1]Erogati mag-giu 2026_791_old'!$A:$W,13,FALSE)</f>
        <v>-17.71</v>
      </c>
      <c r="U3">
        <f>S3-T3</f>
        <v>0</v>
      </c>
      <c r="V3">
        <v>-17.71</v>
      </c>
      <c r="W3">
        <f>VLOOKUP(G3,'[1]Erogati mag-giu 2026_791_old'!$A:$W,14,FALSE)</f>
        <v>-17.71</v>
      </c>
      <c r="X3">
        <f>V3-W3</f>
        <v>0</v>
      </c>
      <c r="Y3" t="s">
        <v>23</v>
      </c>
      <c r="Z3" t="str">
        <f>VLOOKUP(G3,'[2]Erogati mag-giu 2026_791_old'!$D:$T,11,FALSE)</f>
        <v>diretto</v>
      </c>
      <c r="AA3" t="b">
        <v>1</v>
      </c>
      <c r="AF3" t="s">
        <v>20</v>
      </c>
      <c r="AG3" t="s">
        <v>20</v>
      </c>
    </row>
    <row r="4" spans="1:33">
      <c r="A4" s="13"/>
      <c r="C4" s="4">
        <v>202601308607620</v>
      </c>
      <c r="E4" t="s">
        <v>20</v>
      </c>
      <c r="F4" t="s">
        <v>21</v>
      </c>
      <c r="G4" t="s">
        <v>24</v>
      </c>
      <c r="H4" t="str">
        <f>VLOOKUP(C4,'[1]Erogati mag-giu 2026_791_old'!$B:$E,4,FALSE)</f>
        <v>0012003114</v>
      </c>
      <c r="I4" t="b">
        <f t="shared" ref="I4:I67" si="0">EXACT(G4,H4)</f>
        <v>1</v>
      </c>
      <c r="J4" s="14">
        <v>46196</v>
      </c>
      <c r="K4" s="14">
        <v>46196</v>
      </c>
      <c r="L4" t="s">
        <v>20</v>
      </c>
      <c r="M4" s="14">
        <v>46188</v>
      </c>
      <c r="N4" s="14">
        <v>46196</v>
      </c>
      <c r="O4" t="s">
        <v>20</v>
      </c>
      <c r="P4">
        <v>-100.36</v>
      </c>
      <c r="Q4">
        <f>VLOOKUP(G4,'[1]Erogati mag-giu 2026_791_old'!$A:$W,12,FALSE)</f>
        <v>-100.36</v>
      </c>
      <c r="R4">
        <f t="shared" ref="R4:R67" si="1">P4-Q4</f>
        <v>0</v>
      </c>
      <c r="S4">
        <v>-100.36</v>
      </c>
      <c r="T4">
        <f>VLOOKUP(G4,'[1]Erogati mag-giu 2026_791_old'!$A:$W,13,FALSE)</f>
        <v>-100.36</v>
      </c>
      <c r="U4">
        <f t="shared" ref="U4:U67" si="2">S4-T4</f>
        <v>0</v>
      </c>
      <c r="V4">
        <v>-100.36</v>
      </c>
      <c r="W4">
        <f>VLOOKUP(G4,'[1]Erogati mag-giu 2026_791_old'!$A:$W,14,FALSE)</f>
        <v>-100.36</v>
      </c>
      <c r="X4">
        <f t="shared" ref="X4:X67" si="3">V4-W4</f>
        <v>0</v>
      </c>
      <c r="Y4" t="s">
        <v>23</v>
      </c>
      <c r="Z4" t="str">
        <f>VLOOKUP(G4,'[2]Erogati mag-giu 2026_791_old'!$D:$T,11,FALSE)</f>
        <v>diretto</v>
      </c>
      <c r="AA4" t="b">
        <v>1</v>
      </c>
      <c r="AF4" t="s">
        <v>20</v>
      </c>
      <c r="AG4" t="s">
        <v>20</v>
      </c>
    </row>
    <row r="5" spans="1:33">
      <c r="A5" s="13"/>
      <c r="C5" s="4">
        <v>202511294548474</v>
      </c>
      <c r="E5" t="s">
        <v>20</v>
      </c>
      <c r="F5" t="s">
        <v>21</v>
      </c>
      <c r="G5" t="s">
        <v>25</v>
      </c>
      <c r="H5" t="str">
        <f>VLOOKUP(C5,'[1]Erogati mag-giu 2026_791_old'!$B:$E,4,FALSE)</f>
        <v>0020003366</v>
      </c>
      <c r="I5" t="b">
        <f t="shared" si="0"/>
        <v>1</v>
      </c>
      <c r="J5" s="14">
        <v>46163</v>
      </c>
      <c r="K5" s="14">
        <v>46163</v>
      </c>
      <c r="L5" t="s">
        <v>20</v>
      </c>
      <c r="M5" s="14">
        <v>46188</v>
      </c>
      <c r="N5" s="14">
        <v>46163</v>
      </c>
      <c r="O5" t="s">
        <v>20</v>
      </c>
      <c r="P5">
        <v>-152.26</v>
      </c>
      <c r="Q5">
        <f>VLOOKUP(G5,'[1]Erogati mag-giu 2026_791_old'!$A:$W,12,FALSE)</f>
        <v>-152.26</v>
      </c>
      <c r="R5">
        <f t="shared" si="1"/>
        <v>0</v>
      </c>
      <c r="S5">
        <v>-152.26</v>
      </c>
      <c r="T5">
        <f>VLOOKUP(G5,'[1]Erogati mag-giu 2026_791_old'!$A:$W,13,FALSE)</f>
        <v>-152.26</v>
      </c>
      <c r="U5">
        <f t="shared" si="2"/>
        <v>0</v>
      </c>
      <c r="V5">
        <v>-152.26</v>
      </c>
      <c r="W5">
        <f>VLOOKUP(G5,'[1]Erogati mag-giu 2026_791_old'!$A:$W,14,FALSE)</f>
        <v>-152.26</v>
      </c>
      <c r="X5">
        <f t="shared" si="3"/>
        <v>0</v>
      </c>
      <c r="Y5" t="s">
        <v>23</v>
      </c>
      <c r="Z5" t="str">
        <f>VLOOKUP(G5,'[2]Erogati mag-giu 2026_791_old'!$D:$T,11,FALSE)</f>
        <v>diretto</v>
      </c>
      <c r="AA5" t="b">
        <v>1</v>
      </c>
      <c r="AF5" t="s">
        <v>20</v>
      </c>
      <c r="AG5" t="s">
        <v>20</v>
      </c>
    </row>
    <row r="6" spans="1:33">
      <c r="A6" s="13"/>
      <c r="C6" s="4">
        <v>202601308170364</v>
      </c>
      <c r="E6" t="s">
        <v>20</v>
      </c>
      <c r="F6" t="s">
        <v>21</v>
      </c>
      <c r="G6" t="s">
        <v>26</v>
      </c>
      <c r="H6" t="str">
        <f>VLOOKUP(C6,'[1]Erogati mag-giu 2026_791_old'!$B:$E,4,FALSE)</f>
        <v>0022000292</v>
      </c>
      <c r="I6" t="b">
        <f t="shared" si="0"/>
        <v>1</v>
      </c>
      <c r="J6" s="14">
        <v>46196</v>
      </c>
      <c r="K6" s="14">
        <v>46196</v>
      </c>
      <c r="L6" t="s">
        <v>20</v>
      </c>
      <c r="M6" s="14">
        <v>46188</v>
      </c>
      <c r="N6" s="14">
        <v>46196</v>
      </c>
      <c r="O6" t="s">
        <v>20</v>
      </c>
      <c r="P6">
        <v>-95.87</v>
      </c>
      <c r="Q6">
        <f>VLOOKUP(G6,'[1]Erogati mag-giu 2026_791_old'!$A:$W,12,FALSE)</f>
        <v>-95.87</v>
      </c>
      <c r="R6">
        <f t="shared" si="1"/>
        <v>0</v>
      </c>
      <c r="S6">
        <v>-95.87</v>
      </c>
      <c r="T6">
        <f>VLOOKUP(G6,'[1]Erogati mag-giu 2026_791_old'!$A:$W,13,FALSE)</f>
        <v>-95.87</v>
      </c>
      <c r="U6">
        <f t="shared" si="2"/>
        <v>0</v>
      </c>
      <c r="V6">
        <v>-95.87</v>
      </c>
      <c r="W6">
        <f>VLOOKUP(G6,'[1]Erogati mag-giu 2026_791_old'!$A:$W,14,FALSE)</f>
        <v>-95.87</v>
      </c>
      <c r="X6">
        <f t="shared" si="3"/>
        <v>0</v>
      </c>
      <c r="Y6" t="s">
        <v>23</v>
      </c>
      <c r="Z6" t="str">
        <f>VLOOKUP(G6,'[2]Erogati mag-giu 2026_791_old'!$D:$T,11,FALSE)</f>
        <v>diretto</v>
      </c>
      <c r="AA6" t="b">
        <v>1</v>
      </c>
      <c r="AF6" t="s">
        <v>20</v>
      </c>
      <c r="AG6" t="s">
        <v>20</v>
      </c>
    </row>
    <row r="7" spans="1:33">
      <c r="A7" s="13"/>
      <c r="C7" s="4">
        <v>202601307501158</v>
      </c>
      <c r="E7" t="s">
        <v>20</v>
      </c>
      <c r="F7" t="s">
        <v>21</v>
      </c>
      <c r="G7" t="s">
        <v>27</v>
      </c>
      <c r="H7" t="str">
        <f>VLOOKUP(C7,'[1]Erogati mag-giu 2026_791_old'!$B:$E,4,FALSE)</f>
        <v>0032000054</v>
      </c>
      <c r="I7" t="b">
        <f t="shared" si="0"/>
        <v>1</v>
      </c>
      <c r="J7" s="14">
        <v>46196</v>
      </c>
      <c r="K7" s="14">
        <v>46196</v>
      </c>
      <c r="L7" t="s">
        <v>20</v>
      </c>
      <c r="M7" s="14">
        <v>46188</v>
      </c>
      <c r="N7" s="14">
        <v>46196</v>
      </c>
      <c r="O7" t="s">
        <v>20</v>
      </c>
      <c r="P7">
        <v>-52.66</v>
      </c>
      <c r="Q7">
        <f>VLOOKUP(G7,'[1]Erogati mag-giu 2026_791_old'!$A:$W,12,FALSE)</f>
        <v>-52.66</v>
      </c>
      <c r="R7">
        <f t="shared" si="1"/>
        <v>0</v>
      </c>
      <c r="S7">
        <v>-52.66</v>
      </c>
      <c r="T7">
        <f>VLOOKUP(G7,'[1]Erogati mag-giu 2026_791_old'!$A:$W,13,FALSE)</f>
        <v>-52.66</v>
      </c>
      <c r="U7">
        <f t="shared" si="2"/>
        <v>0</v>
      </c>
      <c r="V7">
        <v>-52.66</v>
      </c>
      <c r="W7">
        <f>VLOOKUP(G7,'[1]Erogati mag-giu 2026_791_old'!$A:$W,14,FALSE)</f>
        <v>-52.66</v>
      </c>
      <c r="X7">
        <f t="shared" si="3"/>
        <v>0</v>
      </c>
      <c r="Y7" t="s">
        <v>23</v>
      </c>
      <c r="Z7" t="str">
        <f>VLOOKUP(G7,'[2]Erogati mag-giu 2026_791_old'!$D:$T,11,FALSE)</f>
        <v>diretto</v>
      </c>
      <c r="AA7" t="b">
        <v>1</v>
      </c>
      <c r="AF7" t="s">
        <v>20</v>
      </c>
      <c r="AG7" t="s">
        <v>20</v>
      </c>
    </row>
    <row r="8" spans="1:33">
      <c r="A8" s="13"/>
      <c r="C8" s="4">
        <v>202601306640459</v>
      </c>
      <c r="E8" t="s">
        <v>20</v>
      </c>
      <c r="F8" t="s">
        <v>21</v>
      </c>
      <c r="G8" t="s">
        <v>28</v>
      </c>
      <c r="H8" t="str">
        <f>VLOOKUP(C8,'[1]Erogati mag-giu 2026_791_old'!$B:$E,4,FALSE)</f>
        <v>0052000430</v>
      </c>
      <c r="I8" t="b">
        <f t="shared" si="0"/>
        <v>1</v>
      </c>
      <c r="J8" s="14">
        <v>46196</v>
      </c>
      <c r="K8" s="14">
        <v>46196</v>
      </c>
      <c r="L8" t="s">
        <v>20</v>
      </c>
      <c r="M8" s="14">
        <v>46188</v>
      </c>
      <c r="N8" s="14">
        <v>46196</v>
      </c>
      <c r="O8" t="s">
        <v>20</v>
      </c>
      <c r="P8">
        <v>-33.130000000000003</v>
      </c>
      <c r="Q8">
        <f>VLOOKUP(G8,'[1]Erogati mag-giu 2026_791_old'!$A:$W,12,FALSE)</f>
        <v>-33.130000000000003</v>
      </c>
      <c r="R8">
        <f t="shared" si="1"/>
        <v>0</v>
      </c>
      <c r="S8">
        <v>-33.130000000000003</v>
      </c>
      <c r="T8">
        <f>VLOOKUP(G8,'[1]Erogati mag-giu 2026_791_old'!$A:$W,13,FALSE)</f>
        <v>-33.130000000000003</v>
      </c>
      <c r="U8">
        <f t="shared" si="2"/>
        <v>0</v>
      </c>
      <c r="V8">
        <v>-33.130000000000003</v>
      </c>
      <c r="W8">
        <f>VLOOKUP(G8,'[1]Erogati mag-giu 2026_791_old'!$A:$W,14,FALSE)</f>
        <v>-33.130000000000003</v>
      </c>
      <c r="X8">
        <f t="shared" si="3"/>
        <v>0</v>
      </c>
      <c r="Y8" t="s">
        <v>23</v>
      </c>
      <c r="Z8" t="str">
        <f>VLOOKUP(G8,'[2]Erogati mag-giu 2026_791_old'!$D:$T,11,FALSE)</f>
        <v>diretto</v>
      </c>
      <c r="AA8" t="b">
        <v>1</v>
      </c>
      <c r="AF8" t="s">
        <v>20</v>
      </c>
      <c r="AG8" t="s">
        <v>20</v>
      </c>
    </row>
    <row r="9" spans="1:33">
      <c r="A9" s="13"/>
      <c r="C9" s="4">
        <v>202512302679255</v>
      </c>
      <c r="E9" t="s">
        <v>20</v>
      </c>
      <c r="F9" t="s">
        <v>21</v>
      </c>
      <c r="G9" t="s">
        <v>29</v>
      </c>
      <c r="H9" t="str">
        <f>VLOOKUP(C9,'[1]Erogati mag-giu 2026_791_old'!$B:$E,4,FALSE)</f>
        <v>0062000882</v>
      </c>
      <c r="I9" t="b">
        <f t="shared" si="0"/>
        <v>1</v>
      </c>
      <c r="J9" s="14">
        <v>46188</v>
      </c>
      <c r="K9" s="14">
        <v>46188</v>
      </c>
      <c r="L9" t="s">
        <v>20</v>
      </c>
      <c r="M9" s="14">
        <v>46188</v>
      </c>
      <c r="N9" s="14">
        <v>46188</v>
      </c>
      <c r="O9" t="s">
        <v>20</v>
      </c>
      <c r="P9">
        <v>-140.31</v>
      </c>
      <c r="Q9">
        <f>VLOOKUP(G9,'[1]Erogati mag-giu 2026_791_old'!$A:$W,12,FALSE)</f>
        <v>-140.31</v>
      </c>
      <c r="R9">
        <f t="shared" si="1"/>
        <v>0</v>
      </c>
      <c r="S9">
        <v>-140.31</v>
      </c>
      <c r="T9">
        <f>VLOOKUP(G9,'[1]Erogati mag-giu 2026_791_old'!$A:$W,13,FALSE)</f>
        <v>-140.31</v>
      </c>
      <c r="U9">
        <f t="shared" si="2"/>
        <v>0</v>
      </c>
      <c r="V9">
        <v>-140.31</v>
      </c>
      <c r="W9">
        <f>VLOOKUP(G9,'[1]Erogati mag-giu 2026_791_old'!$A:$W,14,FALSE)</f>
        <v>-140.31</v>
      </c>
      <c r="X9">
        <f t="shared" si="3"/>
        <v>0</v>
      </c>
      <c r="Y9" t="s">
        <v>23</v>
      </c>
      <c r="Z9" t="str">
        <f>VLOOKUP(G9,'[2]Erogati mag-giu 2026_791_old'!$D:$T,11,FALSE)</f>
        <v>diretto</v>
      </c>
      <c r="AA9" t="b">
        <v>1</v>
      </c>
      <c r="AF9" t="s">
        <v>20</v>
      </c>
      <c r="AG9" t="s">
        <v>20</v>
      </c>
    </row>
    <row r="10" spans="1:33">
      <c r="A10" s="13"/>
      <c r="C10" s="4">
        <v>202511294540723</v>
      </c>
      <c r="E10" t="s">
        <v>20</v>
      </c>
      <c r="F10" t="s">
        <v>21</v>
      </c>
      <c r="G10" t="s">
        <v>30</v>
      </c>
      <c r="H10" t="str">
        <f>VLOOKUP(C10,'[1]Erogati mag-giu 2026_791_old'!$B:$E,4,FALSE)</f>
        <v>0062000930</v>
      </c>
      <c r="I10" t="b">
        <f t="shared" si="0"/>
        <v>1</v>
      </c>
      <c r="J10" s="14">
        <v>46163</v>
      </c>
      <c r="K10" s="14">
        <v>46163</v>
      </c>
      <c r="L10" t="s">
        <v>20</v>
      </c>
      <c r="M10" s="14">
        <v>46188</v>
      </c>
      <c r="N10" s="14">
        <v>46163</v>
      </c>
      <c r="O10" t="s">
        <v>20</v>
      </c>
      <c r="P10">
        <v>-140.31</v>
      </c>
      <c r="Q10">
        <f>VLOOKUP(G10,'[1]Erogati mag-giu 2026_791_old'!$A:$W,12,FALSE)</f>
        <v>-140.31</v>
      </c>
      <c r="R10">
        <f t="shared" si="1"/>
        <v>0</v>
      </c>
      <c r="S10">
        <v>-140.31</v>
      </c>
      <c r="T10">
        <f>VLOOKUP(G10,'[1]Erogati mag-giu 2026_791_old'!$A:$W,13,FALSE)</f>
        <v>-140.31</v>
      </c>
      <c r="U10">
        <f t="shared" si="2"/>
        <v>0</v>
      </c>
      <c r="V10">
        <v>-140.31</v>
      </c>
      <c r="W10">
        <f>VLOOKUP(G10,'[1]Erogati mag-giu 2026_791_old'!$A:$W,14,FALSE)</f>
        <v>-140.31</v>
      </c>
      <c r="X10">
        <f t="shared" si="3"/>
        <v>0</v>
      </c>
      <c r="Y10" t="s">
        <v>23</v>
      </c>
      <c r="Z10" t="str">
        <f>VLOOKUP(G10,'[2]Erogati mag-giu 2026_791_old'!$D:$T,11,FALSE)</f>
        <v>diretto</v>
      </c>
      <c r="AA10" t="b">
        <v>1</v>
      </c>
      <c r="AF10" t="s">
        <v>20</v>
      </c>
      <c r="AG10" t="s">
        <v>20</v>
      </c>
    </row>
    <row r="11" spans="1:33">
      <c r="A11" s="13"/>
      <c r="C11" s="4">
        <v>202601307206095</v>
      </c>
      <c r="E11" t="s">
        <v>20</v>
      </c>
      <c r="F11" t="s">
        <v>21</v>
      </c>
      <c r="G11" t="s">
        <v>31</v>
      </c>
      <c r="H11" t="str">
        <f>VLOOKUP(C11,'[1]Erogati mag-giu 2026_791_old'!$B:$E,4,FALSE)</f>
        <v>0062001165</v>
      </c>
      <c r="I11" t="b">
        <f t="shared" si="0"/>
        <v>1</v>
      </c>
      <c r="J11" s="14">
        <v>46196</v>
      </c>
      <c r="K11" s="14">
        <v>46196</v>
      </c>
      <c r="L11" t="s">
        <v>20</v>
      </c>
      <c r="M11" s="14">
        <v>46188</v>
      </c>
      <c r="N11" s="14">
        <v>46196</v>
      </c>
      <c r="O11" t="s">
        <v>20</v>
      </c>
      <c r="P11">
        <v>-132.52000000000001</v>
      </c>
      <c r="Q11">
        <f>VLOOKUP(G11,'[1]Erogati mag-giu 2026_791_old'!$A:$W,12,FALSE)</f>
        <v>-132.52000000000001</v>
      </c>
      <c r="R11">
        <f t="shared" si="1"/>
        <v>0</v>
      </c>
      <c r="S11">
        <v>-132.52000000000001</v>
      </c>
      <c r="T11">
        <f>VLOOKUP(G11,'[1]Erogati mag-giu 2026_791_old'!$A:$W,13,FALSE)</f>
        <v>-132.52000000000001</v>
      </c>
      <c r="U11">
        <f t="shared" si="2"/>
        <v>0</v>
      </c>
      <c r="V11">
        <v>-132.52000000000001</v>
      </c>
      <c r="W11">
        <f>VLOOKUP(G11,'[1]Erogati mag-giu 2026_791_old'!$A:$W,14,FALSE)</f>
        <v>-132.52000000000001</v>
      </c>
      <c r="X11">
        <f t="shared" si="3"/>
        <v>0</v>
      </c>
      <c r="Y11" t="s">
        <v>23</v>
      </c>
      <c r="Z11" t="str">
        <f>VLOOKUP(G11,'[2]Erogati mag-giu 2026_791_old'!$D:$T,11,FALSE)</f>
        <v>diretto</v>
      </c>
      <c r="AA11" t="b">
        <v>1</v>
      </c>
      <c r="AF11" t="s">
        <v>20</v>
      </c>
      <c r="AG11" t="s">
        <v>20</v>
      </c>
    </row>
    <row r="12" spans="1:33">
      <c r="A12" s="13"/>
      <c r="C12" s="4">
        <v>202512304001857</v>
      </c>
      <c r="E12" t="s">
        <v>20</v>
      </c>
      <c r="F12" t="s">
        <v>21</v>
      </c>
      <c r="G12" t="s">
        <v>32</v>
      </c>
      <c r="H12" t="str">
        <f>VLOOKUP(C12,'[1]Erogati mag-giu 2026_791_old'!$B:$E,4,FALSE)</f>
        <v>0090020701</v>
      </c>
      <c r="I12" t="b">
        <f t="shared" si="0"/>
        <v>1</v>
      </c>
      <c r="J12" s="14">
        <v>46188</v>
      </c>
      <c r="K12" s="14">
        <v>46188</v>
      </c>
      <c r="L12" t="s">
        <v>20</v>
      </c>
      <c r="M12" s="14">
        <v>46188</v>
      </c>
      <c r="N12" s="14">
        <v>46188</v>
      </c>
      <c r="O12" t="s">
        <v>20</v>
      </c>
      <c r="P12">
        <v>-35.08</v>
      </c>
      <c r="Q12">
        <f>VLOOKUP(G12,'[1]Erogati mag-giu 2026_791_old'!$A:$W,12,FALSE)</f>
        <v>-35.08</v>
      </c>
      <c r="R12">
        <f t="shared" si="1"/>
        <v>0</v>
      </c>
      <c r="S12">
        <v>-35.08</v>
      </c>
      <c r="T12">
        <f>VLOOKUP(G12,'[1]Erogati mag-giu 2026_791_old'!$A:$W,13,FALSE)</f>
        <v>-35.08</v>
      </c>
      <c r="U12">
        <f t="shared" si="2"/>
        <v>0</v>
      </c>
      <c r="V12">
        <v>-35.08</v>
      </c>
      <c r="W12">
        <f>VLOOKUP(G12,'[1]Erogati mag-giu 2026_791_old'!$A:$W,14,FALSE)</f>
        <v>-35.08</v>
      </c>
      <c r="X12">
        <f t="shared" si="3"/>
        <v>0</v>
      </c>
      <c r="Y12" t="s">
        <v>23</v>
      </c>
      <c r="Z12" t="str">
        <f>VLOOKUP(G12,'[2]Erogati mag-giu 2026_791_old'!$D:$T,11,FALSE)</f>
        <v>diretto</v>
      </c>
      <c r="AA12" t="b">
        <v>1</v>
      </c>
      <c r="AF12" t="s">
        <v>20</v>
      </c>
      <c r="AG12" t="s">
        <v>20</v>
      </c>
    </row>
    <row r="13" spans="1:33">
      <c r="A13" s="13"/>
      <c r="C13" s="4">
        <v>202511294507072</v>
      </c>
      <c r="E13" t="s">
        <v>20</v>
      </c>
      <c r="F13" t="s">
        <v>21</v>
      </c>
      <c r="G13" t="s">
        <v>33</v>
      </c>
      <c r="H13" t="str">
        <f>VLOOKUP(C13,'[1]Erogati mag-giu 2026_791_old'!$B:$E,4,FALSE)</f>
        <v>0092000302</v>
      </c>
      <c r="I13" t="b">
        <f t="shared" si="0"/>
        <v>1</v>
      </c>
      <c r="J13" s="14">
        <v>46163</v>
      </c>
      <c r="K13" s="14">
        <v>46163</v>
      </c>
      <c r="L13" t="s">
        <v>20</v>
      </c>
      <c r="M13" s="14">
        <v>46188</v>
      </c>
      <c r="N13" s="14">
        <v>46163</v>
      </c>
      <c r="O13" t="s">
        <v>20</v>
      </c>
      <c r="P13">
        <v>-17.71</v>
      </c>
      <c r="Q13">
        <f>VLOOKUP(G13,'[1]Erogati mag-giu 2026_791_old'!$A:$W,12,FALSE)</f>
        <v>-17.71</v>
      </c>
      <c r="R13">
        <f t="shared" si="1"/>
        <v>0</v>
      </c>
      <c r="S13">
        <v>-17.71</v>
      </c>
      <c r="T13">
        <f>VLOOKUP(G13,'[1]Erogati mag-giu 2026_791_old'!$A:$W,13,FALSE)</f>
        <v>-17.71</v>
      </c>
      <c r="U13">
        <f t="shared" si="2"/>
        <v>0</v>
      </c>
      <c r="V13">
        <v>-17.71</v>
      </c>
      <c r="W13">
        <f>VLOOKUP(G13,'[1]Erogati mag-giu 2026_791_old'!$A:$W,14,FALSE)</f>
        <v>-17.71</v>
      </c>
      <c r="X13">
        <f t="shared" si="3"/>
        <v>0</v>
      </c>
      <c r="Y13" t="s">
        <v>23</v>
      </c>
      <c r="Z13" t="str">
        <f>VLOOKUP(G13,'[2]Erogati mag-giu 2026_791_old'!$D:$T,11,FALSE)</f>
        <v>diretto</v>
      </c>
      <c r="AA13" t="b">
        <v>1</v>
      </c>
      <c r="AF13" t="s">
        <v>20</v>
      </c>
      <c r="AG13" t="s">
        <v>20</v>
      </c>
    </row>
    <row r="14" spans="1:33">
      <c r="A14" s="13"/>
      <c r="C14" s="4">
        <v>202601307615030</v>
      </c>
      <c r="E14" t="s">
        <v>20</v>
      </c>
      <c r="F14" t="s">
        <v>21</v>
      </c>
      <c r="G14" t="s">
        <v>34</v>
      </c>
      <c r="H14" t="str">
        <f>VLOOKUP(C14,'[1]Erogati mag-giu 2026_791_old'!$B:$E,4,FALSE)</f>
        <v>0092000550</v>
      </c>
      <c r="I14" t="b">
        <f t="shared" si="0"/>
        <v>1</v>
      </c>
      <c r="J14" s="14">
        <v>46196</v>
      </c>
      <c r="K14" s="14">
        <v>46196</v>
      </c>
      <c r="L14" t="s">
        <v>20</v>
      </c>
      <c r="M14" s="14">
        <v>46188</v>
      </c>
      <c r="N14" s="14">
        <v>46196</v>
      </c>
      <c r="O14" t="s">
        <v>20</v>
      </c>
      <c r="P14">
        <v>-66.91</v>
      </c>
      <c r="Q14">
        <f>VLOOKUP(G14,'[1]Erogati mag-giu 2026_791_old'!$A:$W,12,FALSE)</f>
        <v>-66.91</v>
      </c>
      <c r="R14">
        <f t="shared" si="1"/>
        <v>0</v>
      </c>
      <c r="S14">
        <v>-66.91</v>
      </c>
      <c r="T14">
        <f>VLOOKUP(G14,'[1]Erogati mag-giu 2026_791_old'!$A:$W,13,FALSE)</f>
        <v>-66.91</v>
      </c>
      <c r="U14">
        <f t="shared" si="2"/>
        <v>0</v>
      </c>
      <c r="V14">
        <v>-66.91</v>
      </c>
      <c r="W14">
        <f>VLOOKUP(G14,'[1]Erogati mag-giu 2026_791_old'!$A:$W,14,FALSE)</f>
        <v>-66.91</v>
      </c>
      <c r="X14">
        <f t="shared" si="3"/>
        <v>0</v>
      </c>
      <c r="Y14" t="s">
        <v>23</v>
      </c>
      <c r="Z14" t="str">
        <f>VLOOKUP(G14,'[2]Erogati mag-giu 2026_791_old'!$D:$T,11,FALSE)</f>
        <v>diretto</v>
      </c>
      <c r="AA14" t="b">
        <v>1</v>
      </c>
      <c r="AF14" t="s">
        <v>20</v>
      </c>
      <c r="AG14" t="s">
        <v>20</v>
      </c>
    </row>
    <row r="15" spans="1:33">
      <c r="A15" s="13"/>
      <c r="C15" s="4">
        <v>202601306724712</v>
      </c>
      <c r="E15" t="s">
        <v>20</v>
      </c>
      <c r="F15" t="s">
        <v>21</v>
      </c>
      <c r="G15" t="s">
        <v>35</v>
      </c>
      <c r="H15" t="str">
        <f>VLOOKUP(C15,'[1]Erogati mag-giu 2026_791_old'!$B:$E,4,FALSE)</f>
        <v>0092000829</v>
      </c>
      <c r="I15" t="b">
        <f t="shared" si="0"/>
        <v>1</v>
      </c>
      <c r="J15" s="14">
        <v>46196</v>
      </c>
      <c r="K15" s="14">
        <v>46196</v>
      </c>
      <c r="L15" t="s">
        <v>20</v>
      </c>
      <c r="M15" s="14">
        <v>46188</v>
      </c>
      <c r="N15" s="14">
        <v>46196</v>
      </c>
      <c r="O15" t="s">
        <v>20</v>
      </c>
      <c r="P15">
        <v>-165.65</v>
      </c>
      <c r="Q15">
        <f>VLOOKUP(G15,'[1]Erogati mag-giu 2026_791_old'!$A:$W,12,FALSE)</f>
        <v>-165.65</v>
      </c>
      <c r="R15">
        <f t="shared" si="1"/>
        <v>0</v>
      </c>
      <c r="S15">
        <v>-165.65</v>
      </c>
      <c r="T15">
        <f>VLOOKUP(G15,'[1]Erogati mag-giu 2026_791_old'!$A:$W,13,FALSE)</f>
        <v>-165.65</v>
      </c>
      <c r="U15">
        <f t="shared" si="2"/>
        <v>0</v>
      </c>
      <c r="V15">
        <v>-165.65</v>
      </c>
      <c r="W15">
        <f>VLOOKUP(G15,'[1]Erogati mag-giu 2026_791_old'!$A:$W,14,FALSE)</f>
        <v>-165.65</v>
      </c>
      <c r="X15">
        <f t="shared" si="3"/>
        <v>0</v>
      </c>
      <c r="Y15" t="s">
        <v>23</v>
      </c>
      <c r="Z15" t="str">
        <f>VLOOKUP(G15,'[2]Erogati mag-giu 2026_791_old'!$D:$T,11,FALSE)</f>
        <v>diretto</v>
      </c>
      <c r="AA15" t="b">
        <v>1</v>
      </c>
      <c r="AF15" t="s">
        <v>20</v>
      </c>
      <c r="AG15" t="s">
        <v>20</v>
      </c>
    </row>
    <row r="16" spans="1:33">
      <c r="A16" s="13"/>
      <c r="C16" s="4">
        <v>202511294541519</v>
      </c>
      <c r="E16" t="s">
        <v>20</v>
      </c>
      <c r="F16" t="s">
        <v>21</v>
      </c>
      <c r="G16" t="s">
        <v>36</v>
      </c>
      <c r="H16" t="str">
        <f>VLOOKUP(C16,'[1]Erogati mag-giu 2026_791_old'!$B:$E,4,FALSE)</f>
        <v>0100000104</v>
      </c>
      <c r="I16" t="b">
        <f t="shared" si="0"/>
        <v>1</v>
      </c>
      <c r="J16" s="14">
        <v>46163</v>
      </c>
      <c r="K16" s="14">
        <v>46163</v>
      </c>
      <c r="L16" t="s">
        <v>20</v>
      </c>
      <c r="M16" s="14">
        <v>46188</v>
      </c>
      <c r="N16" s="14">
        <v>46163</v>
      </c>
      <c r="O16" t="s">
        <v>20</v>
      </c>
      <c r="P16">
        <v>-22.62</v>
      </c>
      <c r="Q16">
        <f>VLOOKUP(G16,'[1]Erogati mag-giu 2026_791_old'!$A:$W,12,FALSE)</f>
        <v>-22.62</v>
      </c>
      <c r="R16">
        <f t="shared" si="1"/>
        <v>0</v>
      </c>
      <c r="S16">
        <v>-22.62</v>
      </c>
      <c r="T16">
        <f>VLOOKUP(G16,'[1]Erogati mag-giu 2026_791_old'!$A:$W,13,FALSE)</f>
        <v>-22.62</v>
      </c>
      <c r="U16">
        <f t="shared" si="2"/>
        <v>0</v>
      </c>
      <c r="V16">
        <v>-22.62</v>
      </c>
      <c r="W16">
        <f>VLOOKUP(G16,'[1]Erogati mag-giu 2026_791_old'!$A:$W,14,FALSE)</f>
        <v>-22.62</v>
      </c>
      <c r="X16">
        <f t="shared" si="3"/>
        <v>0</v>
      </c>
      <c r="Y16" t="s">
        <v>23</v>
      </c>
      <c r="Z16" t="str">
        <f>VLOOKUP(G16,'[2]Erogati mag-giu 2026_791_old'!$D:$T,11,FALSE)</f>
        <v>diretto</v>
      </c>
      <c r="AA16" t="b">
        <v>1</v>
      </c>
      <c r="AF16" t="s">
        <v>20</v>
      </c>
      <c r="AG16" t="s">
        <v>20</v>
      </c>
    </row>
    <row r="17" spans="1:33">
      <c r="A17" s="13"/>
      <c r="C17" s="4">
        <v>202601307343423</v>
      </c>
      <c r="E17" t="s">
        <v>20</v>
      </c>
      <c r="F17" t="s">
        <v>21</v>
      </c>
      <c r="G17" t="s">
        <v>37</v>
      </c>
      <c r="H17" t="str">
        <f>VLOOKUP(C17,'[1]Erogati mag-giu 2026_791_old'!$B:$E,4,FALSE)</f>
        <v>012186</v>
      </c>
      <c r="I17" t="b">
        <f t="shared" si="0"/>
        <v>1</v>
      </c>
      <c r="J17" s="14">
        <v>46196</v>
      </c>
      <c r="K17" s="14">
        <v>46196</v>
      </c>
      <c r="L17" t="s">
        <v>20</v>
      </c>
      <c r="M17" s="14">
        <v>46188</v>
      </c>
      <c r="N17" s="14">
        <v>46196</v>
      </c>
      <c r="O17" t="s">
        <v>20</v>
      </c>
      <c r="P17">
        <v>-37.950000000000003</v>
      </c>
      <c r="Q17">
        <f>VLOOKUP(G17,'[1]Erogati mag-giu 2026_791_old'!$A:$W,12,FALSE)</f>
        <v>-37.950000000000003</v>
      </c>
      <c r="R17">
        <f t="shared" si="1"/>
        <v>0</v>
      </c>
      <c r="S17">
        <v>-37.950000000000003</v>
      </c>
      <c r="T17">
        <f>VLOOKUP(G17,'[1]Erogati mag-giu 2026_791_old'!$A:$W,13,FALSE)</f>
        <v>-37.950000000000003</v>
      </c>
      <c r="U17">
        <f t="shared" si="2"/>
        <v>0</v>
      </c>
      <c r="V17">
        <v>-37.950000000000003</v>
      </c>
      <c r="W17">
        <f>VLOOKUP(G17,'[1]Erogati mag-giu 2026_791_old'!$A:$W,14,FALSE)</f>
        <v>-37.950000000000003</v>
      </c>
      <c r="X17">
        <f t="shared" si="3"/>
        <v>0</v>
      </c>
      <c r="Y17" t="s">
        <v>23</v>
      </c>
      <c r="Z17" t="str">
        <f>VLOOKUP(G17,'[2]Erogati mag-giu 2026_791_old'!$D:$T,11,FALSE)</f>
        <v>diretto</v>
      </c>
      <c r="AA17" t="b">
        <v>1</v>
      </c>
      <c r="AF17" t="s">
        <v>20</v>
      </c>
      <c r="AG17" t="s">
        <v>20</v>
      </c>
    </row>
    <row r="18" spans="1:33">
      <c r="A18" s="13"/>
      <c r="C18" s="4">
        <v>202511294561892</v>
      </c>
      <c r="E18" t="s">
        <v>20</v>
      </c>
      <c r="F18" t="s">
        <v>21</v>
      </c>
      <c r="G18" t="s">
        <v>38</v>
      </c>
      <c r="H18" t="str">
        <f>VLOOKUP(C18,'[1]Erogati mag-giu 2026_791_old'!$B:$E,4,FALSE)</f>
        <v>0130044201</v>
      </c>
      <c r="I18" t="b">
        <f t="shared" si="0"/>
        <v>1</v>
      </c>
      <c r="J18" s="14">
        <v>46163</v>
      </c>
      <c r="K18" s="14">
        <v>46163</v>
      </c>
      <c r="L18" t="s">
        <v>20</v>
      </c>
      <c r="M18" s="14">
        <v>46188</v>
      </c>
      <c r="N18" s="14">
        <v>46163</v>
      </c>
      <c r="O18" t="s">
        <v>20</v>
      </c>
      <c r="P18">
        <v>-70.16</v>
      </c>
      <c r="Q18">
        <f>VLOOKUP(G18,'[1]Erogati mag-giu 2026_791_old'!$A:$W,12,FALSE)</f>
        <v>-70.16</v>
      </c>
      <c r="R18">
        <f t="shared" si="1"/>
        <v>0</v>
      </c>
      <c r="S18">
        <v>-70.16</v>
      </c>
      <c r="T18">
        <f>VLOOKUP(G18,'[1]Erogati mag-giu 2026_791_old'!$A:$W,13,FALSE)</f>
        <v>-70.16</v>
      </c>
      <c r="U18">
        <f t="shared" si="2"/>
        <v>0</v>
      </c>
      <c r="V18">
        <v>-70.16</v>
      </c>
      <c r="W18">
        <f>VLOOKUP(G18,'[1]Erogati mag-giu 2026_791_old'!$A:$W,14,FALSE)</f>
        <v>-70.16</v>
      </c>
      <c r="X18">
        <f t="shared" si="3"/>
        <v>0</v>
      </c>
      <c r="Y18" t="s">
        <v>23</v>
      </c>
      <c r="Z18" t="str">
        <f>VLOOKUP(G18,'[2]Erogati mag-giu 2026_791_old'!$D:$T,11,FALSE)</f>
        <v>diretto</v>
      </c>
      <c r="AA18" t="b">
        <v>1</v>
      </c>
      <c r="AF18" t="s">
        <v>20</v>
      </c>
      <c r="AG18" t="s">
        <v>20</v>
      </c>
    </row>
    <row r="19" spans="1:33">
      <c r="A19" s="13"/>
      <c r="C19" s="4">
        <v>202601308138277</v>
      </c>
      <c r="E19" t="s">
        <v>20</v>
      </c>
      <c r="F19" t="s">
        <v>21</v>
      </c>
      <c r="G19" t="s">
        <v>39</v>
      </c>
      <c r="H19" t="str">
        <f>VLOOKUP(C19,'[1]Erogati mag-giu 2026_791_old'!$B:$E,4,FALSE)</f>
        <v>0132000149</v>
      </c>
      <c r="I19" t="b">
        <f t="shared" si="0"/>
        <v>1</v>
      </c>
      <c r="J19" s="14">
        <v>46196</v>
      </c>
      <c r="K19" s="14">
        <v>46196</v>
      </c>
      <c r="L19" t="s">
        <v>20</v>
      </c>
      <c r="M19" s="14">
        <v>46188</v>
      </c>
      <c r="N19" s="14">
        <v>46196</v>
      </c>
      <c r="O19" t="s">
        <v>20</v>
      </c>
      <c r="P19">
        <v>-165.65</v>
      </c>
      <c r="Q19">
        <f>VLOOKUP(G19,'[1]Erogati mag-giu 2026_791_old'!$A:$W,12,FALSE)</f>
        <v>-165.65</v>
      </c>
      <c r="R19">
        <f t="shared" si="1"/>
        <v>0</v>
      </c>
      <c r="S19">
        <v>-165.65</v>
      </c>
      <c r="T19">
        <f>VLOOKUP(G19,'[1]Erogati mag-giu 2026_791_old'!$A:$W,13,FALSE)</f>
        <v>-165.65</v>
      </c>
      <c r="U19">
        <f t="shared" si="2"/>
        <v>0</v>
      </c>
      <c r="V19">
        <v>-165.65</v>
      </c>
      <c r="W19">
        <f>VLOOKUP(G19,'[1]Erogati mag-giu 2026_791_old'!$A:$W,14,FALSE)</f>
        <v>-165.65</v>
      </c>
      <c r="X19">
        <f t="shared" si="3"/>
        <v>0</v>
      </c>
      <c r="Y19" t="s">
        <v>23</v>
      </c>
      <c r="Z19" t="str">
        <f>VLOOKUP(G19,'[2]Erogati mag-giu 2026_791_old'!$D:$T,11,FALSE)</f>
        <v>diretto</v>
      </c>
      <c r="AA19" t="b">
        <v>1</v>
      </c>
      <c r="AF19" t="s">
        <v>20</v>
      </c>
      <c r="AG19" t="s">
        <v>20</v>
      </c>
    </row>
    <row r="20" spans="1:33">
      <c r="A20" s="13"/>
      <c r="C20" s="4">
        <v>202601307506128</v>
      </c>
      <c r="E20" t="s">
        <v>20</v>
      </c>
      <c r="F20" t="s">
        <v>21</v>
      </c>
      <c r="G20" t="s">
        <v>40</v>
      </c>
      <c r="H20" t="str">
        <f>VLOOKUP(C20,'[1]Erogati mag-giu 2026_791_old'!$B:$E,4,FALSE)</f>
        <v>0132000515</v>
      </c>
      <c r="I20" t="b">
        <f t="shared" si="0"/>
        <v>1</v>
      </c>
      <c r="J20" s="14">
        <v>46196</v>
      </c>
      <c r="K20" s="14">
        <v>46196</v>
      </c>
      <c r="L20" t="s">
        <v>20</v>
      </c>
      <c r="M20" s="14">
        <v>46188</v>
      </c>
      <c r="N20" s="14">
        <v>46196</v>
      </c>
      <c r="O20" t="s">
        <v>20</v>
      </c>
      <c r="P20">
        <v>-99.39</v>
      </c>
      <c r="Q20">
        <f>VLOOKUP(G20,'[1]Erogati mag-giu 2026_791_old'!$A:$W,12,FALSE)</f>
        <v>-99.39</v>
      </c>
      <c r="R20">
        <f t="shared" si="1"/>
        <v>0</v>
      </c>
      <c r="S20">
        <v>-99.39</v>
      </c>
      <c r="T20">
        <f>VLOOKUP(G20,'[1]Erogati mag-giu 2026_791_old'!$A:$W,13,FALSE)</f>
        <v>-99.39</v>
      </c>
      <c r="U20">
        <f t="shared" si="2"/>
        <v>0</v>
      </c>
      <c r="V20">
        <v>-99.39</v>
      </c>
      <c r="W20">
        <f>VLOOKUP(G20,'[1]Erogati mag-giu 2026_791_old'!$A:$W,14,FALSE)</f>
        <v>-99.39</v>
      </c>
      <c r="X20">
        <f t="shared" si="3"/>
        <v>0</v>
      </c>
      <c r="Y20" t="s">
        <v>23</v>
      </c>
      <c r="Z20" t="str">
        <f>VLOOKUP(G20,'[2]Erogati mag-giu 2026_791_old'!$D:$T,11,FALSE)</f>
        <v>diretto</v>
      </c>
      <c r="AA20" t="b">
        <v>1</v>
      </c>
      <c r="AF20" t="s">
        <v>20</v>
      </c>
      <c r="AG20" t="s">
        <v>20</v>
      </c>
    </row>
    <row r="21" spans="1:33">
      <c r="A21" s="13"/>
      <c r="C21" s="4">
        <v>202601306746938</v>
      </c>
      <c r="E21" t="s">
        <v>20</v>
      </c>
      <c r="F21" t="s">
        <v>21</v>
      </c>
      <c r="G21" t="s">
        <v>41</v>
      </c>
      <c r="H21" t="str">
        <f>VLOOKUP(C21,'[1]Erogati mag-giu 2026_791_old'!$B:$E,4,FALSE)</f>
        <v>0170122101</v>
      </c>
      <c r="I21" t="b">
        <f t="shared" si="0"/>
        <v>1</v>
      </c>
      <c r="J21" s="14">
        <v>46196</v>
      </c>
      <c r="K21" s="14">
        <v>46196</v>
      </c>
      <c r="L21" t="s">
        <v>20</v>
      </c>
      <c r="M21" s="14">
        <v>46188</v>
      </c>
      <c r="N21" s="14">
        <v>46196</v>
      </c>
      <c r="O21" t="s">
        <v>20</v>
      </c>
      <c r="P21">
        <v>-100.36</v>
      </c>
      <c r="Q21">
        <f>VLOOKUP(G21,'[1]Erogati mag-giu 2026_791_old'!$A:$W,12,FALSE)</f>
        <v>-100.36</v>
      </c>
      <c r="R21">
        <f t="shared" si="1"/>
        <v>0</v>
      </c>
      <c r="S21">
        <v>-100.36</v>
      </c>
      <c r="T21">
        <f>VLOOKUP(G21,'[1]Erogati mag-giu 2026_791_old'!$A:$W,13,FALSE)</f>
        <v>-100.36</v>
      </c>
      <c r="U21">
        <f t="shared" si="2"/>
        <v>0</v>
      </c>
      <c r="V21">
        <v>-100.36</v>
      </c>
      <c r="W21">
        <f>VLOOKUP(G21,'[1]Erogati mag-giu 2026_791_old'!$A:$W,14,FALSE)</f>
        <v>-100.36</v>
      </c>
      <c r="X21">
        <f t="shared" si="3"/>
        <v>0</v>
      </c>
      <c r="Y21" t="s">
        <v>23</v>
      </c>
      <c r="Z21" t="str">
        <f>VLOOKUP(G21,'[2]Erogati mag-giu 2026_791_old'!$D:$T,11,FALSE)</f>
        <v>diretto</v>
      </c>
      <c r="AA21" t="b">
        <v>1</v>
      </c>
      <c r="AF21" t="s">
        <v>20</v>
      </c>
      <c r="AG21" t="s">
        <v>20</v>
      </c>
    </row>
    <row r="22" spans="1:33">
      <c r="A22" s="13"/>
      <c r="C22" s="4">
        <v>202601307649419</v>
      </c>
      <c r="E22" t="s">
        <v>20</v>
      </c>
      <c r="F22" t="s">
        <v>21</v>
      </c>
      <c r="G22" t="s">
        <v>42</v>
      </c>
      <c r="H22" t="str">
        <f>VLOOKUP(C22,'[1]Erogati mag-giu 2026_791_old'!$B:$E,4,FALSE)</f>
        <v>021349</v>
      </c>
      <c r="I22" t="b">
        <f t="shared" si="0"/>
        <v>1</v>
      </c>
      <c r="J22" s="14">
        <v>46196</v>
      </c>
      <c r="K22" s="14">
        <v>46196</v>
      </c>
      <c r="L22" t="s">
        <v>20</v>
      </c>
      <c r="M22" s="14">
        <v>46188</v>
      </c>
      <c r="N22" s="14">
        <v>46196</v>
      </c>
      <c r="O22" t="s">
        <v>20</v>
      </c>
      <c r="P22">
        <v>-154.63999999999999</v>
      </c>
      <c r="Q22">
        <f>VLOOKUP(G22,'[1]Erogati mag-giu 2026_791_old'!$A:$W,12,FALSE)</f>
        <v>-154.63999999999999</v>
      </c>
      <c r="R22">
        <f t="shared" si="1"/>
        <v>0</v>
      </c>
      <c r="S22">
        <v>-154.63999999999999</v>
      </c>
      <c r="T22">
        <f>VLOOKUP(G22,'[1]Erogati mag-giu 2026_791_old'!$A:$W,13,FALSE)</f>
        <v>-154.63999999999999</v>
      </c>
      <c r="U22">
        <f t="shared" si="2"/>
        <v>0</v>
      </c>
      <c r="V22">
        <v>-154.63999999999999</v>
      </c>
      <c r="W22">
        <f>VLOOKUP(G22,'[1]Erogati mag-giu 2026_791_old'!$A:$W,14,FALSE)</f>
        <v>-154.63999999999999</v>
      </c>
      <c r="X22">
        <f t="shared" si="3"/>
        <v>0</v>
      </c>
      <c r="Y22" t="s">
        <v>23</v>
      </c>
      <c r="Z22" t="str">
        <f>VLOOKUP(G22,'[2]Erogati mag-giu 2026_791_old'!$D:$T,11,FALSE)</f>
        <v>diretto</v>
      </c>
      <c r="AA22" t="b">
        <v>1</v>
      </c>
      <c r="AF22" t="s">
        <v>20</v>
      </c>
      <c r="AG22" t="s">
        <v>20</v>
      </c>
    </row>
    <row r="23" spans="1:33">
      <c r="A23" s="13"/>
      <c r="C23" s="4">
        <v>202601306934598</v>
      </c>
      <c r="E23" t="s">
        <v>20</v>
      </c>
      <c r="F23" t="s">
        <v>21</v>
      </c>
      <c r="G23" t="s">
        <v>43</v>
      </c>
      <c r="H23" t="str">
        <f>VLOOKUP(C23,'[1]Erogati mag-giu 2026_791_old'!$B:$E,4,FALSE)</f>
        <v>022325</v>
      </c>
      <c r="I23" t="b">
        <f t="shared" si="0"/>
        <v>1</v>
      </c>
      <c r="J23" s="14">
        <v>46196</v>
      </c>
      <c r="K23" s="14">
        <v>46196</v>
      </c>
      <c r="L23" t="s">
        <v>20</v>
      </c>
      <c r="M23" s="14">
        <v>46188</v>
      </c>
      <c r="N23" s="14">
        <v>46196</v>
      </c>
      <c r="O23" t="s">
        <v>20</v>
      </c>
      <c r="P23">
        <v>-193.3</v>
      </c>
      <c r="Q23">
        <f>VLOOKUP(G23,'[1]Erogati mag-giu 2026_791_old'!$A:$W,12,FALSE)</f>
        <v>-193.3</v>
      </c>
      <c r="R23">
        <f t="shared" si="1"/>
        <v>0</v>
      </c>
      <c r="S23">
        <v>-193.3</v>
      </c>
      <c r="T23">
        <f>VLOOKUP(G23,'[1]Erogati mag-giu 2026_791_old'!$A:$W,13,FALSE)</f>
        <v>-193.3</v>
      </c>
      <c r="U23">
        <f t="shared" si="2"/>
        <v>0</v>
      </c>
      <c r="V23">
        <v>-193.3</v>
      </c>
      <c r="W23">
        <f>VLOOKUP(G23,'[1]Erogati mag-giu 2026_791_old'!$A:$W,14,FALSE)</f>
        <v>-193.3</v>
      </c>
      <c r="X23">
        <f t="shared" si="3"/>
        <v>0</v>
      </c>
      <c r="Y23" t="s">
        <v>23</v>
      </c>
      <c r="Z23" t="str">
        <f>VLOOKUP(G23,'[2]Erogati mag-giu 2026_791_old'!$D:$T,11,FALSE)</f>
        <v>diretto</v>
      </c>
      <c r="AA23" t="b">
        <v>1</v>
      </c>
      <c r="AF23" t="s">
        <v>20</v>
      </c>
      <c r="AG23" t="s">
        <v>20</v>
      </c>
    </row>
    <row r="24" spans="1:33">
      <c r="A24" s="13"/>
      <c r="C24" s="4">
        <v>202601307231830</v>
      </c>
      <c r="E24" t="s">
        <v>20</v>
      </c>
      <c r="F24" t="s">
        <v>21</v>
      </c>
      <c r="G24" t="s">
        <v>44</v>
      </c>
      <c r="H24" t="str">
        <f>VLOOKUP(C24,'[1]Erogati mag-giu 2026_791_old'!$B:$E,4,FALSE)</f>
        <v>0232000110</v>
      </c>
      <c r="I24" t="b">
        <f t="shared" si="0"/>
        <v>1</v>
      </c>
      <c r="J24" s="14">
        <v>46196</v>
      </c>
      <c r="K24" s="14">
        <v>46196</v>
      </c>
      <c r="L24" t="s">
        <v>20</v>
      </c>
      <c r="M24" s="14">
        <v>46188</v>
      </c>
      <c r="N24" s="14">
        <v>46196</v>
      </c>
      <c r="O24" t="s">
        <v>20</v>
      </c>
      <c r="P24">
        <v>-59.64</v>
      </c>
      <c r="Q24">
        <f>VLOOKUP(G24,'[1]Erogati mag-giu 2026_791_old'!$A:$W,12,FALSE)</f>
        <v>-59.64</v>
      </c>
      <c r="R24">
        <f t="shared" si="1"/>
        <v>0</v>
      </c>
      <c r="S24">
        <v>-59.64</v>
      </c>
      <c r="T24">
        <f>VLOOKUP(G24,'[1]Erogati mag-giu 2026_791_old'!$A:$W,13,FALSE)</f>
        <v>-59.64</v>
      </c>
      <c r="U24">
        <f t="shared" si="2"/>
        <v>0</v>
      </c>
      <c r="V24">
        <v>-59.64</v>
      </c>
      <c r="W24">
        <f>VLOOKUP(G24,'[1]Erogati mag-giu 2026_791_old'!$A:$W,14,FALSE)</f>
        <v>-59.64</v>
      </c>
      <c r="X24">
        <f t="shared" si="3"/>
        <v>0</v>
      </c>
      <c r="Y24" t="s">
        <v>23</v>
      </c>
      <c r="Z24" t="str">
        <f>VLOOKUP(G24,'[2]Erogati mag-giu 2026_791_old'!$D:$T,11,FALSE)</f>
        <v>diretto</v>
      </c>
      <c r="AA24" t="b">
        <v>1</v>
      </c>
      <c r="AF24" t="s">
        <v>20</v>
      </c>
      <c r="AG24" t="s">
        <v>20</v>
      </c>
    </row>
    <row r="25" spans="1:33">
      <c r="A25" s="13"/>
      <c r="C25" s="4">
        <v>202601306857755</v>
      </c>
      <c r="E25" t="s">
        <v>20</v>
      </c>
      <c r="F25" t="s">
        <v>21</v>
      </c>
      <c r="G25" t="s">
        <v>45</v>
      </c>
      <c r="H25" t="str">
        <f>VLOOKUP(C25,'[1]Erogati mag-giu 2026_791_old'!$B:$E,4,FALSE)</f>
        <v>023381</v>
      </c>
      <c r="I25" t="b">
        <f t="shared" si="0"/>
        <v>1</v>
      </c>
      <c r="J25" s="14">
        <v>46196</v>
      </c>
      <c r="K25" s="14">
        <v>46196</v>
      </c>
      <c r="L25" t="s">
        <v>20</v>
      </c>
      <c r="M25" s="14">
        <v>46188</v>
      </c>
      <c r="N25" s="14">
        <v>46196</v>
      </c>
      <c r="O25" t="s">
        <v>20</v>
      </c>
      <c r="P25">
        <v>-189.74</v>
      </c>
      <c r="Q25">
        <f>VLOOKUP(G25,'[1]Erogati mag-giu 2026_791_old'!$A:$W,12,FALSE)</f>
        <v>-189.74</v>
      </c>
      <c r="R25">
        <f t="shared" si="1"/>
        <v>0</v>
      </c>
      <c r="S25">
        <v>-189.74</v>
      </c>
      <c r="T25">
        <f>VLOOKUP(G25,'[1]Erogati mag-giu 2026_791_old'!$A:$W,13,FALSE)</f>
        <v>-189.74</v>
      </c>
      <c r="U25">
        <f t="shared" si="2"/>
        <v>0</v>
      </c>
      <c r="V25">
        <v>-189.74</v>
      </c>
      <c r="W25">
        <f>VLOOKUP(G25,'[1]Erogati mag-giu 2026_791_old'!$A:$W,14,FALSE)</f>
        <v>-189.74</v>
      </c>
      <c r="X25">
        <f t="shared" si="3"/>
        <v>0</v>
      </c>
      <c r="Y25" t="s">
        <v>23</v>
      </c>
      <c r="Z25" t="str">
        <f>VLOOKUP(G25,'[2]Erogati mag-giu 2026_791_old'!$D:$T,11,FALSE)</f>
        <v>diretto</v>
      </c>
      <c r="AA25" t="b">
        <v>1</v>
      </c>
      <c r="AF25" t="s">
        <v>20</v>
      </c>
      <c r="AG25" t="s">
        <v>20</v>
      </c>
    </row>
    <row r="26" spans="1:33">
      <c r="A26" s="13"/>
      <c r="C26" s="4">
        <v>202601306618563</v>
      </c>
      <c r="E26" t="s">
        <v>20</v>
      </c>
      <c r="F26" t="s">
        <v>21</v>
      </c>
      <c r="G26" t="s">
        <v>46</v>
      </c>
      <c r="H26" t="str">
        <f>VLOOKUP(C26,'[1]Erogati mag-giu 2026_791_old'!$B:$E,4,FALSE)</f>
        <v>024803</v>
      </c>
      <c r="I26" t="b">
        <f t="shared" si="0"/>
        <v>1</v>
      </c>
      <c r="J26" s="14">
        <v>46196</v>
      </c>
      <c r="K26" s="14">
        <v>46196</v>
      </c>
      <c r="L26" t="s">
        <v>20</v>
      </c>
      <c r="M26" s="14">
        <v>46188</v>
      </c>
      <c r="N26" s="14">
        <v>46196</v>
      </c>
      <c r="O26" t="s">
        <v>20</v>
      </c>
      <c r="P26">
        <v>-193.3</v>
      </c>
      <c r="Q26">
        <f>VLOOKUP(G26,'[1]Erogati mag-giu 2026_791_old'!$A:$W,12,FALSE)</f>
        <v>-193.3</v>
      </c>
      <c r="R26">
        <f t="shared" si="1"/>
        <v>0</v>
      </c>
      <c r="S26">
        <v>-193.3</v>
      </c>
      <c r="T26">
        <f>VLOOKUP(G26,'[1]Erogati mag-giu 2026_791_old'!$A:$W,13,FALSE)</f>
        <v>-193.3</v>
      </c>
      <c r="U26">
        <f t="shared" si="2"/>
        <v>0</v>
      </c>
      <c r="V26">
        <v>-193.3</v>
      </c>
      <c r="W26">
        <f>VLOOKUP(G26,'[1]Erogati mag-giu 2026_791_old'!$A:$W,14,FALSE)</f>
        <v>-193.3</v>
      </c>
      <c r="X26">
        <f t="shared" si="3"/>
        <v>0</v>
      </c>
      <c r="Y26" t="s">
        <v>23</v>
      </c>
      <c r="Z26" t="str">
        <f>VLOOKUP(G26,'[2]Erogati mag-giu 2026_791_old'!$D:$T,11,FALSE)</f>
        <v>diretto</v>
      </c>
      <c r="AA26" t="b">
        <v>1</v>
      </c>
      <c r="AF26" t="s">
        <v>20</v>
      </c>
      <c r="AG26" t="s">
        <v>20</v>
      </c>
    </row>
    <row r="27" spans="1:33">
      <c r="A27" s="13"/>
      <c r="C27" s="4">
        <v>202601307018944</v>
      </c>
      <c r="E27" t="s">
        <v>20</v>
      </c>
      <c r="F27" t="s">
        <v>21</v>
      </c>
      <c r="G27" t="s">
        <v>47</v>
      </c>
      <c r="H27" t="str">
        <f>VLOOKUP(C27,'[1]Erogati mag-giu 2026_791_old'!$B:$E,4,FALSE)</f>
        <v>025172</v>
      </c>
      <c r="I27" t="b">
        <f t="shared" si="0"/>
        <v>1</v>
      </c>
      <c r="J27" s="14">
        <v>46196</v>
      </c>
      <c r="K27" s="14">
        <v>46196</v>
      </c>
      <c r="L27" t="s">
        <v>20</v>
      </c>
      <c r="M27" s="14">
        <v>46188</v>
      </c>
      <c r="N27" s="14">
        <v>46196</v>
      </c>
      <c r="O27" t="s">
        <v>20</v>
      </c>
      <c r="P27">
        <v>-38.659999999999997</v>
      </c>
      <c r="Q27">
        <f>VLOOKUP(G27,'[1]Erogati mag-giu 2026_791_old'!$A:$W,12,FALSE)</f>
        <v>-38.659999999999997</v>
      </c>
      <c r="R27">
        <f t="shared" si="1"/>
        <v>0</v>
      </c>
      <c r="S27">
        <v>-38.659999999999997</v>
      </c>
      <c r="T27">
        <f>VLOOKUP(G27,'[1]Erogati mag-giu 2026_791_old'!$A:$W,13,FALSE)</f>
        <v>-38.659999999999997</v>
      </c>
      <c r="U27">
        <f t="shared" si="2"/>
        <v>0</v>
      </c>
      <c r="V27">
        <v>-38.659999999999997</v>
      </c>
      <c r="W27">
        <f>VLOOKUP(G27,'[1]Erogati mag-giu 2026_791_old'!$A:$W,14,FALSE)</f>
        <v>-38.659999999999997</v>
      </c>
      <c r="X27">
        <f t="shared" si="3"/>
        <v>0</v>
      </c>
      <c r="Y27" t="s">
        <v>23</v>
      </c>
      <c r="Z27" t="str">
        <f>VLOOKUP(G27,'[2]Erogati mag-giu 2026_791_old'!$D:$T,11,FALSE)</f>
        <v>diretto</v>
      </c>
      <c r="AA27" t="b">
        <v>1</v>
      </c>
      <c r="AF27" t="s">
        <v>20</v>
      </c>
      <c r="AG27" t="s">
        <v>20</v>
      </c>
    </row>
    <row r="28" spans="1:33">
      <c r="A28" s="13"/>
      <c r="C28" s="4">
        <v>202511296042027</v>
      </c>
      <c r="E28" t="s">
        <v>20</v>
      </c>
      <c r="F28" t="s">
        <v>21</v>
      </c>
      <c r="G28" t="s">
        <v>48</v>
      </c>
      <c r="H28" t="str">
        <f>VLOOKUP(C28,'[1]Erogati mag-giu 2026_791_old'!$B:$E,4,FALSE)</f>
        <v>0252000345</v>
      </c>
      <c r="I28" t="b">
        <f t="shared" si="0"/>
        <v>1</v>
      </c>
      <c r="J28" s="14">
        <v>46163</v>
      </c>
      <c r="K28" s="14">
        <v>46163</v>
      </c>
      <c r="L28" t="s">
        <v>20</v>
      </c>
      <c r="M28" s="14">
        <v>46188</v>
      </c>
      <c r="N28" s="14">
        <v>46163</v>
      </c>
      <c r="O28" t="s">
        <v>20</v>
      </c>
      <c r="P28">
        <v>-189.42</v>
      </c>
      <c r="Q28">
        <f>VLOOKUP(G28,'[1]Erogati mag-giu 2026_791_old'!$A:$W,12,FALSE)</f>
        <v>-189.42</v>
      </c>
      <c r="R28">
        <f t="shared" si="1"/>
        <v>0</v>
      </c>
      <c r="S28">
        <v>-189.42</v>
      </c>
      <c r="T28">
        <f>VLOOKUP(G28,'[1]Erogati mag-giu 2026_791_old'!$A:$W,13,FALSE)</f>
        <v>-189.42</v>
      </c>
      <c r="U28">
        <f t="shared" si="2"/>
        <v>0</v>
      </c>
      <c r="V28">
        <v>-189.42</v>
      </c>
      <c r="W28">
        <f>VLOOKUP(G28,'[1]Erogati mag-giu 2026_791_old'!$A:$W,14,FALSE)</f>
        <v>-189.42</v>
      </c>
      <c r="X28">
        <f t="shared" si="3"/>
        <v>0</v>
      </c>
      <c r="Y28" t="s">
        <v>23</v>
      </c>
      <c r="Z28" t="str">
        <f>VLOOKUP(G28,'[2]Erogati mag-giu 2026_791_old'!$D:$T,11,FALSE)</f>
        <v>diretto</v>
      </c>
      <c r="AA28" t="b">
        <v>1</v>
      </c>
      <c r="AF28" t="s">
        <v>20</v>
      </c>
      <c r="AG28" t="s">
        <v>20</v>
      </c>
    </row>
    <row r="29" spans="1:33">
      <c r="A29" s="13"/>
      <c r="C29" s="4">
        <v>202601307778522</v>
      </c>
      <c r="E29" t="s">
        <v>20</v>
      </c>
      <c r="F29" t="s">
        <v>21</v>
      </c>
      <c r="G29" t="s">
        <v>49</v>
      </c>
      <c r="H29" t="str">
        <f>VLOOKUP(C29,'[1]Erogati mag-giu 2026_791_old'!$B:$E,4,FALSE)</f>
        <v>025495</v>
      </c>
      <c r="I29" t="b">
        <f t="shared" si="0"/>
        <v>1</v>
      </c>
      <c r="J29" s="14">
        <v>46196</v>
      </c>
      <c r="K29" s="14">
        <v>46196</v>
      </c>
      <c r="L29" t="s">
        <v>20</v>
      </c>
      <c r="M29" s="14">
        <v>46188</v>
      </c>
      <c r="N29" s="14">
        <v>46196</v>
      </c>
      <c r="O29" t="s">
        <v>20</v>
      </c>
      <c r="P29">
        <v>-115.98</v>
      </c>
      <c r="Q29">
        <f>VLOOKUP(G29,'[1]Erogati mag-giu 2026_791_old'!$A:$W,12,FALSE)</f>
        <v>-115.98</v>
      </c>
      <c r="R29">
        <f t="shared" si="1"/>
        <v>0</v>
      </c>
      <c r="S29">
        <v>-115.98</v>
      </c>
      <c r="T29">
        <f>VLOOKUP(G29,'[1]Erogati mag-giu 2026_791_old'!$A:$W,13,FALSE)</f>
        <v>-115.98</v>
      </c>
      <c r="U29">
        <f t="shared" si="2"/>
        <v>0</v>
      </c>
      <c r="V29">
        <v>-115.98</v>
      </c>
      <c r="W29">
        <f>VLOOKUP(G29,'[1]Erogati mag-giu 2026_791_old'!$A:$W,14,FALSE)</f>
        <v>-115.98</v>
      </c>
      <c r="X29">
        <f t="shared" si="3"/>
        <v>0</v>
      </c>
      <c r="Y29" t="s">
        <v>23</v>
      </c>
      <c r="Z29" t="str">
        <f>VLOOKUP(G29,'[2]Erogati mag-giu 2026_791_old'!$D:$T,11,FALSE)</f>
        <v>diretto</v>
      </c>
      <c r="AA29" t="b">
        <v>1</v>
      </c>
      <c r="AF29" t="s">
        <v>20</v>
      </c>
      <c r="AG29" t="s">
        <v>20</v>
      </c>
    </row>
    <row r="30" spans="1:33">
      <c r="A30" s="13"/>
      <c r="C30" s="4">
        <v>202511295905954</v>
      </c>
      <c r="E30" t="s">
        <v>20</v>
      </c>
      <c r="F30" t="s">
        <v>21</v>
      </c>
      <c r="G30" t="s">
        <v>50</v>
      </c>
      <c r="H30" t="str">
        <f>VLOOKUP(C30,'[1]Erogati mag-giu 2026_791_old'!$B:$E,4,FALSE)</f>
        <v>025597</v>
      </c>
      <c r="I30" t="b">
        <f t="shared" si="0"/>
        <v>1</v>
      </c>
      <c r="J30" s="14">
        <v>46163</v>
      </c>
      <c r="K30" s="14">
        <v>46163</v>
      </c>
      <c r="L30" t="s">
        <v>20</v>
      </c>
      <c r="M30" s="14">
        <v>46188</v>
      </c>
      <c r="N30" s="14">
        <v>46163</v>
      </c>
      <c r="O30" t="s">
        <v>20</v>
      </c>
      <c r="P30">
        <v>-40.93</v>
      </c>
      <c r="Q30">
        <f>VLOOKUP(G30,'[1]Erogati mag-giu 2026_791_old'!$A:$W,12,FALSE)</f>
        <v>-40.93</v>
      </c>
      <c r="R30">
        <f t="shared" si="1"/>
        <v>0</v>
      </c>
      <c r="S30">
        <v>-40.93</v>
      </c>
      <c r="T30">
        <f>VLOOKUP(G30,'[1]Erogati mag-giu 2026_791_old'!$A:$W,13,FALSE)</f>
        <v>-40.93</v>
      </c>
      <c r="U30">
        <f t="shared" si="2"/>
        <v>0</v>
      </c>
      <c r="V30">
        <v>-40.93</v>
      </c>
      <c r="W30">
        <f>VLOOKUP(G30,'[1]Erogati mag-giu 2026_791_old'!$A:$W,14,FALSE)</f>
        <v>-40.93</v>
      </c>
      <c r="X30">
        <f t="shared" si="3"/>
        <v>0</v>
      </c>
      <c r="Y30" t="s">
        <v>23</v>
      </c>
      <c r="Z30" t="str">
        <f>VLOOKUP(G30,'[2]Erogati mag-giu 2026_791_old'!$D:$T,11,FALSE)</f>
        <v>diretto</v>
      </c>
      <c r="AA30" t="b">
        <v>1</v>
      </c>
      <c r="AF30" t="s">
        <v>20</v>
      </c>
      <c r="AG30" t="s">
        <v>20</v>
      </c>
    </row>
    <row r="31" spans="1:33">
      <c r="A31" s="13"/>
      <c r="C31" s="4">
        <v>202511294514860</v>
      </c>
      <c r="E31" t="s">
        <v>20</v>
      </c>
      <c r="F31" t="s">
        <v>21</v>
      </c>
      <c r="G31" t="s">
        <v>51</v>
      </c>
      <c r="H31" t="str">
        <f>VLOOKUP(C31,'[1]Erogati mag-giu 2026_791_old'!$B:$E,4,FALSE)</f>
        <v>0312000689</v>
      </c>
      <c r="I31" t="b">
        <f t="shared" si="0"/>
        <v>1</v>
      </c>
      <c r="J31" s="14">
        <v>46163</v>
      </c>
      <c r="K31" s="14">
        <v>46163</v>
      </c>
      <c r="L31" t="s">
        <v>20</v>
      </c>
      <c r="M31" s="14">
        <v>46188</v>
      </c>
      <c r="N31" s="14">
        <v>46163</v>
      </c>
      <c r="O31" t="s">
        <v>20</v>
      </c>
      <c r="P31">
        <v>-70.16</v>
      </c>
      <c r="Q31">
        <f>VLOOKUP(G31,'[1]Erogati mag-giu 2026_791_old'!$A:$W,12,FALSE)</f>
        <v>-70.16</v>
      </c>
      <c r="R31">
        <f t="shared" si="1"/>
        <v>0</v>
      </c>
      <c r="S31">
        <v>-70.16</v>
      </c>
      <c r="T31">
        <f>VLOOKUP(G31,'[1]Erogati mag-giu 2026_791_old'!$A:$W,13,FALSE)</f>
        <v>-70.16</v>
      </c>
      <c r="U31">
        <f t="shared" si="2"/>
        <v>0</v>
      </c>
      <c r="V31">
        <v>-70.16</v>
      </c>
      <c r="W31">
        <f>VLOOKUP(G31,'[1]Erogati mag-giu 2026_791_old'!$A:$W,14,FALSE)</f>
        <v>-70.16</v>
      </c>
      <c r="X31">
        <f t="shared" si="3"/>
        <v>0</v>
      </c>
      <c r="Y31" t="s">
        <v>23</v>
      </c>
      <c r="Z31" t="str">
        <f>VLOOKUP(G31,'[2]Erogati mag-giu 2026_791_old'!$D:$T,11,FALSE)</f>
        <v>diretto</v>
      </c>
      <c r="AA31" t="b">
        <v>1</v>
      </c>
      <c r="AF31" t="s">
        <v>20</v>
      </c>
      <c r="AG31" t="s">
        <v>20</v>
      </c>
    </row>
    <row r="32" spans="1:33">
      <c r="A32" s="13"/>
      <c r="C32" s="4">
        <v>202601307853154</v>
      </c>
      <c r="E32" t="s">
        <v>20</v>
      </c>
      <c r="F32" t="s">
        <v>21</v>
      </c>
      <c r="G32" t="s">
        <v>52</v>
      </c>
      <c r="H32" t="str">
        <f>VLOOKUP(C32,'[1]Erogati mag-giu 2026_791_old'!$B:$E,4,FALSE)</f>
        <v>0312000878</v>
      </c>
      <c r="I32" t="b">
        <f t="shared" si="0"/>
        <v>1</v>
      </c>
      <c r="J32" s="14">
        <v>46196</v>
      </c>
      <c r="K32" s="14">
        <v>46196</v>
      </c>
      <c r="L32" t="s">
        <v>20</v>
      </c>
      <c r="M32" s="14">
        <v>46188</v>
      </c>
      <c r="N32" s="14">
        <v>46196</v>
      </c>
      <c r="O32" t="s">
        <v>20</v>
      </c>
      <c r="P32">
        <v>-198.78</v>
      </c>
      <c r="Q32">
        <f>VLOOKUP(G32,'[1]Erogati mag-giu 2026_791_old'!$A:$W,12,FALSE)</f>
        <v>-198.78</v>
      </c>
      <c r="R32">
        <f t="shared" si="1"/>
        <v>0</v>
      </c>
      <c r="S32">
        <v>-198.78</v>
      </c>
      <c r="T32">
        <f>VLOOKUP(G32,'[1]Erogati mag-giu 2026_791_old'!$A:$W,13,FALSE)</f>
        <v>-198.78</v>
      </c>
      <c r="U32">
        <f t="shared" si="2"/>
        <v>0</v>
      </c>
      <c r="V32">
        <v>-198.78</v>
      </c>
      <c r="W32">
        <f>VLOOKUP(G32,'[1]Erogati mag-giu 2026_791_old'!$A:$W,14,FALSE)</f>
        <v>-198.78</v>
      </c>
      <c r="X32">
        <f t="shared" si="3"/>
        <v>0</v>
      </c>
      <c r="Y32" t="s">
        <v>23</v>
      </c>
      <c r="Z32" t="str">
        <f>VLOOKUP(G32,'[2]Erogati mag-giu 2026_791_old'!$D:$T,11,FALSE)</f>
        <v>diretto</v>
      </c>
      <c r="AA32" t="b">
        <v>1</v>
      </c>
      <c r="AF32" t="s">
        <v>20</v>
      </c>
      <c r="AG32" t="s">
        <v>20</v>
      </c>
    </row>
    <row r="33" spans="1:33">
      <c r="A33" s="13"/>
      <c r="C33" s="4">
        <v>202601306947037</v>
      </c>
      <c r="E33" t="s">
        <v>20</v>
      </c>
      <c r="F33" t="s">
        <v>21</v>
      </c>
      <c r="G33" t="s">
        <v>53</v>
      </c>
      <c r="H33" t="str">
        <f>VLOOKUP(C33,'[1]Erogati mag-giu 2026_791_old'!$B:$E,4,FALSE)</f>
        <v>0312001218</v>
      </c>
      <c r="I33" t="b">
        <f t="shared" si="0"/>
        <v>1</v>
      </c>
      <c r="J33" s="14">
        <v>46196</v>
      </c>
      <c r="K33" s="14">
        <v>46196</v>
      </c>
      <c r="L33" t="s">
        <v>20</v>
      </c>
      <c r="M33" s="14">
        <v>46188</v>
      </c>
      <c r="N33" s="14">
        <v>46196</v>
      </c>
      <c r="O33" t="s">
        <v>20</v>
      </c>
      <c r="P33">
        <v>-16.73</v>
      </c>
      <c r="Q33">
        <f>VLOOKUP(G33,'[1]Erogati mag-giu 2026_791_old'!$A:$W,12,FALSE)</f>
        <v>-16.73</v>
      </c>
      <c r="R33">
        <f t="shared" si="1"/>
        <v>0</v>
      </c>
      <c r="S33">
        <v>-16.73</v>
      </c>
      <c r="T33">
        <f>VLOOKUP(G33,'[1]Erogati mag-giu 2026_791_old'!$A:$W,13,FALSE)</f>
        <v>-16.73</v>
      </c>
      <c r="U33">
        <f t="shared" si="2"/>
        <v>0</v>
      </c>
      <c r="V33">
        <v>-16.73</v>
      </c>
      <c r="W33">
        <f>VLOOKUP(G33,'[1]Erogati mag-giu 2026_791_old'!$A:$W,14,FALSE)</f>
        <v>-16.73</v>
      </c>
      <c r="X33">
        <f t="shared" si="3"/>
        <v>0</v>
      </c>
      <c r="Y33" t="s">
        <v>23</v>
      </c>
      <c r="Z33" t="str">
        <f>VLOOKUP(G33,'[2]Erogati mag-giu 2026_791_old'!$D:$T,11,FALSE)</f>
        <v>diretto</v>
      </c>
      <c r="AA33" t="b">
        <v>1</v>
      </c>
      <c r="AF33" t="s">
        <v>20</v>
      </c>
      <c r="AG33" t="s">
        <v>20</v>
      </c>
    </row>
    <row r="34" spans="1:33">
      <c r="A34" s="13"/>
      <c r="C34" s="4">
        <v>202601306914904</v>
      </c>
      <c r="E34" t="s">
        <v>20</v>
      </c>
      <c r="F34" t="s">
        <v>21</v>
      </c>
      <c r="G34" t="s">
        <v>54</v>
      </c>
      <c r="H34" t="str">
        <f>VLOOKUP(C34,'[1]Erogati mag-giu 2026_791_old'!$B:$E,4,FALSE)</f>
        <v>0380000369</v>
      </c>
      <c r="I34" t="b">
        <f t="shared" si="0"/>
        <v>1</v>
      </c>
      <c r="J34" s="14">
        <v>46196</v>
      </c>
      <c r="K34" s="14">
        <v>46196</v>
      </c>
      <c r="L34" t="s">
        <v>20</v>
      </c>
      <c r="M34" s="14">
        <v>46188</v>
      </c>
      <c r="N34" s="14">
        <v>46196</v>
      </c>
      <c r="O34" t="s">
        <v>20</v>
      </c>
      <c r="P34">
        <v>-47.94</v>
      </c>
      <c r="Q34">
        <f>VLOOKUP(G34,'[1]Erogati mag-giu 2026_791_old'!$A:$W,12,FALSE)</f>
        <v>-47.94</v>
      </c>
      <c r="R34">
        <f t="shared" si="1"/>
        <v>0</v>
      </c>
      <c r="S34">
        <v>-47.94</v>
      </c>
      <c r="T34">
        <f>VLOOKUP(G34,'[1]Erogati mag-giu 2026_791_old'!$A:$W,13,FALSE)</f>
        <v>-47.94</v>
      </c>
      <c r="U34">
        <f t="shared" si="2"/>
        <v>0</v>
      </c>
      <c r="V34">
        <v>-47.94</v>
      </c>
      <c r="W34">
        <f>VLOOKUP(G34,'[1]Erogati mag-giu 2026_791_old'!$A:$W,14,FALSE)</f>
        <v>-47.94</v>
      </c>
      <c r="X34">
        <f t="shared" si="3"/>
        <v>0</v>
      </c>
      <c r="Y34" t="s">
        <v>23</v>
      </c>
      <c r="Z34" t="str">
        <f>VLOOKUP(G34,'[2]Erogati mag-giu 2026_791_old'!$D:$T,11,FALSE)</f>
        <v>diretto</v>
      </c>
      <c r="AA34" t="b">
        <v>1</v>
      </c>
      <c r="AF34" t="s">
        <v>20</v>
      </c>
      <c r="AG34" t="s">
        <v>20</v>
      </c>
    </row>
    <row r="35" spans="1:33">
      <c r="A35" s="13"/>
      <c r="C35" s="4">
        <v>202511294496057</v>
      </c>
      <c r="E35" t="s">
        <v>20</v>
      </c>
      <c r="F35" t="s">
        <v>21</v>
      </c>
      <c r="G35" t="s">
        <v>55</v>
      </c>
      <c r="H35" t="str">
        <f>VLOOKUP(C35,'[1]Erogati mag-giu 2026_791_old'!$B:$E,4,FALSE)</f>
        <v>0472000330</v>
      </c>
      <c r="I35" t="b">
        <f t="shared" si="0"/>
        <v>1</v>
      </c>
      <c r="J35" s="14">
        <v>46163</v>
      </c>
      <c r="K35" s="14">
        <v>46163</v>
      </c>
      <c r="L35" t="s">
        <v>20</v>
      </c>
      <c r="M35" s="14">
        <v>46188</v>
      </c>
      <c r="N35" s="14">
        <v>46163</v>
      </c>
      <c r="O35" t="s">
        <v>20</v>
      </c>
      <c r="P35">
        <v>-25.38</v>
      </c>
      <c r="Q35">
        <f>VLOOKUP(G35,'[1]Erogati mag-giu 2026_791_old'!$A:$W,12,FALSE)</f>
        <v>-25.38</v>
      </c>
      <c r="R35">
        <f t="shared" si="1"/>
        <v>0</v>
      </c>
      <c r="S35">
        <v>-25.38</v>
      </c>
      <c r="T35">
        <f>VLOOKUP(G35,'[1]Erogati mag-giu 2026_791_old'!$A:$W,13,FALSE)</f>
        <v>-25.38</v>
      </c>
      <c r="U35">
        <f t="shared" si="2"/>
        <v>0</v>
      </c>
      <c r="V35">
        <v>-25.38</v>
      </c>
      <c r="W35">
        <f>VLOOKUP(G35,'[1]Erogati mag-giu 2026_791_old'!$A:$W,14,FALSE)</f>
        <v>-25.38</v>
      </c>
      <c r="X35">
        <f t="shared" si="3"/>
        <v>0</v>
      </c>
      <c r="Y35" t="s">
        <v>23</v>
      </c>
      <c r="Z35" t="str">
        <f>VLOOKUP(G35,'[2]Erogati mag-giu 2026_791_old'!$D:$T,11,FALSE)</f>
        <v>diretto</v>
      </c>
      <c r="AA35" t="b">
        <v>1</v>
      </c>
      <c r="AF35" t="s">
        <v>20</v>
      </c>
      <c r="AG35" t="s">
        <v>20</v>
      </c>
    </row>
    <row r="36" spans="1:33">
      <c r="A36" s="13"/>
      <c r="C36" s="4">
        <v>202601306628997</v>
      </c>
      <c r="E36" t="s">
        <v>20</v>
      </c>
      <c r="F36" t="s">
        <v>21</v>
      </c>
      <c r="G36" t="s">
        <v>56</v>
      </c>
      <c r="H36" t="str">
        <f>VLOOKUP(C36,'[1]Erogati mag-giu 2026_791_old'!$B:$E,4,FALSE)</f>
        <v>0512000251</v>
      </c>
      <c r="I36" t="b">
        <f t="shared" si="0"/>
        <v>1</v>
      </c>
      <c r="J36" s="14">
        <v>46196</v>
      </c>
      <c r="K36" s="14">
        <v>46196</v>
      </c>
      <c r="L36" t="s">
        <v>20</v>
      </c>
      <c r="M36" s="14">
        <v>46188</v>
      </c>
      <c r="N36" s="14">
        <v>46196</v>
      </c>
      <c r="O36" t="s">
        <v>20</v>
      </c>
      <c r="P36">
        <v>-132.52000000000001</v>
      </c>
      <c r="Q36">
        <f>VLOOKUP(G36,'[1]Erogati mag-giu 2026_791_old'!$A:$W,12,FALSE)</f>
        <v>-132.52000000000001</v>
      </c>
      <c r="R36">
        <f t="shared" si="1"/>
        <v>0</v>
      </c>
      <c r="S36">
        <v>-132.52000000000001</v>
      </c>
      <c r="T36">
        <f>VLOOKUP(G36,'[1]Erogati mag-giu 2026_791_old'!$A:$W,13,FALSE)</f>
        <v>-132.52000000000001</v>
      </c>
      <c r="U36">
        <f t="shared" si="2"/>
        <v>0</v>
      </c>
      <c r="V36">
        <v>-132.52000000000001</v>
      </c>
      <c r="W36">
        <f>VLOOKUP(G36,'[1]Erogati mag-giu 2026_791_old'!$A:$W,14,FALSE)</f>
        <v>-132.52000000000001</v>
      </c>
      <c r="X36">
        <f t="shared" si="3"/>
        <v>0</v>
      </c>
      <c r="Y36" t="s">
        <v>23</v>
      </c>
      <c r="Z36" t="str">
        <f>VLOOKUP(G36,'[2]Erogati mag-giu 2026_791_old'!$D:$T,11,FALSE)</f>
        <v>diretto</v>
      </c>
      <c r="AA36" t="b">
        <v>1</v>
      </c>
      <c r="AF36" t="s">
        <v>20</v>
      </c>
      <c r="AG36" t="s">
        <v>20</v>
      </c>
    </row>
    <row r="37" spans="1:33">
      <c r="A37" s="13"/>
      <c r="C37" s="4">
        <v>202511294527732</v>
      </c>
      <c r="E37" t="s">
        <v>20</v>
      </c>
      <c r="F37" t="s">
        <v>21</v>
      </c>
      <c r="G37" t="s">
        <v>57</v>
      </c>
      <c r="H37" t="str">
        <f>VLOOKUP(C37,'[1]Erogati mag-giu 2026_791_old'!$B:$E,4,FALSE)</f>
        <v>0522000174</v>
      </c>
      <c r="I37" t="b">
        <f t="shared" si="0"/>
        <v>1</v>
      </c>
      <c r="J37" s="14">
        <v>46163</v>
      </c>
      <c r="K37" s="14">
        <v>46163</v>
      </c>
      <c r="L37" t="s">
        <v>20</v>
      </c>
      <c r="M37" s="14">
        <v>46188</v>
      </c>
      <c r="N37" s="14">
        <v>46163</v>
      </c>
      <c r="O37" t="s">
        <v>20</v>
      </c>
      <c r="P37">
        <v>-35.08</v>
      </c>
      <c r="Q37">
        <f>VLOOKUP(G37,'[1]Erogati mag-giu 2026_791_old'!$A:$W,12,FALSE)</f>
        <v>-35.08</v>
      </c>
      <c r="R37">
        <f t="shared" si="1"/>
        <v>0</v>
      </c>
      <c r="S37">
        <v>-35.08</v>
      </c>
      <c r="T37">
        <f>VLOOKUP(G37,'[1]Erogati mag-giu 2026_791_old'!$A:$W,13,FALSE)</f>
        <v>-35.08</v>
      </c>
      <c r="U37">
        <f t="shared" si="2"/>
        <v>0</v>
      </c>
      <c r="V37">
        <v>-35.08</v>
      </c>
      <c r="W37">
        <f>VLOOKUP(G37,'[1]Erogati mag-giu 2026_791_old'!$A:$W,14,FALSE)</f>
        <v>-35.08</v>
      </c>
      <c r="X37">
        <f t="shared" si="3"/>
        <v>0</v>
      </c>
      <c r="Y37" t="s">
        <v>23</v>
      </c>
      <c r="Z37" t="str">
        <f>VLOOKUP(G37,'[2]Erogati mag-giu 2026_791_old'!$D:$T,11,FALSE)</f>
        <v>diretto</v>
      </c>
      <c r="AA37" t="b">
        <v>1</v>
      </c>
      <c r="AF37" t="s">
        <v>20</v>
      </c>
      <c r="AG37" t="s">
        <v>20</v>
      </c>
    </row>
    <row r="38" spans="1:33">
      <c r="A38" s="13"/>
      <c r="C38" s="4">
        <v>202601308658787</v>
      </c>
      <c r="E38" t="s">
        <v>20</v>
      </c>
      <c r="F38" t="s">
        <v>21</v>
      </c>
      <c r="G38" t="s">
        <v>58</v>
      </c>
      <c r="H38" t="str">
        <f>VLOOKUP(C38,'[1]Erogati mag-giu 2026_791_old'!$B:$E,4,FALSE)</f>
        <v>0532000235</v>
      </c>
      <c r="I38" t="b">
        <f t="shared" si="0"/>
        <v>1</v>
      </c>
      <c r="J38" s="14">
        <v>46196</v>
      </c>
      <c r="K38" s="14">
        <v>46196</v>
      </c>
      <c r="L38" t="s">
        <v>20</v>
      </c>
      <c r="M38" s="14">
        <v>46188</v>
      </c>
      <c r="N38" s="14">
        <v>46196</v>
      </c>
      <c r="O38" t="s">
        <v>20</v>
      </c>
      <c r="P38">
        <v>-66.260000000000005</v>
      </c>
      <c r="Q38">
        <f>VLOOKUP(G38,'[1]Erogati mag-giu 2026_791_old'!$A:$W,12,FALSE)</f>
        <v>-66.260000000000005</v>
      </c>
      <c r="R38">
        <f t="shared" si="1"/>
        <v>0</v>
      </c>
      <c r="S38">
        <v>-66.260000000000005</v>
      </c>
      <c r="T38">
        <f>VLOOKUP(G38,'[1]Erogati mag-giu 2026_791_old'!$A:$W,13,FALSE)</f>
        <v>-66.260000000000005</v>
      </c>
      <c r="U38">
        <f t="shared" si="2"/>
        <v>0</v>
      </c>
      <c r="V38">
        <v>-66.260000000000005</v>
      </c>
      <c r="W38">
        <f>VLOOKUP(G38,'[1]Erogati mag-giu 2026_791_old'!$A:$W,14,FALSE)</f>
        <v>-66.260000000000005</v>
      </c>
      <c r="X38">
        <f t="shared" si="3"/>
        <v>0</v>
      </c>
      <c r="Y38" t="s">
        <v>23</v>
      </c>
      <c r="Z38" t="str">
        <f>VLOOKUP(G38,'[2]Erogati mag-giu 2026_791_old'!$D:$T,11,FALSE)</f>
        <v>diretto</v>
      </c>
      <c r="AA38" t="b">
        <v>1</v>
      </c>
      <c r="AF38" t="s">
        <v>20</v>
      </c>
      <c r="AG38" t="s">
        <v>20</v>
      </c>
    </row>
    <row r="39" spans="1:33">
      <c r="A39" s="13"/>
      <c r="C39" s="4">
        <v>202511294505853</v>
      </c>
      <c r="E39" t="s">
        <v>20</v>
      </c>
      <c r="F39" t="s">
        <v>21</v>
      </c>
      <c r="G39" t="s">
        <v>59</v>
      </c>
      <c r="H39" t="str">
        <f>VLOOKUP(C39,'[1]Erogati mag-giu 2026_791_old'!$B:$E,4,FALSE)</f>
        <v>0542000179</v>
      </c>
      <c r="I39" t="b">
        <f t="shared" si="0"/>
        <v>1</v>
      </c>
      <c r="J39" s="14">
        <v>46163</v>
      </c>
      <c r="K39" s="14">
        <v>46163</v>
      </c>
      <c r="L39" t="s">
        <v>20</v>
      </c>
      <c r="M39" s="14">
        <v>46188</v>
      </c>
      <c r="N39" s="14">
        <v>46163</v>
      </c>
      <c r="O39" t="s">
        <v>20</v>
      </c>
      <c r="P39">
        <v>-88.55</v>
      </c>
      <c r="Q39">
        <f>VLOOKUP(G39,'[1]Erogati mag-giu 2026_791_old'!$A:$W,12,FALSE)</f>
        <v>-88.55</v>
      </c>
      <c r="R39">
        <f t="shared" si="1"/>
        <v>0</v>
      </c>
      <c r="S39">
        <v>-88.55</v>
      </c>
      <c r="T39">
        <f>VLOOKUP(G39,'[1]Erogati mag-giu 2026_791_old'!$A:$W,13,FALSE)</f>
        <v>-88.55</v>
      </c>
      <c r="U39">
        <f t="shared" si="2"/>
        <v>0</v>
      </c>
      <c r="V39">
        <v>-88.55</v>
      </c>
      <c r="W39">
        <f>VLOOKUP(G39,'[1]Erogati mag-giu 2026_791_old'!$A:$W,14,FALSE)</f>
        <v>-88.55</v>
      </c>
      <c r="X39">
        <f t="shared" si="3"/>
        <v>0</v>
      </c>
      <c r="Y39" t="s">
        <v>23</v>
      </c>
      <c r="Z39" t="str">
        <f>VLOOKUP(G39,'[2]Erogati mag-giu 2026_791_old'!$D:$T,11,FALSE)</f>
        <v>diretto</v>
      </c>
      <c r="AA39" t="b">
        <v>1</v>
      </c>
      <c r="AF39" t="s">
        <v>20</v>
      </c>
      <c r="AG39" t="s">
        <v>20</v>
      </c>
    </row>
    <row r="40" spans="1:33">
      <c r="A40" s="13"/>
      <c r="C40" s="4">
        <v>202601308640268</v>
      </c>
      <c r="E40" t="s">
        <v>20</v>
      </c>
      <c r="F40" t="s">
        <v>21</v>
      </c>
      <c r="G40" t="s">
        <v>60</v>
      </c>
      <c r="H40" t="str">
        <f>VLOOKUP(C40,'[1]Erogati mag-giu 2026_791_old'!$B:$E,4,FALSE)</f>
        <v>0562000409</v>
      </c>
      <c r="I40" t="b">
        <f t="shared" si="0"/>
        <v>1</v>
      </c>
      <c r="J40" s="14">
        <v>46196</v>
      </c>
      <c r="K40" s="14">
        <v>46196</v>
      </c>
      <c r="L40" t="s">
        <v>20</v>
      </c>
      <c r="M40" s="14">
        <v>46188</v>
      </c>
      <c r="N40" s="14">
        <v>46196</v>
      </c>
      <c r="O40" t="s">
        <v>20</v>
      </c>
      <c r="P40">
        <v>-33.130000000000003</v>
      </c>
      <c r="Q40">
        <f>VLOOKUP(G40,'[1]Erogati mag-giu 2026_791_old'!$A:$W,12,FALSE)</f>
        <v>-33.130000000000003</v>
      </c>
      <c r="R40">
        <f t="shared" si="1"/>
        <v>0</v>
      </c>
      <c r="S40">
        <v>-33.130000000000003</v>
      </c>
      <c r="T40">
        <f>VLOOKUP(G40,'[1]Erogati mag-giu 2026_791_old'!$A:$W,13,FALSE)</f>
        <v>-33.130000000000003</v>
      </c>
      <c r="U40">
        <f t="shared" si="2"/>
        <v>0</v>
      </c>
      <c r="V40">
        <v>-33.130000000000003</v>
      </c>
      <c r="W40">
        <f>VLOOKUP(G40,'[1]Erogati mag-giu 2026_791_old'!$A:$W,14,FALSE)</f>
        <v>-33.130000000000003</v>
      </c>
      <c r="X40">
        <f t="shared" si="3"/>
        <v>0</v>
      </c>
      <c r="Y40" t="s">
        <v>23</v>
      </c>
      <c r="Z40" t="str">
        <f>VLOOKUP(G40,'[2]Erogati mag-giu 2026_791_old'!$D:$T,11,FALSE)</f>
        <v>diretto</v>
      </c>
      <c r="AA40" t="b">
        <v>1</v>
      </c>
      <c r="AF40" t="s">
        <v>20</v>
      </c>
      <c r="AG40" t="s">
        <v>20</v>
      </c>
    </row>
    <row r="41" spans="1:33">
      <c r="A41" s="13"/>
      <c r="C41" s="4">
        <v>202601306543762</v>
      </c>
      <c r="E41" t="s">
        <v>20</v>
      </c>
      <c r="F41" t="s">
        <v>21</v>
      </c>
      <c r="G41" t="s">
        <v>61</v>
      </c>
      <c r="H41" t="str">
        <f>VLOOKUP(C41,'[1]Erogati mag-giu 2026_791_old'!$B:$E,4,FALSE)</f>
        <v>0572000500</v>
      </c>
      <c r="I41" t="b">
        <f t="shared" si="0"/>
        <v>1</v>
      </c>
      <c r="J41" s="14">
        <v>46196</v>
      </c>
      <c r="K41" s="14">
        <v>46196</v>
      </c>
      <c r="L41" t="s">
        <v>20</v>
      </c>
      <c r="M41" s="14">
        <v>46188</v>
      </c>
      <c r="N41" s="14">
        <v>46196</v>
      </c>
      <c r="O41" t="s">
        <v>20</v>
      </c>
      <c r="P41">
        <v>-132.52000000000001</v>
      </c>
      <c r="Q41">
        <f>VLOOKUP(G41,'[1]Erogati mag-giu 2026_791_old'!$A:$W,12,FALSE)</f>
        <v>-132.52000000000001</v>
      </c>
      <c r="R41">
        <f t="shared" si="1"/>
        <v>0</v>
      </c>
      <c r="S41">
        <v>-132.52000000000001</v>
      </c>
      <c r="T41">
        <f>VLOOKUP(G41,'[1]Erogati mag-giu 2026_791_old'!$A:$W,13,FALSE)</f>
        <v>-132.52000000000001</v>
      </c>
      <c r="U41">
        <f t="shared" si="2"/>
        <v>0</v>
      </c>
      <c r="V41">
        <v>-132.52000000000001</v>
      </c>
      <c r="W41">
        <f>VLOOKUP(G41,'[1]Erogati mag-giu 2026_791_old'!$A:$W,14,FALSE)</f>
        <v>-132.52000000000001</v>
      </c>
      <c r="X41">
        <f t="shared" si="3"/>
        <v>0</v>
      </c>
      <c r="Y41" t="s">
        <v>23</v>
      </c>
      <c r="Z41" t="str">
        <f>VLOOKUP(G41,'[2]Erogati mag-giu 2026_791_old'!$D:$T,11,FALSE)</f>
        <v>diretto</v>
      </c>
      <c r="AA41" t="b">
        <v>1</v>
      </c>
      <c r="AF41" t="s">
        <v>20</v>
      </c>
      <c r="AG41" t="s">
        <v>20</v>
      </c>
    </row>
    <row r="42" spans="1:33">
      <c r="A42" s="13"/>
      <c r="C42" s="4">
        <v>202601308410035</v>
      </c>
      <c r="E42" t="s">
        <v>20</v>
      </c>
      <c r="F42" t="s">
        <v>21</v>
      </c>
      <c r="G42" t="s">
        <v>62</v>
      </c>
      <c r="H42" t="str">
        <f>VLOOKUP(C42,'[1]Erogati mag-giu 2026_791_old'!$B:$E,4,FALSE)</f>
        <v>0582000829</v>
      </c>
      <c r="I42" t="b">
        <f t="shared" si="0"/>
        <v>1</v>
      </c>
      <c r="J42" s="14">
        <v>46196</v>
      </c>
      <c r="K42" s="14">
        <v>46196</v>
      </c>
      <c r="L42" t="s">
        <v>20</v>
      </c>
      <c r="M42" s="14">
        <v>46188</v>
      </c>
      <c r="N42" s="14">
        <v>46196</v>
      </c>
      <c r="O42" t="s">
        <v>20</v>
      </c>
      <c r="P42">
        <v>-99.39</v>
      </c>
      <c r="Q42">
        <f>VLOOKUP(G42,'[1]Erogati mag-giu 2026_791_old'!$A:$W,12,FALSE)</f>
        <v>-99.39</v>
      </c>
      <c r="R42">
        <f t="shared" si="1"/>
        <v>0</v>
      </c>
      <c r="S42">
        <v>-99.39</v>
      </c>
      <c r="T42">
        <f>VLOOKUP(G42,'[1]Erogati mag-giu 2026_791_old'!$A:$W,13,FALSE)</f>
        <v>-99.39</v>
      </c>
      <c r="U42">
        <f t="shared" si="2"/>
        <v>0</v>
      </c>
      <c r="V42">
        <v>-99.39</v>
      </c>
      <c r="W42">
        <f>VLOOKUP(G42,'[1]Erogati mag-giu 2026_791_old'!$A:$W,14,FALSE)</f>
        <v>-99.39</v>
      </c>
      <c r="X42">
        <f t="shared" si="3"/>
        <v>0</v>
      </c>
      <c r="Y42" t="s">
        <v>23</v>
      </c>
      <c r="Z42" t="str">
        <f>VLOOKUP(G42,'[2]Erogati mag-giu 2026_791_old'!$D:$T,11,FALSE)</f>
        <v>diretto</v>
      </c>
      <c r="AA42" t="b">
        <v>1</v>
      </c>
      <c r="AF42" t="s">
        <v>20</v>
      </c>
      <c r="AG42" t="s">
        <v>20</v>
      </c>
    </row>
    <row r="43" spans="1:33">
      <c r="A43" s="13"/>
      <c r="C43" s="4">
        <v>202601307482678</v>
      </c>
      <c r="E43" t="s">
        <v>20</v>
      </c>
      <c r="F43" t="s">
        <v>21</v>
      </c>
      <c r="G43" t="s">
        <v>63</v>
      </c>
      <c r="H43" t="str">
        <f>VLOOKUP(C43,'[1]Erogati mag-giu 2026_791_old'!$B:$E,4,FALSE)</f>
        <v>0582001123</v>
      </c>
      <c r="I43" t="b">
        <f t="shared" si="0"/>
        <v>1</v>
      </c>
      <c r="J43" s="14">
        <v>46196</v>
      </c>
      <c r="K43" s="14">
        <v>46196</v>
      </c>
      <c r="L43" t="s">
        <v>20</v>
      </c>
      <c r="M43" s="14">
        <v>46188</v>
      </c>
      <c r="N43" s="14">
        <v>46196</v>
      </c>
      <c r="O43" t="s">
        <v>20</v>
      </c>
      <c r="P43">
        <v>-33.450000000000003</v>
      </c>
      <c r="Q43">
        <f>VLOOKUP(G43,'[1]Erogati mag-giu 2026_791_old'!$A:$W,12,FALSE)</f>
        <v>-33.450000000000003</v>
      </c>
      <c r="R43">
        <f t="shared" si="1"/>
        <v>0</v>
      </c>
      <c r="S43">
        <v>-33.450000000000003</v>
      </c>
      <c r="T43">
        <f>VLOOKUP(G43,'[1]Erogati mag-giu 2026_791_old'!$A:$W,13,FALSE)</f>
        <v>-33.450000000000003</v>
      </c>
      <c r="U43">
        <f t="shared" si="2"/>
        <v>0</v>
      </c>
      <c r="V43">
        <v>-33.450000000000003</v>
      </c>
      <c r="W43">
        <f>VLOOKUP(G43,'[1]Erogati mag-giu 2026_791_old'!$A:$W,14,FALSE)</f>
        <v>-33.450000000000003</v>
      </c>
      <c r="X43">
        <f t="shared" si="3"/>
        <v>0</v>
      </c>
      <c r="Y43" t="s">
        <v>23</v>
      </c>
      <c r="Z43" t="str">
        <f>VLOOKUP(G43,'[2]Erogati mag-giu 2026_791_old'!$D:$T,11,FALSE)</f>
        <v>diretto</v>
      </c>
      <c r="AA43" t="b">
        <v>1</v>
      </c>
      <c r="AF43" t="s">
        <v>20</v>
      </c>
      <c r="AG43" t="s">
        <v>20</v>
      </c>
    </row>
    <row r="44" spans="1:33">
      <c r="A44" s="13"/>
      <c r="C44" s="4">
        <v>202511296245388</v>
      </c>
      <c r="E44" t="s">
        <v>20</v>
      </c>
      <c r="F44" t="s">
        <v>21</v>
      </c>
      <c r="G44" t="s">
        <v>64</v>
      </c>
      <c r="H44" t="str">
        <f>VLOOKUP(C44,'[1]Erogati mag-giu 2026_791_old'!$B:$E,4,FALSE)</f>
        <v>0592000728</v>
      </c>
      <c r="I44" t="b">
        <f t="shared" si="0"/>
        <v>1</v>
      </c>
      <c r="J44" s="14">
        <v>46163</v>
      </c>
      <c r="K44" s="14">
        <v>46163</v>
      </c>
      <c r="L44" t="s">
        <v>20</v>
      </c>
      <c r="M44" s="14">
        <v>46188</v>
      </c>
      <c r="N44" s="14">
        <v>46163</v>
      </c>
      <c r="O44" t="s">
        <v>20</v>
      </c>
      <c r="P44">
        <v>-280.62</v>
      </c>
      <c r="Q44">
        <f>VLOOKUP(G44,'[1]Erogati mag-giu 2026_791_old'!$A:$W,12,FALSE)</f>
        <v>-280.62</v>
      </c>
      <c r="R44">
        <f t="shared" si="1"/>
        <v>0</v>
      </c>
      <c r="S44">
        <v>-280.62</v>
      </c>
      <c r="T44">
        <f>VLOOKUP(G44,'[1]Erogati mag-giu 2026_791_old'!$A:$W,13,FALSE)</f>
        <v>-280.62</v>
      </c>
      <c r="U44">
        <f t="shared" si="2"/>
        <v>0</v>
      </c>
      <c r="V44">
        <v>-280.62</v>
      </c>
      <c r="W44">
        <f>VLOOKUP(G44,'[1]Erogati mag-giu 2026_791_old'!$A:$W,14,FALSE)</f>
        <v>-280.62</v>
      </c>
      <c r="X44">
        <f t="shared" si="3"/>
        <v>0</v>
      </c>
      <c r="Y44" t="s">
        <v>23</v>
      </c>
      <c r="Z44" t="str">
        <f>VLOOKUP(G44,'[2]Erogati mag-giu 2026_791_old'!$D:$T,11,FALSE)</f>
        <v>diretto</v>
      </c>
      <c r="AA44" t="b">
        <v>1</v>
      </c>
      <c r="AF44" t="s">
        <v>20</v>
      </c>
      <c r="AG44" t="s">
        <v>20</v>
      </c>
    </row>
    <row r="45" spans="1:33">
      <c r="A45" s="13"/>
      <c r="C45" s="4">
        <v>202512304106289</v>
      </c>
      <c r="E45" t="s">
        <v>20</v>
      </c>
      <c r="F45" t="s">
        <v>21</v>
      </c>
      <c r="G45" t="s">
        <v>65</v>
      </c>
      <c r="H45" t="str">
        <f>VLOOKUP(C45,'[1]Erogati mag-giu 2026_791_old'!$B:$E,4,FALSE)</f>
        <v>0602000167</v>
      </c>
      <c r="I45" t="b">
        <f t="shared" si="0"/>
        <v>1</v>
      </c>
      <c r="J45" s="14">
        <v>46188</v>
      </c>
      <c r="K45" s="14">
        <v>46188</v>
      </c>
      <c r="L45" t="s">
        <v>20</v>
      </c>
      <c r="M45" s="14">
        <v>46188</v>
      </c>
      <c r="N45" s="14">
        <v>46188</v>
      </c>
      <c r="O45" t="s">
        <v>20</v>
      </c>
      <c r="P45">
        <v>-106.26</v>
      </c>
      <c r="Q45">
        <f>VLOOKUP(G45,'[1]Erogati mag-giu 2026_791_old'!$A:$W,12,FALSE)</f>
        <v>-106.26</v>
      </c>
      <c r="R45">
        <f t="shared" si="1"/>
        <v>0</v>
      </c>
      <c r="S45">
        <v>-106.26</v>
      </c>
      <c r="T45">
        <f>VLOOKUP(G45,'[1]Erogati mag-giu 2026_791_old'!$A:$W,13,FALSE)</f>
        <v>-106.26</v>
      </c>
      <c r="U45">
        <f t="shared" si="2"/>
        <v>0</v>
      </c>
      <c r="V45">
        <v>-106.26</v>
      </c>
      <c r="W45">
        <f>VLOOKUP(G45,'[1]Erogati mag-giu 2026_791_old'!$A:$W,14,FALSE)</f>
        <v>-106.26</v>
      </c>
      <c r="X45">
        <f t="shared" si="3"/>
        <v>0</v>
      </c>
      <c r="Y45" t="s">
        <v>23</v>
      </c>
      <c r="Z45" t="str">
        <f>VLOOKUP(G45,'[2]Erogati mag-giu 2026_791_old'!$D:$T,11,FALSE)</f>
        <v>diretto</v>
      </c>
      <c r="AA45" t="b">
        <v>1</v>
      </c>
      <c r="AF45" t="s">
        <v>20</v>
      </c>
      <c r="AG45" t="s">
        <v>20</v>
      </c>
    </row>
    <row r="46" spans="1:33">
      <c r="A46" s="13"/>
      <c r="C46" s="4">
        <v>202601307989178</v>
      </c>
      <c r="E46" t="s">
        <v>20</v>
      </c>
      <c r="F46" t="s">
        <v>21</v>
      </c>
      <c r="G46" t="s">
        <v>66</v>
      </c>
      <c r="H46" t="str">
        <f>VLOOKUP(C46,'[1]Erogati mag-giu 2026_791_old'!$B:$E,4,FALSE)</f>
        <v>0670000502</v>
      </c>
      <c r="I46" t="b">
        <f t="shared" si="0"/>
        <v>1</v>
      </c>
      <c r="J46" s="14">
        <v>46196</v>
      </c>
      <c r="K46" s="14">
        <v>46196</v>
      </c>
      <c r="L46" t="s">
        <v>20</v>
      </c>
      <c r="M46" s="14">
        <v>46188</v>
      </c>
      <c r="N46" s="14">
        <v>46196</v>
      </c>
      <c r="O46" t="s">
        <v>20</v>
      </c>
      <c r="P46">
        <v>-38.229999999999997</v>
      </c>
      <c r="Q46">
        <f>VLOOKUP(G46,'[1]Erogati mag-giu 2026_791_old'!$A:$W,12,FALSE)</f>
        <v>-38.229999999999997</v>
      </c>
      <c r="R46">
        <f t="shared" si="1"/>
        <v>0</v>
      </c>
      <c r="S46">
        <v>-38.229999999999997</v>
      </c>
      <c r="T46">
        <f>VLOOKUP(G46,'[1]Erogati mag-giu 2026_791_old'!$A:$W,13,FALSE)</f>
        <v>-38.229999999999997</v>
      </c>
      <c r="U46">
        <f t="shared" si="2"/>
        <v>0</v>
      </c>
      <c r="V46">
        <v>-38.229999999999997</v>
      </c>
      <c r="W46">
        <f>VLOOKUP(G46,'[1]Erogati mag-giu 2026_791_old'!$A:$W,14,FALSE)</f>
        <v>-38.229999999999997</v>
      </c>
      <c r="X46">
        <f t="shared" si="3"/>
        <v>0</v>
      </c>
      <c r="Y46" t="s">
        <v>23</v>
      </c>
      <c r="Z46" t="str">
        <f>VLOOKUP(G46,'[2]Erogati mag-giu 2026_791_old'!$D:$T,11,FALSE)</f>
        <v>diretto</v>
      </c>
      <c r="AA46" t="b">
        <v>1</v>
      </c>
      <c r="AF46" t="s">
        <v>20</v>
      </c>
      <c r="AG46" t="s">
        <v>20</v>
      </c>
    </row>
    <row r="47" spans="1:33">
      <c r="A47" s="13"/>
      <c r="C47" s="4">
        <v>202601308683878</v>
      </c>
      <c r="E47" t="s">
        <v>20</v>
      </c>
      <c r="F47" t="s">
        <v>21</v>
      </c>
      <c r="G47" t="s">
        <v>67</v>
      </c>
      <c r="H47" t="str">
        <f>VLOOKUP(C47,'[1]Erogati mag-giu 2026_791_old'!$B:$E,4,FALSE)</f>
        <v>0672000118</v>
      </c>
      <c r="I47" t="b">
        <f t="shared" si="0"/>
        <v>1</v>
      </c>
      <c r="J47" s="14">
        <v>46196</v>
      </c>
      <c r="K47" s="14">
        <v>46196</v>
      </c>
      <c r="L47" t="s">
        <v>20</v>
      </c>
      <c r="M47" s="14">
        <v>46188</v>
      </c>
      <c r="N47" s="14">
        <v>46196</v>
      </c>
      <c r="O47" t="s">
        <v>20</v>
      </c>
      <c r="P47">
        <v>-12.74</v>
      </c>
      <c r="Q47">
        <f>VLOOKUP(G47,'[1]Erogati mag-giu 2026_791_old'!$A:$W,12,FALSE)</f>
        <v>-12.74</v>
      </c>
      <c r="R47">
        <f t="shared" si="1"/>
        <v>0</v>
      </c>
      <c r="S47">
        <v>-12.74</v>
      </c>
      <c r="T47">
        <f>VLOOKUP(G47,'[1]Erogati mag-giu 2026_791_old'!$A:$W,13,FALSE)</f>
        <v>-12.74</v>
      </c>
      <c r="U47">
        <f t="shared" si="2"/>
        <v>0</v>
      </c>
      <c r="V47">
        <v>-12.74</v>
      </c>
      <c r="W47">
        <f>VLOOKUP(G47,'[1]Erogati mag-giu 2026_791_old'!$A:$W,14,FALSE)</f>
        <v>-12.74</v>
      </c>
      <c r="X47">
        <f t="shared" si="3"/>
        <v>0</v>
      </c>
      <c r="Y47" t="s">
        <v>23</v>
      </c>
      <c r="Z47" t="str">
        <f>VLOOKUP(G47,'[2]Erogati mag-giu 2026_791_old'!$D:$T,11,FALSE)</f>
        <v>diretto</v>
      </c>
      <c r="AA47" t="b">
        <v>1</v>
      </c>
      <c r="AF47" t="s">
        <v>20</v>
      </c>
      <c r="AG47" t="s">
        <v>20</v>
      </c>
    </row>
    <row r="48" spans="1:33">
      <c r="A48" s="13"/>
      <c r="C48" s="4">
        <v>202601308154304</v>
      </c>
      <c r="E48" t="s">
        <v>20</v>
      </c>
      <c r="F48" t="s">
        <v>21</v>
      </c>
      <c r="G48" t="s">
        <v>68</v>
      </c>
      <c r="H48" t="str">
        <f>VLOOKUP(C48,'[1]Erogati mag-giu 2026_791_old'!$B:$E,4,FALSE)</f>
        <v>0680001815</v>
      </c>
      <c r="I48" t="b">
        <f t="shared" si="0"/>
        <v>1</v>
      </c>
      <c r="J48" s="14">
        <v>46196</v>
      </c>
      <c r="K48" s="14">
        <v>46196</v>
      </c>
      <c r="L48" t="s">
        <v>20</v>
      </c>
      <c r="M48" s="14">
        <v>46188</v>
      </c>
      <c r="N48" s="14">
        <v>46196</v>
      </c>
      <c r="O48" t="s">
        <v>20</v>
      </c>
      <c r="P48">
        <v>-143.81</v>
      </c>
      <c r="Q48">
        <f>VLOOKUP(G48,'[1]Erogati mag-giu 2026_791_old'!$A:$W,12,FALSE)</f>
        <v>-143.81</v>
      </c>
      <c r="R48">
        <f t="shared" si="1"/>
        <v>0</v>
      </c>
      <c r="S48">
        <v>-143.81</v>
      </c>
      <c r="T48">
        <f>VLOOKUP(G48,'[1]Erogati mag-giu 2026_791_old'!$A:$W,13,FALSE)</f>
        <v>-143.81</v>
      </c>
      <c r="U48">
        <f t="shared" si="2"/>
        <v>0</v>
      </c>
      <c r="V48">
        <v>-143.81</v>
      </c>
      <c r="W48">
        <f>VLOOKUP(G48,'[1]Erogati mag-giu 2026_791_old'!$A:$W,14,FALSE)</f>
        <v>-143.81</v>
      </c>
      <c r="X48">
        <f t="shared" si="3"/>
        <v>0</v>
      </c>
      <c r="Y48" t="s">
        <v>23</v>
      </c>
      <c r="Z48" t="str">
        <f>VLOOKUP(G48,'[2]Erogati mag-giu 2026_791_old'!$D:$T,11,FALSE)</f>
        <v>diretto</v>
      </c>
      <c r="AA48" t="b">
        <v>1</v>
      </c>
      <c r="AF48" t="s">
        <v>20</v>
      </c>
      <c r="AG48" t="s">
        <v>20</v>
      </c>
    </row>
    <row r="49" spans="1:33">
      <c r="A49" s="13"/>
      <c r="C49" s="4">
        <v>202601308539775</v>
      </c>
      <c r="E49" t="s">
        <v>20</v>
      </c>
      <c r="F49" t="s">
        <v>21</v>
      </c>
      <c r="G49" t="s">
        <v>69</v>
      </c>
      <c r="H49" t="str">
        <f>VLOOKUP(C49,'[1]Erogati mag-giu 2026_791_old'!$B:$E,4,FALSE)</f>
        <v>0682000339</v>
      </c>
      <c r="I49" t="b">
        <f t="shared" si="0"/>
        <v>1</v>
      </c>
      <c r="J49" s="14">
        <v>46196</v>
      </c>
      <c r="K49" s="14">
        <v>46196</v>
      </c>
      <c r="L49" t="s">
        <v>20</v>
      </c>
      <c r="M49" s="14">
        <v>46188</v>
      </c>
      <c r="N49" s="14">
        <v>46196</v>
      </c>
      <c r="O49" t="s">
        <v>20</v>
      </c>
      <c r="P49">
        <v>-65.819999999999993</v>
      </c>
      <c r="Q49">
        <f>VLOOKUP(G49,'[1]Erogati mag-giu 2026_791_old'!$A:$W,12,FALSE)</f>
        <v>-65.819999999999993</v>
      </c>
      <c r="R49">
        <f t="shared" si="1"/>
        <v>0</v>
      </c>
      <c r="S49">
        <v>-65.819999999999993</v>
      </c>
      <c r="T49">
        <f>VLOOKUP(G49,'[1]Erogati mag-giu 2026_791_old'!$A:$W,13,FALSE)</f>
        <v>-65.819999999999993</v>
      </c>
      <c r="U49">
        <f t="shared" si="2"/>
        <v>0</v>
      </c>
      <c r="V49">
        <v>-65.819999999999993</v>
      </c>
      <c r="W49">
        <f>VLOOKUP(G49,'[1]Erogati mag-giu 2026_791_old'!$A:$W,14,FALSE)</f>
        <v>-65.819999999999993</v>
      </c>
      <c r="X49">
        <f t="shared" si="3"/>
        <v>0</v>
      </c>
      <c r="Y49" t="s">
        <v>23</v>
      </c>
      <c r="Z49" t="str">
        <f>VLOOKUP(G49,'[2]Erogati mag-giu 2026_791_old'!$D:$T,11,FALSE)</f>
        <v>diretto</v>
      </c>
      <c r="AA49" t="b">
        <v>1</v>
      </c>
      <c r="AF49" t="s">
        <v>20</v>
      </c>
      <c r="AG49" t="s">
        <v>20</v>
      </c>
    </row>
    <row r="50" spans="1:33">
      <c r="A50" s="13"/>
      <c r="C50" s="4">
        <v>202601307570460</v>
      </c>
      <c r="E50" t="s">
        <v>20</v>
      </c>
      <c r="F50" t="s">
        <v>21</v>
      </c>
      <c r="G50" t="s">
        <v>70</v>
      </c>
      <c r="H50" t="str">
        <f>VLOOKUP(C50,'[1]Erogati mag-giu 2026_791_old'!$B:$E,4,FALSE)</f>
        <v>0730004802</v>
      </c>
      <c r="I50" t="b">
        <f t="shared" si="0"/>
        <v>1</v>
      </c>
      <c r="J50" s="14">
        <v>46196</v>
      </c>
      <c r="K50" s="14">
        <v>46196</v>
      </c>
      <c r="L50" t="s">
        <v>20</v>
      </c>
      <c r="M50" s="14">
        <v>46188</v>
      </c>
      <c r="N50" s="14">
        <v>46196</v>
      </c>
      <c r="O50" t="s">
        <v>20</v>
      </c>
      <c r="P50">
        <v>-26.5</v>
      </c>
      <c r="Q50">
        <f>VLOOKUP(G50,'[1]Erogati mag-giu 2026_791_old'!$A:$W,12,FALSE)</f>
        <v>-26.5</v>
      </c>
      <c r="R50">
        <f t="shared" si="1"/>
        <v>0</v>
      </c>
      <c r="S50">
        <v>-26.5</v>
      </c>
      <c r="T50">
        <f>VLOOKUP(G50,'[1]Erogati mag-giu 2026_791_old'!$A:$W,13,FALSE)</f>
        <v>-26.5</v>
      </c>
      <c r="U50">
        <f t="shared" si="2"/>
        <v>0</v>
      </c>
      <c r="V50">
        <v>-26.5</v>
      </c>
      <c r="W50">
        <f>VLOOKUP(G50,'[1]Erogati mag-giu 2026_791_old'!$A:$W,14,FALSE)</f>
        <v>-26.5</v>
      </c>
      <c r="X50">
        <f t="shared" si="3"/>
        <v>0</v>
      </c>
      <c r="Y50" t="s">
        <v>23</v>
      </c>
      <c r="Z50" t="str">
        <f>VLOOKUP(G50,'[2]Erogati mag-giu 2026_791_old'!$D:$T,11,FALSE)</f>
        <v>diretto</v>
      </c>
      <c r="AA50" t="b">
        <v>1</v>
      </c>
      <c r="AF50" t="s">
        <v>20</v>
      </c>
      <c r="AG50" t="s">
        <v>20</v>
      </c>
    </row>
    <row r="51" spans="1:33">
      <c r="A51" s="13"/>
      <c r="C51" s="4">
        <v>202601307252134</v>
      </c>
      <c r="E51" t="s">
        <v>20</v>
      </c>
      <c r="F51" t="s">
        <v>21</v>
      </c>
      <c r="G51" t="s">
        <v>71</v>
      </c>
      <c r="H51" t="str">
        <f>VLOOKUP(C51,'[1]Erogati mag-giu 2026_791_old'!$B:$E,4,FALSE)</f>
        <v>0760055202</v>
      </c>
      <c r="I51" t="b">
        <f t="shared" si="0"/>
        <v>1</v>
      </c>
      <c r="J51" s="14">
        <v>46196</v>
      </c>
      <c r="K51" s="14">
        <v>46196</v>
      </c>
      <c r="L51" t="s">
        <v>20</v>
      </c>
      <c r="M51" s="14">
        <v>46188</v>
      </c>
      <c r="N51" s="14">
        <v>46196</v>
      </c>
      <c r="O51" t="s">
        <v>20</v>
      </c>
      <c r="P51">
        <v>-16.73</v>
      </c>
      <c r="Q51">
        <f>VLOOKUP(G51,'[1]Erogati mag-giu 2026_791_old'!$A:$W,12,FALSE)</f>
        <v>-16.73</v>
      </c>
      <c r="R51">
        <f t="shared" si="1"/>
        <v>0</v>
      </c>
      <c r="S51">
        <v>-16.73</v>
      </c>
      <c r="T51">
        <f>VLOOKUP(G51,'[1]Erogati mag-giu 2026_791_old'!$A:$W,13,FALSE)</f>
        <v>-16.73</v>
      </c>
      <c r="U51">
        <f t="shared" si="2"/>
        <v>0</v>
      </c>
      <c r="V51">
        <v>-16.73</v>
      </c>
      <c r="W51">
        <f>VLOOKUP(G51,'[1]Erogati mag-giu 2026_791_old'!$A:$W,14,FALSE)</f>
        <v>-16.73</v>
      </c>
      <c r="X51">
        <f t="shared" si="3"/>
        <v>0</v>
      </c>
      <c r="Y51" t="s">
        <v>23</v>
      </c>
      <c r="Z51" t="str">
        <f>VLOOKUP(G51,'[2]Erogati mag-giu 2026_791_old'!$D:$T,11,FALSE)</f>
        <v>diretto</v>
      </c>
      <c r="AA51" t="b">
        <v>1</v>
      </c>
      <c r="AF51" t="s">
        <v>20</v>
      </c>
      <c r="AG51" t="s">
        <v>20</v>
      </c>
    </row>
    <row r="52" spans="1:33">
      <c r="A52" s="13"/>
      <c r="C52" s="4">
        <v>202601306833961</v>
      </c>
      <c r="E52" t="s">
        <v>20</v>
      </c>
      <c r="F52" t="s">
        <v>21</v>
      </c>
      <c r="G52" t="s">
        <v>72</v>
      </c>
      <c r="H52" t="str">
        <f>VLOOKUP(C52,'[1]Erogati mag-giu 2026_791_old'!$B:$E,4,FALSE)</f>
        <v>0762000689</v>
      </c>
      <c r="I52" t="b">
        <f t="shared" si="0"/>
        <v>1</v>
      </c>
      <c r="J52" s="14">
        <v>46196</v>
      </c>
      <c r="K52" s="14">
        <v>46196</v>
      </c>
      <c r="L52" t="s">
        <v>20</v>
      </c>
      <c r="M52" s="14">
        <v>46188</v>
      </c>
      <c r="N52" s="14">
        <v>46196</v>
      </c>
      <c r="O52" t="s">
        <v>20</v>
      </c>
      <c r="P52">
        <v>-165.65</v>
      </c>
      <c r="Q52">
        <f>VLOOKUP(G52,'[1]Erogati mag-giu 2026_791_old'!$A:$W,12,FALSE)</f>
        <v>-165.65</v>
      </c>
      <c r="R52">
        <f t="shared" si="1"/>
        <v>0</v>
      </c>
      <c r="S52">
        <v>-165.65</v>
      </c>
      <c r="T52">
        <f>VLOOKUP(G52,'[1]Erogati mag-giu 2026_791_old'!$A:$W,13,FALSE)</f>
        <v>-165.65</v>
      </c>
      <c r="U52">
        <f t="shared" si="2"/>
        <v>0</v>
      </c>
      <c r="V52">
        <v>-165.65</v>
      </c>
      <c r="W52">
        <f>VLOOKUP(G52,'[1]Erogati mag-giu 2026_791_old'!$A:$W,14,FALSE)</f>
        <v>-165.65</v>
      </c>
      <c r="X52">
        <f t="shared" si="3"/>
        <v>0</v>
      </c>
      <c r="Y52" t="s">
        <v>23</v>
      </c>
      <c r="Z52" t="str">
        <f>VLOOKUP(G52,'[2]Erogati mag-giu 2026_791_old'!$D:$T,11,FALSE)</f>
        <v>diretto</v>
      </c>
      <c r="AA52" t="b">
        <v>1</v>
      </c>
      <c r="AF52" t="s">
        <v>20</v>
      </c>
      <c r="AG52" t="s">
        <v>20</v>
      </c>
    </row>
    <row r="53" spans="1:33">
      <c r="A53" s="13"/>
      <c r="C53" s="4">
        <v>202511294502679</v>
      </c>
      <c r="E53" t="s">
        <v>20</v>
      </c>
      <c r="F53" t="s">
        <v>21</v>
      </c>
      <c r="G53" t="s">
        <v>73</v>
      </c>
      <c r="H53" t="str">
        <f>VLOOKUP(C53,'[1]Erogati mag-giu 2026_791_old'!$B:$E,4,FALSE)</f>
        <v>0770134201</v>
      </c>
      <c r="I53" t="b">
        <f t="shared" si="0"/>
        <v>1</v>
      </c>
      <c r="J53" s="14">
        <v>46163</v>
      </c>
      <c r="K53" s="14">
        <v>46163</v>
      </c>
      <c r="L53" t="s">
        <v>20</v>
      </c>
      <c r="M53" s="14">
        <v>46188</v>
      </c>
      <c r="N53" s="14">
        <v>46163</v>
      </c>
      <c r="O53" t="s">
        <v>20</v>
      </c>
      <c r="P53">
        <v>-31.88</v>
      </c>
      <c r="Q53">
        <f>VLOOKUP(G53,'[1]Erogati mag-giu 2026_791_old'!$A:$W,12,FALSE)</f>
        <v>-31.88</v>
      </c>
      <c r="R53">
        <f t="shared" si="1"/>
        <v>0</v>
      </c>
      <c r="S53">
        <v>-31.88</v>
      </c>
      <c r="T53">
        <f>VLOOKUP(G53,'[1]Erogati mag-giu 2026_791_old'!$A:$W,13,FALSE)</f>
        <v>-31.88</v>
      </c>
      <c r="U53">
        <f t="shared" si="2"/>
        <v>0</v>
      </c>
      <c r="V53">
        <v>-31.88</v>
      </c>
      <c r="W53">
        <f>VLOOKUP(G53,'[1]Erogati mag-giu 2026_791_old'!$A:$W,14,FALSE)</f>
        <v>-31.88</v>
      </c>
      <c r="X53">
        <f t="shared" si="3"/>
        <v>0</v>
      </c>
      <c r="Y53" t="s">
        <v>23</v>
      </c>
      <c r="Z53" t="str">
        <f>VLOOKUP(G53,'[2]Erogati mag-giu 2026_791_old'!$D:$T,11,FALSE)</f>
        <v>diretto</v>
      </c>
      <c r="AA53" t="b">
        <v>1</v>
      </c>
      <c r="AF53" t="s">
        <v>20</v>
      </c>
      <c r="AG53" t="s">
        <v>20</v>
      </c>
    </row>
    <row r="54" spans="1:33">
      <c r="A54" s="13"/>
      <c r="C54" s="4">
        <v>202601307520592</v>
      </c>
      <c r="E54" t="s">
        <v>20</v>
      </c>
      <c r="F54" t="s">
        <v>21</v>
      </c>
      <c r="G54" t="s">
        <v>74</v>
      </c>
      <c r="H54" t="str">
        <f>VLOOKUP(C54,'[1]Erogati mag-giu 2026_791_old'!$B:$E,4,FALSE)</f>
        <v>0772000544</v>
      </c>
      <c r="I54" t="b">
        <f t="shared" si="0"/>
        <v>1</v>
      </c>
      <c r="J54" s="14">
        <v>46196</v>
      </c>
      <c r="K54" s="14">
        <v>46196</v>
      </c>
      <c r="L54" t="s">
        <v>20</v>
      </c>
      <c r="M54" s="14">
        <v>46188</v>
      </c>
      <c r="N54" s="14">
        <v>46196</v>
      </c>
      <c r="O54" t="s">
        <v>20</v>
      </c>
      <c r="P54">
        <v>-89.45</v>
      </c>
      <c r="Q54">
        <f>VLOOKUP(G54,'[1]Erogati mag-giu 2026_791_old'!$A:$W,12,FALSE)</f>
        <v>-89.45</v>
      </c>
      <c r="R54">
        <f t="shared" si="1"/>
        <v>0</v>
      </c>
      <c r="S54">
        <v>-89.45</v>
      </c>
      <c r="T54">
        <f>VLOOKUP(G54,'[1]Erogati mag-giu 2026_791_old'!$A:$W,13,FALSE)</f>
        <v>-89.45</v>
      </c>
      <c r="U54">
        <f t="shared" si="2"/>
        <v>0</v>
      </c>
      <c r="V54">
        <v>-89.45</v>
      </c>
      <c r="W54">
        <f>VLOOKUP(G54,'[1]Erogati mag-giu 2026_791_old'!$A:$W,14,FALSE)</f>
        <v>-89.45</v>
      </c>
      <c r="X54">
        <f t="shared" si="3"/>
        <v>0</v>
      </c>
      <c r="Y54" t="s">
        <v>23</v>
      </c>
      <c r="Z54" t="str">
        <f>VLOOKUP(G54,'[2]Erogati mag-giu 2026_791_old'!$D:$T,11,FALSE)</f>
        <v>diretto</v>
      </c>
      <c r="AA54" t="b">
        <v>1</v>
      </c>
      <c r="AF54" t="s">
        <v>20</v>
      </c>
      <c r="AG54" t="s">
        <v>20</v>
      </c>
    </row>
    <row r="55" spans="1:33">
      <c r="A55" s="13"/>
      <c r="C55" s="4">
        <v>202601307203697</v>
      </c>
      <c r="E55" t="s">
        <v>20</v>
      </c>
      <c r="F55" t="s">
        <v>21</v>
      </c>
      <c r="G55" t="s">
        <v>75</v>
      </c>
      <c r="H55" t="str">
        <f>VLOOKUP(C55,'[1]Erogati mag-giu 2026_791_old'!$B:$E,4,FALSE)</f>
        <v>0780026801</v>
      </c>
      <c r="I55" t="b">
        <f t="shared" si="0"/>
        <v>1</v>
      </c>
      <c r="J55" s="14">
        <v>46196</v>
      </c>
      <c r="K55" s="14">
        <v>46196</v>
      </c>
      <c r="L55" t="s">
        <v>20</v>
      </c>
      <c r="M55" s="14">
        <v>46188</v>
      </c>
      <c r="N55" s="14">
        <v>46196</v>
      </c>
      <c r="O55" t="s">
        <v>20</v>
      </c>
      <c r="P55">
        <v>-15.05</v>
      </c>
      <c r="Q55">
        <f>VLOOKUP(G55,'[1]Erogati mag-giu 2026_791_old'!$A:$W,12,FALSE)</f>
        <v>-15.05</v>
      </c>
      <c r="R55">
        <f t="shared" si="1"/>
        <v>0</v>
      </c>
      <c r="S55">
        <v>-15.05</v>
      </c>
      <c r="T55">
        <f>VLOOKUP(G55,'[1]Erogati mag-giu 2026_791_old'!$A:$W,13,FALSE)</f>
        <v>-15.05</v>
      </c>
      <c r="U55">
        <f t="shared" si="2"/>
        <v>0</v>
      </c>
      <c r="V55">
        <v>-15.05</v>
      </c>
      <c r="W55">
        <f>VLOOKUP(G55,'[1]Erogati mag-giu 2026_791_old'!$A:$W,14,FALSE)</f>
        <v>-15.05</v>
      </c>
      <c r="X55">
        <f t="shared" si="3"/>
        <v>0</v>
      </c>
      <c r="Y55" t="s">
        <v>23</v>
      </c>
      <c r="Z55" t="str">
        <f>VLOOKUP(G55,'[2]Erogati mag-giu 2026_791_old'!$D:$T,11,FALSE)</f>
        <v>diretto</v>
      </c>
      <c r="AA55" t="b">
        <v>1</v>
      </c>
      <c r="AF55" t="s">
        <v>20</v>
      </c>
      <c r="AG55" t="s">
        <v>20</v>
      </c>
    </row>
    <row r="56" spans="1:33">
      <c r="A56" s="13"/>
      <c r="C56" s="4">
        <v>202601306663846</v>
      </c>
      <c r="E56" t="s">
        <v>20</v>
      </c>
      <c r="F56" t="s">
        <v>21</v>
      </c>
      <c r="G56" t="s">
        <v>76</v>
      </c>
      <c r="H56" t="str">
        <f>VLOOKUP(C56,'[1]Erogati mag-giu 2026_791_old'!$B:$E,4,FALSE)</f>
        <v>0780096401</v>
      </c>
      <c r="I56" t="b">
        <f t="shared" si="0"/>
        <v>1</v>
      </c>
      <c r="J56" s="14">
        <v>46196</v>
      </c>
      <c r="K56" s="14">
        <v>46196</v>
      </c>
      <c r="L56" t="s">
        <v>20</v>
      </c>
      <c r="M56" s="14">
        <v>46188</v>
      </c>
      <c r="N56" s="14">
        <v>46196</v>
      </c>
      <c r="O56" t="s">
        <v>20</v>
      </c>
      <c r="P56">
        <v>-29.82</v>
      </c>
      <c r="Q56">
        <f>VLOOKUP(G56,'[1]Erogati mag-giu 2026_791_old'!$A:$W,12,FALSE)</f>
        <v>-29.82</v>
      </c>
      <c r="R56">
        <f t="shared" si="1"/>
        <v>0</v>
      </c>
      <c r="S56">
        <v>-29.82</v>
      </c>
      <c r="T56">
        <f>VLOOKUP(G56,'[1]Erogati mag-giu 2026_791_old'!$A:$W,13,FALSE)</f>
        <v>-29.82</v>
      </c>
      <c r="U56">
        <f t="shared" si="2"/>
        <v>0</v>
      </c>
      <c r="V56">
        <v>-29.82</v>
      </c>
      <c r="W56">
        <f>VLOOKUP(G56,'[1]Erogati mag-giu 2026_791_old'!$A:$W,14,FALSE)</f>
        <v>-29.82</v>
      </c>
      <c r="X56">
        <f t="shared" si="3"/>
        <v>0</v>
      </c>
      <c r="Y56" t="s">
        <v>23</v>
      </c>
      <c r="Z56" t="str">
        <f>VLOOKUP(G56,'[2]Erogati mag-giu 2026_791_old'!$D:$T,11,FALSE)</f>
        <v>diretto</v>
      </c>
      <c r="AA56" t="b">
        <v>1</v>
      </c>
      <c r="AF56" t="s">
        <v>20</v>
      </c>
      <c r="AG56" t="s">
        <v>20</v>
      </c>
    </row>
    <row r="57" spans="1:33">
      <c r="A57" s="13"/>
      <c r="C57" s="4">
        <v>202601306840272</v>
      </c>
      <c r="E57" t="s">
        <v>20</v>
      </c>
      <c r="F57" t="s">
        <v>21</v>
      </c>
      <c r="G57" t="s">
        <v>77</v>
      </c>
      <c r="H57" t="str">
        <f>VLOOKUP(C57,'[1]Erogati mag-giu 2026_791_old'!$B:$E,4,FALSE)</f>
        <v>0802000093</v>
      </c>
      <c r="I57" t="b">
        <f t="shared" si="0"/>
        <v>1</v>
      </c>
      <c r="J57" s="14">
        <v>46196</v>
      </c>
      <c r="K57" s="14">
        <v>46196</v>
      </c>
      <c r="L57" t="s">
        <v>20</v>
      </c>
      <c r="M57" s="14">
        <v>46188</v>
      </c>
      <c r="N57" s="14">
        <v>46196</v>
      </c>
      <c r="O57" t="s">
        <v>20</v>
      </c>
      <c r="P57">
        <v>-41.66</v>
      </c>
      <c r="Q57">
        <f>VLOOKUP(G57,'[1]Erogati mag-giu 2026_791_old'!$A:$W,12,FALSE)</f>
        <v>-41.66</v>
      </c>
      <c r="R57">
        <f t="shared" si="1"/>
        <v>0</v>
      </c>
      <c r="S57">
        <v>-41.66</v>
      </c>
      <c r="T57">
        <f>VLOOKUP(G57,'[1]Erogati mag-giu 2026_791_old'!$A:$W,13,FALSE)</f>
        <v>-41.66</v>
      </c>
      <c r="U57">
        <f t="shared" si="2"/>
        <v>0</v>
      </c>
      <c r="V57">
        <v>-41.66</v>
      </c>
      <c r="W57">
        <f>VLOOKUP(G57,'[1]Erogati mag-giu 2026_791_old'!$A:$W,14,FALSE)</f>
        <v>-41.66</v>
      </c>
      <c r="X57">
        <f t="shared" si="3"/>
        <v>0</v>
      </c>
      <c r="Y57" t="s">
        <v>23</v>
      </c>
      <c r="Z57" t="str">
        <f>VLOOKUP(G57,'[2]Erogati mag-giu 2026_791_old'!$D:$T,11,FALSE)</f>
        <v>diretto</v>
      </c>
      <c r="AA57" t="b">
        <v>1</v>
      </c>
      <c r="AF57" t="s">
        <v>20</v>
      </c>
      <c r="AG57" t="s">
        <v>20</v>
      </c>
    </row>
    <row r="58" spans="1:33">
      <c r="A58" s="13"/>
      <c r="C58" s="4">
        <v>202601306789984</v>
      </c>
      <c r="E58" t="s">
        <v>20</v>
      </c>
      <c r="F58" t="s">
        <v>21</v>
      </c>
      <c r="G58" t="s">
        <v>78</v>
      </c>
      <c r="H58" t="str">
        <f>VLOOKUP(C58,'[1]Erogati mag-giu 2026_791_old'!$B:$E,4,FALSE)</f>
        <v>0812000582</v>
      </c>
      <c r="I58" t="b">
        <f t="shared" si="0"/>
        <v>1</v>
      </c>
      <c r="J58" s="14">
        <v>46196</v>
      </c>
      <c r="K58" s="14">
        <v>46196</v>
      </c>
      <c r="L58" t="s">
        <v>20</v>
      </c>
      <c r="M58" s="14">
        <v>46188</v>
      </c>
      <c r="N58" s="14">
        <v>46196</v>
      </c>
      <c r="O58" t="s">
        <v>20</v>
      </c>
      <c r="P58">
        <v>-99.39</v>
      </c>
      <c r="Q58">
        <f>VLOOKUP(G58,'[1]Erogati mag-giu 2026_791_old'!$A:$W,12,FALSE)</f>
        <v>-99.39</v>
      </c>
      <c r="R58">
        <f t="shared" si="1"/>
        <v>0</v>
      </c>
      <c r="S58">
        <v>-99.39</v>
      </c>
      <c r="T58">
        <f>VLOOKUP(G58,'[1]Erogati mag-giu 2026_791_old'!$A:$W,13,FALSE)</f>
        <v>-99.39</v>
      </c>
      <c r="U58">
        <f t="shared" si="2"/>
        <v>0</v>
      </c>
      <c r="V58">
        <v>-99.39</v>
      </c>
      <c r="W58">
        <f>VLOOKUP(G58,'[1]Erogati mag-giu 2026_791_old'!$A:$W,14,FALSE)</f>
        <v>-99.39</v>
      </c>
      <c r="X58">
        <f t="shared" si="3"/>
        <v>0</v>
      </c>
      <c r="Y58" t="s">
        <v>23</v>
      </c>
      <c r="Z58" t="str">
        <f>VLOOKUP(G58,'[2]Erogati mag-giu 2026_791_old'!$D:$T,11,FALSE)</f>
        <v>diretto</v>
      </c>
      <c r="AA58" t="b">
        <v>1</v>
      </c>
      <c r="AF58" t="s">
        <v>20</v>
      </c>
      <c r="AG58" t="s">
        <v>20</v>
      </c>
    </row>
    <row r="59" spans="1:33">
      <c r="A59" s="13"/>
      <c r="C59" s="4">
        <v>202601308401100</v>
      </c>
      <c r="E59" t="s">
        <v>20</v>
      </c>
      <c r="F59" t="s">
        <v>21</v>
      </c>
      <c r="G59" t="s">
        <v>79</v>
      </c>
      <c r="H59" t="str">
        <f>VLOOKUP(C59,'[1]Erogati mag-giu 2026_791_old'!$B:$E,4,FALSE)</f>
        <v>0812001039</v>
      </c>
      <c r="I59" t="b">
        <f t="shared" si="0"/>
        <v>1</v>
      </c>
      <c r="J59" s="14">
        <v>46196</v>
      </c>
      <c r="K59" s="14">
        <v>46196</v>
      </c>
      <c r="L59" t="s">
        <v>20</v>
      </c>
      <c r="M59" s="14">
        <v>46188</v>
      </c>
      <c r="N59" s="14">
        <v>46196</v>
      </c>
      <c r="O59" t="s">
        <v>20</v>
      </c>
      <c r="P59">
        <v>-132.52000000000001</v>
      </c>
      <c r="Q59">
        <f>VLOOKUP(G59,'[1]Erogati mag-giu 2026_791_old'!$A:$W,12,FALSE)</f>
        <v>-132.52000000000001</v>
      </c>
      <c r="R59">
        <f t="shared" si="1"/>
        <v>0</v>
      </c>
      <c r="S59">
        <v>-132.52000000000001</v>
      </c>
      <c r="T59">
        <f>VLOOKUP(G59,'[1]Erogati mag-giu 2026_791_old'!$A:$W,13,FALSE)</f>
        <v>-132.52000000000001</v>
      </c>
      <c r="U59">
        <f t="shared" si="2"/>
        <v>0</v>
      </c>
      <c r="V59">
        <v>-132.52000000000001</v>
      </c>
      <c r="W59">
        <f>VLOOKUP(G59,'[1]Erogati mag-giu 2026_791_old'!$A:$W,14,FALSE)</f>
        <v>-132.52000000000001</v>
      </c>
      <c r="X59">
        <f t="shared" si="3"/>
        <v>0</v>
      </c>
      <c r="Y59" t="s">
        <v>23</v>
      </c>
      <c r="Z59" t="str">
        <f>VLOOKUP(G59,'[2]Erogati mag-giu 2026_791_old'!$D:$T,11,FALSE)</f>
        <v>diretto</v>
      </c>
      <c r="AA59" t="b">
        <v>1</v>
      </c>
      <c r="AF59" t="s">
        <v>20</v>
      </c>
      <c r="AG59" t="s">
        <v>20</v>
      </c>
    </row>
    <row r="60" spans="1:33">
      <c r="A60" s="13"/>
      <c r="C60" s="4">
        <v>202601307298300</v>
      </c>
      <c r="E60" t="s">
        <v>20</v>
      </c>
      <c r="F60" t="s">
        <v>21</v>
      </c>
      <c r="G60" t="s">
        <v>80</v>
      </c>
      <c r="H60" t="str">
        <f>VLOOKUP(C60,'[1]Erogati mag-giu 2026_791_old'!$B:$E,4,FALSE)</f>
        <v>0830219401</v>
      </c>
      <c r="I60" t="b">
        <f t="shared" si="0"/>
        <v>1</v>
      </c>
      <c r="J60" s="14">
        <v>46196</v>
      </c>
      <c r="K60" s="14">
        <v>46196</v>
      </c>
      <c r="L60" t="s">
        <v>20</v>
      </c>
      <c r="M60" s="14">
        <v>46188</v>
      </c>
      <c r="N60" s="14">
        <v>46196</v>
      </c>
      <c r="O60" t="s">
        <v>20</v>
      </c>
      <c r="P60">
        <v>-90.33</v>
      </c>
      <c r="Q60">
        <f>VLOOKUP(G60,'[1]Erogati mag-giu 2026_791_old'!$A:$W,12,FALSE)</f>
        <v>-90.33</v>
      </c>
      <c r="R60">
        <f t="shared" si="1"/>
        <v>0</v>
      </c>
      <c r="S60">
        <v>-90.33</v>
      </c>
      <c r="T60">
        <f>VLOOKUP(G60,'[1]Erogati mag-giu 2026_791_old'!$A:$W,13,FALSE)</f>
        <v>-90.33</v>
      </c>
      <c r="U60">
        <f t="shared" si="2"/>
        <v>0</v>
      </c>
      <c r="V60">
        <v>-90.33</v>
      </c>
      <c r="W60">
        <f>VLOOKUP(G60,'[1]Erogati mag-giu 2026_791_old'!$A:$W,14,FALSE)</f>
        <v>-90.33</v>
      </c>
      <c r="X60">
        <f t="shared" si="3"/>
        <v>0</v>
      </c>
      <c r="Y60" t="s">
        <v>23</v>
      </c>
      <c r="Z60" t="str">
        <f>VLOOKUP(G60,'[2]Erogati mag-giu 2026_791_old'!$D:$T,11,FALSE)</f>
        <v>diretto</v>
      </c>
      <c r="AA60" t="b">
        <v>1</v>
      </c>
      <c r="AF60" t="s">
        <v>20</v>
      </c>
      <c r="AG60" t="s">
        <v>20</v>
      </c>
    </row>
    <row r="61" spans="1:33">
      <c r="A61" s="13"/>
      <c r="C61" s="4">
        <v>202512303914889</v>
      </c>
      <c r="E61" t="s">
        <v>20</v>
      </c>
      <c r="F61" t="s">
        <v>21</v>
      </c>
      <c r="G61" t="s">
        <v>81</v>
      </c>
      <c r="H61" t="str">
        <f>VLOOKUP(C61,'[1]Erogati mag-giu 2026_791_old'!$B:$E,4,FALSE)</f>
        <v>0832001058</v>
      </c>
      <c r="I61" t="b">
        <f t="shared" si="0"/>
        <v>1</v>
      </c>
      <c r="J61" s="14">
        <v>46188</v>
      </c>
      <c r="K61" s="14">
        <v>46188</v>
      </c>
      <c r="L61" t="s">
        <v>20</v>
      </c>
      <c r="M61" s="14">
        <v>46188</v>
      </c>
      <c r="N61" s="14">
        <v>46188</v>
      </c>
      <c r="O61" t="s">
        <v>20</v>
      </c>
      <c r="P61">
        <v>-47.82</v>
      </c>
      <c r="Q61">
        <f>VLOOKUP(G61,'[1]Erogati mag-giu 2026_791_old'!$A:$W,12,FALSE)</f>
        <v>-47.82</v>
      </c>
      <c r="R61">
        <f t="shared" si="1"/>
        <v>0</v>
      </c>
      <c r="S61">
        <v>-47.82</v>
      </c>
      <c r="T61">
        <f>VLOOKUP(G61,'[1]Erogati mag-giu 2026_791_old'!$A:$W,13,FALSE)</f>
        <v>-47.82</v>
      </c>
      <c r="U61">
        <f t="shared" si="2"/>
        <v>0</v>
      </c>
      <c r="V61">
        <v>-47.82</v>
      </c>
      <c r="W61">
        <f>VLOOKUP(G61,'[1]Erogati mag-giu 2026_791_old'!$A:$W,14,FALSE)</f>
        <v>-47.82</v>
      </c>
      <c r="X61">
        <f t="shared" si="3"/>
        <v>0</v>
      </c>
      <c r="Y61" t="s">
        <v>23</v>
      </c>
      <c r="Z61" t="str">
        <f>VLOOKUP(G61,'[2]Erogati mag-giu 2026_791_old'!$D:$T,11,FALSE)</f>
        <v>diretto</v>
      </c>
      <c r="AA61" t="b">
        <v>1</v>
      </c>
      <c r="AF61" t="s">
        <v>20</v>
      </c>
      <c r="AG61" t="s">
        <v>20</v>
      </c>
    </row>
    <row r="62" spans="1:33">
      <c r="A62" s="13"/>
      <c r="C62" s="4">
        <v>202601306716049</v>
      </c>
      <c r="E62" t="s">
        <v>20</v>
      </c>
      <c r="F62" t="s">
        <v>21</v>
      </c>
      <c r="G62" t="s">
        <v>82</v>
      </c>
      <c r="H62" t="str">
        <f>VLOOKUP(C62,'[1]Erogati mag-giu 2026_791_old'!$B:$E,4,FALSE)</f>
        <v>0840022901</v>
      </c>
      <c r="I62" t="b">
        <f t="shared" si="0"/>
        <v>1</v>
      </c>
      <c r="J62" s="14">
        <v>46196</v>
      </c>
      <c r="K62" s="14">
        <v>46196</v>
      </c>
      <c r="L62" t="s">
        <v>20</v>
      </c>
      <c r="M62" s="14">
        <v>46188</v>
      </c>
      <c r="N62" s="14">
        <v>46196</v>
      </c>
      <c r="O62" t="s">
        <v>20</v>
      </c>
      <c r="P62">
        <v>-26.76</v>
      </c>
      <c r="Q62">
        <f>VLOOKUP(G62,'[1]Erogati mag-giu 2026_791_old'!$A:$W,12,FALSE)</f>
        <v>-26.76</v>
      </c>
      <c r="R62">
        <f t="shared" si="1"/>
        <v>0</v>
      </c>
      <c r="S62">
        <v>-26.76</v>
      </c>
      <c r="T62">
        <f>VLOOKUP(G62,'[1]Erogati mag-giu 2026_791_old'!$A:$W,13,FALSE)</f>
        <v>-26.76</v>
      </c>
      <c r="U62">
        <f t="shared" si="2"/>
        <v>0</v>
      </c>
      <c r="V62">
        <v>-26.76</v>
      </c>
      <c r="W62">
        <f>VLOOKUP(G62,'[1]Erogati mag-giu 2026_791_old'!$A:$W,14,FALSE)</f>
        <v>-26.76</v>
      </c>
      <c r="X62">
        <f t="shared" si="3"/>
        <v>0</v>
      </c>
      <c r="Y62" t="s">
        <v>23</v>
      </c>
      <c r="Z62" t="str">
        <f>VLOOKUP(G62,'[2]Erogati mag-giu 2026_791_old'!$D:$T,11,FALSE)</f>
        <v>diretto</v>
      </c>
      <c r="AA62" t="b">
        <v>1</v>
      </c>
      <c r="AF62" t="s">
        <v>20</v>
      </c>
      <c r="AG62" t="s">
        <v>20</v>
      </c>
    </row>
    <row r="63" spans="1:33">
      <c r="A63" s="13"/>
      <c r="C63" s="4">
        <v>202601308678236</v>
      </c>
      <c r="E63" t="s">
        <v>20</v>
      </c>
      <c r="F63" t="s">
        <v>21</v>
      </c>
      <c r="G63" t="s">
        <v>83</v>
      </c>
      <c r="H63" t="str">
        <f>VLOOKUP(C63,'[1]Erogati mag-giu 2026_791_old'!$B:$E,4,FALSE)</f>
        <v>0962000043</v>
      </c>
      <c r="I63" t="b">
        <f t="shared" si="0"/>
        <v>1</v>
      </c>
      <c r="J63" s="14">
        <v>46196</v>
      </c>
      <c r="K63" s="14">
        <v>46196</v>
      </c>
      <c r="L63" t="s">
        <v>20</v>
      </c>
      <c r="M63" s="14">
        <v>46188</v>
      </c>
      <c r="N63" s="14">
        <v>46196</v>
      </c>
      <c r="O63" t="s">
        <v>20</v>
      </c>
      <c r="P63">
        <v>-53.01</v>
      </c>
      <c r="Q63">
        <f>VLOOKUP(G63,'[1]Erogati mag-giu 2026_791_old'!$A:$W,12,FALSE)</f>
        <v>-53.01</v>
      </c>
      <c r="R63">
        <f t="shared" si="1"/>
        <v>0</v>
      </c>
      <c r="S63">
        <v>-53.01</v>
      </c>
      <c r="T63">
        <f>VLOOKUP(G63,'[1]Erogati mag-giu 2026_791_old'!$A:$W,13,FALSE)</f>
        <v>-53.01</v>
      </c>
      <c r="U63">
        <f t="shared" si="2"/>
        <v>0</v>
      </c>
      <c r="V63">
        <v>-53.01</v>
      </c>
      <c r="W63">
        <f>VLOOKUP(G63,'[1]Erogati mag-giu 2026_791_old'!$A:$W,14,FALSE)</f>
        <v>-53.01</v>
      </c>
      <c r="X63">
        <f t="shared" si="3"/>
        <v>0</v>
      </c>
      <c r="Y63" t="s">
        <v>23</v>
      </c>
      <c r="Z63" t="str">
        <f>VLOOKUP(G63,'[2]Erogati mag-giu 2026_791_old'!$D:$T,11,FALSE)</f>
        <v>diretto</v>
      </c>
      <c r="AA63" t="b">
        <v>1</v>
      </c>
      <c r="AF63" t="s">
        <v>20</v>
      </c>
      <c r="AG63" t="s">
        <v>20</v>
      </c>
    </row>
    <row r="64" spans="1:33">
      <c r="A64" s="13"/>
      <c r="C64" s="4">
        <f>VLOOKUP(G64,'[1]Erogati mag-giu 2026_791_old'!$A:$B,2,FALSE)</f>
        <v>202601307732832</v>
      </c>
      <c r="E64" t="s">
        <v>20</v>
      </c>
      <c r="F64" t="s">
        <v>21</v>
      </c>
      <c r="G64">
        <v>1040000390</v>
      </c>
      <c r="H64">
        <f>VLOOKUP(C64,'[1]Erogati mag-giu 2026_791_old'!$B:$E,4,FALSE)</f>
        <v>1040000390</v>
      </c>
      <c r="I64" t="b">
        <f t="shared" si="0"/>
        <v>1</v>
      </c>
      <c r="J64" s="14">
        <v>46196</v>
      </c>
      <c r="K64" s="14">
        <v>46196</v>
      </c>
      <c r="L64" t="s">
        <v>20</v>
      </c>
      <c r="M64" s="14">
        <v>46188</v>
      </c>
      <c r="N64" s="14">
        <v>46196</v>
      </c>
      <c r="O64" t="s">
        <v>20</v>
      </c>
      <c r="P64">
        <v>-18.16</v>
      </c>
      <c r="Q64">
        <f>VLOOKUP(G64,'[1]Erogati mag-giu 2026_791_old'!$A:$W,12,FALSE)</f>
        <v>-18.16</v>
      </c>
      <c r="R64">
        <f t="shared" si="1"/>
        <v>0</v>
      </c>
      <c r="S64">
        <v>-18.16</v>
      </c>
      <c r="T64">
        <f>VLOOKUP(G64,'[1]Erogati mag-giu 2026_791_old'!$A:$W,13,FALSE)</f>
        <v>-18.16</v>
      </c>
      <c r="U64">
        <f t="shared" si="2"/>
        <v>0</v>
      </c>
      <c r="V64">
        <v>-18.16</v>
      </c>
      <c r="W64">
        <f>VLOOKUP(G64,'[1]Erogati mag-giu 2026_791_old'!$A:$W,14,FALSE)</f>
        <v>-18.16</v>
      </c>
      <c r="X64">
        <f t="shared" si="3"/>
        <v>0</v>
      </c>
      <c r="Y64" t="s">
        <v>23</v>
      </c>
      <c r="Z64" t="str">
        <f>VLOOKUP(G64,'[2]Erogati mag-giu 2026_791_old'!$D:$T,11,FALSE)</f>
        <v>diretto</v>
      </c>
      <c r="AA64" t="b">
        <v>1</v>
      </c>
      <c r="AF64" t="s">
        <v>20</v>
      </c>
      <c r="AG64" t="s">
        <v>20</v>
      </c>
    </row>
    <row r="65" spans="1:33">
      <c r="A65" s="13"/>
      <c r="C65" s="4">
        <f>VLOOKUP(G65,'[1]Erogati mag-giu 2026_791_old'!$A:$B,2,FALSE)</f>
        <v>202511294556840</v>
      </c>
      <c r="E65" t="s">
        <v>20</v>
      </c>
      <c r="F65" t="s">
        <v>21</v>
      </c>
      <c r="G65">
        <v>1052000259</v>
      </c>
      <c r="H65">
        <f>VLOOKUP(C65,'[1]Erogati mag-giu 2026_791_old'!$B:$E,4,FALSE)</f>
        <v>1052000259</v>
      </c>
      <c r="I65" t="b">
        <f t="shared" si="0"/>
        <v>1</v>
      </c>
      <c r="J65" s="14">
        <v>46163</v>
      </c>
      <c r="K65" s="14">
        <v>46163</v>
      </c>
      <c r="L65" t="s">
        <v>20</v>
      </c>
      <c r="M65" s="14">
        <v>46188</v>
      </c>
      <c r="N65" s="14">
        <v>46163</v>
      </c>
      <c r="O65" t="s">
        <v>20</v>
      </c>
      <c r="P65">
        <v>-36.49</v>
      </c>
      <c r="Q65">
        <f>VLOOKUP(G65,'[1]Erogati mag-giu 2026_791_old'!$A:$W,12,FALSE)</f>
        <v>-36.49</v>
      </c>
      <c r="R65">
        <f t="shared" si="1"/>
        <v>0</v>
      </c>
      <c r="S65">
        <v>-36.49</v>
      </c>
      <c r="T65">
        <f>VLOOKUP(G65,'[1]Erogati mag-giu 2026_791_old'!$A:$W,13,FALSE)</f>
        <v>-36.49</v>
      </c>
      <c r="U65">
        <f t="shared" si="2"/>
        <v>0</v>
      </c>
      <c r="V65">
        <v>-36.49</v>
      </c>
      <c r="W65">
        <f>VLOOKUP(G65,'[1]Erogati mag-giu 2026_791_old'!$A:$W,14,FALSE)</f>
        <v>-36.49</v>
      </c>
      <c r="X65">
        <f t="shared" si="3"/>
        <v>0</v>
      </c>
      <c r="Y65" t="s">
        <v>23</v>
      </c>
      <c r="Z65" t="str">
        <f>VLOOKUP(G65,'[2]Erogati mag-giu 2026_791_old'!$D:$T,11,FALSE)</f>
        <v>diretto</v>
      </c>
      <c r="AA65" t="b">
        <v>1</v>
      </c>
      <c r="AF65" t="s">
        <v>20</v>
      </c>
      <c r="AG65" t="s">
        <v>20</v>
      </c>
    </row>
    <row r="66" spans="1:33">
      <c r="A66" s="13"/>
      <c r="C66" s="4">
        <f>VLOOKUP(G66,'[1]Erogati mag-giu 2026_791_old'!$A:$B,2,FALSE)</f>
        <v>202512302682465</v>
      </c>
      <c r="E66" t="s">
        <v>20</v>
      </c>
      <c r="F66" t="s">
        <v>21</v>
      </c>
      <c r="G66">
        <v>1062001478</v>
      </c>
      <c r="H66">
        <f>VLOOKUP(C66,'[1]Erogati mag-giu 2026_791_old'!$B:$E,4,FALSE)</f>
        <v>1062001478</v>
      </c>
      <c r="I66" t="b">
        <f t="shared" si="0"/>
        <v>1</v>
      </c>
      <c r="J66" s="14">
        <v>46188</v>
      </c>
      <c r="K66" s="14">
        <v>46188</v>
      </c>
      <c r="L66" t="s">
        <v>20</v>
      </c>
      <c r="M66" s="14">
        <v>46188</v>
      </c>
      <c r="N66" s="14">
        <v>46188</v>
      </c>
      <c r="O66" t="s">
        <v>20</v>
      </c>
      <c r="P66">
        <v>-88.91</v>
      </c>
      <c r="Q66">
        <f>VLOOKUP(G66,'[1]Erogati mag-giu 2026_791_old'!$A:$W,12,FALSE)</f>
        <v>-88.91</v>
      </c>
      <c r="R66">
        <f t="shared" si="1"/>
        <v>0</v>
      </c>
      <c r="S66">
        <v>-88.91</v>
      </c>
      <c r="T66">
        <f>VLOOKUP(G66,'[1]Erogati mag-giu 2026_791_old'!$A:$W,13,FALSE)</f>
        <v>-88.91</v>
      </c>
      <c r="U66">
        <f t="shared" si="2"/>
        <v>0</v>
      </c>
      <c r="V66">
        <v>-88.91</v>
      </c>
      <c r="W66">
        <f>VLOOKUP(G66,'[1]Erogati mag-giu 2026_791_old'!$A:$W,14,FALSE)</f>
        <v>-88.91</v>
      </c>
      <c r="X66">
        <f t="shared" si="3"/>
        <v>0</v>
      </c>
      <c r="Y66" t="s">
        <v>23</v>
      </c>
      <c r="Z66" t="str">
        <f>VLOOKUP(G66,'[2]Erogati mag-giu 2026_791_old'!$D:$T,11,FALSE)</f>
        <v>diretto</v>
      </c>
      <c r="AA66" t="b">
        <v>1</v>
      </c>
      <c r="AF66" t="s">
        <v>20</v>
      </c>
      <c r="AG66" t="s">
        <v>20</v>
      </c>
    </row>
    <row r="67" spans="1:33">
      <c r="A67" s="13"/>
      <c r="C67" s="4">
        <f>VLOOKUP(G67,'[1]Erogati mag-giu 2026_791_old'!$A:$B,2,FALSE)</f>
        <v>202601307868965</v>
      </c>
      <c r="E67" t="s">
        <v>20</v>
      </c>
      <c r="F67" t="s">
        <v>21</v>
      </c>
      <c r="G67">
        <v>2000000547</v>
      </c>
      <c r="H67">
        <f>VLOOKUP(C67,'[1]Erogati mag-giu 2026_791_old'!$B:$E,4,FALSE)</f>
        <v>2000000547</v>
      </c>
      <c r="I67" t="b">
        <f t="shared" si="0"/>
        <v>1</v>
      </c>
      <c r="J67" s="14">
        <v>46196</v>
      </c>
      <c r="K67" s="14">
        <v>46196</v>
      </c>
      <c r="L67" t="s">
        <v>20</v>
      </c>
      <c r="M67" s="14">
        <v>46188</v>
      </c>
      <c r="N67" s="14">
        <v>46196</v>
      </c>
      <c r="O67" t="s">
        <v>20</v>
      </c>
      <c r="P67">
        <v>-119.84</v>
      </c>
      <c r="Q67">
        <f>VLOOKUP(G67,'[1]Erogati mag-giu 2026_791_old'!$A:$W,12,FALSE)</f>
        <v>-119.84</v>
      </c>
      <c r="R67">
        <f t="shared" si="1"/>
        <v>0</v>
      </c>
      <c r="S67">
        <v>-119.84</v>
      </c>
      <c r="T67">
        <f>VLOOKUP(G67,'[1]Erogati mag-giu 2026_791_old'!$A:$W,13,FALSE)</f>
        <v>-119.84</v>
      </c>
      <c r="U67">
        <f t="shared" si="2"/>
        <v>0</v>
      </c>
      <c r="V67">
        <v>-119.84</v>
      </c>
      <c r="W67">
        <f>VLOOKUP(G67,'[1]Erogati mag-giu 2026_791_old'!$A:$W,14,FALSE)</f>
        <v>-119.84</v>
      </c>
      <c r="X67">
        <f t="shared" si="3"/>
        <v>0</v>
      </c>
      <c r="Y67" t="s">
        <v>23</v>
      </c>
      <c r="Z67" t="str">
        <f>VLOOKUP(G67,'[2]Erogati mag-giu 2026_791_old'!$D:$T,11,FALSE)</f>
        <v>diretto</v>
      </c>
      <c r="AA67" t="b">
        <v>1</v>
      </c>
      <c r="AF67" t="s">
        <v>20</v>
      </c>
      <c r="AG67" t="s">
        <v>20</v>
      </c>
    </row>
    <row r="68" spans="1:33">
      <c r="A68" s="13"/>
      <c r="C68" s="4">
        <f>VLOOKUP(G68,'[1]Erogati mag-giu 2026_791_old'!$A:$B,2,FALSE)</f>
        <v>202601307043547</v>
      </c>
      <c r="E68" t="s">
        <v>20</v>
      </c>
      <c r="F68" t="s">
        <v>21</v>
      </c>
      <c r="G68">
        <v>2000000723</v>
      </c>
      <c r="H68">
        <f>VLOOKUP(C68,'[1]Erogati mag-giu 2026_791_old'!$B:$E,4,FALSE)</f>
        <v>2000000723</v>
      </c>
      <c r="I68" t="b">
        <f t="shared" ref="I68:I131" si="4">EXACT(G68,H68)</f>
        <v>1</v>
      </c>
      <c r="J68" s="14">
        <v>46196</v>
      </c>
      <c r="K68" s="14">
        <v>46196</v>
      </c>
      <c r="L68" t="s">
        <v>20</v>
      </c>
      <c r="M68" s="14">
        <v>46188</v>
      </c>
      <c r="N68" s="14">
        <v>46196</v>
      </c>
      <c r="O68" t="s">
        <v>20</v>
      </c>
      <c r="P68">
        <v>-99.39</v>
      </c>
      <c r="Q68">
        <f>VLOOKUP(G68,'[1]Erogati mag-giu 2026_791_old'!$A:$W,12,FALSE)</f>
        <v>-99.39</v>
      </c>
      <c r="R68">
        <f t="shared" ref="R68:R131" si="5">P68-Q68</f>
        <v>0</v>
      </c>
      <c r="S68">
        <v>-99.39</v>
      </c>
      <c r="T68">
        <f>VLOOKUP(G68,'[1]Erogati mag-giu 2026_791_old'!$A:$W,13,FALSE)</f>
        <v>-99.39</v>
      </c>
      <c r="U68">
        <f t="shared" ref="U68:U131" si="6">S68-T68</f>
        <v>0</v>
      </c>
      <c r="V68">
        <v>-99.39</v>
      </c>
      <c r="W68">
        <f>VLOOKUP(G68,'[1]Erogati mag-giu 2026_791_old'!$A:$W,14,FALSE)</f>
        <v>-99.39</v>
      </c>
      <c r="X68">
        <f t="shared" ref="X68:X131" si="7">V68-W68</f>
        <v>0</v>
      </c>
      <c r="Y68" t="s">
        <v>23</v>
      </c>
      <c r="Z68" t="str">
        <f>VLOOKUP(G68,'[2]Erogati mag-giu 2026_791_old'!$D:$T,11,FALSE)</f>
        <v>diretto</v>
      </c>
      <c r="AA68" t="b">
        <v>1</v>
      </c>
      <c r="AF68" t="s">
        <v>20</v>
      </c>
      <c r="AG68" t="s">
        <v>20</v>
      </c>
    </row>
    <row r="69" spans="1:33">
      <c r="A69" s="13"/>
      <c r="C69" s="4">
        <f>VLOOKUP(G69,'[1]Erogati mag-giu 2026_791_old'!$A:$B,2,FALSE)</f>
        <v>202601307049197</v>
      </c>
      <c r="E69" t="s">
        <v>20</v>
      </c>
      <c r="F69" t="s">
        <v>21</v>
      </c>
      <c r="G69">
        <v>2000002309</v>
      </c>
      <c r="H69">
        <f>VLOOKUP(C69,'[1]Erogati mag-giu 2026_791_old'!$B:$E,4,FALSE)</f>
        <v>2000002309</v>
      </c>
      <c r="I69" t="b">
        <f t="shared" si="4"/>
        <v>1</v>
      </c>
      <c r="J69" s="14">
        <v>46196</v>
      </c>
      <c r="K69" s="14">
        <v>46196</v>
      </c>
      <c r="L69" t="s">
        <v>20</v>
      </c>
      <c r="M69" s="14">
        <v>46188</v>
      </c>
      <c r="N69" s="14">
        <v>46196</v>
      </c>
      <c r="O69" t="s">
        <v>20</v>
      </c>
      <c r="P69">
        <v>-149.09</v>
      </c>
      <c r="Q69">
        <f>VLOOKUP(G69,'[1]Erogati mag-giu 2026_791_old'!$A:$W,12,FALSE)</f>
        <v>-149.09</v>
      </c>
      <c r="R69">
        <f t="shared" si="5"/>
        <v>0</v>
      </c>
      <c r="S69">
        <v>-149.09</v>
      </c>
      <c r="T69">
        <f>VLOOKUP(G69,'[1]Erogati mag-giu 2026_791_old'!$A:$W,13,FALSE)</f>
        <v>-149.09</v>
      </c>
      <c r="U69">
        <f t="shared" si="6"/>
        <v>0</v>
      </c>
      <c r="V69">
        <v>-149.09</v>
      </c>
      <c r="W69">
        <f>VLOOKUP(G69,'[1]Erogati mag-giu 2026_791_old'!$A:$W,14,FALSE)</f>
        <v>-149.09</v>
      </c>
      <c r="X69">
        <f t="shared" si="7"/>
        <v>0</v>
      </c>
      <c r="Y69" t="s">
        <v>23</v>
      </c>
      <c r="Z69" t="str">
        <f>VLOOKUP(G69,'[2]Erogati mag-giu 2026_791_old'!$D:$T,11,FALSE)</f>
        <v>diretto</v>
      </c>
      <c r="AA69" t="b">
        <v>1</v>
      </c>
      <c r="AF69" t="s">
        <v>20</v>
      </c>
      <c r="AG69" t="s">
        <v>20</v>
      </c>
    </row>
    <row r="70" spans="1:33">
      <c r="A70" s="13"/>
      <c r="C70" s="4">
        <f>VLOOKUP(G70,'[1]Erogati mag-giu 2026_791_old'!$A:$B,2,FALSE)</f>
        <v>202512302694163</v>
      </c>
      <c r="E70" t="s">
        <v>20</v>
      </c>
      <c r="F70" t="s">
        <v>21</v>
      </c>
      <c r="G70">
        <v>2000003818</v>
      </c>
      <c r="H70">
        <f>VLOOKUP(C70,'[1]Erogati mag-giu 2026_791_old'!$B:$E,4,FALSE)</f>
        <v>2000003818</v>
      </c>
      <c r="I70" t="b">
        <f t="shared" si="4"/>
        <v>1</v>
      </c>
      <c r="J70" s="14">
        <v>46188</v>
      </c>
      <c r="K70" s="14">
        <v>46188</v>
      </c>
      <c r="L70" t="s">
        <v>20</v>
      </c>
      <c r="M70" s="14">
        <v>46188</v>
      </c>
      <c r="N70" s="14">
        <v>46188</v>
      </c>
      <c r="O70" t="s">
        <v>20</v>
      </c>
      <c r="P70">
        <v>-148.19</v>
      </c>
      <c r="Q70">
        <f>VLOOKUP(G70,'[1]Erogati mag-giu 2026_791_old'!$A:$W,12,FALSE)</f>
        <v>-148.19</v>
      </c>
      <c r="R70">
        <f t="shared" si="5"/>
        <v>0</v>
      </c>
      <c r="S70">
        <v>-148.19</v>
      </c>
      <c r="T70">
        <f>VLOOKUP(G70,'[1]Erogati mag-giu 2026_791_old'!$A:$W,13,FALSE)</f>
        <v>-148.19</v>
      </c>
      <c r="U70">
        <f t="shared" si="6"/>
        <v>0</v>
      </c>
      <c r="V70">
        <v>-148.19</v>
      </c>
      <c r="W70">
        <f>VLOOKUP(G70,'[1]Erogati mag-giu 2026_791_old'!$A:$W,14,FALSE)</f>
        <v>-148.19</v>
      </c>
      <c r="X70">
        <f t="shared" si="7"/>
        <v>0</v>
      </c>
      <c r="Y70" t="s">
        <v>23</v>
      </c>
      <c r="Z70" t="str">
        <f>VLOOKUP(G70,'[2]Erogati mag-giu 2026_791_old'!$D:$T,11,FALSE)</f>
        <v>diretto</v>
      </c>
      <c r="AA70" t="b">
        <v>1</v>
      </c>
      <c r="AF70" t="s">
        <v>20</v>
      </c>
      <c r="AG70" t="s">
        <v>20</v>
      </c>
    </row>
    <row r="71" spans="1:33">
      <c r="A71" s="13"/>
      <c r="C71" s="4">
        <f>VLOOKUP(G71,'[1]Erogati mag-giu 2026_791_old'!$A:$B,2,FALSE)</f>
        <v>202601308682237</v>
      </c>
      <c r="E71" t="s">
        <v>20</v>
      </c>
      <c r="F71" t="s">
        <v>21</v>
      </c>
      <c r="G71">
        <v>2000005378</v>
      </c>
      <c r="H71">
        <f>VLOOKUP(C71,'[1]Erogati mag-giu 2026_791_old'!$B:$E,4,FALSE)</f>
        <v>2000005378</v>
      </c>
      <c r="I71" t="b">
        <f t="shared" si="4"/>
        <v>1</v>
      </c>
      <c r="J71" s="14">
        <v>46196</v>
      </c>
      <c r="K71" s="14">
        <v>46196</v>
      </c>
      <c r="L71" t="s">
        <v>20</v>
      </c>
      <c r="M71" s="14">
        <v>46188</v>
      </c>
      <c r="N71" s="14">
        <v>46196</v>
      </c>
      <c r="O71" t="s">
        <v>20</v>
      </c>
      <c r="P71">
        <v>-119.84</v>
      </c>
      <c r="Q71">
        <f>VLOOKUP(G71,'[1]Erogati mag-giu 2026_791_old'!$A:$W,12,FALSE)</f>
        <v>-119.84</v>
      </c>
      <c r="R71">
        <f t="shared" si="5"/>
        <v>0</v>
      </c>
      <c r="S71">
        <v>-119.84</v>
      </c>
      <c r="T71">
        <f>VLOOKUP(G71,'[1]Erogati mag-giu 2026_791_old'!$A:$W,13,FALSE)</f>
        <v>-119.84</v>
      </c>
      <c r="U71">
        <f t="shared" si="6"/>
        <v>0</v>
      </c>
      <c r="V71">
        <v>-119.84</v>
      </c>
      <c r="W71">
        <f>VLOOKUP(G71,'[1]Erogati mag-giu 2026_791_old'!$A:$W,14,FALSE)</f>
        <v>-119.84</v>
      </c>
      <c r="X71">
        <f t="shared" si="7"/>
        <v>0</v>
      </c>
      <c r="Y71" t="s">
        <v>23</v>
      </c>
      <c r="Z71" t="str">
        <f>VLOOKUP(G71,'[2]Erogati mag-giu 2026_791_old'!$D:$T,11,FALSE)</f>
        <v>diretto</v>
      </c>
      <c r="AA71" t="b">
        <v>1</v>
      </c>
      <c r="AF71" t="s">
        <v>20</v>
      </c>
      <c r="AG71" t="s">
        <v>20</v>
      </c>
    </row>
    <row r="72" spans="1:33">
      <c r="A72" s="13"/>
      <c r="C72" s="4">
        <f>VLOOKUP(G72,'[1]Erogati mag-giu 2026_791_old'!$A:$B,2,FALSE)</f>
        <v>202601308457252</v>
      </c>
      <c r="E72" t="s">
        <v>20</v>
      </c>
      <c r="F72" t="s">
        <v>21</v>
      </c>
      <c r="G72">
        <v>2000008157</v>
      </c>
      <c r="H72">
        <f>VLOOKUP(C72,'[1]Erogati mag-giu 2026_791_old'!$B:$E,4,FALSE)</f>
        <v>2000008157</v>
      </c>
      <c r="I72" t="b">
        <f t="shared" si="4"/>
        <v>1</v>
      </c>
      <c r="J72" s="14">
        <v>46196</v>
      </c>
      <c r="K72" s="14">
        <v>46196</v>
      </c>
      <c r="L72" t="s">
        <v>20</v>
      </c>
      <c r="M72" s="14">
        <v>46188</v>
      </c>
      <c r="N72" s="14">
        <v>46196</v>
      </c>
      <c r="O72" t="s">
        <v>20</v>
      </c>
      <c r="P72">
        <v>-71.900000000000006</v>
      </c>
      <c r="Q72">
        <f>VLOOKUP(G72,'[1]Erogati mag-giu 2026_791_old'!$A:$W,12,FALSE)</f>
        <v>-71.900000000000006</v>
      </c>
      <c r="R72">
        <f t="shared" si="5"/>
        <v>0</v>
      </c>
      <c r="S72">
        <v>-71.900000000000006</v>
      </c>
      <c r="T72">
        <f>VLOOKUP(G72,'[1]Erogati mag-giu 2026_791_old'!$A:$W,13,FALSE)</f>
        <v>-71.900000000000006</v>
      </c>
      <c r="U72">
        <f t="shared" si="6"/>
        <v>0</v>
      </c>
      <c r="V72">
        <v>-71.900000000000006</v>
      </c>
      <c r="W72">
        <f>VLOOKUP(G72,'[1]Erogati mag-giu 2026_791_old'!$A:$W,14,FALSE)</f>
        <v>-71.900000000000006</v>
      </c>
      <c r="X72">
        <f t="shared" si="7"/>
        <v>0</v>
      </c>
      <c r="Y72" t="s">
        <v>23</v>
      </c>
      <c r="Z72" t="str">
        <f>VLOOKUP(G72,'[2]Erogati mag-giu 2026_791_old'!$D:$T,11,FALSE)</f>
        <v>diretto</v>
      </c>
      <c r="AA72" t="b">
        <v>1</v>
      </c>
      <c r="AF72" t="s">
        <v>20</v>
      </c>
      <c r="AG72" t="s">
        <v>20</v>
      </c>
    </row>
    <row r="73" spans="1:33">
      <c r="A73" s="13"/>
      <c r="C73" s="4">
        <f>VLOOKUP(G73,'[1]Erogati mag-giu 2026_791_old'!$A:$B,2,FALSE)</f>
        <v>202511294556624</v>
      </c>
      <c r="E73" t="s">
        <v>20</v>
      </c>
      <c r="F73" t="s">
        <v>21</v>
      </c>
      <c r="G73">
        <v>2000009954</v>
      </c>
      <c r="H73">
        <f>VLOOKUP(C73,'[1]Erogati mag-giu 2026_791_old'!$B:$E,4,FALSE)</f>
        <v>2000009954</v>
      </c>
      <c r="I73" t="b">
        <f t="shared" si="4"/>
        <v>1</v>
      </c>
      <c r="J73" s="14">
        <v>46163</v>
      </c>
      <c r="K73" s="14">
        <v>46163</v>
      </c>
      <c r="L73" t="s">
        <v>20</v>
      </c>
      <c r="M73" s="14">
        <v>46188</v>
      </c>
      <c r="N73" s="14">
        <v>46163</v>
      </c>
      <c r="O73" t="s">
        <v>20</v>
      </c>
      <c r="P73">
        <v>-20.28</v>
      </c>
      <c r="Q73">
        <f>VLOOKUP(G73,'[1]Erogati mag-giu 2026_791_old'!$A:$W,12,FALSE)</f>
        <v>-20.28</v>
      </c>
      <c r="R73">
        <f t="shared" si="5"/>
        <v>0</v>
      </c>
      <c r="S73">
        <v>-20.28</v>
      </c>
      <c r="T73">
        <f>VLOOKUP(G73,'[1]Erogati mag-giu 2026_791_old'!$A:$W,13,FALSE)</f>
        <v>-20.28</v>
      </c>
      <c r="U73">
        <f t="shared" si="6"/>
        <v>0</v>
      </c>
      <c r="V73">
        <v>-20.28</v>
      </c>
      <c r="W73">
        <f>VLOOKUP(G73,'[1]Erogati mag-giu 2026_791_old'!$A:$W,14,FALSE)</f>
        <v>-20.28</v>
      </c>
      <c r="X73">
        <f t="shared" si="7"/>
        <v>0</v>
      </c>
      <c r="Y73" t="s">
        <v>23</v>
      </c>
      <c r="Z73" t="str">
        <f>VLOOKUP(G73,'[2]Erogati mag-giu 2026_791_old'!$D:$T,11,FALSE)</f>
        <v>diretto</v>
      </c>
      <c r="AA73" t="b">
        <v>1</v>
      </c>
      <c r="AF73" t="s">
        <v>20</v>
      </c>
      <c r="AG73" t="s">
        <v>20</v>
      </c>
    </row>
    <row r="74" spans="1:33">
      <c r="A74" s="13"/>
      <c r="C74" s="4">
        <f>VLOOKUP(G74,'[1]Erogati mag-giu 2026_791_old'!$A:$B,2,FALSE)</f>
        <v>202601307507588</v>
      </c>
      <c r="E74" t="s">
        <v>20</v>
      </c>
      <c r="F74" t="s">
        <v>21</v>
      </c>
      <c r="G74">
        <v>2000012040</v>
      </c>
      <c r="H74">
        <f>VLOOKUP(C74,'[1]Erogati mag-giu 2026_791_old'!$B:$E,4,FALSE)</f>
        <v>2000012040</v>
      </c>
      <c r="I74" t="b">
        <f t="shared" si="4"/>
        <v>1</v>
      </c>
      <c r="J74" s="14">
        <v>46196</v>
      </c>
      <c r="K74" s="14">
        <v>46196</v>
      </c>
      <c r="L74" t="s">
        <v>20</v>
      </c>
      <c r="M74" s="14">
        <v>46188</v>
      </c>
      <c r="N74" s="14">
        <v>46196</v>
      </c>
      <c r="O74" t="s">
        <v>20</v>
      </c>
      <c r="P74">
        <v>-119.84</v>
      </c>
      <c r="Q74">
        <f>VLOOKUP(G74,'[1]Erogati mag-giu 2026_791_old'!$A:$W,12,FALSE)</f>
        <v>-119.84</v>
      </c>
      <c r="R74">
        <f t="shared" si="5"/>
        <v>0</v>
      </c>
      <c r="S74">
        <v>-119.84</v>
      </c>
      <c r="T74">
        <f>VLOOKUP(G74,'[1]Erogati mag-giu 2026_791_old'!$A:$W,13,FALSE)</f>
        <v>-119.84</v>
      </c>
      <c r="U74">
        <f t="shared" si="6"/>
        <v>0</v>
      </c>
      <c r="V74">
        <v>-119.84</v>
      </c>
      <c r="W74">
        <f>VLOOKUP(G74,'[1]Erogati mag-giu 2026_791_old'!$A:$W,14,FALSE)</f>
        <v>-119.84</v>
      </c>
      <c r="X74">
        <f t="shared" si="7"/>
        <v>0</v>
      </c>
      <c r="Y74" t="s">
        <v>23</v>
      </c>
      <c r="Z74" t="str">
        <f>VLOOKUP(G74,'[2]Erogati mag-giu 2026_791_old'!$D:$T,11,FALSE)</f>
        <v>diretto</v>
      </c>
      <c r="AA74" t="b">
        <v>1</v>
      </c>
      <c r="AF74" t="s">
        <v>20</v>
      </c>
      <c r="AG74" t="s">
        <v>20</v>
      </c>
    </row>
    <row r="75" spans="1:33">
      <c r="A75" s="13"/>
      <c r="C75" s="4">
        <f>VLOOKUP(G75,'[1]Erogati mag-giu 2026_791_old'!$A:$B,2,FALSE)</f>
        <v>202601308537531</v>
      </c>
      <c r="E75" t="s">
        <v>20</v>
      </c>
      <c r="F75" t="s">
        <v>21</v>
      </c>
      <c r="G75">
        <v>2000012498</v>
      </c>
      <c r="H75">
        <f>VLOOKUP(C75,'[1]Erogati mag-giu 2026_791_old'!$B:$E,4,FALSE)</f>
        <v>2000012498</v>
      </c>
      <c r="I75" t="b">
        <f t="shared" si="4"/>
        <v>1</v>
      </c>
      <c r="J75" s="14">
        <v>46196</v>
      </c>
      <c r="K75" s="14">
        <v>46196</v>
      </c>
      <c r="L75" t="s">
        <v>20</v>
      </c>
      <c r="M75" s="14">
        <v>46188</v>
      </c>
      <c r="N75" s="14">
        <v>46196</v>
      </c>
      <c r="O75" t="s">
        <v>20</v>
      </c>
      <c r="P75">
        <v>-39.25</v>
      </c>
      <c r="Q75">
        <f>VLOOKUP(G75,'[1]Erogati mag-giu 2026_791_old'!$A:$W,12,FALSE)</f>
        <v>-39.25</v>
      </c>
      <c r="R75">
        <f t="shared" si="5"/>
        <v>0</v>
      </c>
      <c r="S75">
        <v>-39.25</v>
      </c>
      <c r="T75">
        <f>VLOOKUP(G75,'[1]Erogati mag-giu 2026_791_old'!$A:$W,13,FALSE)</f>
        <v>-39.25</v>
      </c>
      <c r="U75">
        <f t="shared" si="6"/>
        <v>0</v>
      </c>
      <c r="V75">
        <v>-39.25</v>
      </c>
      <c r="W75">
        <f>VLOOKUP(G75,'[1]Erogati mag-giu 2026_791_old'!$A:$W,14,FALSE)</f>
        <v>-39.25</v>
      </c>
      <c r="X75">
        <f t="shared" si="7"/>
        <v>0</v>
      </c>
      <c r="Y75" t="s">
        <v>23</v>
      </c>
      <c r="Z75" t="str">
        <f>VLOOKUP(G75,'[2]Erogati mag-giu 2026_791_old'!$D:$T,11,FALSE)</f>
        <v>diretto</v>
      </c>
      <c r="AA75" t="b">
        <v>1</v>
      </c>
      <c r="AF75" t="s">
        <v>20</v>
      </c>
      <c r="AG75" t="s">
        <v>20</v>
      </c>
    </row>
    <row r="76" spans="1:33">
      <c r="A76" s="13"/>
      <c r="C76" s="4">
        <f>VLOOKUP(G76,'[1]Erogati mag-giu 2026_791_old'!$A:$B,2,FALSE)</f>
        <v>202601307647793</v>
      </c>
      <c r="E76" t="s">
        <v>20</v>
      </c>
      <c r="F76" t="s">
        <v>21</v>
      </c>
      <c r="G76">
        <v>2000012708</v>
      </c>
      <c r="H76">
        <f>VLOOKUP(C76,'[1]Erogati mag-giu 2026_791_old'!$B:$E,4,FALSE)</f>
        <v>2000012708</v>
      </c>
      <c r="I76" t="b">
        <f t="shared" si="4"/>
        <v>1</v>
      </c>
      <c r="J76" s="14">
        <v>46196</v>
      </c>
      <c r="K76" s="14">
        <v>46196</v>
      </c>
      <c r="L76" t="s">
        <v>20</v>
      </c>
      <c r="M76" s="14">
        <v>46188</v>
      </c>
      <c r="N76" s="14">
        <v>46196</v>
      </c>
      <c r="O76" t="s">
        <v>20</v>
      </c>
      <c r="P76">
        <v>-4.0599999999999996</v>
      </c>
      <c r="Q76">
        <f>VLOOKUP(G76,'[1]Erogati mag-giu 2026_791_old'!$A:$W,12,FALSE)</f>
        <v>-4.0599999999999996</v>
      </c>
      <c r="R76">
        <f t="shared" si="5"/>
        <v>0</v>
      </c>
      <c r="S76">
        <v>-4.0599999999999996</v>
      </c>
      <c r="T76">
        <f>VLOOKUP(G76,'[1]Erogati mag-giu 2026_791_old'!$A:$W,13,FALSE)</f>
        <v>-4.0599999999999996</v>
      </c>
      <c r="U76">
        <f t="shared" si="6"/>
        <v>0</v>
      </c>
      <c r="V76">
        <v>-4.0599999999999996</v>
      </c>
      <c r="W76">
        <f>VLOOKUP(G76,'[1]Erogati mag-giu 2026_791_old'!$A:$W,14,FALSE)</f>
        <v>-4.0599999999999996</v>
      </c>
      <c r="X76">
        <f t="shared" si="7"/>
        <v>0</v>
      </c>
      <c r="Y76" t="s">
        <v>23</v>
      </c>
      <c r="Z76" t="str">
        <f>VLOOKUP(G76,'[2]Erogati mag-giu 2026_791_old'!$D:$T,11,FALSE)</f>
        <v>diretto</v>
      </c>
      <c r="AA76" t="b">
        <v>1</v>
      </c>
      <c r="AF76" t="s">
        <v>20</v>
      </c>
      <c r="AG76" t="s">
        <v>20</v>
      </c>
    </row>
    <row r="77" spans="1:33">
      <c r="A77" s="13"/>
      <c r="C77" s="4">
        <f>VLOOKUP(G77,'[1]Erogati mag-giu 2026_791_old'!$A:$B,2,FALSE)</f>
        <v>202601308482837</v>
      </c>
      <c r="E77" t="s">
        <v>20</v>
      </c>
      <c r="F77" t="s">
        <v>21</v>
      </c>
      <c r="G77">
        <v>2000014328</v>
      </c>
      <c r="H77">
        <f>VLOOKUP(C77,'[1]Erogati mag-giu 2026_791_old'!$B:$E,4,FALSE)</f>
        <v>2000014328</v>
      </c>
      <c r="I77" t="b">
        <f t="shared" si="4"/>
        <v>1</v>
      </c>
      <c r="J77" s="14">
        <v>46196</v>
      </c>
      <c r="K77" s="14">
        <v>46196</v>
      </c>
      <c r="L77" t="s">
        <v>20</v>
      </c>
      <c r="M77" s="14">
        <v>46188</v>
      </c>
      <c r="N77" s="14">
        <v>46196</v>
      </c>
      <c r="O77" t="s">
        <v>20</v>
      </c>
      <c r="P77">
        <v>-66.91</v>
      </c>
      <c r="Q77">
        <f>VLOOKUP(G77,'[1]Erogati mag-giu 2026_791_old'!$A:$W,12,FALSE)</f>
        <v>-66.91</v>
      </c>
      <c r="R77">
        <f t="shared" si="5"/>
        <v>0</v>
      </c>
      <c r="S77">
        <v>-66.91</v>
      </c>
      <c r="T77">
        <f>VLOOKUP(G77,'[1]Erogati mag-giu 2026_791_old'!$A:$W,13,FALSE)</f>
        <v>-66.91</v>
      </c>
      <c r="U77">
        <f t="shared" si="6"/>
        <v>0</v>
      </c>
      <c r="V77">
        <v>-66.91</v>
      </c>
      <c r="W77">
        <f>VLOOKUP(G77,'[1]Erogati mag-giu 2026_791_old'!$A:$W,14,FALSE)</f>
        <v>-66.91</v>
      </c>
      <c r="X77">
        <f t="shared" si="7"/>
        <v>0</v>
      </c>
      <c r="Y77" t="s">
        <v>23</v>
      </c>
      <c r="Z77" t="str">
        <f>VLOOKUP(G77,'[2]Erogati mag-giu 2026_791_old'!$D:$T,11,FALSE)</f>
        <v>diretto</v>
      </c>
      <c r="AA77" t="b">
        <v>1</v>
      </c>
      <c r="AF77" t="s">
        <v>20</v>
      </c>
      <c r="AG77" t="s">
        <v>20</v>
      </c>
    </row>
    <row r="78" spans="1:33">
      <c r="A78" s="13"/>
      <c r="C78" s="4">
        <f>VLOOKUP(G78,'[1]Erogati mag-giu 2026_791_old'!$A:$B,2,FALSE)</f>
        <v>202601307757402</v>
      </c>
      <c r="E78" t="s">
        <v>20</v>
      </c>
      <c r="F78" t="s">
        <v>21</v>
      </c>
      <c r="G78">
        <v>2000014750</v>
      </c>
      <c r="H78">
        <f>VLOOKUP(C78,'[1]Erogati mag-giu 2026_791_old'!$B:$E,4,FALSE)</f>
        <v>2000014750</v>
      </c>
      <c r="I78" t="b">
        <f t="shared" si="4"/>
        <v>1</v>
      </c>
      <c r="J78" s="14">
        <v>46196</v>
      </c>
      <c r="K78" s="14">
        <v>46196</v>
      </c>
      <c r="L78" t="s">
        <v>20</v>
      </c>
      <c r="M78" s="14">
        <v>46188</v>
      </c>
      <c r="N78" s="14">
        <v>46196</v>
      </c>
      <c r="O78" t="s">
        <v>20</v>
      </c>
      <c r="P78">
        <v>-132.52000000000001</v>
      </c>
      <c r="Q78">
        <f>VLOOKUP(G78,'[1]Erogati mag-giu 2026_791_old'!$A:$W,12,FALSE)</f>
        <v>-132.52000000000001</v>
      </c>
      <c r="R78">
        <f t="shared" si="5"/>
        <v>0</v>
      </c>
      <c r="S78">
        <v>-132.52000000000001</v>
      </c>
      <c r="T78">
        <f>VLOOKUP(G78,'[1]Erogati mag-giu 2026_791_old'!$A:$W,13,FALSE)</f>
        <v>-132.52000000000001</v>
      </c>
      <c r="U78">
        <f t="shared" si="6"/>
        <v>0</v>
      </c>
      <c r="V78">
        <v>-132.52000000000001</v>
      </c>
      <c r="W78">
        <f>VLOOKUP(G78,'[1]Erogati mag-giu 2026_791_old'!$A:$W,14,FALSE)</f>
        <v>-132.52000000000001</v>
      </c>
      <c r="X78">
        <f t="shared" si="7"/>
        <v>0</v>
      </c>
      <c r="Y78" t="s">
        <v>23</v>
      </c>
      <c r="Z78" t="str">
        <f>VLOOKUP(G78,'[2]Erogati mag-giu 2026_791_old'!$D:$T,11,FALSE)</f>
        <v>diretto</v>
      </c>
      <c r="AA78" t="b">
        <v>1</v>
      </c>
      <c r="AF78" t="s">
        <v>20</v>
      </c>
      <c r="AG78" t="s">
        <v>20</v>
      </c>
    </row>
    <row r="79" spans="1:33">
      <c r="A79" s="13"/>
      <c r="C79" s="4">
        <f>VLOOKUP(G79,'[1]Erogati mag-giu 2026_791_old'!$A:$B,2,FALSE)</f>
        <v>202601307954221</v>
      </c>
      <c r="E79" t="s">
        <v>20</v>
      </c>
      <c r="F79" t="s">
        <v>21</v>
      </c>
      <c r="G79">
        <v>2000015383</v>
      </c>
      <c r="H79">
        <f>VLOOKUP(C79,'[1]Erogati mag-giu 2026_791_old'!$B:$E,4,FALSE)</f>
        <v>2000015383</v>
      </c>
      <c r="I79" t="b">
        <f t="shared" si="4"/>
        <v>1</v>
      </c>
      <c r="J79" s="14">
        <v>46196</v>
      </c>
      <c r="K79" s="14">
        <v>46196</v>
      </c>
      <c r="L79" t="s">
        <v>20</v>
      </c>
      <c r="M79" s="14">
        <v>46188</v>
      </c>
      <c r="N79" s="14">
        <v>46196</v>
      </c>
      <c r="O79" t="s">
        <v>20</v>
      </c>
      <c r="P79">
        <v>-30.03</v>
      </c>
      <c r="Q79">
        <f>VLOOKUP(G79,'[1]Erogati mag-giu 2026_791_old'!$A:$W,12,FALSE)</f>
        <v>-30.03</v>
      </c>
      <c r="R79">
        <f t="shared" si="5"/>
        <v>0</v>
      </c>
      <c r="S79">
        <v>-30.03</v>
      </c>
      <c r="T79">
        <f>VLOOKUP(G79,'[1]Erogati mag-giu 2026_791_old'!$A:$W,13,FALSE)</f>
        <v>-30.03</v>
      </c>
      <c r="U79">
        <f t="shared" si="6"/>
        <v>0</v>
      </c>
      <c r="V79">
        <v>-30.03</v>
      </c>
      <c r="W79">
        <f>VLOOKUP(G79,'[1]Erogati mag-giu 2026_791_old'!$A:$W,14,FALSE)</f>
        <v>-30.03</v>
      </c>
      <c r="X79">
        <f t="shared" si="7"/>
        <v>0</v>
      </c>
      <c r="Y79" t="s">
        <v>23</v>
      </c>
      <c r="Z79" t="str">
        <f>VLOOKUP(G79,'[2]Erogati mag-giu 2026_791_old'!$D:$T,11,FALSE)</f>
        <v>diretto</v>
      </c>
      <c r="AA79" t="b">
        <v>1</v>
      </c>
      <c r="AF79" t="s">
        <v>20</v>
      </c>
      <c r="AG79" t="s">
        <v>20</v>
      </c>
    </row>
    <row r="80" spans="1:33">
      <c r="A80" s="13"/>
      <c r="C80" s="4">
        <f>VLOOKUP(G80,'[1]Erogati mag-giu 2026_791_old'!$A:$B,2,FALSE)</f>
        <v>202601307803782</v>
      </c>
      <c r="E80" t="s">
        <v>20</v>
      </c>
      <c r="F80" t="s">
        <v>21</v>
      </c>
      <c r="G80">
        <v>2000017827</v>
      </c>
      <c r="H80">
        <f>VLOOKUP(C80,'[1]Erogati mag-giu 2026_791_old'!$B:$E,4,FALSE)</f>
        <v>2000017827</v>
      </c>
      <c r="I80" t="b">
        <f t="shared" si="4"/>
        <v>1</v>
      </c>
      <c r="J80" s="14">
        <v>46196</v>
      </c>
      <c r="K80" s="14">
        <v>46196</v>
      </c>
      <c r="L80" t="s">
        <v>20</v>
      </c>
      <c r="M80" s="14">
        <v>46188</v>
      </c>
      <c r="N80" s="14">
        <v>46196</v>
      </c>
      <c r="O80" t="s">
        <v>20</v>
      </c>
      <c r="P80">
        <v>-32.369999999999997</v>
      </c>
      <c r="Q80">
        <f>VLOOKUP(G80,'[1]Erogati mag-giu 2026_791_old'!$A:$W,12,FALSE)</f>
        <v>-32.369999999999997</v>
      </c>
      <c r="R80">
        <f t="shared" si="5"/>
        <v>0</v>
      </c>
      <c r="S80">
        <v>-32.369999999999997</v>
      </c>
      <c r="T80">
        <f>VLOOKUP(G80,'[1]Erogati mag-giu 2026_791_old'!$A:$W,13,FALSE)</f>
        <v>-32.369999999999997</v>
      </c>
      <c r="U80">
        <f t="shared" si="6"/>
        <v>0</v>
      </c>
      <c r="V80">
        <v>-32.369999999999997</v>
      </c>
      <c r="W80">
        <f>VLOOKUP(G80,'[1]Erogati mag-giu 2026_791_old'!$A:$W,14,FALSE)</f>
        <v>-32.369999999999997</v>
      </c>
      <c r="X80">
        <f t="shared" si="7"/>
        <v>0</v>
      </c>
      <c r="Y80" t="s">
        <v>23</v>
      </c>
      <c r="Z80" t="str">
        <f>VLOOKUP(G80,'[2]Erogati mag-giu 2026_791_old'!$D:$T,11,FALSE)</f>
        <v>diretto</v>
      </c>
      <c r="AA80" t="b">
        <v>1</v>
      </c>
      <c r="AF80" t="s">
        <v>20</v>
      </c>
      <c r="AG80" t="s">
        <v>20</v>
      </c>
    </row>
    <row r="81" spans="1:33">
      <c r="A81" s="13"/>
      <c r="C81" s="4">
        <f>VLOOKUP(G81,'[1]Erogati mag-giu 2026_791_old'!$A:$B,2,FALSE)</f>
        <v>202601307650172</v>
      </c>
      <c r="E81" t="s">
        <v>20</v>
      </c>
      <c r="F81" t="s">
        <v>21</v>
      </c>
      <c r="G81">
        <v>2000018286</v>
      </c>
      <c r="H81">
        <f>VLOOKUP(C81,'[1]Erogati mag-giu 2026_791_old'!$B:$E,4,FALSE)</f>
        <v>2000018286</v>
      </c>
      <c r="I81" t="b">
        <f t="shared" si="4"/>
        <v>1</v>
      </c>
      <c r="J81" s="14">
        <v>46196</v>
      </c>
      <c r="K81" s="14">
        <v>46196</v>
      </c>
      <c r="L81" t="s">
        <v>20</v>
      </c>
      <c r="M81" s="14">
        <v>46188</v>
      </c>
      <c r="N81" s="14">
        <v>46196</v>
      </c>
      <c r="O81" t="s">
        <v>20</v>
      </c>
      <c r="P81">
        <v>-66.260000000000005</v>
      </c>
      <c r="Q81">
        <f>VLOOKUP(G81,'[1]Erogati mag-giu 2026_791_old'!$A:$W,12,FALSE)</f>
        <v>-66.260000000000005</v>
      </c>
      <c r="R81">
        <f t="shared" si="5"/>
        <v>0</v>
      </c>
      <c r="S81">
        <v>-66.260000000000005</v>
      </c>
      <c r="T81">
        <f>VLOOKUP(G81,'[1]Erogati mag-giu 2026_791_old'!$A:$W,13,FALSE)</f>
        <v>-66.260000000000005</v>
      </c>
      <c r="U81">
        <f t="shared" si="6"/>
        <v>0</v>
      </c>
      <c r="V81">
        <v>-66.260000000000005</v>
      </c>
      <c r="W81">
        <f>VLOOKUP(G81,'[1]Erogati mag-giu 2026_791_old'!$A:$W,14,FALSE)</f>
        <v>-66.260000000000005</v>
      </c>
      <c r="X81">
        <f t="shared" si="7"/>
        <v>0</v>
      </c>
      <c r="Y81" t="s">
        <v>23</v>
      </c>
      <c r="Z81" t="str">
        <f>VLOOKUP(G81,'[2]Erogati mag-giu 2026_791_old'!$D:$T,11,FALSE)</f>
        <v>diretto</v>
      </c>
      <c r="AA81" t="b">
        <v>1</v>
      </c>
      <c r="AF81" t="s">
        <v>20</v>
      </c>
      <c r="AG81" t="s">
        <v>20</v>
      </c>
    </row>
    <row r="82" spans="1:33">
      <c r="A82" s="13"/>
      <c r="C82" s="4">
        <f>VLOOKUP(G82,'[1]Erogati mag-giu 2026_791_old'!$A:$B,2,FALSE)</f>
        <v>202512302676920</v>
      </c>
      <c r="E82" t="s">
        <v>20</v>
      </c>
      <c r="F82" t="s">
        <v>21</v>
      </c>
      <c r="G82">
        <v>2000019067</v>
      </c>
      <c r="H82">
        <f>VLOOKUP(C82,'[1]Erogati mag-giu 2026_791_old'!$B:$E,4,FALSE)</f>
        <v>2000019067</v>
      </c>
      <c r="I82" t="b">
        <f t="shared" si="4"/>
        <v>1</v>
      </c>
      <c r="J82" s="14">
        <v>46195</v>
      </c>
      <c r="K82" s="14">
        <v>46195</v>
      </c>
      <c r="L82" t="s">
        <v>20</v>
      </c>
      <c r="M82" s="14">
        <v>46188</v>
      </c>
      <c r="N82" s="14">
        <v>46195</v>
      </c>
      <c r="O82" t="s">
        <v>20</v>
      </c>
      <c r="P82">
        <v>-141.68</v>
      </c>
      <c r="Q82">
        <f>VLOOKUP(G82,'[1]Erogati mag-giu 2026_791_old'!$A:$W,12,FALSE)</f>
        <v>-141.68</v>
      </c>
      <c r="R82">
        <f t="shared" si="5"/>
        <v>0</v>
      </c>
      <c r="S82">
        <v>-141.68</v>
      </c>
      <c r="T82">
        <f>VLOOKUP(G82,'[1]Erogati mag-giu 2026_791_old'!$A:$W,13,FALSE)</f>
        <v>-141.68</v>
      </c>
      <c r="U82">
        <f t="shared" si="6"/>
        <v>0</v>
      </c>
      <c r="V82">
        <v>-141.68</v>
      </c>
      <c r="W82">
        <f>VLOOKUP(G82,'[1]Erogati mag-giu 2026_791_old'!$A:$W,14,FALSE)</f>
        <v>-141.68</v>
      </c>
      <c r="X82">
        <f t="shared" si="7"/>
        <v>0</v>
      </c>
      <c r="Y82" t="s">
        <v>23</v>
      </c>
      <c r="Z82" t="str">
        <f>VLOOKUP(G82,'[2]Erogati mag-giu 2026_791_old'!$D:$T,11,FALSE)</f>
        <v>diretto</v>
      </c>
      <c r="AA82" t="b">
        <v>1</v>
      </c>
      <c r="AF82" t="s">
        <v>20</v>
      </c>
      <c r="AG82" t="s">
        <v>20</v>
      </c>
    </row>
    <row r="83" spans="1:33">
      <c r="A83" s="13"/>
      <c r="C83" s="4">
        <f>VLOOKUP(G83,'[1]Erogati mag-giu 2026_791_old'!$A:$B,2,FALSE)</f>
        <v>202511296439969</v>
      </c>
      <c r="E83" t="s">
        <v>20</v>
      </c>
      <c r="F83" t="s">
        <v>21</v>
      </c>
      <c r="G83">
        <v>2000019183</v>
      </c>
      <c r="H83">
        <f>VLOOKUP(C83,'[1]Erogati mag-giu 2026_791_old'!$B:$E,4,FALSE)</f>
        <v>2000019183</v>
      </c>
      <c r="I83" t="b">
        <f t="shared" si="4"/>
        <v>1</v>
      </c>
      <c r="J83" s="14">
        <v>46163</v>
      </c>
      <c r="K83" s="14">
        <v>46163</v>
      </c>
      <c r="L83" t="s">
        <v>20</v>
      </c>
      <c r="M83" s="14">
        <v>46188</v>
      </c>
      <c r="N83" s="14">
        <v>46163</v>
      </c>
      <c r="O83" t="s">
        <v>20</v>
      </c>
      <c r="P83">
        <v>-70.16</v>
      </c>
      <c r="Q83">
        <f>VLOOKUP(G83,'[1]Erogati mag-giu 2026_791_old'!$A:$W,12,FALSE)</f>
        <v>-70.16</v>
      </c>
      <c r="R83">
        <f t="shared" si="5"/>
        <v>0</v>
      </c>
      <c r="S83">
        <v>-70.16</v>
      </c>
      <c r="T83">
        <f>VLOOKUP(G83,'[1]Erogati mag-giu 2026_791_old'!$A:$W,13,FALSE)</f>
        <v>-70.16</v>
      </c>
      <c r="U83">
        <f t="shared" si="6"/>
        <v>0</v>
      </c>
      <c r="V83">
        <v>-70.16</v>
      </c>
      <c r="W83">
        <f>VLOOKUP(G83,'[1]Erogati mag-giu 2026_791_old'!$A:$W,14,FALSE)</f>
        <v>-70.16</v>
      </c>
      <c r="X83">
        <f t="shared" si="7"/>
        <v>0</v>
      </c>
      <c r="Y83" t="s">
        <v>23</v>
      </c>
      <c r="Z83" t="str">
        <f>VLOOKUP(G83,'[2]Erogati mag-giu 2026_791_old'!$D:$T,11,FALSE)</f>
        <v>diretto</v>
      </c>
      <c r="AA83" t="b">
        <v>1</v>
      </c>
      <c r="AF83" t="s">
        <v>20</v>
      </c>
      <c r="AG83" t="s">
        <v>20</v>
      </c>
    </row>
    <row r="84" spans="1:33">
      <c r="A84" s="13"/>
      <c r="C84" s="4">
        <f>VLOOKUP(G84,'[1]Erogati mag-giu 2026_791_old'!$A:$B,2,FALSE)</f>
        <v>202601307754985</v>
      </c>
      <c r="E84" t="s">
        <v>20</v>
      </c>
      <c r="F84" t="s">
        <v>21</v>
      </c>
      <c r="G84">
        <v>2000019772</v>
      </c>
      <c r="H84">
        <f>VLOOKUP(C84,'[1]Erogati mag-giu 2026_791_old'!$B:$E,4,FALSE)</f>
        <v>2000019772</v>
      </c>
      <c r="I84" t="b">
        <f t="shared" si="4"/>
        <v>1</v>
      </c>
      <c r="J84" s="14">
        <v>46196</v>
      </c>
      <c r="K84" s="14">
        <v>46196</v>
      </c>
      <c r="L84" t="s">
        <v>20</v>
      </c>
      <c r="M84" s="14">
        <v>46188</v>
      </c>
      <c r="N84" s="14">
        <v>46196</v>
      </c>
      <c r="O84" t="s">
        <v>20</v>
      </c>
      <c r="P84">
        <v>-33.130000000000003</v>
      </c>
      <c r="Q84">
        <f>VLOOKUP(G84,'[1]Erogati mag-giu 2026_791_old'!$A:$W,12,FALSE)</f>
        <v>-33.130000000000003</v>
      </c>
      <c r="R84">
        <f t="shared" si="5"/>
        <v>0</v>
      </c>
      <c r="S84">
        <v>-33.130000000000003</v>
      </c>
      <c r="T84">
        <f>VLOOKUP(G84,'[1]Erogati mag-giu 2026_791_old'!$A:$W,13,FALSE)</f>
        <v>-33.130000000000003</v>
      </c>
      <c r="U84">
        <f t="shared" si="6"/>
        <v>0</v>
      </c>
      <c r="V84">
        <v>-33.130000000000003</v>
      </c>
      <c r="W84">
        <f>VLOOKUP(G84,'[1]Erogati mag-giu 2026_791_old'!$A:$W,14,FALSE)</f>
        <v>-33.130000000000003</v>
      </c>
      <c r="X84">
        <f t="shared" si="7"/>
        <v>0</v>
      </c>
      <c r="Y84" t="s">
        <v>23</v>
      </c>
      <c r="Z84" t="str">
        <f>VLOOKUP(G84,'[2]Erogati mag-giu 2026_791_old'!$D:$T,11,FALSE)</f>
        <v>diretto</v>
      </c>
      <c r="AA84" t="b">
        <v>1</v>
      </c>
      <c r="AF84" t="s">
        <v>20</v>
      </c>
      <c r="AG84" t="s">
        <v>20</v>
      </c>
    </row>
    <row r="85" spans="1:33">
      <c r="A85" s="13"/>
      <c r="C85" s="4">
        <f>VLOOKUP(G85,'[1]Erogati mag-giu 2026_791_old'!$A:$B,2,FALSE)</f>
        <v>202511296319866</v>
      </c>
      <c r="E85" t="s">
        <v>20</v>
      </c>
      <c r="F85" t="s">
        <v>21</v>
      </c>
      <c r="G85">
        <v>2000019802</v>
      </c>
      <c r="H85">
        <f>VLOOKUP(C85,'[1]Erogati mag-giu 2026_791_old'!$B:$E,4,FALSE)</f>
        <v>2000019802</v>
      </c>
      <c r="I85" t="b">
        <f t="shared" si="4"/>
        <v>1</v>
      </c>
      <c r="J85" s="14">
        <v>46163</v>
      </c>
      <c r="K85" s="14">
        <v>46163</v>
      </c>
      <c r="L85" t="s">
        <v>20</v>
      </c>
      <c r="M85" s="14">
        <v>46188</v>
      </c>
      <c r="N85" s="14">
        <v>46163</v>
      </c>
      <c r="O85" t="s">
        <v>20</v>
      </c>
      <c r="P85">
        <v>-163.72999999999999</v>
      </c>
      <c r="Q85">
        <f>VLOOKUP(G85,'[1]Erogati mag-giu 2026_791_old'!$A:$W,12,FALSE)</f>
        <v>-163.72999999999999</v>
      </c>
      <c r="R85">
        <f t="shared" si="5"/>
        <v>0</v>
      </c>
      <c r="S85">
        <v>-163.72999999999999</v>
      </c>
      <c r="T85">
        <f>VLOOKUP(G85,'[1]Erogati mag-giu 2026_791_old'!$A:$W,13,FALSE)</f>
        <v>-163.72999999999999</v>
      </c>
      <c r="U85">
        <f t="shared" si="6"/>
        <v>0</v>
      </c>
      <c r="V85">
        <v>-163.72999999999999</v>
      </c>
      <c r="W85">
        <f>VLOOKUP(G85,'[1]Erogati mag-giu 2026_791_old'!$A:$W,14,FALSE)</f>
        <v>-163.72999999999999</v>
      </c>
      <c r="X85">
        <f t="shared" si="7"/>
        <v>0</v>
      </c>
      <c r="Y85" t="s">
        <v>23</v>
      </c>
      <c r="Z85" t="str">
        <f>VLOOKUP(G85,'[2]Erogati mag-giu 2026_791_old'!$D:$T,11,FALSE)</f>
        <v>diretto</v>
      </c>
      <c r="AA85" t="b">
        <v>1</v>
      </c>
      <c r="AF85" t="s">
        <v>20</v>
      </c>
      <c r="AG85" t="s">
        <v>20</v>
      </c>
    </row>
    <row r="86" spans="1:33">
      <c r="A86" s="13"/>
      <c r="C86" s="4">
        <f>VLOOKUP(G86,'[1]Erogati mag-giu 2026_791_old'!$A:$B,2,FALSE)</f>
        <v>202511296065842</v>
      </c>
      <c r="E86" t="s">
        <v>20</v>
      </c>
      <c r="F86" t="s">
        <v>21</v>
      </c>
      <c r="G86">
        <v>2000020923</v>
      </c>
      <c r="H86">
        <f>VLOOKUP(C86,'[1]Erogati mag-giu 2026_791_old'!$B:$E,4,FALSE)</f>
        <v>2000020923</v>
      </c>
      <c r="I86" t="b">
        <f t="shared" si="4"/>
        <v>1</v>
      </c>
      <c r="J86" s="14">
        <v>46163</v>
      </c>
      <c r="K86" s="14">
        <v>46163</v>
      </c>
      <c r="L86" t="s">
        <v>20</v>
      </c>
      <c r="M86" s="14">
        <v>46188</v>
      </c>
      <c r="N86" s="14">
        <v>46163</v>
      </c>
      <c r="O86" t="s">
        <v>20</v>
      </c>
      <c r="P86">
        <v>-210.47</v>
      </c>
      <c r="Q86">
        <f>VLOOKUP(G86,'[1]Erogati mag-giu 2026_791_old'!$A:$W,12,FALSE)</f>
        <v>-210.47</v>
      </c>
      <c r="R86">
        <f t="shared" si="5"/>
        <v>0</v>
      </c>
      <c r="S86">
        <v>-210.47</v>
      </c>
      <c r="T86">
        <f>VLOOKUP(G86,'[1]Erogati mag-giu 2026_791_old'!$A:$W,13,FALSE)</f>
        <v>-210.47</v>
      </c>
      <c r="U86">
        <f t="shared" si="6"/>
        <v>0</v>
      </c>
      <c r="V86">
        <v>-210.47</v>
      </c>
      <c r="W86">
        <f>VLOOKUP(G86,'[1]Erogati mag-giu 2026_791_old'!$A:$W,14,FALSE)</f>
        <v>-210.47</v>
      </c>
      <c r="X86">
        <f t="shared" si="7"/>
        <v>0</v>
      </c>
      <c r="Y86" t="s">
        <v>23</v>
      </c>
      <c r="Z86" t="str">
        <f>VLOOKUP(G86,'[2]Erogati mag-giu 2026_791_old'!$D:$T,11,FALSE)</f>
        <v>diretto</v>
      </c>
      <c r="AA86" t="b">
        <v>1</v>
      </c>
      <c r="AF86" t="s">
        <v>20</v>
      </c>
      <c r="AG86" t="s">
        <v>20</v>
      </c>
    </row>
    <row r="87" spans="1:33">
      <c r="A87" s="13"/>
      <c r="C87" s="4">
        <f>VLOOKUP(G87,'[1]Erogati mag-giu 2026_791_old'!$A:$B,2,FALSE)</f>
        <v>202601308488218</v>
      </c>
      <c r="E87" t="s">
        <v>20</v>
      </c>
      <c r="F87" t="s">
        <v>21</v>
      </c>
      <c r="G87">
        <v>2000022025</v>
      </c>
      <c r="H87">
        <f>VLOOKUP(C87,'[1]Erogati mag-giu 2026_791_old'!$B:$E,4,FALSE)</f>
        <v>2000022025</v>
      </c>
      <c r="I87" t="b">
        <f t="shared" si="4"/>
        <v>1</v>
      </c>
      <c r="J87" s="14">
        <v>46196</v>
      </c>
      <c r="K87" s="14">
        <v>46196</v>
      </c>
      <c r="L87" t="s">
        <v>20</v>
      </c>
      <c r="M87" s="14">
        <v>46188</v>
      </c>
      <c r="N87" s="14">
        <v>46196</v>
      </c>
      <c r="O87" t="s">
        <v>20</v>
      </c>
      <c r="P87">
        <v>-33.130000000000003</v>
      </c>
      <c r="Q87">
        <f>VLOOKUP(G87,'[1]Erogati mag-giu 2026_791_old'!$A:$W,12,FALSE)</f>
        <v>-33.130000000000003</v>
      </c>
      <c r="R87">
        <f t="shared" si="5"/>
        <v>0</v>
      </c>
      <c r="S87">
        <v>-33.130000000000003</v>
      </c>
      <c r="T87">
        <f>VLOOKUP(G87,'[1]Erogati mag-giu 2026_791_old'!$A:$W,13,FALSE)</f>
        <v>-33.130000000000003</v>
      </c>
      <c r="U87">
        <f t="shared" si="6"/>
        <v>0</v>
      </c>
      <c r="V87">
        <v>-33.130000000000003</v>
      </c>
      <c r="W87">
        <f>VLOOKUP(G87,'[1]Erogati mag-giu 2026_791_old'!$A:$W,14,FALSE)</f>
        <v>-33.130000000000003</v>
      </c>
      <c r="X87">
        <f t="shared" si="7"/>
        <v>0</v>
      </c>
      <c r="Y87" t="s">
        <v>23</v>
      </c>
      <c r="Z87" t="str">
        <f>VLOOKUP(G87,'[2]Erogati mag-giu 2026_791_old'!$D:$T,11,FALSE)</f>
        <v>diretto</v>
      </c>
      <c r="AA87" t="b">
        <v>1</v>
      </c>
      <c r="AF87" t="s">
        <v>20</v>
      </c>
      <c r="AG87" t="s">
        <v>20</v>
      </c>
    </row>
    <row r="88" spans="1:33">
      <c r="A88" s="13"/>
      <c r="C88" s="4">
        <f>VLOOKUP(G88,'[1]Erogati mag-giu 2026_791_old'!$A:$B,2,FALSE)</f>
        <v>202601307523352</v>
      </c>
      <c r="E88" t="s">
        <v>20</v>
      </c>
      <c r="F88" t="s">
        <v>21</v>
      </c>
      <c r="G88">
        <v>2000023525</v>
      </c>
      <c r="H88">
        <f>VLOOKUP(C88,'[1]Erogati mag-giu 2026_791_old'!$B:$E,4,FALSE)</f>
        <v>2000023525</v>
      </c>
      <c r="I88" t="b">
        <f t="shared" si="4"/>
        <v>1</v>
      </c>
      <c r="J88" s="14">
        <v>46196</v>
      </c>
      <c r="K88" s="14">
        <v>46196</v>
      </c>
      <c r="L88" t="s">
        <v>20</v>
      </c>
      <c r="M88" s="14">
        <v>46188</v>
      </c>
      <c r="N88" s="14">
        <v>46196</v>
      </c>
      <c r="O88" t="s">
        <v>20</v>
      </c>
      <c r="P88">
        <v>-66.91</v>
      </c>
      <c r="Q88">
        <f>VLOOKUP(G88,'[1]Erogati mag-giu 2026_791_old'!$A:$W,12,FALSE)</f>
        <v>-66.91</v>
      </c>
      <c r="R88">
        <f t="shared" si="5"/>
        <v>0</v>
      </c>
      <c r="S88">
        <v>-66.91</v>
      </c>
      <c r="T88">
        <f>VLOOKUP(G88,'[1]Erogati mag-giu 2026_791_old'!$A:$W,13,FALSE)</f>
        <v>-66.91</v>
      </c>
      <c r="U88">
        <f t="shared" si="6"/>
        <v>0</v>
      </c>
      <c r="V88">
        <v>-66.91</v>
      </c>
      <c r="W88">
        <f>VLOOKUP(G88,'[1]Erogati mag-giu 2026_791_old'!$A:$W,14,FALSE)</f>
        <v>-66.91</v>
      </c>
      <c r="X88">
        <f t="shared" si="7"/>
        <v>0</v>
      </c>
      <c r="Y88" t="s">
        <v>23</v>
      </c>
      <c r="Z88" t="str">
        <f>VLOOKUP(G88,'[2]Erogati mag-giu 2026_791_old'!$D:$T,11,FALSE)</f>
        <v>diretto</v>
      </c>
      <c r="AA88" t="b">
        <v>1</v>
      </c>
      <c r="AF88" t="s">
        <v>20</v>
      </c>
      <c r="AG88" t="s">
        <v>20</v>
      </c>
    </row>
    <row r="89" spans="1:33">
      <c r="A89" s="13"/>
      <c r="C89" s="4">
        <f>VLOOKUP(G89,'[1]Erogati mag-giu 2026_791_old'!$A:$B,2,FALSE)</f>
        <v>202511294551243</v>
      </c>
      <c r="E89" t="s">
        <v>20</v>
      </c>
      <c r="F89" t="s">
        <v>21</v>
      </c>
      <c r="G89">
        <v>2000023625</v>
      </c>
      <c r="H89">
        <f>VLOOKUP(C89,'[1]Erogati mag-giu 2026_791_old'!$B:$E,4,FALSE)</f>
        <v>2000023625</v>
      </c>
      <c r="I89" t="b">
        <f t="shared" si="4"/>
        <v>1</v>
      </c>
      <c r="J89" s="14">
        <v>46163</v>
      </c>
      <c r="K89" s="14">
        <v>46163</v>
      </c>
      <c r="L89" t="s">
        <v>20</v>
      </c>
      <c r="M89" s="14">
        <v>46188</v>
      </c>
      <c r="N89" s="14">
        <v>46163</v>
      </c>
      <c r="O89" t="s">
        <v>20</v>
      </c>
      <c r="P89">
        <v>-157.85</v>
      </c>
      <c r="Q89">
        <f>VLOOKUP(G89,'[1]Erogati mag-giu 2026_791_old'!$A:$W,12,FALSE)</f>
        <v>-157.85</v>
      </c>
      <c r="R89">
        <f t="shared" si="5"/>
        <v>0</v>
      </c>
      <c r="S89">
        <v>-157.85</v>
      </c>
      <c r="T89">
        <f>VLOOKUP(G89,'[1]Erogati mag-giu 2026_791_old'!$A:$W,13,FALSE)</f>
        <v>-157.85</v>
      </c>
      <c r="U89">
        <f t="shared" si="6"/>
        <v>0</v>
      </c>
      <c r="V89">
        <v>-157.85</v>
      </c>
      <c r="W89">
        <f>VLOOKUP(G89,'[1]Erogati mag-giu 2026_791_old'!$A:$W,14,FALSE)</f>
        <v>-157.85</v>
      </c>
      <c r="X89">
        <f t="shared" si="7"/>
        <v>0</v>
      </c>
      <c r="Y89" t="s">
        <v>23</v>
      </c>
      <c r="Z89" t="str">
        <f>VLOOKUP(G89,'[2]Erogati mag-giu 2026_791_old'!$D:$T,11,FALSE)</f>
        <v>diretto</v>
      </c>
      <c r="AA89" t="b">
        <v>1</v>
      </c>
      <c r="AF89" t="s">
        <v>20</v>
      </c>
      <c r="AG89" t="s">
        <v>20</v>
      </c>
    </row>
    <row r="90" spans="1:33">
      <c r="A90" s="13"/>
      <c r="C90" s="4">
        <f>VLOOKUP(G90,'[1]Erogati mag-giu 2026_791_old'!$A:$B,2,FALSE)</f>
        <v>202601308655681</v>
      </c>
      <c r="E90" t="s">
        <v>20</v>
      </c>
      <c r="F90" t="s">
        <v>21</v>
      </c>
      <c r="G90">
        <v>2000028899</v>
      </c>
      <c r="H90">
        <f>VLOOKUP(C90,'[1]Erogati mag-giu 2026_791_old'!$B:$E,4,FALSE)</f>
        <v>2000028899</v>
      </c>
      <c r="I90" t="b">
        <f t="shared" si="4"/>
        <v>1</v>
      </c>
      <c r="J90" s="14">
        <v>46196</v>
      </c>
      <c r="K90" s="14">
        <v>46196</v>
      </c>
      <c r="L90" t="s">
        <v>20</v>
      </c>
      <c r="M90" s="14">
        <v>46188</v>
      </c>
      <c r="N90" s="14">
        <v>46196</v>
      </c>
      <c r="O90" t="s">
        <v>20</v>
      </c>
      <c r="P90">
        <v>-16.73</v>
      </c>
      <c r="Q90">
        <f>VLOOKUP(G90,'[1]Erogati mag-giu 2026_791_old'!$A:$W,12,FALSE)</f>
        <v>-16.73</v>
      </c>
      <c r="R90">
        <f t="shared" si="5"/>
        <v>0</v>
      </c>
      <c r="S90">
        <v>-16.73</v>
      </c>
      <c r="T90">
        <f>VLOOKUP(G90,'[1]Erogati mag-giu 2026_791_old'!$A:$W,13,FALSE)</f>
        <v>-16.73</v>
      </c>
      <c r="U90">
        <f t="shared" si="6"/>
        <v>0</v>
      </c>
      <c r="V90">
        <v>-16.73</v>
      </c>
      <c r="W90">
        <f>VLOOKUP(G90,'[1]Erogati mag-giu 2026_791_old'!$A:$W,14,FALSE)</f>
        <v>-16.73</v>
      </c>
      <c r="X90">
        <f t="shared" si="7"/>
        <v>0</v>
      </c>
      <c r="Y90" t="s">
        <v>23</v>
      </c>
      <c r="Z90" t="str">
        <f>VLOOKUP(G90,'[2]Erogati mag-giu 2026_791_old'!$D:$T,11,FALSE)</f>
        <v>diretto</v>
      </c>
      <c r="AA90" t="b">
        <v>1</v>
      </c>
      <c r="AF90" t="s">
        <v>20</v>
      </c>
      <c r="AG90" t="s">
        <v>20</v>
      </c>
    </row>
    <row r="91" spans="1:33">
      <c r="A91" s="13"/>
      <c r="C91" s="4">
        <f>VLOOKUP(G91,'[1]Erogati mag-giu 2026_791_old'!$A:$B,2,FALSE)</f>
        <v>202601306712775</v>
      </c>
      <c r="E91" t="s">
        <v>20</v>
      </c>
      <c r="F91" t="s">
        <v>21</v>
      </c>
      <c r="G91">
        <v>2000029493</v>
      </c>
      <c r="H91">
        <f>VLOOKUP(C91,'[1]Erogati mag-giu 2026_791_old'!$B:$E,4,FALSE)</f>
        <v>2000029493</v>
      </c>
      <c r="I91" t="b">
        <f t="shared" si="4"/>
        <v>1</v>
      </c>
      <c r="J91" s="14">
        <v>46196</v>
      </c>
      <c r="K91" s="14">
        <v>46196</v>
      </c>
      <c r="L91" t="s">
        <v>20</v>
      </c>
      <c r="M91" s="14">
        <v>46188</v>
      </c>
      <c r="N91" s="14">
        <v>46196</v>
      </c>
      <c r="O91" t="s">
        <v>20</v>
      </c>
      <c r="P91">
        <v>-33.130000000000003</v>
      </c>
      <c r="Q91">
        <f>VLOOKUP(G91,'[1]Erogati mag-giu 2026_791_old'!$A:$W,12,FALSE)</f>
        <v>-33.130000000000003</v>
      </c>
      <c r="R91">
        <f t="shared" si="5"/>
        <v>0</v>
      </c>
      <c r="S91">
        <v>-33.130000000000003</v>
      </c>
      <c r="T91">
        <f>VLOOKUP(G91,'[1]Erogati mag-giu 2026_791_old'!$A:$W,13,FALSE)</f>
        <v>-33.130000000000003</v>
      </c>
      <c r="U91">
        <f t="shared" si="6"/>
        <v>0</v>
      </c>
      <c r="V91">
        <v>-33.130000000000003</v>
      </c>
      <c r="W91">
        <f>VLOOKUP(G91,'[1]Erogati mag-giu 2026_791_old'!$A:$W,14,FALSE)</f>
        <v>-33.130000000000003</v>
      </c>
      <c r="X91">
        <f t="shared" si="7"/>
        <v>0</v>
      </c>
      <c r="Y91" t="s">
        <v>23</v>
      </c>
      <c r="Z91" t="str">
        <f>VLOOKUP(G91,'[2]Erogati mag-giu 2026_791_old'!$D:$T,11,FALSE)</f>
        <v>diretto</v>
      </c>
      <c r="AA91" t="b">
        <v>1</v>
      </c>
      <c r="AF91" t="s">
        <v>20</v>
      </c>
      <c r="AG91" t="s">
        <v>20</v>
      </c>
    </row>
    <row r="92" spans="1:33">
      <c r="A92" s="13"/>
      <c r="C92" s="4">
        <f>VLOOKUP(G92,'[1]Erogati mag-giu 2026_791_old'!$A:$B,2,FALSE)</f>
        <v>202601307181215</v>
      </c>
      <c r="E92" t="s">
        <v>20</v>
      </c>
      <c r="F92" t="s">
        <v>21</v>
      </c>
      <c r="G92">
        <v>2000031128</v>
      </c>
      <c r="H92">
        <f>VLOOKUP(C92,'[1]Erogati mag-giu 2026_791_old'!$B:$E,4,FALSE)</f>
        <v>2000031128</v>
      </c>
      <c r="I92" t="b">
        <f t="shared" si="4"/>
        <v>1</v>
      </c>
      <c r="J92" s="14">
        <v>46196</v>
      </c>
      <c r="K92" s="14">
        <v>46196</v>
      </c>
      <c r="L92" t="s">
        <v>20</v>
      </c>
      <c r="M92" s="14">
        <v>46188</v>
      </c>
      <c r="N92" s="14">
        <v>46196</v>
      </c>
      <c r="O92" t="s">
        <v>20</v>
      </c>
      <c r="P92">
        <v>-45.16</v>
      </c>
      <c r="Q92">
        <f>VLOOKUP(G92,'[1]Erogati mag-giu 2026_791_old'!$A:$W,12,FALSE)</f>
        <v>-45.16</v>
      </c>
      <c r="R92">
        <f t="shared" si="5"/>
        <v>0</v>
      </c>
      <c r="S92">
        <v>-45.16</v>
      </c>
      <c r="T92">
        <f>VLOOKUP(G92,'[1]Erogati mag-giu 2026_791_old'!$A:$W,13,FALSE)</f>
        <v>-45.16</v>
      </c>
      <c r="U92">
        <f t="shared" si="6"/>
        <v>0</v>
      </c>
      <c r="V92">
        <v>-45.16</v>
      </c>
      <c r="W92">
        <f>VLOOKUP(G92,'[1]Erogati mag-giu 2026_791_old'!$A:$W,14,FALSE)</f>
        <v>-45.16</v>
      </c>
      <c r="X92">
        <f t="shared" si="7"/>
        <v>0</v>
      </c>
      <c r="Y92" t="s">
        <v>23</v>
      </c>
      <c r="Z92" t="str">
        <f>VLOOKUP(G92,'[2]Erogati mag-giu 2026_791_old'!$D:$T,11,FALSE)</f>
        <v>diretto</v>
      </c>
      <c r="AA92" t="b">
        <v>1</v>
      </c>
      <c r="AF92" t="s">
        <v>20</v>
      </c>
      <c r="AG92" t="s">
        <v>20</v>
      </c>
    </row>
    <row r="93" spans="1:33">
      <c r="A93" s="13"/>
      <c r="C93" s="4">
        <f>VLOOKUP(G93,'[1]Erogati mag-giu 2026_791_old'!$A:$B,2,FALSE)</f>
        <v>202511295870485</v>
      </c>
      <c r="E93" t="s">
        <v>20</v>
      </c>
      <c r="F93" t="s">
        <v>21</v>
      </c>
      <c r="G93">
        <v>2000032090</v>
      </c>
      <c r="H93">
        <f>VLOOKUP(C93,'[1]Erogati mag-giu 2026_791_old'!$B:$E,4,FALSE)</f>
        <v>2000032090</v>
      </c>
      <c r="I93" t="b">
        <f t="shared" si="4"/>
        <v>1</v>
      </c>
      <c r="J93" s="14">
        <v>46163</v>
      </c>
      <c r="K93" s="14">
        <v>46163</v>
      </c>
      <c r="L93" t="s">
        <v>20</v>
      </c>
      <c r="M93" s="14">
        <v>46188</v>
      </c>
      <c r="N93" s="14">
        <v>46163</v>
      </c>
      <c r="O93" t="s">
        <v>20</v>
      </c>
      <c r="P93">
        <v>-39.44</v>
      </c>
      <c r="Q93">
        <f>VLOOKUP(G93,'[1]Erogati mag-giu 2026_791_old'!$A:$W,12,FALSE)</f>
        <v>-39.44</v>
      </c>
      <c r="R93">
        <f t="shared" si="5"/>
        <v>0</v>
      </c>
      <c r="S93">
        <v>-39.44</v>
      </c>
      <c r="T93">
        <f>VLOOKUP(G93,'[1]Erogati mag-giu 2026_791_old'!$A:$W,13,FALSE)</f>
        <v>-39.44</v>
      </c>
      <c r="U93">
        <f t="shared" si="6"/>
        <v>0</v>
      </c>
      <c r="V93">
        <v>-39.44</v>
      </c>
      <c r="W93">
        <f>VLOOKUP(G93,'[1]Erogati mag-giu 2026_791_old'!$A:$W,14,FALSE)</f>
        <v>-39.44</v>
      </c>
      <c r="X93">
        <f t="shared" si="7"/>
        <v>0</v>
      </c>
      <c r="Y93" t="s">
        <v>23</v>
      </c>
      <c r="Z93" t="str">
        <f>VLOOKUP(G93,'[2]Erogati mag-giu 2026_791_old'!$D:$T,11,FALSE)</f>
        <v>diretto</v>
      </c>
      <c r="AA93" t="b">
        <v>1</v>
      </c>
      <c r="AF93" t="s">
        <v>20</v>
      </c>
      <c r="AG93" t="s">
        <v>20</v>
      </c>
    </row>
    <row r="94" spans="1:33">
      <c r="A94" s="13"/>
      <c r="C94" s="4">
        <f>VLOOKUP(G94,'[1]Erogati mag-giu 2026_791_old'!$A:$B,2,FALSE)</f>
        <v>202512302686918</v>
      </c>
      <c r="E94" t="s">
        <v>20</v>
      </c>
      <c r="F94" t="s">
        <v>21</v>
      </c>
      <c r="G94">
        <v>2000032150</v>
      </c>
      <c r="H94">
        <f>VLOOKUP(C94,'[1]Erogati mag-giu 2026_791_old'!$B:$E,4,FALSE)</f>
        <v>2000032150</v>
      </c>
      <c r="I94" t="b">
        <f t="shared" si="4"/>
        <v>1</v>
      </c>
      <c r="J94" s="14">
        <v>46188</v>
      </c>
      <c r="K94" s="14">
        <v>46188</v>
      </c>
      <c r="L94" t="s">
        <v>20</v>
      </c>
      <c r="M94" s="14">
        <v>46188</v>
      </c>
      <c r="N94" s="14">
        <v>46188</v>
      </c>
      <c r="O94" t="s">
        <v>20</v>
      </c>
      <c r="P94">
        <v>-40.93</v>
      </c>
      <c r="Q94">
        <f>VLOOKUP(G94,'[1]Erogati mag-giu 2026_791_old'!$A:$W,12,FALSE)</f>
        <v>-40.93</v>
      </c>
      <c r="R94">
        <f t="shared" si="5"/>
        <v>0</v>
      </c>
      <c r="S94">
        <v>-40.93</v>
      </c>
      <c r="T94">
        <f>VLOOKUP(G94,'[1]Erogati mag-giu 2026_791_old'!$A:$W,13,FALSE)</f>
        <v>-40.93</v>
      </c>
      <c r="U94">
        <f t="shared" si="6"/>
        <v>0</v>
      </c>
      <c r="V94">
        <v>-40.93</v>
      </c>
      <c r="W94">
        <f>VLOOKUP(G94,'[1]Erogati mag-giu 2026_791_old'!$A:$W,14,FALSE)</f>
        <v>-40.93</v>
      </c>
      <c r="X94">
        <f t="shared" si="7"/>
        <v>0</v>
      </c>
      <c r="Y94" t="s">
        <v>23</v>
      </c>
      <c r="Z94" t="str">
        <f>VLOOKUP(G94,'[2]Erogati mag-giu 2026_791_old'!$D:$T,11,FALSE)</f>
        <v>diretto</v>
      </c>
      <c r="AA94" t="b">
        <v>1</v>
      </c>
      <c r="AF94" t="s">
        <v>20</v>
      </c>
      <c r="AG94" t="s">
        <v>20</v>
      </c>
    </row>
    <row r="95" spans="1:33">
      <c r="A95" s="13"/>
      <c r="C95" s="4">
        <f>VLOOKUP(G95,'[1]Erogati mag-giu 2026_791_old'!$A:$B,2,FALSE)</f>
        <v>202511294514728</v>
      </c>
      <c r="E95" t="s">
        <v>20</v>
      </c>
      <c r="F95" t="s">
        <v>21</v>
      </c>
      <c r="G95">
        <v>2000033041</v>
      </c>
      <c r="H95">
        <f>VLOOKUP(C95,'[1]Erogati mag-giu 2026_791_old'!$B:$E,4,FALSE)</f>
        <v>2000033041</v>
      </c>
      <c r="I95" t="b">
        <f t="shared" si="4"/>
        <v>1</v>
      </c>
      <c r="J95" s="14">
        <v>46163</v>
      </c>
      <c r="K95" s="14">
        <v>46163</v>
      </c>
      <c r="L95" t="s">
        <v>20</v>
      </c>
      <c r="M95" s="14">
        <v>46188</v>
      </c>
      <c r="N95" s="14">
        <v>46163</v>
      </c>
      <c r="O95" t="s">
        <v>20</v>
      </c>
      <c r="P95">
        <v>-204.66</v>
      </c>
      <c r="Q95">
        <f>VLOOKUP(G95,'[1]Erogati mag-giu 2026_791_old'!$A:$W,12,FALSE)</f>
        <v>-204.66</v>
      </c>
      <c r="R95">
        <f t="shared" si="5"/>
        <v>0</v>
      </c>
      <c r="S95">
        <v>-204.66</v>
      </c>
      <c r="T95">
        <f>VLOOKUP(G95,'[1]Erogati mag-giu 2026_791_old'!$A:$W,13,FALSE)</f>
        <v>-204.66</v>
      </c>
      <c r="U95">
        <f t="shared" si="6"/>
        <v>0</v>
      </c>
      <c r="V95">
        <v>-204.66</v>
      </c>
      <c r="W95">
        <f>VLOOKUP(G95,'[1]Erogati mag-giu 2026_791_old'!$A:$W,14,FALSE)</f>
        <v>-204.66</v>
      </c>
      <c r="X95">
        <f t="shared" si="7"/>
        <v>0</v>
      </c>
      <c r="Y95" t="s">
        <v>23</v>
      </c>
      <c r="Z95" t="str">
        <f>VLOOKUP(G95,'[2]Erogati mag-giu 2026_791_old'!$D:$T,11,FALSE)</f>
        <v>diretto</v>
      </c>
      <c r="AA95" t="b">
        <v>1</v>
      </c>
      <c r="AF95" t="s">
        <v>20</v>
      </c>
      <c r="AG95" t="s">
        <v>20</v>
      </c>
    </row>
    <row r="96" spans="1:33">
      <c r="A96" s="13"/>
      <c r="C96" s="4">
        <f>VLOOKUP(G96,'[1]Erogati mag-giu 2026_791_old'!$A:$B,2,FALSE)</f>
        <v>202511296226581</v>
      </c>
      <c r="E96" t="s">
        <v>20</v>
      </c>
      <c r="F96" t="s">
        <v>21</v>
      </c>
      <c r="G96">
        <v>2000034116</v>
      </c>
      <c r="H96">
        <f>VLOOKUP(C96,'[1]Erogati mag-giu 2026_791_old'!$B:$E,4,FALSE)</f>
        <v>2000034116</v>
      </c>
      <c r="I96" t="b">
        <f t="shared" si="4"/>
        <v>1</v>
      </c>
      <c r="J96" s="14">
        <v>46163</v>
      </c>
      <c r="K96" s="14">
        <v>46163</v>
      </c>
      <c r="L96" t="s">
        <v>20</v>
      </c>
      <c r="M96" s="14">
        <v>46188</v>
      </c>
      <c r="N96" s="14">
        <v>46163</v>
      </c>
      <c r="O96" t="s">
        <v>20</v>
      </c>
      <c r="P96">
        <v>-13.49</v>
      </c>
      <c r="Q96">
        <f>VLOOKUP(G96,'[1]Erogati mag-giu 2026_791_old'!$A:$W,12,FALSE)</f>
        <v>-13.49</v>
      </c>
      <c r="R96">
        <f t="shared" si="5"/>
        <v>0</v>
      </c>
      <c r="S96">
        <v>-13.49</v>
      </c>
      <c r="T96">
        <f>VLOOKUP(G96,'[1]Erogati mag-giu 2026_791_old'!$A:$W,13,FALSE)</f>
        <v>-13.49</v>
      </c>
      <c r="U96">
        <f t="shared" si="6"/>
        <v>0</v>
      </c>
      <c r="V96">
        <v>-13.49</v>
      </c>
      <c r="W96">
        <f>VLOOKUP(G96,'[1]Erogati mag-giu 2026_791_old'!$A:$W,14,FALSE)</f>
        <v>-13.49</v>
      </c>
      <c r="X96">
        <f t="shared" si="7"/>
        <v>0</v>
      </c>
      <c r="Y96" t="s">
        <v>23</v>
      </c>
      <c r="Z96" t="str">
        <f>VLOOKUP(G96,'[2]Erogati mag-giu 2026_791_old'!$D:$T,11,FALSE)</f>
        <v>diretto</v>
      </c>
      <c r="AA96" t="b">
        <v>1</v>
      </c>
      <c r="AF96" t="s">
        <v>20</v>
      </c>
      <c r="AG96" t="s">
        <v>20</v>
      </c>
    </row>
    <row r="97" spans="1:33">
      <c r="A97" s="13"/>
      <c r="C97" s="4">
        <f>VLOOKUP(G97,'[1]Erogati mag-giu 2026_791_old'!$A:$B,2,FALSE)</f>
        <v>202601307472406</v>
      </c>
      <c r="E97" t="s">
        <v>20</v>
      </c>
      <c r="F97" t="s">
        <v>21</v>
      </c>
      <c r="G97">
        <v>2000037725</v>
      </c>
      <c r="H97">
        <f>VLOOKUP(C97,'[1]Erogati mag-giu 2026_791_old'!$B:$E,4,FALSE)</f>
        <v>2000037725</v>
      </c>
      <c r="I97" t="b">
        <f t="shared" si="4"/>
        <v>1</v>
      </c>
      <c r="J97" s="14">
        <v>46196</v>
      </c>
      <c r="K97" s="14">
        <v>46196</v>
      </c>
      <c r="L97" t="s">
        <v>20</v>
      </c>
      <c r="M97" s="14">
        <v>46188</v>
      </c>
      <c r="N97" s="14">
        <v>46196</v>
      </c>
      <c r="O97" t="s">
        <v>20</v>
      </c>
      <c r="P97">
        <v>-69.650000000000006</v>
      </c>
      <c r="Q97">
        <f>VLOOKUP(G97,'[1]Erogati mag-giu 2026_791_old'!$A:$W,12,FALSE)</f>
        <v>-69.650000000000006</v>
      </c>
      <c r="R97">
        <f t="shared" si="5"/>
        <v>0</v>
      </c>
      <c r="S97">
        <v>-69.650000000000006</v>
      </c>
      <c r="T97">
        <f>VLOOKUP(G97,'[1]Erogati mag-giu 2026_791_old'!$A:$W,13,FALSE)</f>
        <v>-69.650000000000006</v>
      </c>
      <c r="U97">
        <f t="shared" si="6"/>
        <v>0</v>
      </c>
      <c r="V97">
        <v>-69.650000000000006</v>
      </c>
      <c r="W97">
        <f>VLOOKUP(G97,'[1]Erogati mag-giu 2026_791_old'!$A:$W,14,FALSE)</f>
        <v>-69.650000000000006</v>
      </c>
      <c r="X97">
        <f t="shared" si="7"/>
        <v>0</v>
      </c>
      <c r="Y97" t="s">
        <v>23</v>
      </c>
      <c r="Z97" t="str">
        <f>VLOOKUP(G97,'[2]Erogati mag-giu 2026_791_old'!$D:$T,11,FALSE)</f>
        <v>diretto</v>
      </c>
      <c r="AA97" t="b">
        <v>1</v>
      </c>
      <c r="AF97" t="s">
        <v>20</v>
      </c>
      <c r="AG97" t="s">
        <v>20</v>
      </c>
    </row>
    <row r="98" spans="1:33">
      <c r="A98" s="13"/>
      <c r="C98" s="4">
        <f>VLOOKUP(G98,'[1]Erogati mag-giu 2026_791_old'!$A:$B,2,FALSE)</f>
        <v>202601307576392</v>
      </c>
      <c r="E98" t="s">
        <v>20</v>
      </c>
      <c r="F98" t="s">
        <v>21</v>
      </c>
      <c r="G98">
        <v>2000039272</v>
      </c>
      <c r="H98">
        <f>VLOOKUP(C98,'[1]Erogati mag-giu 2026_791_old'!$B:$E,4,FALSE)</f>
        <v>2000039272</v>
      </c>
      <c r="I98" t="b">
        <f t="shared" si="4"/>
        <v>1</v>
      </c>
      <c r="J98" s="14">
        <v>46196</v>
      </c>
      <c r="K98" s="14">
        <v>46196</v>
      </c>
      <c r="L98" t="s">
        <v>20</v>
      </c>
      <c r="M98" s="14">
        <v>46188</v>
      </c>
      <c r="N98" s="14">
        <v>46196</v>
      </c>
      <c r="O98" t="s">
        <v>20</v>
      </c>
      <c r="P98">
        <v>-9.9499999999999993</v>
      </c>
      <c r="Q98">
        <f>VLOOKUP(G98,'[1]Erogati mag-giu 2026_791_old'!$A:$W,12,FALSE)</f>
        <v>-9.9499999999999993</v>
      </c>
      <c r="R98">
        <f t="shared" si="5"/>
        <v>0</v>
      </c>
      <c r="S98">
        <v>-9.9499999999999993</v>
      </c>
      <c r="T98">
        <f>VLOOKUP(G98,'[1]Erogati mag-giu 2026_791_old'!$A:$W,13,FALSE)</f>
        <v>-9.9499999999999993</v>
      </c>
      <c r="U98">
        <f t="shared" si="6"/>
        <v>0</v>
      </c>
      <c r="V98">
        <v>-9.9499999999999993</v>
      </c>
      <c r="W98">
        <f>VLOOKUP(G98,'[1]Erogati mag-giu 2026_791_old'!$A:$W,14,FALSE)</f>
        <v>-9.9499999999999993</v>
      </c>
      <c r="X98">
        <f t="shared" si="7"/>
        <v>0</v>
      </c>
      <c r="Y98" t="s">
        <v>23</v>
      </c>
      <c r="Z98" t="str">
        <f>VLOOKUP(G98,'[2]Erogati mag-giu 2026_791_old'!$D:$T,11,FALSE)</f>
        <v>diretto</v>
      </c>
      <c r="AA98" t="b">
        <v>1</v>
      </c>
      <c r="AF98" t="s">
        <v>20</v>
      </c>
      <c r="AG98" t="s">
        <v>20</v>
      </c>
    </row>
    <row r="99" spans="1:33">
      <c r="A99" s="13"/>
      <c r="C99" s="4">
        <f>VLOOKUP(G99,'[1]Erogati mag-giu 2026_791_old'!$A:$B,2,FALSE)</f>
        <v>202601308223853</v>
      </c>
      <c r="E99" t="s">
        <v>20</v>
      </c>
      <c r="F99" t="s">
        <v>21</v>
      </c>
      <c r="G99">
        <v>2000041577</v>
      </c>
      <c r="H99">
        <f>VLOOKUP(C99,'[1]Erogati mag-giu 2026_791_old'!$B:$E,4,FALSE)</f>
        <v>2000041577</v>
      </c>
      <c r="I99" t="b">
        <f t="shared" si="4"/>
        <v>1</v>
      </c>
      <c r="J99" s="14">
        <v>46196</v>
      </c>
      <c r="K99" s="14">
        <v>46196</v>
      </c>
      <c r="L99" t="s">
        <v>20</v>
      </c>
      <c r="M99" s="14">
        <v>46188</v>
      </c>
      <c r="N99" s="14">
        <v>46196</v>
      </c>
      <c r="O99" t="s">
        <v>20</v>
      </c>
      <c r="P99">
        <v>-131.29</v>
      </c>
      <c r="Q99">
        <f>VLOOKUP(G99,'[1]Erogati mag-giu 2026_791_old'!$A:$W,12,FALSE)</f>
        <v>-131.29</v>
      </c>
      <c r="R99">
        <f t="shared" si="5"/>
        <v>0</v>
      </c>
      <c r="S99">
        <v>-131.29</v>
      </c>
      <c r="T99">
        <f>VLOOKUP(G99,'[1]Erogati mag-giu 2026_791_old'!$A:$W,13,FALSE)</f>
        <v>-131.29</v>
      </c>
      <c r="U99">
        <f t="shared" si="6"/>
        <v>0</v>
      </c>
      <c r="V99">
        <v>-131.29</v>
      </c>
      <c r="W99">
        <f>VLOOKUP(G99,'[1]Erogati mag-giu 2026_791_old'!$A:$W,14,FALSE)</f>
        <v>-131.29</v>
      </c>
      <c r="X99">
        <f t="shared" si="7"/>
        <v>0</v>
      </c>
      <c r="Y99" t="s">
        <v>23</v>
      </c>
      <c r="Z99" t="str">
        <f>VLOOKUP(G99,'[2]Erogati mag-giu 2026_791_old'!$D:$T,11,FALSE)</f>
        <v>diretto</v>
      </c>
      <c r="AA99" t="b">
        <v>1</v>
      </c>
      <c r="AF99" t="s">
        <v>20</v>
      </c>
      <c r="AG99" t="s">
        <v>20</v>
      </c>
    </row>
    <row r="100" spans="1:33">
      <c r="A100" s="13"/>
      <c r="C100" s="4">
        <f>VLOOKUP(G100,'[1]Erogati mag-giu 2026_791_old'!$A:$B,2,FALSE)</f>
        <v>202511294510178</v>
      </c>
      <c r="E100" t="s">
        <v>20</v>
      </c>
      <c r="F100" t="s">
        <v>21</v>
      </c>
      <c r="G100">
        <v>2000041777</v>
      </c>
      <c r="H100">
        <f>VLOOKUP(C100,'[1]Erogati mag-giu 2026_791_old'!$B:$E,4,FALSE)</f>
        <v>2000041777</v>
      </c>
      <c r="I100" t="b">
        <f t="shared" si="4"/>
        <v>1</v>
      </c>
      <c r="J100" s="14">
        <v>46163</v>
      </c>
      <c r="K100" s="14">
        <v>46163</v>
      </c>
      <c r="L100" t="s">
        <v>20</v>
      </c>
      <c r="M100" s="14">
        <v>46188</v>
      </c>
      <c r="N100" s="14">
        <v>46163</v>
      </c>
      <c r="O100" t="s">
        <v>20</v>
      </c>
      <c r="P100">
        <v>-55.6</v>
      </c>
      <c r="Q100">
        <f>VLOOKUP(G100,'[1]Erogati mag-giu 2026_791_old'!$A:$W,12,FALSE)</f>
        <v>-55.6</v>
      </c>
      <c r="R100">
        <f t="shared" si="5"/>
        <v>0</v>
      </c>
      <c r="S100">
        <v>-55.6</v>
      </c>
      <c r="T100">
        <f>VLOOKUP(G100,'[1]Erogati mag-giu 2026_791_old'!$A:$W,13,FALSE)</f>
        <v>-55.6</v>
      </c>
      <c r="U100">
        <f t="shared" si="6"/>
        <v>0</v>
      </c>
      <c r="V100">
        <v>-55.6</v>
      </c>
      <c r="W100">
        <f>VLOOKUP(G100,'[1]Erogati mag-giu 2026_791_old'!$A:$W,14,FALSE)</f>
        <v>-55.6</v>
      </c>
      <c r="X100">
        <f t="shared" si="7"/>
        <v>0</v>
      </c>
      <c r="Y100" t="s">
        <v>23</v>
      </c>
      <c r="Z100" t="str">
        <f>VLOOKUP(G100,'[2]Erogati mag-giu 2026_791_old'!$D:$T,11,FALSE)</f>
        <v>diretto</v>
      </c>
      <c r="AA100" t="b">
        <v>1</v>
      </c>
      <c r="AF100" t="s">
        <v>20</v>
      </c>
      <c r="AG100" t="s">
        <v>20</v>
      </c>
    </row>
    <row r="101" spans="1:33">
      <c r="A101" s="13"/>
      <c r="C101" s="4">
        <f>VLOOKUP(G101,'[1]Erogati mag-giu 2026_791_old'!$A:$B,2,FALSE)</f>
        <v>202601307738226</v>
      </c>
      <c r="E101" t="s">
        <v>20</v>
      </c>
      <c r="F101" t="s">
        <v>21</v>
      </c>
      <c r="G101">
        <v>2000044523</v>
      </c>
      <c r="H101">
        <f>VLOOKUP(C101,'[1]Erogati mag-giu 2026_791_old'!$B:$E,4,FALSE)</f>
        <v>2000044523</v>
      </c>
      <c r="I101" t="b">
        <f t="shared" si="4"/>
        <v>1</v>
      </c>
      <c r="J101" s="14">
        <v>46196</v>
      </c>
      <c r="K101" s="14">
        <v>46196</v>
      </c>
      <c r="L101" t="s">
        <v>20</v>
      </c>
      <c r="M101" s="14">
        <v>46188</v>
      </c>
      <c r="N101" s="14">
        <v>46196</v>
      </c>
      <c r="O101" t="s">
        <v>20</v>
      </c>
      <c r="P101">
        <v>-49.75</v>
      </c>
      <c r="Q101">
        <f>VLOOKUP(G101,'[1]Erogati mag-giu 2026_791_old'!$A:$W,12,FALSE)</f>
        <v>-49.75</v>
      </c>
      <c r="R101">
        <f t="shared" si="5"/>
        <v>0</v>
      </c>
      <c r="S101">
        <v>-49.75</v>
      </c>
      <c r="T101">
        <f>VLOOKUP(G101,'[1]Erogati mag-giu 2026_791_old'!$A:$W,13,FALSE)</f>
        <v>-49.75</v>
      </c>
      <c r="U101">
        <f t="shared" si="6"/>
        <v>0</v>
      </c>
      <c r="V101">
        <v>-49.75</v>
      </c>
      <c r="W101">
        <f>VLOOKUP(G101,'[1]Erogati mag-giu 2026_791_old'!$A:$W,14,FALSE)</f>
        <v>-49.75</v>
      </c>
      <c r="X101">
        <f t="shared" si="7"/>
        <v>0</v>
      </c>
      <c r="Y101" t="s">
        <v>23</v>
      </c>
      <c r="Z101" t="str">
        <f>VLOOKUP(G101,'[2]Erogati mag-giu 2026_791_old'!$D:$T,11,FALSE)</f>
        <v>diretto</v>
      </c>
      <c r="AA101" t="b">
        <v>1</v>
      </c>
      <c r="AF101" t="s">
        <v>20</v>
      </c>
      <c r="AG101" t="s">
        <v>20</v>
      </c>
    </row>
    <row r="102" spans="1:33">
      <c r="A102" s="13"/>
      <c r="C102" s="4">
        <f>VLOOKUP(G102,'[1]Erogati mag-giu 2026_791_old'!$A:$B,2,FALSE)</f>
        <v>202601307219632</v>
      </c>
      <c r="E102" t="s">
        <v>20</v>
      </c>
      <c r="F102" t="s">
        <v>21</v>
      </c>
      <c r="G102">
        <v>2000044788</v>
      </c>
      <c r="H102">
        <f>VLOOKUP(C102,'[1]Erogati mag-giu 2026_791_old'!$B:$E,4,FALSE)</f>
        <v>2000044788</v>
      </c>
      <c r="I102" t="b">
        <f t="shared" si="4"/>
        <v>1</v>
      </c>
      <c r="J102" s="14">
        <v>46196</v>
      </c>
      <c r="K102" s="14">
        <v>46196</v>
      </c>
      <c r="L102" t="s">
        <v>20</v>
      </c>
      <c r="M102" s="14">
        <v>46188</v>
      </c>
      <c r="N102" s="14">
        <v>46196</v>
      </c>
      <c r="O102" t="s">
        <v>20</v>
      </c>
      <c r="P102">
        <v>-52.52</v>
      </c>
      <c r="Q102">
        <f>VLOOKUP(G102,'[1]Erogati mag-giu 2026_791_old'!$A:$W,12,FALSE)</f>
        <v>-52.52</v>
      </c>
      <c r="R102">
        <f t="shared" si="5"/>
        <v>0</v>
      </c>
      <c r="S102">
        <v>-52.52</v>
      </c>
      <c r="T102">
        <f>VLOOKUP(G102,'[1]Erogati mag-giu 2026_791_old'!$A:$W,13,FALSE)</f>
        <v>-52.52</v>
      </c>
      <c r="U102">
        <f t="shared" si="6"/>
        <v>0</v>
      </c>
      <c r="V102">
        <v>-52.52</v>
      </c>
      <c r="W102">
        <f>VLOOKUP(G102,'[1]Erogati mag-giu 2026_791_old'!$A:$W,14,FALSE)</f>
        <v>-52.52</v>
      </c>
      <c r="X102">
        <f t="shared" si="7"/>
        <v>0</v>
      </c>
      <c r="Y102" t="s">
        <v>23</v>
      </c>
      <c r="Z102" t="str">
        <f>VLOOKUP(G102,'[2]Erogati mag-giu 2026_791_old'!$D:$T,11,FALSE)</f>
        <v>diretto</v>
      </c>
      <c r="AA102" t="b">
        <v>1</v>
      </c>
      <c r="AF102" t="s">
        <v>20</v>
      </c>
      <c r="AG102" t="s">
        <v>20</v>
      </c>
    </row>
    <row r="103" spans="1:33">
      <c r="A103" s="13"/>
      <c r="C103" s="4">
        <f>VLOOKUP(G103,'[1]Erogati mag-giu 2026_791_old'!$A:$B,2,FALSE)</f>
        <v>202511294574565</v>
      </c>
      <c r="E103" t="s">
        <v>20</v>
      </c>
      <c r="F103" t="s">
        <v>21</v>
      </c>
      <c r="G103">
        <v>2000047267</v>
      </c>
      <c r="H103">
        <f>VLOOKUP(C103,'[1]Erogati mag-giu 2026_791_old'!$B:$E,4,FALSE)</f>
        <v>2000047267</v>
      </c>
      <c r="I103" t="b">
        <f t="shared" si="4"/>
        <v>1</v>
      </c>
      <c r="J103" s="14">
        <v>46163</v>
      </c>
      <c r="K103" s="14">
        <v>46163</v>
      </c>
      <c r="L103" t="s">
        <v>20</v>
      </c>
      <c r="M103" s="14">
        <v>46188</v>
      </c>
      <c r="N103" s="14">
        <v>46163</v>
      </c>
      <c r="O103" t="s">
        <v>20</v>
      </c>
      <c r="P103">
        <v>-31.6</v>
      </c>
      <c r="Q103">
        <f>VLOOKUP(G103,'[1]Erogati mag-giu 2026_791_old'!$A:$W,12,FALSE)</f>
        <v>-31.6</v>
      </c>
      <c r="R103">
        <f t="shared" si="5"/>
        <v>0</v>
      </c>
      <c r="S103">
        <v>-31.6</v>
      </c>
      <c r="T103">
        <f>VLOOKUP(G103,'[1]Erogati mag-giu 2026_791_old'!$A:$W,13,FALSE)</f>
        <v>-31.6</v>
      </c>
      <c r="U103">
        <f t="shared" si="6"/>
        <v>0</v>
      </c>
      <c r="V103">
        <v>-31.6</v>
      </c>
      <c r="W103">
        <f>VLOOKUP(G103,'[1]Erogati mag-giu 2026_791_old'!$A:$W,14,FALSE)</f>
        <v>-31.6</v>
      </c>
      <c r="X103">
        <f t="shared" si="7"/>
        <v>0</v>
      </c>
      <c r="Y103" t="s">
        <v>23</v>
      </c>
      <c r="Z103" t="str">
        <f>VLOOKUP(G103,'[2]Erogati mag-giu 2026_791_old'!$D:$T,11,FALSE)</f>
        <v>diretto</v>
      </c>
      <c r="AA103" t="b">
        <v>1</v>
      </c>
      <c r="AF103" t="s">
        <v>20</v>
      </c>
      <c r="AG103" t="s">
        <v>20</v>
      </c>
    </row>
    <row r="104" spans="1:33">
      <c r="A104" s="13"/>
      <c r="C104" s="4">
        <f>VLOOKUP(G104,'[1]Erogati mag-giu 2026_791_old'!$A:$B,2,FALSE)</f>
        <v>202601306633670</v>
      </c>
      <c r="E104" t="s">
        <v>20</v>
      </c>
      <c r="F104" t="s">
        <v>21</v>
      </c>
      <c r="G104">
        <v>2000048300</v>
      </c>
      <c r="H104">
        <f>VLOOKUP(C104,'[1]Erogati mag-giu 2026_791_old'!$B:$E,4,FALSE)</f>
        <v>2000048300</v>
      </c>
      <c r="I104" t="b">
        <f t="shared" si="4"/>
        <v>1</v>
      </c>
      <c r="J104" s="14">
        <v>46196</v>
      </c>
      <c r="K104" s="14">
        <v>46196</v>
      </c>
      <c r="L104" t="s">
        <v>20</v>
      </c>
      <c r="M104" s="14">
        <v>46188</v>
      </c>
      <c r="N104" s="14">
        <v>46196</v>
      </c>
      <c r="O104" t="s">
        <v>20</v>
      </c>
      <c r="P104">
        <v>-105.03</v>
      </c>
      <c r="Q104">
        <f>VLOOKUP(G104,'[1]Erogati mag-giu 2026_791_old'!$A:$W,12,FALSE)</f>
        <v>-105.03</v>
      </c>
      <c r="R104">
        <f t="shared" si="5"/>
        <v>0</v>
      </c>
      <c r="S104">
        <v>-105.03</v>
      </c>
      <c r="T104">
        <f>VLOOKUP(G104,'[1]Erogati mag-giu 2026_791_old'!$A:$W,13,FALSE)</f>
        <v>-105.03</v>
      </c>
      <c r="U104">
        <f t="shared" si="6"/>
        <v>0</v>
      </c>
      <c r="V104">
        <v>-105.03</v>
      </c>
      <c r="W104">
        <f>VLOOKUP(G104,'[1]Erogati mag-giu 2026_791_old'!$A:$W,14,FALSE)</f>
        <v>-105.03</v>
      </c>
      <c r="X104">
        <f t="shared" si="7"/>
        <v>0</v>
      </c>
      <c r="Y104" t="s">
        <v>23</v>
      </c>
      <c r="Z104" t="str">
        <f>VLOOKUP(G104,'[2]Erogati mag-giu 2026_791_old'!$D:$T,11,FALSE)</f>
        <v>diretto</v>
      </c>
      <c r="AA104" t="b">
        <v>1</v>
      </c>
      <c r="AF104" t="s">
        <v>20</v>
      </c>
      <c r="AG104" t="s">
        <v>20</v>
      </c>
    </row>
    <row r="105" spans="1:33">
      <c r="A105" s="13"/>
      <c r="C105" s="4">
        <f>VLOOKUP(G105,'[1]Erogati mag-giu 2026_791_old'!$A:$B,2,FALSE)</f>
        <v>202512304438087</v>
      </c>
      <c r="E105" t="s">
        <v>20</v>
      </c>
      <c r="F105" t="s">
        <v>21</v>
      </c>
      <c r="G105">
        <v>2000049351</v>
      </c>
      <c r="H105">
        <f>VLOOKUP(C105,'[1]Erogati mag-giu 2026_791_old'!$B:$E,4,FALSE)</f>
        <v>2000049351</v>
      </c>
      <c r="I105" t="b">
        <f t="shared" si="4"/>
        <v>1</v>
      </c>
      <c r="J105" s="14">
        <v>46188</v>
      </c>
      <c r="K105" s="14">
        <v>46188</v>
      </c>
      <c r="L105" t="s">
        <v>20</v>
      </c>
      <c r="M105" s="14">
        <v>46188</v>
      </c>
      <c r="N105" s="14">
        <v>46188</v>
      </c>
      <c r="O105" t="s">
        <v>20</v>
      </c>
      <c r="P105">
        <v>-78.2</v>
      </c>
      <c r="Q105">
        <f>VLOOKUP(G105,'[1]Erogati mag-giu 2026_791_old'!$A:$W,12,FALSE)</f>
        <v>-78.2</v>
      </c>
      <c r="R105">
        <f t="shared" si="5"/>
        <v>0</v>
      </c>
      <c r="S105">
        <v>-78.2</v>
      </c>
      <c r="T105">
        <f>VLOOKUP(G105,'[1]Erogati mag-giu 2026_791_old'!$A:$W,13,FALSE)</f>
        <v>-78.2</v>
      </c>
      <c r="U105">
        <f t="shared" si="6"/>
        <v>0</v>
      </c>
      <c r="V105">
        <v>-78.2</v>
      </c>
      <c r="W105">
        <f>VLOOKUP(G105,'[1]Erogati mag-giu 2026_791_old'!$A:$W,14,FALSE)</f>
        <v>-78.2</v>
      </c>
      <c r="X105">
        <f t="shared" si="7"/>
        <v>0</v>
      </c>
      <c r="Y105" t="s">
        <v>23</v>
      </c>
      <c r="Z105" t="str">
        <f>VLOOKUP(G105,'[2]Erogati mag-giu 2026_791_old'!$D:$T,11,FALSE)</f>
        <v>diretto</v>
      </c>
      <c r="AA105" t="b">
        <v>1</v>
      </c>
      <c r="AF105" t="s">
        <v>20</v>
      </c>
      <c r="AG105" t="s">
        <v>20</v>
      </c>
    </row>
    <row r="106" spans="1:33">
      <c r="A106" s="13"/>
      <c r="C106" s="4">
        <f>VLOOKUP(G106,'[1]Erogati mag-giu 2026_791_old'!$A:$B,2,FALSE)</f>
        <v>202601308680989</v>
      </c>
      <c r="E106" t="s">
        <v>20</v>
      </c>
      <c r="F106" t="s">
        <v>21</v>
      </c>
      <c r="G106">
        <v>2000049359</v>
      </c>
      <c r="H106">
        <f>VLOOKUP(C106,'[1]Erogati mag-giu 2026_791_old'!$B:$E,4,FALSE)</f>
        <v>2000049359</v>
      </c>
      <c r="I106" t="b">
        <f t="shared" si="4"/>
        <v>1</v>
      </c>
      <c r="J106" s="14">
        <v>46196</v>
      </c>
      <c r="K106" s="14">
        <v>46196</v>
      </c>
      <c r="L106" t="s">
        <v>20</v>
      </c>
      <c r="M106" s="14">
        <v>46188</v>
      </c>
      <c r="N106" s="14">
        <v>46196</v>
      </c>
      <c r="O106" t="s">
        <v>20</v>
      </c>
      <c r="P106">
        <v>-132.52000000000001</v>
      </c>
      <c r="Q106">
        <f>VLOOKUP(G106,'[1]Erogati mag-giu 2026_791_old'!$A:$W,12,FALSE)</f>
        <v>-132.52000000000001</v>
      </c>
      <c r="R106">
        <f t="shared" si="5"/>
        <v>0</v>
      </c>
      <c r="S106">
        <v>-132.52000000000001</v>
      </c>
      <c r="T106">
        <f>VLOOKUP(G106,'[1]Erogati mag-giu 2026_791_old'!$A:$W,13,FALSE)</f>
        <v>-132.52000000000001</v>
      </c>
      <c r="U106">
        <f t="shared" si="6"/>
        <v>0</v>
      </c>
      <c r="V106">
        <v>-132.52000000000001</v>
      </c>
      <c r="W106">
        <f>VLOOKUP(G106,'[1]Erogati mag-giu 2026_791_old'!$A:$W,14,FALSE)</f>
        <v>-132.52000000000001</v>
      </c>
      <c r="X106">
        <f t="shared" si="7"/>
        <v>0</v>
      </c>
      <c r="Y106" t="s">
        <v>23</v>
      </c>
      <c r="Z106" t="str">
        <f>VLOOKUP(G106,'[2]Erogati mag-giu 2026_791_old'!$D:$T,11,FALSE)</f>
        <v>diretto</v>
      </c>
      <c r="AA106" t="b">
        <v>1</v>
      </c>
      <c r="AF106" t="s">
        <v>20</v>
      </c>
      <c r="AG106" t="s">
        <v>20</v>
      </c>
    </row>
    <row r="107" spans="1:33">
      <c r="A107" s="13"/>
      <c r="C107" s="4">
        <f>VLOOKUP(G107,'[1]Erogati mag-giu 2026_791_old'!$A:$B,2,FALSE)</f>
        <v>202512302676486</v>
      </c>
      <c r="E107" t="s">
        <v>20</v>
      </c>
      <c r="F107" t="s">
        <v>21</v>
      </c>
      <c r="G107">
        <v>2000049436</v>
      </c>
      <c r="H107">
        <f>VLOOKUP(C107,'[1]Erogati mag-giu 2026_791_old'!$B:$E,4,FALSE)</f>
        <v>2000049436</v>
      </c>
      <c r="I107" t="b">
        <f t="shared" si="4"/>
        <v>1</v>
      </c>
      <c r="J107" s="14">
        <v>46188</v>
      </c>
      <c r="K107" s="14">
        <v>46188</v>
      </c>
      <c r="L107" t="s">
        <v>20</v>
      </c>
      <c r="M107" s="14">
        <v>46188</v>
      </c>
      <c r="N107" s="14">
        <v>46188</v>
      </c>
      <c r="O107" t="s">
        <v>20</v>
      </c>
      <c r="P107">
        <v>-105.23</v>
      </c>
      <c r="Q107">
        <f>VLOOKUP(G107,'[1]Erogati mag-giu 2026_791_old'!$A:$W,12,FALSE)</f>
        <v>-105.23</v>
      </c>
      <c r="R107">
        <f t="shared" si="5"/>
        <v>0</v>
      </c>
      <c r="S107">
        <v>-105.23</v>
      </c>
      <c r="T107">
        <f>VLOOKUP(G107,'[1]Erogati mag-giu 2026_791_old'!$A:$W,13,FALSE)</f>
        <v>-105.23</v>
      </c>
      <c r="U107">
        <f t="shared" si="6"/>
        <v>0</v>
      </c>
      <c r="V107">
        <v>-105.23</v>
      </c>
      <c r="W107">
        <f>VLOOKUP(G107,'[1]Erogati mag-giu 2026_791_old'!$A:$W,14,FALSE)</f>
        <v>-105.23</v>
      </c>
      <c r="X107">
        <f t="shared" si="7"/>
        <v>0</v>
      </c>
      <c r="Y107" t="s">
        <v>23</v>
      </c>
      <c r="Z107" t="str">
        <f>VLOOKUP(G107,'[2]Erogati mag-giu 2026_791_old'!$D:$T,11,FALSE)</f>
        <v>diretto</v>
      </c>
      <c r="AA107" t="b">
        <v>1</v>
      </c>
      <c r="AF107" t="s">
        <v>20</v>
      </c>
      <c r="AG107" t="s">
        <v>20</v>
      </c>
    </row>
    <row r="108" spans="1:33">
      <c r="A108" s="13"/>
      <c r="C108" s="4">
        <f>VLOOKUP(G108,'[1]Erogati mag-giu 2026_791_old'!$A:$B,2,FALSE)</f>
        <v>202512304327388</v>
      </c>
      <c r="E108" t="s">
        <v>20</v>
      </c>
      <c r="F108" t="s">
        <v>21</v>
      </c>
      <c r="G108">
        <v>2000049498</v>
      </c>
      <c r="H108">
        <f>VLOOKUP(C108,'[1]Erogati mag-giu 2026_791_old'!$B:$E,4,FALSE)</f>
        <v>2000049498</v>
      </c>
      <c r="I108" t="b">
        <f t="shared" si="4"/>
        <v>1</v>
      </c>
      <c r="J108" s="14">
        <v>46188</v>
      </c>
      <c r="K108" s="14">
        <v>46188</v>
      </c>
      <c r="L108" t="s">
        <v>20</v>
      </c>
      <c r="M108" s="14">
        <v>46188</v>
      </c>
      <c r="N108" s="14">
        <v>46188</v>
      </c>
      <c r="O108" t="s">
        <v>20</v>
      </c>
      <c r="P108">
        <v>-20.28</v>
      </c>
      <c r="Q108">
        <f>VLOOKUP(G108,'[1]Erogati mag-giu 2026_791_old'!$A:$W,12,FALSE)</f>
        <v>-20.28</v>
      </c>
      <c r="R108">
        <f t="shared" si="5"/>
        <v>0</v>
      </c>
      <c r="S108">
        <v>-20.28</v>
      </c>
      <c r="T108">
        <f>VLOOKUP(G108,'[1]Erogati mag-giu 2026_791_old'!$A:$W,13,FALSE)</f>
        <v>-20.28</v>
      </c>
      <c r="U108">
        <f t="shared" si="6"/>
        <v>0</v>
      </c>
      <c r="V108">
        <v>-20.28</v>
      </c>
      <c r="W108">
        <f>VLOOKUP(G108,'[1]Erogati mag-giu 2026_791_old'!$A:$W,14,FALSE)</f>
        <v>-20.28</v>
      </c>
      <c r="X108">
        <f t="shared" si="7"/>
        <v>0</v>
      </c>
      <c r="Y108" t="s">
        <v>23</v>
      </c>
      <c r="Z108" t="str">
        <f>VLOOKUP(G108,'[2]Erogati mag-giu 2026_791_old'!$D:$T,11,FALSE)</f>
        <v>diretto</v>
      </c>
      <c r="AA108" t="b">
        <v>1</v>
      </c>
      <c r="AF108" t="s">
        <v>20</v>
      </c>
      <c r="AG108" t="s">
        <v>20</v>
      </c>
    </row>
    <row r="109" spans="1:33">
      <c r="A109" s="13"/>
      <c r="C109" s="4">
        <f>VLOOKUP(G109,'[1]Erogati mag-giu 2026_791_old'!$A:$B,2,FALSE)</f>
        <v>202601307361811</v>
      </c>
      <c r="E109" t="s">
        <v>20</v>
      </c>
      <c r="F109" t="s">
        <v>21</v>
      </c>
      <c r="G109">
        <v>2000049594</v>
      </c>
      <c r="H109">
        <f>VLOOKUP(C109,'[1]Erogati mag-giu 2026_791_old'!$B:$E,4,FALSE)</f>
        <v>2000049594</v>
      </c>
      <c r="I109" t="b">
        <f t="shared" si="4"/>
        <v>1</v>
      </c>
      <c r="J109" s="14">
        <v>46196</v>
      </c>
      <c r="K109" s="14">
        <v>46196</v>
      </c>
      <c r="L109" t="s">
        <v>20</v>
      </c>
      <c r="M109" s="14">
        <v>46188</v>
      </c>
      <c r="N109" s="14">
        <v>46196</v>
      </c>
      <c r="O109" t="s">
        <v>20</v>
      </c>
      <c r="P109">
        <v>-50.18</v>
      </c>
      <c r="Q109">
        <f>VLOOKUP(G109,'[1]Erogati mag-giu 2026_791_old'!$A:$W,12,FALSE)</f>
        <v>-50.18</v>
      </c>
      <c r="R109">
        <f t="shared" si="5"/>
        <v>0</v>
      </c>
      <c r="S109">
        <v>-50.18</v>
      </c>
      <c r="T109">
        <f>VLOOKUP(G109,'[1]Erogati mag-giu 2026_791_old'!$A:$W,13,FALSE)</f>
        <v>-50.18</v>
      </c>
      <c r="U109">
        <f t="shared" si="6"/>
        <v>0</v>
      </c>
      <c r="V109">
        <v>-50.18</v>
      </c>
      <c r="W109">
        <f>VLOOKUP(G109,'[1]Erogati mag-giu 2026_791_old'!$A:$W,14,FALSE)</f>
        <v>-50.18</v>
      </c>
      <c r="X109">
        <f t="shared" si="7"/>
        <v>0</v>
      </c>
      <c r="Y109" t="s">
        <v>23</v>
      </c>
      <c r="Z109" t="str">
        <f>VLOOKUP(G109,'[2]Erogati mag-giu 2026_791_old'!$D:$T,11,FALSE)</f>
        <v>diretto</v>
      </c>
      <c r="AA109" t="b">
        <v>1</v>
      </c>
      <c r="AF109" t="s">
        <v>20</v>
      </c>
      <c r="AG109" t="s">
        <v>20</v>
      </c>
    </row>
    <row r="110" spans="1:33">
      <c r="A110" s="13"/>
      <c r="C110" s="4">
        <f>VLOOKUP(G110,'[1]Erogati mag-giu 2026_791_old'!$A:$B,2,FALSE)</f>
        <v>202601307370317</v>
      </c>
      <c r="E110" t="s">
        <v>20</v>
      </c>
      <c r="F110" t="s">
        <v>21</v>
      </c>
      <c r="G110">
        <v>2000049629</v>
      </c>
      <c r="H110">
        <f>VLOOKUP(C110,'[1]Erogati mag-giu 2026_791_old'!$B:$E,4,FALSE)</f>
        <v>2000049629</v>
      </c>
      <c r="I110" t="b">
        <f t="shared" si="4"/>
        <v>1</v>
      </c>
      <c r="J110" s="14">
        <v>46196</v>
      </c>
      <c r="K110" s="14">
        <v>46196</v>
      </c>
      <c r="L110" t="s">
        <v>20</v>
      </c>
      <c r="M110" s="14">
        <v>46188</v>
      </c>
      <c r="N110" s="14">
        <v>46196</v>
      </c>
      <c r="O110" t="s">
        <v>20</v>
      </c>
      <c r="P110">
        <v>-13.08</v>
      </c>
      <c r="Q110">
        <f>VLOOKUP(G110,'[1]Erogati mag-giu 2026_791_old'!$A:$W,12,FALSE)</f>
        <v>-13.08</v>
      </c>
      <c r="R110">
        <f t="shared" si="5"/>
        <v>0</v>
      </c>
      <c r="S110">
        <v>-13.08</v>
      </c>
      <c r="T110">
        <f>VLOOKUP(G110,'[1]Erogati mag-giu 2026_791_old'!$A:$W,13,FALSE)</f>
        <v>-13.08</v>
      </c>
      <c r="U110">
        <f t="shared" si="6"/>
        <v>0</v>
      </c>
      <c r="V110">
        <v>-13.08</v>
      </c>
      <c r="W110">
        <f>VLOOKUP(G110,'[1]Erogati mag-giu 2026_791_old'!$A:$W,14,FALSE)</f>
        <v>-13.08</v>
      </c>
      <c r="X110">
        <f t="shared" si="7"/>
        <v>0</v>
      </c>
      <c r="Y110" t="s">
        <v>23</v>
      </c>
      <c r="Z110" t="str">
        <f>VLOOKUP(G110,'[2]Erogati mag-giu 2026_791_old'!$D:$T,11,FALSE)</f>
        <v>diretto</v>
      </c>
      <c r="AA110" t="b">
        <v>1</v>
      </c>
      <c r="AF110" t="s">
        <v>20</v>
      </c>
      <c r="AG110" t="s">
        <v>20</v>
      </c>
    </row>
    <row r="111" spans="1:33">
      <c r="A111" s="13"/>
      <c r="C111" s="4">
        <f>VLOOKUP(G111,'[1]Erogati mag-giu 2026_791_old'!$A:$B,2,FALSE)</f>
        <v>202511294494787</v>
      </c>
      <c r="E111" t="s">
        <v>20</v>
      </c>
      <c r="F111" t="s">
        <v>21</v>
      </c>
      <c r="G111">
        <v>2000049744</v>
      </c>
      <c r="H111">
        <f>VLOOKUP(C111,'[1]Erogati mag-giu 2026_791_old'!$B:$E,4,FALSE)</f>
        <v>2000049744</v>
      </c>
      <c r="I111" t="b">
        <f t="shared" si="4"/>
        <v>1</v>
      </c>
      <c r="J111" s="14">
        <v>46163</v>
      </c>
      <c r="K111" s="14">
        <v>46163</v>
      </c>
      <c r="L111" t="s">
        <v>20</v>
      </c>
      <c r="M111" s="14">
        <v>46188</v>
      </c>
      <c r="N111" s="14">
        <v>46163</v>
      </c>
      <c r="O111" t="s">
        <v>20</v>
      </c>
      <c r="P111">
        <v>-42.17</v>
      </c>
      <c r="Q111">
        <f>VLOOKUP(G111,'[1]Erogati mag-giu 2026_791_old'!$A:$W,12,FALSE)</f>
        <v>-42.17</v>
      </c>
      <c r="R111">
        <f t="shared" si="5"/>
        <v>0</v>
      </c>
      <c r="S111">
        <v>-42.17</v>
      </c>
      <c r="T111">
        <f>VLOOKUP(G111,'[1]Erogati mag-giu 2026_791_old'!$A:$W,13,FALSE)</f>
        <v>-42.17</v>
      </c>
      <c r="U111">
        <f t="shared" si="6"/>
        <v>0</v>
      </c>
      <c r="V111">
        <v>-42.17</v>
      </c>
      <c r="W111">
        <f>VLOOKUP(G111,'[1]Erogati mag-giu 2026_791_old'!$A:$W,14,FALSE)</f>
        <v>-42.17</v>
      </c>
      <c r="X111">
        <f t="shared" si="7"/>
        <v>0</v>
      </c>
      <c r="Y111" t="s">
        <v>23</v>
      </c>
      <c r="Z111" t="str">
        <f>VLOOKUP(G111,'[2]Erogati mag-giu 2026_791_old'!$D:$T,11,FALSE)</f>
        <v>diretto</v>
      </c>
      <c r="AA111" t="b">
        <v>1</v>
      </c>
      <c r="AF111" t="s">
        <v>20</v>
      </c>
      <c r="AG111" t="s">
        <v>20</v>
      </c>
    </row>
    <row r="112" spans="1:33">
      <c r="A112" s="13"/>
      <c r="C112" s="4">
        <f>VLOOKUP(G112,'[1]Erogati mag-giu 2026_791_old'!$A:$B,2,FALSE)</f>
        <v>202601308091895</v>
      </c>
      <c r="E112" t="s">
        <v>20</v>
      </c>
      <c r="F112" t="s">
        <v>21</v>
      </c>
      <c r="G112">
        <v>2000049766</v>
      </c>
      <c r="H112">
        <f>VLOOKUP(C112,'[1]Erogati mag-giu 2026_791_old'!$B:$E,4,FALSE)</f>
        <v>2000049766</v>
      </c>
      <c r="I112" t="b">
        <f t="shared" si="4"/>
        <v>1</v>
      </c>
      <c r="J112" s="14">
        <v>46196</v>
      </c>
      <c r="K112" s="14">
        <v>46196</v>
      </c>
      <c r="L112" t="s">
        <v>20</v>
      </c>
      <c r="M112" s="14">
        <v>46188</v>
      </c>
      <c r="N112" s="14">
        <v>46196</v>
      </c>
      <c r="O112" t="s">
        <v>20</v>
      </c>
      <c r="P112">
        <v>-33.130000000000003</v>
      </c>
      <c r="Q112">
        <f>VLOOKUP(G112,'[1]Erogati mag-giu 2026_791_old'!$A:$W,12,FALSE)</f>
        <v>-33.130000000000003</v>
      </c>
      <c r="R112">
        <f t="shared" si="5"/>
        <v>0</v>
      </c>
      <c r="S112">
        <v>-33.130000000000003</v>
      </c>
      <c r="T112">
        <f>VLOOKUP(G112,'[1]Erogati mag-giu 2026_791_old'!$A:$W,13,FALSE)</f>
        <v>-33.130000000000003</v>
      </c>
      <c r="U112">
        <f t="shared" si="6"/>
        <v>0</v>
      </c>
      <c r="V112">
        <v>-33.130000000000003</v>
      </c>
      <c r="W112">
        <f>VLOOKUP(G112,'[1]Erogati mag-giu 2026_791_old'!$A:$W,14,FALSE)</f>
        <v>-33.130000000000003</v>
      </c>
      <c r="X112">
        <f t="shared" si="7"/>
        <v>0</v>
      </c>
      <c r="Y112" t="s">
        <v>23</v>
      </c>
      <c r="Z112" t="str">
        <f>VLOOKUP(G112,'[2]Erogati mag-giu 2026_791_old'!$D:$T,11,FALSE)</f>
        <v>diretto</v>
      </c>
      <c r="AA112" t="b">
        <v>1</v>
      </c>
      <c r="AF112" t="s">
        <v>20</v>
      </c>
      <c r="AG112" t="s">
        <v>20</v>
      </c>
    </row>
    <row r="113" spans="1:33">
      <c r="A113" s="13"/>
      <c r="C113" s="4">
        <f>VLOOKUP(G113,'[1]Erogati mag-giu 2026_791_old'!$A:$B,2,FALSE)</f>
        <v>202601308108375</v>
      </c>
      <c r="E113" t="s">
        <v>20</v>
      </c>
      <c r="F113" t="s">
        <v>21</v>
      </c>
      <c r="G113">
        <v>2000049803</v>
      </c>
      <c r="H113">
        <f>VLOOKUP(C113,'[1]Erogati mag-giu 2026_791_old'!$B:$E,4,FALSE)</f>
        <v>2000049803</v>
      </c>
      <c r="I113" t="b">
        <f t="shared" si="4"/>
        <v>1</v>
      </c>
      <c r="J113" s="14">
        <v>46196</v>
      </c>
      <c r="K113" s="14">
        <v>46196</v>
      </c>
      <c r="L113" t="s">
        <v>20</v>
      </c>
      <c r="M113" s="14">
        <v>46188</v>
      </c>
      <c r="N113" s="14">
        <v>46196</v>
      </c>
      <c r="O113" t="s">
        <v>20</v>
      </c>
      <c r="P113">
        <v>-89.45</v>
      </c>
      <c r="Q113">
        <f>VLOOKUP(G113,'[1]Erogati mag-giu 2026_791_old'!$A:$W,12,FALSE)</f>
        <v>-89.45</v>
      </c>
      <c r="R113">
        <f t="shared" si="5"/>
        <v>0</v>
      </c>
      <c r="S113">
        <v>-89.45</v>
      </c>
      <c r="T113">
        <f>VLOOKUP(G113,'[1]Erogati mag-giu 2026_791_old'!$A:$W,13,FALSE)</f>
        <v>-89.45</v>
      </c>
      <c r="U113">
        <f t="shared" si="6"/>
        <v>0</v>
      </c>
      <c r="V113">
        <v>-89.45</v>
      </c>
      <c r="W113">
        <f>VLOOKUP(G113,'[1]Erogati mag-giu 2026_791_old'!$A:$W,14,FALSE)</f>
        <v>-89.45</v>
      </c>
      <c r="X113">
        <f t="shared" si="7"/>
        <v>0</v>
      </c>
      <c r="Y113" t="s">
        <v>23</v>
      </c>
      <c r="Z113" t="str">
        <f>VLOOKUP(G113,'[2]Erogati mag-giu 2026_791_old'!$D:$T,11,FALSE)</f>
        <v>diretto</v>
      </c>
      <c r="AA113" t="b">
        <v>1</v>
      </c>
      <c r="AF113" t="s">
        <v>20</v>
      </c>
      <c r="AG113" t="s">
        <v>20</v>
      </c>
    </row>
    <row r="114" spans="1:33">
      <c r="A114" s="13"/>
      <c r="C114" s="4">
        <f>VLOOKUP(G114,'[1]Erogati mag-giu 2026_791_old'!$A:$B,2,FALSE)</f>
        <v>202601308057056</v>
      </c>
      <c r="E114" t="s">
        <v>20</v>
      </c>
      <c r="F114" t="s">
        <v>21</v>
      </c>
      <c r="G114">
        <v>2000050326</v>
      </c>
      <c r="H114">
        <f>VLOOKUP(C114,'[1]Erogati mag-giu 2026_791_old'!$B:$E,4,FALSE)</f>
        <v>2000050326</v>
      </c>
      <c r="I114" t="b">
        <f t="shared" si="4"/>
        <v>1</v>
      </c>
      <c r="J114" s="14">
        <v>46196</v>
      </c>
      <c r="K114" s="14">
        <v>46196</v>
      </c>
      <c r="L114" t="s">
        <v>20</v>
      </c>
      <c r="M114" s="14">
        <v>46188</v>
      </c>
      <c r="N114" s="14">
        <v>46196</v>
      </c>
      <c r="O114" t="s">
        <v>20</v>
      </c>
      <c r="P114">
        <v>-33.450000000000003</v>
      </c>
      <c r="Q114">
        <f>VLOOKUP(G114,'[1]Erogati mag-giu 2026_791_old'!$A:$W,12,FALSE)</f>
        <v>-33.450000000000003</v>
      </c>
      <c r="R114">
        <f t="shared" si="5"/>
        <v>0</v>
      </c>
      <c r="S114">
        <v>-33.450000000000003</v>
      </c>
      <c r="T114">
        <f>VLOOKUP(G114,'[1]Erogati mag-giu 2026_791_old'!$A:$W,13,FALSE)</f>
        <v>-33.450000000000003</v>
      </c>
      <c r="U114">
        <f t="shared" si="6"/>
        <v>0</v>
      </c>
      <c r="V114">
        <v>-33.450000000000003</v>
      </c>
      <c r="W114">
        <f>VLOOKUP(G114,'[1]Erogati mag-giu 2026_791_old'!$A:$W,14,FALSE)</f>
        <v>-33.450000000000003</v>
      </c>
      <c r="X114">
        <f t="shared" si="7"/>
        <v>0</v>
      </c>
      <c r="Y114" t="s">
        <v>23</v>
      </c>
      <c r="Z114" t="str">
        <f>VLOOKUP(G114,'[2]Erogati mag-giu 2026_791_old'!$D:$T,11,FALSE)</f>
        <v>diretto</v>
      </c>
      <c r="AA114" t="b">
        <v>1</v>
      </c>
      <c r="AF114" t="s">
        <v>20</v>
      </c>
      <c r="AG114" t="s">
        <v>20</v>
      </c>
    </row>
    <row r="115" spans="1:33">
      <c r="A115" s="13"/>
      <c r="C115" s="4">
        <f>VLOOKUP(G115,'[1]Erogati mag-giu 2026_791_old'!$A:$B,2,FALSE)</f>
        <v>202601307058116</v>
      </c>
      <c r="E115" t="s">
        <v>20</v>
      </c>
      <c r="F115" t="s">
        <v>21</v>
      </c>
      <c r="G115">
        <v>2000050853</v>
      </c>
      <c r="H115">
        <f>VLOOKUP(C115,'[1]Erogati mag-giu 2026_791_old'!$B:$E,4,FALSE)</f>
        <v>2000050853</v>
      </c>
      <c r="I115" t="b">
        <f t="shared" si="4"/>
        <v>1</v>
      </c>
      <c r="J115" s="14">
        <v>46196</v>
      </c>
      <c r="K115" s="14">
        <v>46196</v>
      </c>
      <c r="L115" t="s">
        <v>20</v>
      </c>
      <c r="M115" s="14">
        <v>46188</v>
      </c>
      <c r="N115" s="14">
        <v>46196</v>
      </c>
      <c r="O115" t="s">
        <v>20</v>
      </c>
      <c r="P115">
        <v>-154.63999999999999</v>
      </c>
      <c r="Q115">
        <f>VLOOKUP(G115,'[1]Erogati mag-giu 2026_791_old'!$A:$W,12,FALSE)</f>
        <v>-154.63999999999999</v>
      </c>
      <c r="R115">
        <f t="shared" si="5"/>
        <v>0</v>
      </c>
      <c r="S115">
        <v>-154.63999999999999</v>
      </c>
      <c r="T115">
        <f>VLOOKUP(G115,'[1]Erogati mag-giu 2026_791_old'!$A:$W,13,FALSE)</f>
        <v>-154.63999999999999</v>
      </c>
      <c r="U115">
        <f t="shared" si="6"/>
        <v>0</v>
      </c>
      <c r="V115">
        <v>-154.63999999999999</v>
      </c>
      <c r="W115">
        <f>VLOOKUP(G115,'[1]Erogati mag-giu 2026_791_old'!$A:$W,14,FALSE)</f>
        <v>-154.63999999999999</v>
      </c>
      <c r="X115">
        <f t="shared" si="7"/>
        <v>0</v>
      </c>
      <c r="Y115" t="s">
        <v>23</v>
      </c>
      <c r="Z115" t="str">
        <f>VLOOKUP(G115,'[2]Erogati mag-giu 2026_791_old'!$D:$T,11,FALSE)</f>
        <v>diretto</v>
      </c>
      <c r="AA115" t="b">
        <v>1</v>
      </c>
      <c r="AF115" t="s">
        <v>20</v>
      </c>
      <c r="AG115" t="s">
        <v>20</v>
      </c>
    </row>
    <row r="116" spans="1:33">
      <c r="A116" s="13"/>
      <c r="C116" s="4">
        <f>VLOOKUP(G116,'[1]Erogati mag-giu 2026_791_old'!$A:$B,2,FALSE)</f>
        <v>202512302666124</v>
      </c>
      <c r="E116" t="s">
        <v>20</v>
      </c>
      <c r="F116" t="s">
        <v>21</v>
      </c>
      <c r="G116">
        <v>2000051985</v>
      </c>
      <c r="H116">
        <f>VLOOKUP(C116,'[1]Erogati mag-giu 2026_791_old'!$B:$E,4,FALSE)</f>
        <v>2000051985</v>
      </c>
      <c r="I116" t="b">
        <f t="shared" si="4"/>
        <v>1</v>
      </c>
      <c r="J116" s="14">
        <v>46188</v>
      </c>
      <c r="K116" s="14">
        <v>46188</v>
      </c>
      <c r="L116" t="s">
        <v>20</v>
      </c>
      <c r="M116" s="14">
        <v>46188</v>
      </c>
      <c r="N116" s="14">
        <v>46188</v>
      </c>
      <c r="O116" t="s">
        <v>20</v>
      </c>
      <c r="P116">
        <v>-175.39</v>
      </c>
      <c r="Q116">
        <f>VLOOKUP(G116,'[1]Erogati mag-giu 2026_791_old'!$A:$W,12,FALSE)</f>
        <v>-175.39</v>
      </c>
      <c r="R116">
        <f t="shared" si="5"/>
        <v>0</v>
      </c>
      <c r="S116">
        <v>-175.39</v>
      </c>
      <c r="T116">
        <f>VLOOKUP(G116,'[1]Erogati mag-giu 2026_791_old'!$A:$W,13,FALSE)</f>
        <v>-175.39</v>
      </c>
      <c r="U116">
        <f t="shared" si="6"/>
        <v>0</v>
      </c>
      <c r="V116">
        <v>-175.39</v>
      </c>
      <c r="W116">
        <f>VLOOKUP(G116,'[1]Erogati mag-giu 2026_791_old'!$A:$W,14,FALSE)</f>
        <v>-175.39</v>
      </c>
      <c r="X116">
        <f t="shared" si="7"/>
        <v>0</v>
      </c>
      <c r="Y116" t="s">
        <v>23</v>
      </c>
      <c r="Z116" t="str">
        <f>VLOOKUP(G116,'[2]Erogati mag-giu 2026_791_old'!$D:$T,11,FALSE)</f>
        <v>diretto</v>
      </c>
      <c r="AA116" t="b">
        <v>1</v>
      </c>
      <c r="AF116" t="s">
        <v>20</v>
      </c>
      <c r="AG116" t="s">
        <v>20</v>
      </c>
    </row>
    <row r="117" spans="1:33">
      <c r="A117" s="13"/>
      <c r="C117" s="4">
        <f>VLOOKUP(G117,'[1]Erogati mag-giu 2026_791_old'!$A:$B,2,FALSE)</f>
        <v>202511295898598</v>
      </c>
      <c r="E117" t="s">
        <v>20</v>
      </c>
      <c r="F117" t="s">
        <v>21</v>
      </c>
      <c r="G117">
        <v>2000052355</v>
      </c>
      <c r="H117">
        <f>VLOOKUP(C117,'[1]Erogati mag-giu 2026_791_old'!$B:$E,4,FALSE)</f>
        <v>2000052355</v>
      </c>
      <c r="I117" t="b">
        <f t="shared" si="4"/>
        <v>1</v>
      </c>
      <c r="J117" s="14">
        <v>46163</v>
      </c>
      <c r="K117" s="14">
        <v>46163</v>
      </c>
      <c r="L117" t="s">
        <v>20</v>
      </c>
      <c r="M117" s="14">
        <v>46188</v>
      </c>
      <c r="N117" s="14">
        <v>46163</v>
      </c>
      <c r="O117" t="s">
        <v>20</v>
      </c>
      <c r="P117">
        <v>-35.42</v>
      </c>
      <c r="Q117">
        <f>VLOOKUP(G117,'[1]Erogati mag-giu 2026_791_old'!$A:$W,12,FALSE)</f>
        <v>-35.42</v>
      </c>
      <c r="R117">
        <f t="shared" si="5"/>
        <v>0</v>
      </c>
      <c r="S117">
        <v>-35.42</v>
      </c>
      <c r="T117">
        <f>VLOOKUP(G117,'[1]Erogati mag-giu 2026_791_old'!$A:$W,13,FALSE)</f>
        <v>-35.42</v>
      </c>
      <c r="U117">
        <f t="shared" si="6"/>
        <v>0</v>
      </c>
      <c r="V117">
        <v>-35.42</v>
      </c>
      <c r="W117">
        <f>VLOOKUP(G117,'[1]Erogati mag-giu 2026_791_old'!$A:$W,14,FALSE)</f>
        <v>-35.42</v>
      </c>
      <c r="X117">
        <f t="shared" si="7"/>
        <v>0</v>
      </c>
      <c r="Y117" t="s">
        <v>23</v>
      </c>
      <c r="Z117" t="str">
        <f>VLOOKUP(G117,'[2]Erogati mag-giu 2026_791_old'!$D:$T,11,FALSE)</f>
        <v>diretto</v>
      </c>
      <c r="AA117" t="b">
        <v>1</v>
      </c>
      <c r="AF117" t="s">
        <v>20</v>
      </c>
      <c r="AG117" t="s">
        <v>20</v>
      </c>
    </row>
    <row r="118" spans="1:33">
      <c r="A118" s="13"/>
      <c r="C118" s="4">
        <f>VLOOKUP(G118,'[1]Erogati mag-giu 2026_791_old'!$A:$B,2,FALSE)</f>
        <v>202511294563785</v>
      </c>
      <c r="E118" t="s">
        <v>20</v>
      </c>
      <c r="F118" t="s">
        <v>21</v>
      </c>
      <c r="G118">
        <v>2000052475</v>
      </c>
      <c r="H118">
        <f>VLOOKUP(C118,'[1]Erogati mag-giu 2026_791_old'!$B:$E,4,FALSE)</f>
        <v>2000052475</v>
      </c>
      <c r="I118" t="b">
        <f t="shared" si="4"/>
        <v>1</v>
      </c>
      <c r="J118" s="14">
        <v>46163</v>
      </c>
      <c r="K118" s="14">
        <v>46163</v>
      </c>
      <c r="L118" t="s">
        <v>20</v>
      </c>
      <c r="M118" s="14">
        <v>46188</v>
      </c>
      <c r="N118" s="14">
        <v>46163</v>
      </c>
      <c r="O118" t="s">
        <v>20</v>
      </c>
      <c r="P118">
        <v>-70.84</v>
      </c>
      <c r="Q118">
        <f>VLOOKUP(G118,'[1]Erogati mag-giu 2026_791_old'!$A:$W,12,FALSE)</f>
        <v>-70.84</v>
      </c>
      <c r="R118">
        <f t="shared" si="5"/>
        <v>0</v>
      </c>
      <c r="S118">
        <v>-70.84</v>
      </c>
      <c r="T118">
        <f>VLOOKUP(G118,'[1]Erogati mag-giu 2026_791_old'!$A:$W,13,FALSE)</f>
        <v>-70.84</v>
      </c>
      <c r="U118">
        <f t="shared" si="6"/>
        <v>0</v>
      </c>
      <c r="V118">
        <v>-70.84</v>
      </c>
      <c r="W118">
        <f>VLOOKUP(G118,'[1]Erogati mag-giu 2026_791_old'!$A:$W,14,FALSE)</f>
        <v>-70.84</v>
      </c>
      <c r="X118">
        <f t="shared" si="7"/>
        <v>0</v>
      </c>
      <c r="Y118" t="s">
        <v>23</v>
      </c>
      <c r="Z118" t="str">
        <f>VLOOKUP(G118,'[2]Erogati mag-giu 2026_791_old'!$D:$T,11,FALSE)</f>
        <v>diretto</v>
      </c>
      <c r="AA118" t="b">
        <v>1</v>
      </c>
      <c r="AF118" t="s">
        <v>20</v>
      </c>
      <c r="AG118" t="s">
        <v>20</v>
      </c>
    </row>
    <row r="119" spans="1:33">
      <c r="A119" s="13"/>
      <c r="C119" s="4">
        <f>VLOOKUP(G119,'[1]Erogati mag-giu 2026_791_old'!$A:$B,2,FALSE)</f>
        <v>202601306822561</v>
      </c>
      <c r="E119" t="s">
        <v>20</v>
      </c>
      <c r="F119" t="s">
        <v>21</v>
      </c>
      <c r="G119">
        <v>2000052588</v>
      </c>
      <c r="H119">
        <f>VLOOKUP(C119,'[1]Erogati mag-giu 2026_791_old'!$B:$E,4,FALSE)</f>
        <v>2000052588</v>
      </c>
      <c r="I119" t="b">
        <f t="shared" si="4"/>
        <v>1</v>
      </c>
      <c r="J119" s="14">
        <v>46196</v>
      </c>
      <c r="K119" s="14">
        <v>46196</v>
      </c>
      <c r="L119" t="s">
        <v>20</v>
      </c>
      <c r="M119" s="14">
        <v>46188</v>
      </c>
      <c r="N119" s="14">
        <v>46196</v>
      </c>
      <c r="O119" t="s">
        <v>20</v>
      </c>
      <c r="P119">
        <v>-132.52000000000001</v>
      </c>
      <c r="Q119">
        <f>VLOOKUP(G119,'[1]Erogati mag-giu 2026_791_old'!$A:$W,12,FALSE)</f>
        <v>-132.52000000000001</v>
      </c>
      <c r="R119">
        <f t="shared" si="5"/>
        <v>0</v>
      </c>
      <c r="S119">
        <v>-132.52000000000001</v>
      </c>
      <c r="T119">
        <f>VLOOKUP(G119,'[1]Erogati mag-giu 2026_791_old'!$A:$W,13,FALSE)</f>
        <v>-132.52000000000001</v>
      </c>
      <c r="U119">
        <f t="shared" si="6"/>
        <v>0</v>
      </c>
      <c r="V119">
        <v>-132.52000000000001</v>
      </c>
      <c r="W119">
        <f>VLOOKUP(G119,'[1]Erogati mag-giu 2026_791_old'!$A:$W,14,FALSE)</f>
        <v>-132.52000000000001</v>
      </c>
      <c r="X119">
        <f t="shared" si="7"/>
        <v>0</v>
      </c>
      <c r="Y119" t="s">
        <v>23</v>
      </c>
      <c r="Z119" t="str">
        <f>VLOOKUP(G119,'[2]Erogati mag-giu 2026_791_old'!$D:$T,11,FALSE)</f>
        <v>diretto</v>
      </c>
      <c r="AA119" t="b">
        <v>1</v>
      </c>
      <c r="AF119" t="s">
        <v>20</v>
      </c>
      <c r="AG119" t="s">
        <v>20</v>
      </c>
    </row>
    <row r="120" spans="1:33">
      <c r="A120" s="13"/>
      <c r="C120" s="4">
        <f>VLOOKUP(G120,'[1]Erogati mag-giu 2026_791_old'!$A:$B,2,FALSE)</f>
        <v>202601308551708</v>
      </c>
      <c r="E120" t="s">
        <v>20</v>
      </c>
      <c r="F120" t="s">
        <v>21</v>
      </c>
      <c r="G120">
        <v>2000052938</v>
      </c>
      <c r="H120">
        <f>VLOOKUP(C120,'[1]Erogati mag-giu 2026_791_old'!$B:$E,4,FALSE)</f>
        <v>2000052938</v>
      </c>
      <c r="I120" t="b">
        <f t="shared" si="4"/>
        <v>1</v>
      </c>
      <c r="J120" s="14">
        <v>46196</v>
      </c>
      <c r="K120" s="14">
        <v>46196</v>
      </c>
      <c r="L120" t="s">
        <v>20</v>
      </c>
      <c r="M120" s="14">
        <v>46188</v>
      </c>
      <c r="N120" s="14">
        <v>46196</v>
      </c>
      <c r="O120" t="s">
        <v>20</v>
      </c>
      <c r="P120">
        <v>-123.1</v>
      </c>
      <c r="Q120">
        <f>VLOOKUP(G120,'[1]Erogati mag-giu 2026_791_old'!$A:$W,12,FALSE)</f>
        <v>-123.1</v>
      </c>
      <c r="R120">
        <f t="shared" si="5"/>
        <v>0</v>
      </c>
      <c r="S120">
        <v>-123.1</v>
      </c>
      <c r="T120">
        <f>VLOOKUP(G120,'[1]Erogati mag-giu 2026_791_old'!$A:$W,13,FALSE)</f>
        <v>-123.1</v>
      </c>
      <c r="U120">
        <f t="shared" si="6"/>
        <v>0</v>
      </c>
      <c r="V120">
        <v>-123.1</v>
      </c>
      <c r="W120">
        <f>VLOOKUP(G120,'[1]Erogati mag-giu 2026_791_old'!$A:$W,14,FALSE)</f>
        <v>-123.1</v>
      </c>
      <c r="X120">
        <f t="shared" si="7"/>
        <v>0</v>
      </c>
      <c r="Y120" t="s">
        <v>23</v>
      </c>
      <c r="Z120" t="str">
        <f>VLOOKUP(G120,'[2]Erogati mag-giu 2026_791_old'!$D:$T,11,FALSE)</f>
        <v>diretto</v>
      </c>
      <c r="AA120" t="b">
        <v>1</v>
      </c>
      <c r="AF120" t="s">
        <v>20</v>
      </c>
      <c r="AG120" t="s">
        <v>20</v>
      </c>
    </row>
    <row r="121" spans="1:33">
      <c r="A121" s="13"/>
      <c r="C121" s="4">
        <f>VLOOKUP(G121,'[1]Erogati mag-giu 2026_791_old'!$A:$B,2,FALSE)</f>
        <v>202601308525444</v>
      </c>
      <c r="E121" t="s">
        <v>20</v>
      </c>
      <c r="F121" t="s">
        <v>21</v>
      </c>
      <c r="G121">
        <v>2000053182</v>
      </c>
      <c r="H121">
        <f>VLOOKUP(C121,'[1]Erogati mag-giu 2026_791_old'!$B:$E,4,FALSE)</f>
        <v>2000053182</v>
      </c>
      <c r="I121" t="b">
        <f t="shared" si="4"/>
        <v>1</v>
      </c>
      <c r="J121" s="14">
        <v>46196</v>
      </c>
      <c r="K121" s="14">
        <v>46196</v>
      </c>
      <c r="L121" t="s">
        <v>20</v>
      </c>
      <c r="M121" s="14">
        <v>46188</v>
      </c>
      <c r="N121" s="14">
        <v>46196</v>
      </c>
      <c r="O121" t="s">
        <v>20</v>
      </c>
      <c r="P121">
        <v>-149.09</v>
      </c>
      <c r="Q121">
        <f>VLOOKUP(G121,'[1]Erogati mag-giu 2026_791_old'!$A:$W,12,FALSE)</f>
        <v>-149.09</v>
      </c>
      <c r="R121">
        <f t="shared" si="5"/>
        <v>0</v>
      </c>
      <c r="S121">
        <v>-149.09</v>
      </c>
      <c r="T121">
        <f>VLOOKUP(G121,'[1]Erogati mag-giu 2026_791_old'!$A:$W,13,FALSE)</f>
        <v>-149.09</v>
      </c>
      <c r="U121">
        <f t="shared" si="6"/>
        <v>0</v>
      </c>
      <c r="V121">
        <v>-149.09</v>
      </c>
      <c r="W121">
        <f>VLOOKUP(G121,'[1]Erogati mag-giu 2026_791_old'!$A:$W,14,FALSE)</f>
        <v>-149.09</v>
      </c>
      <c r="X121">
        <f t="shared" si="7"/>
        <v>0</v>
      </c>
      <c r="Y121" t="s">
        <v>23</v>
      </c>
      <c r="Z121" t="str">
        <f>VLOOKUP(G121,'[2]Erogati mag-giu 2026_791_old'!$D:$T,11,FALSE)</f>
        <v>diretto</v>
      </c>
      <c r="AA121" t="b">
        <v>1</v>
      </c>
      <c r="AF121" t="s">
        <v>20</v>
      </c>
      <c r="AG121" t="s">
        <v>20</v>
      </c>
    </row>
    <row r="122" spans="1:33">
      <c r="A122" s="13"/>
      <c r="C122" s="4">
        <f>VLOOKUP(G122,'[1]Erogati mag-giu 2026_791_old'!$A:$B,2,FALSE)</f>
        <v>202601308176384</v>
      </c>
      <c r="E122" t="s">
        <v>20</v>
      </c>
      <c r="F122" t="s">
        <v>21</v>
      </c>
      <c r="G122">
        <v>2000053300</v>
      </c>
      <c r="H122">
        <f>VLOOKUP(C122,'[1]Erogati mag-giu 2026_791_old'!$B:$E,4,FALSE)</f>
        <v>2000053300</v>
      </c>
      <c r="I122" t="b">
        <f t="shared" si="4"/>
        <v>1</v>
      </c>
      <c r="J122" s="14">
        <v>46196</v>
      </c>
      <c r="K122" s="14">
        <v>46196</v>
      </c>
      <c r="L122" t="s">
        <v>20</v>
      </c>
      <c r="M122" s="14">
        <v>46188</v>
      </c>
      <c r="N122" s="14">
        <v>46196</v>
      </c>
      <c r="O122" t="s">
        <v>20</v>
      </c>
      <c r="P122">
        <v>-119.27</v>
      </c>
      <c r="Q122">
        <f>VLOOKUP(G122,'[1]Erogati mag-giu 2026_791_old'!$A:$W,12,FALSE)</f>
        <v>-119.27</v>
      </c>
      <c r="R122">
        <f t="shared" si="5"/>
        <v>0</v>
      </c>
      <c r="S122">
        <v>-119.27</v>
      </c>
      <c r="T122">
        <f>VLOOKUP(G122,'[1]Erogati mag-giu 2026_791_old'!$A:$W,13,FALSE)</f>
        <v>-119.27</v>
      </c>
      <c r="U122">
        <f t="shared" si="6"/>
        <v>0</v>
      </c>
      <c r="V122">
        <v>-119.27</v>
      </c>
      <c r="W122">
        <f>VLOOKUP(G122,'[1]Erogati mag-giu 2026_791_old'!$A:$W,14,FALSE)</f>
        <v>-119.27</v>
      </c>
      <c r="X122">
        <f t="shared" si="7"/>
        <v>0</v>
      </c>
      <c r="Y122" t="s">
        <v>23</v>
      </c>
      <c r="Z122" t="str">
        <f>VLOOKUP(G122,'[2]Erogati mag-giu 2026_791_old'!$D:$T,11,FALSE)</f>
        <v>diretto</v>
      </c>
      <c r="AA122" t="b">
        <v>1</v>
      </c>
      <c r="AF122" t="s">
        <v>20</v>
      </c>
      <c r="AG122" t="s">
        <v>20</v>
      </c>
    </row>
    <row r="123" spans="1:33">
      <c r="A123" s="13"/>
      <c r="C123" s="4">
        <f>VLOOKUP(G123,'[1]Erogati mag-giu 2026_791_old'!$A:$B,2,FALSE)</f>
        <v>202601308529110</v>
      </c>
      <c r="E123" t="s">
        <v>20</v>
      </c>
      <c r="F123" t="s">
        <v>21</v>
      </c>
      <c r="G123">
        <v>2000053422</v>
      </c>
      <c r="H123">
        <f>VLOOKUP(C123,'[1]Erogati mag-giu 2026_791_old'!$B:$E,4,FALSE)</f>
        <v>2000053422</v>
      </c>
      <c r="I123" t="b">
        <f t="shared" si="4"/>
        <v>1</v>
      </c>
      <c r="J123" s="14">
        <v>46196</v>
      </c>
      <c r="K123" s="14">
        <v>46196</v>
      </c>
      <c r="L123" t="s">
        <v>20</v>
      </c>
      <c r="M123" s="14">
        <v>46188</v>
      </c>
      <c r="N123" s="14">
        <v>46196</v>
      </c>
      <c r="O123" t="s">
        <v>20</v>
      </c>
      <c r="P123">
        <v>-143.81</v>
      </c>
      <c r="Q123">
        <f>VLOOKUP(G123,'[1]Erogati mag-giu 2026_791_old'!$A:$W,12,FALSE)</f>
        <v>-143.81</v>
      </c>
      <c r="R123">
        <f t="shared" si="5"/>
        <v>0</v>
      </c>
      <c r="S123">
        <v>-143.81</v>
      </c>
      <c r="T123">
        <f>VLOOKUP(G123,'[1]Erogati mag-giu 2026_791_old'!$A:$W,13,FALSE)</f>
        <v>-143.81</v>
      </c>
      <c r="U123">
        <f t="shared" si="6"/>
        <v>0</v>
      </c>
      <c r="V123">
        <v>-143.81</v>
      </c>
      <c r="W123">
        <f>VLOOKUP(G123,'[1]Erogati mag-giu 2026_791_old'!$A:$W,14,FALSE)</f>
        <v>-143.81</v>
      </c>
      <c r="X123">
        <f t="shared" si="7"/>
        <v>0</v>
      </c>
      <c r="Y123" t="s">
        <v>23</v>
      </c>
      <c r="Z123" t="str">
        <f>VLOOKUP(G123,'[2]Erogati mag-giu 2026_791_old'!$D:$T,11,FALSE)</f>
        <v>diretto</v>
      </c>
      <c r="AA123" t="b">
        <v>1</v>
      </c>
      <c r="AF123" t="s">
        <v>20</v>
      </c>
      <c r="AG123" t="s">
        <v>20</v>
      </c>
    </row>
    <row r="124" spans="1:33">
      <c r="A124" s="13"/>
      <c r="C124" s="4">
        <f>VLOOKUP(G124,'[1]Erogati mag-giu 2026_791_old'!$A:$B,2,FALSE)</f>
        <v>202511295831970</v>
      </c>
      <c r="E124" t="s">
        <v>20</v>
      </c>
      <c r="F124" t="s">
        <v>21</v>
      </c>
      <c r="G124">
        <v>2000053553</v>
      </c>
      <c r="H124">
        <f>VLOOKUP(C124,'[1]Erogati mag-giu 2026_791_old'!$B:$E,4,FALSE)</f>
        <v>2000053553</v>
      </c>
      <c r="I124" t="b">
        <f t="shared" si="4"/>
        <v>1</v>
      </c>
      <c r="J124" s="14">
        <v>46163</v>
      </c>
      <c r="K124" s="14">
        <v>46163</v>
      </c>
      <c r="L124" t="s">
        <v>20</v>
      </c>
      <c r="M124" s="14">
        <v>46188</v>
      </c>
      <c r="N124" s="14">
        <v>46163</v>
      </c>
      <c r="O124" t="s">
        <v>20</v>
      </c>
      <c r="P124">
        <v>-175.39</v>
      </c>
      <c r="Q124">
        <f>VLOOKUP(G124,'[1]Erogati mag-giu 2026_791_old'!$A:$W,12,FALSE)</f>
        <v>-175.39</v>
      </c>
      <c r="R124">
        <f t="shared" si="5"/>
        <v>0</v>
      </c>
      <c r="S124">
        <v>-175.39</v>
      </c>
      <c r="T124">
        <f>VLOOKUP(G124,'[1]Erogati mag-giu 2026_791_old'!$A:$W,13,FALSE)</f>
        <v>-175.39</v>
      </c>
      <c r="U124">
        <f t="shared" si="6"/>
        <v>0</v>
      </c>
      <c r="V124">
        <v>-175.39</v>
      </c>
      <c r="W124">
        <f>VLOOKUP(G124,'[1]Erogati mag-giu 2026_791_old'!$A:$W,14,FALSE)</f>
        <v>-175.39</v>
      </c>
      <c r="X124">
        <f t="shared" si="7"/>
        <v>0</v>
      </c>
      <c r="Y124" t="s">
        <v>23</v>
      </c>
      <c r="Z124" t="str">
        <f>VLOOKUP(G124,'[2]Erogati mag-giu 2026_791_old'!$D:$T,11,FALSE)</f>
        <v>diretto</v>
      </c>
      <c r="AA124" t="b">
        <v>1</v>
      </c>
      <c r="AF124" t="s">
        <v>20</v>
      </c>
      <c r="AG124" t="s">
        <v>20</v>
      </c>
    </row>
    <row r="125" spans="1:33">
      <c r="A125" s="13"/>
      <c r="C125" s="4">
        <f>VLOOKUP(G125,'[1]Erogati mag-giu 2026_791_old'!$A:$B,2,FALSE)</f>
        <v>202601306667451</v>
      </c>
      <c r="E125" t="s">
        <v>20</v>
      </c>
      <c r="F125" t="s">
        <v>21</v>
      </c>
      <c r="G125">
        <v>2000053683</v>
      </c>
      <c r="H125">
        <f>VLOOKUP(C125,'[1]Erogati mag-giu 2026_791_old'!$B:$E,4,FALSE)</f>
        <v>2000053683</v>
      </c>
      <c r="I125" t="b">
        <f t="shared" si="4"/>
        <v>1</v>
      </c>
      <c r="J125" s="14">
        <v>46196</v>
      </c>
      <c r="K125" s="14">
        <v>46196</v>
      </c>
      <c r="L125" t="s">
        <v>20</v>
      </c>
      <c r="M125" s="14">
        <v>46188</v>
      </c>
      <c r="N125" s="14">
        <v>46196</v>
      </c>
      <c r="O125" t="s">
        <v>20</v>
      </c>
      <c r="P125">
        <v>-38.659999999999997</v>
      </c>
      <c r="Q125">
        <f>VLOOKUP(G125,'[1]Erogati mag-giu 2026_791_old'!$A:$W,12,FALSE)</f>
        <v>-38.659999999999997</v>
      </c>
      <c r="R125">
        <f t="shared" si="5"/>
        <v>0</v>
      </c>
      <c r="S125">
        <v>-38.659999999999997</v>
      </c>
      <c r="T125">
        <f>VLOOKUP(G125,'[1]Erogati mag-giu 2026_791_old'!$A:$W,13,FALSE)</f>
        <v>-38.659999999999997</v>
      </c>
      <c r="U125">
        <f t="shared" si="6"/>
        <v>0</v>
      </c>
      <c r="V125">
        <v>-38.659999999999997</v>
      </c>
      <c r="W125">
        <f>VLOOKUP(G125,'[1]Erogati mag-giu 2026_791_old'!$A:$W,14,FALSE)</f>
        <v>-38.659999999999997</v>
      </c>
      <c r="X125">
        <f t="shared" si="7"/>
        <v>0</v>
      </c>
      <c r="Y125" t="s">
        <v>23</v>
      </c>
      <c r="Z125" t="str">
        <f>VLOOKUP(G125,'[2]Erogati mag-giu 2026_791_old'!$D:$T,11,FALSE)</f>
        <v>diretto</v>
      </c>
      <c r="AA125" t="b">
        <v>1</v>
      </c>
      <c r="AF125" t="s">
        <v>20</v>
      </c>
      <c r="AG125" t="s">
        <v>20</v>
      </c>
    </row>
    <row r="126" spans="1:33">
      <c r="A126" s="13"/>
      <c r="C126" s="4">
        <f>VLOOKUP(G126,'[1]Erogati mag-giu 2026_791_old'!$A:$B,2,FALSE)</f>
        <v>202512302702416</v>
      </c>
      <c r="E126" t="s">
        <v>20</v>
      </c>
      <c r="F126" t="s">
        <v>21</v>
      </c>
      <c r="G126">
        <v>2000054264</v>
      </c>
      <c r="H126">
        <f>VLOOKUP(C126,'[1]Erogati mag-giu 2026_791_old'!$B:$E,4,FALSE)</f>
        <v>2000054264</v>
      </c>
      <c r="I126" t="b">
        <f t="shared" si="4"/>
        <v>1</v>
      </c>
      <c r="J126" s="14">
        <v>46188</v>
      </c>
      <c r="K126" s="14">
        <v>46188</v>
      </c>
      <c r="L126" t="s">
        <v>20</v>
      </c>
      <c r="M126" s="14">
        <v>46188</v>
      </c>
      <c r="N126" s="14">
        <v>46188</v>
      </c>
      <c r="O126" t="s">
        <v>20</v>
      </c>
      <c r="P126">
        <v>-105.23</v>
      </c>
      <c r="Q126">
        <f>VLOOKUP(G126,'[1]Erogati mag-giu 2026_791_old'!$A:$W,12,FALSE)</f>
        <v>-105.23</v>
      </c>
      <c r="R126">
        <f t="shared" si="5"/>
        <v>0</v>
      </c>
      <c r="S126">
        <v>-105.23</v>
      </c>
      <c r="T126">
        <f>VLOOKUP(G126,'[1]Erogati mag-giu 2026_791_old'!$A:$W,13,FALSE)</f>
        <v>-105.23</v>
      </c>
      <c r="U126">
        <f t="shared" si="6"/>
        <v>0</v>
      </c>
      <c r="V126">
        <v>-105.23</v>
      </c>
      <c r="W126">
        <f>VLOOKUP(G126,'[1]Erogati mag-giu 2026_791_old'!$A:$W,14,FALSE)</f>
        <v>-105.23</v>
      </c>
      <c r="X126">
        <f t="shared" si="7"/>
        <v>0</v>
      </c>
      <c r="Y126" t="s">
        <v>23</v>
      </c>
      <c r="Z126" t="str">
        <f>VLOOKUP(G126,'[2]Erogati mag-giu 2026_791_old'!$D:$T,11,FALSE)</f>
        <v>diretto</v>
      </c>
      <c r="AA126" t="b">
        <v>1</v>
      </c>
      <c r="AF126" t="s">
        <v>20</v>
      </c>
      <c r="AG126" t="s">
        <v>20</v>
      </c>
    </row>
    <row r="127" spans="1:33">
      <c r="A127" s="13"/>
      <c r="C127" s="4">
        <f>VLOOKUP(G127,'[1]Erogati mag-giu 2026_791_old'!$A:$B,2,FALSE)</f>
        <v>202601306710252</v>
      </c>
      <c r="E127" t="s">
        <v>20</v>
      </c>
      <c r="F127" t="s">
        <v>21</v>
      </c>
      <c r="G127">
        <v>2000054548</v>
      </c>
      <c r="H127">
        <f>VLOOKUP(C127,'[1]Erogati mag-giu 2026_791_old'!$B:$E,4,FALSE)</f>
        <v>2000054548</v>
      </c>
      <c r="I127" t="b">
        <f t="shared" si="4"/>
        <v>1</v>
      </c>
      <c r="J127" s="14">
        <v>46196</v>
      </c>
      <c r="K127" s="14">
        <v>46196</v>
      </c>
      <c r="L127" t="s">
        <v>20</v>
      </c>
      <c r="M127" s="14">
        <v>46188</v>
      </c>
      <c r="N127" s="14">
        <v>46196</v>
      </c>
      <c r="O127" t="s">
        <v>20</v>
      </c>
      <c r="P127">
        <v>-73.86</v>
      </c>
      <c r="Q127">
        <f>VLOOKUP(G127,'[1]Erogati mag-giu 2026_791_old'!$A:$W,12,FALSE)</f>
        <v>-73.86</v>
      </c>
      <c r="R127">
        <f t="shared" si="5"/>
        <v>0</v>
      </c>
      <c r="S127">
        <v>-73.86</v>
      </c>
      <c r="T127">
        <f>VLOOKUP(G127,'[1]Erogati mag-giu 2026_791_old'!$A:$W,13,FALSE)</f>
        <v>-73.86</v>
      </c>
      <c r="U127">
        <f t="shared" si="6"/>
        <v>0</v>
      </c>
      <c r="V127">
        <v>-73.86</v>
      </c>
      <c r="W127">
        <f>VLOOKUP(G127,'[1]Erogati mag-giu 2026_791_old'!$A:$W,14,FALSE)</f>
        <v>-73.86</v>
      </c>
      <c r="X127">
        <f t="shared" si="7"/>
        <v>0</v>
      </c>
      <c r="Y127" t="s">
        <v>23</v>
      </c>
      <c r="Z127" t="str">
        <f>VLOOKUP(G127,'[2]Erogati mag-giu 2026_791_old'!$D:$T,11,FALSE)</f>
        <v>diretto</v>
      </c>
      <c r="AA127" t="b">
        <v>1</v>
      </c>
      <c r="AF127" t="s">
        <v>20</v>
      </c>
      <c r="AG127" t="s">
        <v>20</v>
      </c>
    </row>
    <row r="128" spans="1:33">
      <c r="A128" s="13"/>
      <c r="C128" s="4">
        <f>VLOOKUP(G128,'[1]Erogati mag-giu 2026_791_old'!$A:$B,2,FALSE)</f>
        <v>202601307352936</v>
      </c>
      <c r="E128" t="s">
        <v>20</v>
      </c>
      <c r="F128" t="s">
        <v>21</v>
      </c>
      <c r="G128">
        <v>2000054799</v>
      </c>
      <c r="H128">
        <f>VLOOKUP(C128,'[1]Erogati mag-giu 2026_791_old'!$B:$E,4,FALSE)</f>
        <v>2000054799</v>
      </c>
      <c r="I128" t="b">
        <f t="shared" si="4"/>
        <v>1</v>
      </c>
      <c r="J128" s="14">
        <v>46196</v>
      </c>
      <c r="K128" s="14">
        <v>46196</v>
      </c>
      <c r="L128" t="s">
        <v>20</v>
      </c>
      <c r="M128" s="14">
        <v>46188</v>
      </c>
      <c r="N128" s="14">
        <v>46196</v>
      </c>
      <c r="O128" t="s">
        <v>20</v>
      </c>
      <c r="P128">
        <v>-143.81</v>
      </c>
      <c r="Q128">
        <f>VLOOKUP(G128,'[1]Erogati mag-giu 2026_791_old'!$A:$W,12,FALSE)</f>
        <v>-143.81</v>
      </c>
      <c r="R128">
        <f t="shared" si="5"/>
        <v>0</v>
      </c>
      <c r="S128">
        <v>-143.81</v>
      </c>
      <c r="T128">
        <f>VLOOKUP(G128,'[1]Erogati mag-giu 2026_791_old'!$A:$W,13,FALSE)</f>
        <v>-143.81</v>
      </c>
      <c r="U128">
        <f t="shared" si="6"/>
        <v>0</v>
      </c>
      <c r="V128">
        <v>-143.81</v>
      </c>
      <c r="W128">
        <f>VLOOKUP(G128,'[1]Erogati mag-giu 2026_791_old'!$A:$W,14,FALSE)</f>
        <v>-143.81</v>
      </c>
      <c r="X128">
        <f t="shared" si="7"/>
        <v>0</v>
      </c>
      <c r="Y128" t="s">
        <v>23</v>
      </c>
      <c r="Z128" t="str">
        <f>VLOOKUP(G128,'[2]Erogati mag-giu 2026_791_old'!$D:$T,11,FALSE)</f>
        <v>diretto</v>
      </c>
      <c r="AA128" t="b">
        <v>1</v>
      </c>
      <c r="AF128" t="s">
        <v>20</v>
      </c>
      <c r="AG128" t="s">
        <v>20</v>
      </c>
    </row>
    <row r="129" spans="1:33">
      <c r="A129" s="13"/>
      <c r="C129" s="4">
        <f>VLOOKUP(G129,'[1]Erogati mag-giu 2026_791_old'!$A:$B,2,FALSE)</f>
        <v>202512302663059</v>
      </c>
      <c r="E129" t="s">
        <v>20</v>
      </c>
      <c r="F129" t="s">
        <v>21</v>
      </c>
      <c r="G129">
        <v>2000055216</v>
      </c>
      <c r="H129">
        <f>VLOOKUP(C129,'[1]Erogati mag-giu 2026_791_old'!$B:$E,4,FALSE)</f>
        <v>2000055216</v>
      </c>
      <c r="I129" t="b">
        <f t="shared" si="4"/>
        <v>1</v>
      </c>
      <c r="J129" s="14">
        <v>46188</v>
      </c>
      <c r="K129" s="14">
        <v>46188</v>
      </c>
      <c r="L129" t="s">
        <v>20</v>
      </c>
      <c r="M129" s="14">
        <v>46188</v>
      </c>
      <c r="N129" s="14">
        <v>46188</v>
      </c>
      <c r="O129" t="s">
        <v>20</v>
      </c>
      <c r="P129">
        <v>-105.23</v>
      </c>
      <c r="Q129">
        <f>VLOOKUP(G129,'[1]Erogati mag-giu 2026_791_old'!$A:$W,12,FALSE)</f>
        <v>-105.23</v>
      </c>
      <c r="R129">
        <f t="shared" si="5"/>
        <v>0</v>
      </c>
      <c r="S129">
        <v>-105.23</v>
      </c>
      <c r="T129">
        <f>VLOOKUP(G129,'[1]Erogati mag-giu 2026_791_old'!$A:$W,13,FALSE)</f>
        <v>-105.23</v>
      </c>
      <c r="U129">
        <f t="shared" si="6"/>
        <v>0</v>
      </c>
      <c r="V129">
        <v>-105.23</v>
      </c>
      <c r="W129">
        <f>VLOOKUP(G129,'[1]Erogati mag-giu 2026_791_old'!$A:$W,14,FALSE)</f>
        <v>-105.23</v>
      </c>
      <c r="X129">
        <f t="shared" si="7"/>
        <v>0</v>
      </c>
      <c r="Y129" t="s">
        <v>23</v>
      </c>
      <c r="Z129" t="str">
        <f>VLOOKUP(G129,'[2]Erogati mag-giu 2026_791_old'!$D:$T,11,FALSE)</f>
        <v>diretto</v>
      </c>
      <c r="AA129" t="b">
        <v>1</v>
      </c>
      <c r="AF129" t="s">
        <v>20</v>
      </c>
      <c r="AG129" t="s">
        <v>20</v>
      </c>
    </row>
    <row r="130" spans="1:33">
      <c r="A130" s="13"/>
      <c r="C130" s="4">
        <f>VLOOKUP(G130,'[1]Erogati mag-giu 2026_791_old'!$A:$B,2,FALSE)</f>
        <v>202601307750840</v>
      </c>
      <c r="E130" t="s">
        <v>20</v>
      </c>
      <c r="F130" t="s">
        <v>21</v>
      </c>
      <c r="G130">
        <v>2000055262</v>
      </c>
      <c r="H130">
        <f>VLOOKUP(C130,'[1]Erogati mag-giu 2026_791_old'!$B:$E,4,FALSE)</f>
        <v>2000055262</v>
      </c>
      <c r="I130" t="b">
        <f t="shared" si="4"/>
        <v>1</v>
      </c>
      <c r="J130" s="14">
        <v>46196</v>
      </c>
      <c r="K130" s="14">
        <v>46196</v>
      </c>
      <c r="L130" t="s">
        <v>20</v>
      </c>
      <c r="M130" s="14">
        <v>46188</v>
      </c>
      <c r="N130" s="14">
        <v>46196</v>
      </c>
      <c r="O130" t="s">
        <v>20</v>
      </c>
      <c r="P130">
        <v>-26.5</v>
      </c>
      <c r="Q130">
        <f>VLOOKUP(G130,'[1]Erogati mag-giu 2026_791_old'!$A:$W,12,FALSE)</f>
        <v>-26.5</v>
      </c>
      <c r="R130">
        <f t="shared" si="5"/>
        <v>0</v>
      </c>
      <c r="S130">
        <v>-26.5</v>
      </c>
      <c r="T130">
        <f>VLOOKUP(G130,'[1]Erogati mag-giu 2026_791_old'!$A:$W,13,FALSE)</f>
        <v>-26.5</v>
      </c>
      <c r="U130">
        <f t="shared" si="6"/>
        <v>0</v>
      </c>
      <c r="V130">
        <v>-26.5</v>
      </c>
      <c r="W130">
        <f>VLOOKUP(G130,'[1]Erogati mag-giu 2026_791_old'!$A:$W,14,FALSE)</f>
        <v>-26.5</v>
      </c>
      <c r="X130">
        <f t="shared" si="7"/>
        <v>0</v>
      </c>
      <c r="Y130" t="s">
        <v>23</v>
      </c>
      <c r="Z130" t="str">
        <f>VLOOKUP(G130,'[2]Erogati mag-giu 2026_791_old'!$D:$T,11,FALSE)</f>
        <v>diretto</v>
      </c>
      <c r="AA130" t="b">
        <v>1</v>
      </c>
      <c r="AF130" t="s">
        <v>20</v>
      </c>
      <c r="AG130" t="s">
        <v>20</v>
      </c>
    </row>
    <row r="131" spans="1:33">
      <c r="A131" s="13"/>
      <c r="C131" s="4">
        <f>VLOOKUP(G131,'[1]Erogati mag-giu 2026_791_old'!$A:$B,2,FALSE)</f>
        <v>202512302682800</v>
      </c>
      <c r="E131" t="s">
        <v>20</v>
      </c>
      <c r="F131" t="s">
        <v>21</v>
      </c>
      <c r="G131">
        <v>2000055884</v>
      </c>
      <c r="H131">
        <f>VLOOKUP(C131,'[1]Erogati mag-giu 2026_791_old'!$B:$E,4,FALSE)</f>
        <v>2000055884</v>
      </c>
      <c r="I131" t="b">
        <f t="shared" si="4"/>
        <v>1</v>
      </c>
      <c r="J131" s="14">
        <v>46188</v>
      </c>
      <c r="K131" s="14">
        <v>46188</v>
      </c>
      <c r="L131" t="s">
        <v>20</v>
      </c>
      <c r="M131" s="14">
        <v>46188</v>
      </c>
      <c r="N131" s="14">
        <v>46188</v>
      </c>
      <c r="O131" t="s">
        <v>20</v>
      </c>
      <c r="P131">
        <v>-157.85</v>
      </c>
      <c r="Q131">
        <f>VLOOKUP(G131,'[1]Erogati mag-giu 2026_791_old'!$A:$W,12,FALSE)</f>
        <v>-157.85</v>
      </c>
      <c r="R131">
        <f t="shared" si="5"/>
        <v>0</v>
      </c>
      <c r="S131">
        <v>-157.85</v>
      </c>
      <c r="T131">
        <f>VLOOKUP(G131,'[1]Erogati mag-giu 2026_791_old'!$A:$W,13,FALSE)</f>
        <v>-157.85</v>
      </c>
      <c r="U131">
        <f t="shared" si="6"/>
        <v>0</v>
      </c>
      <c r="V131">
        <v>-157.85</v>
      </c>
      <c r="W131">
        <f>VLOOKUP(G131,'[1]Erogati mag-giu 2026_791_old'!$A:$W,14,FALSE)</f>
        <v>-157.85</v>
      </c>
      <c r="X131">
        <f t="shared" si="7"/>
        <v>0</v>
      </c>
      <c r="Y131" t="s">
        <v>23</v>
      </c>
      <c r="Z131" t="str">
        <f>VLOOKUP(G131,'[2]Erogati mag-giu 2026_791_old'!$D:$T,11,FALSE)</f>
        <v>diretto</v>
      </c>
      <c r="AA131" t="b">
        <v>1</v>
      </c>
      <c r="AF131" t="s">
        <v>20</v>
      </c>
      <c r="AG131" t="s">
        <v>20</v>
      </c>
    </row>
    <row r="132" spans="1:33">
      <c r="A132" s="13"/>
      <c r="C132" s="4">
        <f>VLOOKUP(G132,'[1]Erogati mag-giu 2026_791_old'!$A:$B,2,FALSE)</f>
        <v>202601307130327</v>
      </c>
      <c r="E132" t="s">
        <v>20</v>
      </c>
      <c r="F132" t="s">
        <v>21</v>
      </c>
      <c r="G132">
        <v>4009002900</v>
      </c>
      <c r="H132">
        <f>VLOOKUP(C132,'[1]Erogati mag-giu 2026_791_old'!$B:$E,4,FALSE)</f>
        <v>4009002900</v>
      </c>
      <c r="I132" t="b">
        <f t="shared" ref="I132:I195" si="8">EXACT(G132,H132)</f>
        <v>1</v>
      </c>
      <c r="J132" s="14">
        <v>46196</v>
      </c>
      <c r="K132" s="14">
        <v>46196</v>
      </c>
      <c r="L132" t="s">
        <v>20</v>
      </c>
      <c r="M132" s="14">
        <v>46188</v>
      </c>
      <c r="N132" s="14">
        <v>46196</v>
      </c>
      <c r="O132" t="s">
        <v>20</v>
      </c>
      <c r="P132">
        <v>-39.25</v>
      </c>
      <c r="Q132">
        <f>VLOOKUP(G132,'[1]Erogati mag-giu 2026_791_old'!$A:$W,12,FALSE)</f>
        <v>-39.25</v>
      </c>
      <c r="R132">
        <f t="shared" ref="R132:R195" si="9">P132-Q132</f>
        <v>0</v>
      </c>
      <c r="S132">
        <v>-39.25</v>
      </c>
      <c r="T132">
        <f>VLOOKUP(G132,'[1]Erogati mag-giu 2026_791_old'!$A:$W,13,FALSE)</f>
        <v>-39.25</v>
      </c>
      <c r="U132">
        <f t="shared" ref="U132:U195" si="10">S132-T132</f>
        <v>0</v>
      </c>
      <c r="V132">
        <v>-39.25</v>
      </c>
      <c r="W132">
        <f>VLOOKUP(G132,'[1]Erogati mag-giu 2026_791_old'!$A:$W,14,FALSE)</f>
        <v>-39.25</v>
      </c>
      <c r="X132">
        <f t="shared" ref="X132:X195" si="11">V132-W132</f>
        <v>0</v>
      </c>
      <c r="Y132" t="s">
        <v>23</v>
      </c>
      <c r="Z132" t="str">
        <f>VLOOKUP(G132,'[2]Erogati mag-giu 2026_791_old'!$D:$T,11,FALSE)</f>
        <v>diretto</v>
      </c>
      <c r="AA132" t="b">
        <v>1</v>
      </c>
      <c r="AF132" t="s">
        <v>20</v>
      </c>
      <c r="AG132" t="s">
        <v>20</v>
      </c>
    </row>
    <row r="133" spans="1:33">
      <c r="A133" s="13"/>
      <c r="C133" s="4">
        <f>VLOOKUP(G133,'[1]Erogati mag-giu 2026_791_old'!$A:$B,2,FALSE)</f>
        <v>202601308080208</v>
      </c>
      <c r="E133" t="s">
        <v>20</v>
      </c>
      <c r="F133" t="s">
        <v>21</v>
      </c>
      <c r="G133">
        <v>4009051202</v>
      </c>
      <c r="H133">
        <f>VLOOKUP(C133,'[1]Erogati mag-giu 2026_791_old'!$B:$E,4,FALSE)</f>
        <v>4009051202</v>
      </c>
      <c r="I133" t="b">
        <f t="shared" si="8"/>
        <v>1</v>
      </c>
      <c r="J133" s="14">
        <v>46196</v>
      </c>
      <c r="K133" s="14">
        <v>46196</v>
      </c>
      <c r="L133" t="s">
        <v>20</v>
      </c>
      <c r="M133" s="14">
        <v>46188</v>
      </c>
      <c r="N133" s="14">
        <v>46196</v>
      </c>
      <c r="O133" t="s">
        <v>20</v>
      </c>
      <c r="P133">
        <v>-26.17</v>
      </c>
      <c r="Q133">
        <f>VLOOKUP(G133,'[1]Erogati mag-giu 2026_791_old'!$A:$W,12,FALSE)</f>
        <v>-26.17</v>
      </c>
      <c r="R133">
        <f t="shared" si="9"/>
        <v>0</v>
      </c>
      <c r="S133">
        <v>-26.17</v>
      </c>
      <c r="T133">
        <f>VLOOKUP(G133,'[1]Erogati mag-giu 2026_791_old'!$A:$W,13,FALSE)</f>
        <v>-26.17</v>
      </c>
      <c r="U133">
        <f t="shared" si="10"/>
        <v>0</v>
      </c>
      <c r="V133">
        <v>-26.17</v>
      </c>
      <c r="W133">
        <f>VLOOKUP(G133,'[1]Erogati mag-giu 2026_791_old'!$A:$W,14,FALSE)</f>
        <v>-26.17</v>
      </c>
      <c r="X133">
        <f t="shared" si="11"/>
        <v>0</v>
      </c>
      <c r="Y133" t="s">
        <v>23</v>
      </c>
      <c r="Z133" t="str">
        <f>VLOOKUP(G133,'[2]Erogati mag-giu 2026_791_old'!$D:$T,11,FALSE)</f>
        <v>diretto</v>
      </c>
      <c r="AA133" t="b">
        <v>1</v>
      </c>
      <c r="AF133" t="s">
        <v>20</v>
      </c>
      <c r="AG133" t="s">
        <v>20</v>
      </c>
    </row>
    <row r="134" spans="1:33">
      <c r="A134" s="13"/>
      <c r="C134" s="4">
        <f>VLOOKUP(G134,'[1]Erogati mag-giu 2026_791_old'!$A:$B,2,FALSE)</f>
        <v>202512302688840</v>
      </c>
      <c r="E134" t="s">
        <v>20</v>
      </c>
      <c r="F134" t="s">
        <v>21</v>
      </c>
      <c r="G134">
        <v>4012052650</v>
      </c>
      <c r="H134">
        <f>VLOOKUP(C134,'[1]Erogati mag-giu 2026_791_old'!$B:$E,4,FALSE)</f>
        <v>4012052650</v>
      </c>
      <c r="I134" t="b">
        <f t="shared" si="8"/>
        <v>1</v>
      </c>
      <c r="J134" s="14">
        <v>46188</v>
      </c>
      <c r="K134" s="14">
        <v>46188</v>
      </c>
      <c r="L134" t="s">
        <v>20</v>
      </c>
      <c r="M134" s="14">
        <v>46188</v>
      </c>
      <c r="N134" s="14">
        <v>46188</v>
      </c>
      <c r="O134" t="s">
        <v>20</v>
      </c>
      <c r="P134">
        <v>-26.07</v>
      </c>
      <c r="Q134">
        <f>VLOOKUP(G134,'[1]Erogati mag-giu 2026_791_old'!$A:$W,12,FALSE)</f>
        <v>-26.07</v>
      </c>
      <c r="R134">
        <f t="shared" si="9"/>
        <v>0</v>
      </c>
      <c r="S134">
        <v>-26.07</v>
      </c>
      <c r="T134">
        <f>VLOOKUP(G134,'[1]Erogati mag-giu 2026_791_old'!$A:$W,13,FALSE)</f>
        <v>-26.07</v>
      </c>
      <c r="U134">
        <f t="shared" si="10"/>
        <v>0</v>
      </c>
      <c r="V134">
        <v>-26.07</v>
      </c>
      <c r="W134">
        <f>VLOOKUP(G134,'[1]Erogati mag-giu 2026_791_old'!$A:$W,14,FALSE)</f>
        <v>-26.07</v>
      </c>
      <c r="X134">
        <f t="shared" si="11"/>
        <v>0</v>
      </c>
      <c r="Y134" t="s">
        <v>23</v>
      </c>
      <c r="Z134" t="str">
        <f>VLOOKUP(G134,'[2]Erogati mag-giu 2026_791_old'!$D:$T,11,FALSE)</f>
        <v>diretto</v>
      </c>
      <c r="AA134" t="b">
        <v>1</v>
      </c>
      <c r="AF134" t="s">
        <v>20</v>
      </c>
      <c r="AG134" t="s">
        <v>20</v>
      </c>
    </row>
    <row r="135" spans="1:33">
      <c r="A135" s="13"/>
      <c r="C135" s="4">
        <f>VLOOKUP(G135,'[1]Erogati mag-giu 2026_791_old'!$A:$B,2,FALSE)</f>
        <v>202511294494493</v>
      </c>
      <c r="E135" t="s">
        <v>20</v>
      </c>
      <c r="F135" t="s">
        <v>21</v>
      </c>
      <c r="G135">
        <v>4012054693</v>
      </c>
      <c r="H135">
        <f>VLOOKUP(C135,'[1]Erogati mag-giu 2026_791_old'!$B:$E,4,FALSE)</f>
        <v>4012054693</v>
      </c>
      <c r="I135" t="b">
        <f t="shared" si="8"/>
        <v>1</v>
      </c>
      <c r="J135" s="14">
        <v>46163</v>
      </c>
      <c r="K135" s="14">
        <v>46163</v>
      </c>
      <c r="L135" t="s">
        <v>20</v>
      </c>
      <c r="M135" s="14">
        <v>46188</v>
      </c>
      <c r="N135" s="14">
        <v>46163</v>
      </c>
      <c r="O135" t="s">
        <v>20</v>
      </c>
      <c r="P135">
        <v>-52.14</v>
      </c>
      <c r="Q135">
        <f>VLOOKUP(G135,'[1]Erogati mag-giu 2026_791_old'!$A:$W,12,FALSE)</f>
        <v>-52.14</v>
      </c>
      <c r="R135">
        <f t="shared" si="9"/>
        <v>0</v>
      </c>
      <c r="S135">
        <v>-52.14</v>
      </c>
      <c r="T135">
        <f>VLOOKUP(G135,'[1]Erogati mag-giu 2026_791_old'!$A:$W,13,FALSE)</f>
        <v>-52.14</v>
      </c>
      <c r="U135">
        <f t="shared" si="10"/>
        <v>0</v>
      </c>
      <c r="V135">
        <v>-52.14</v>
      </c>
      <c r="W135">
        <f>VLOOKUP(G135,'[1]Erogati mag-giu 2026_791_old'!$A:$W,14,FALSE)</f>
        <v>-52.14</v>
      </c>
      <c r="X135">
        <f t="shared" si="11"/>
        <v>0</v>
      </c>
      <c r="Y135" t="s">
        <v>23</v>
      </c>
      <c r="Z135" t="str">
        <f>VLOOKUP(G135,'[2]Erogati mag-giu 2026_791_old'!$D:$T,11,FALSE)</f>
        <v>diretto</v>
      </c>
      <c r="AA135" t="b">
        <v>1</v>
      </c>
      <c r="AF135" t="s">
        <v>20</v>
      </c>
      <c r="AG135" t="s">
        <v>20</v>
      </c>
    </row>
    <row r="136" spans="1:33">
      <c r="A136" s="13" t="s">
        <v>156</v>
      </c>
      <c r="B136" t="s">
        <v>1502</v>
      </c>
      <c r="C136" s="4">
        <v>202100123305167</v>
      </c>
      <c r="D136" s="4" t="b">
        <f>EXACT(B136,C136)</f>
        <v>1</v>
      </c>
      <c r="E136" t="s">
        <v>20</v>
      </c>
      <c r="F136" t="s">
        <v>21</v>
      </c>
      <c r="G136" t="s">
        <v>157</v>
      </c>
      <c r="H136" t="str">
        <f>VLOOKUP(C136,'[1]Erogati mag-giu 2026_791_old'!$B:$E,4,FALSE)</f>
        <v>C312509</v>
      </c>
      <c r="I136" t="b">
        <f t="shared" si="8"/>
        <v>1</v>
      </c>
      <c r="J136" s="14">
        <v>46169</v>
      </c>
      <c r="K136" s="14">
        <v>46169</v>
      </c>
      <c r="L136" t="s">
        <v>20</v>
      </c>
      <c r="M136" s="14">
        <v>46188</v>
      </c>
      <c r="N136" s="14">
        <v>46169</v>
      </c>
      <c r="O136" t="s">
        <v>20</v>
      </c>
      <c r="P136">
        <v>-78.92</v>
      </c>
      <c r="Q136">
        <f>VLOOKUP(G136,'[1]Erogati mag-giu 2026_791_old'!$A:$W,12,FALSE)</f>
        <v>-78.92</v>
      </c>
      <c r="R136">
        <f t="shared" si="9"/>
        <v>0</v>
      </c>
      <c r="S136">
        <v>-78.92</v>
      </c>
      <c r="T136">
        <f>VLOOKUP(G136,'[1]Erogati mag-giu 2026_791_old'!$A:$W,13,FALSE)</f>
        <v>-78.92</v>
      </c>
      <c r="U136">
        <f t="shared" si="10"/>
        <v>0</v>
      </c>
      <c r="V136">
        <v>-78.92</v>
      </c>
      <c r="W136">
        <f>VLOOKUP(G136,'[1]Erogati mag-giu 2026_791_old'!$A:$W,14,FALSE)</f>
        <v>-78.92</v>
      </c>
      <c r="X136">
        <f t="shared" si="11"/>
        <v>0</v>
      </c>
      <c r="Y136" t="s">
        <v>158</v>
      </c>
      <c r="Z136" t="str">
        <f>VLOOKUP(G136,'[2]Erogati mag-giu 2026_791_old'!$D:$T,11,FALSE)</f>
        <v>indiretto</v>
      </c>
      <c r="AA136" t="b">
        <v>1</v>
      </c>
      <c r="AF136" t="s">
        <v>20</v>
      </c>
      <c r="AG136" t="s">
        <v>20</v>
      </c>
    </row>
    <row r="137" spans="1:33">
      <c r="A137" s="13" t="s">
        <v>159</v>
      </c>
      <c r="B137" t="s">
        <v>1503</v>
      </c>
      <c r="C137" s="4">
        <v>202100123376608</v>
      </c>
      <c r="D137" s="4" t="b">
        <f t="shared" ref="D137:D200" si="12">EXACT(B137,C137)</f>
        <v>1</v>
      </c>
      <c r="E137" t="s">
        <v>20</v>
      </c>
      <c r="F137" t="s">
        <v>21</v>
      </c>
      <c r="G137" t="s">
        <v>160</v>
      </c>
      <c r="H137" t="str">
        <f>VLOOKUP(C137,'[1]Erogati mag-giu 2026_791_old'!$B:$E,4,FALSE)</f>
        <v>C131028</v>
      </c>
      <c r="I137" t="b">
        <f t="shared" si="8"/>
        <v>1</v>
      </c>
      <c r="J137" s="14">
        <v>46191</v>
      </c>
      <c r="K137" s="14">
        <v>46191</v>
      </c>
      <c r="L137" t="s">
        <v>20</v>
      </c>
      <c r="M137" s="14">
        <v>46188</v>
      </c>
      <c r="N137" s="14">
        <v>46191</v>
      </c>
      <c r="O137" t="s">
        <v>20</v>
      </c>
      <c r="P137">
        <v>-71.03</v>
      </c>
      <c r="Q137">
        <f>VLOOKUP(G137,'[1]Erogati mag-giu 2026_791_old'!$A:$W,12,FALSE)</f>
        <v>-71.03</v>
      </c>
      <c r="R137">
        <f t="shared" si="9"/>
        <v>0</v>
      </c>
      <c r="S137">
        <v>-71.03</v>
      </c>
      <c r="T137">
        <f>VLOOKUP(G137,'[1]Erogati mag-giu 2026_791_old'!$A:$W,13,FALSE)</f>
        <v>-71.03</v>
      </c>
      <c r="U137">
        <f t="shared" si="10"/>
        <v>0</v>
      </c>
      <c r="V137">
        <v>-71.03</v>
      </c>
      <c r="W137">
        <f>VLOOKUP(G137,'[1]Erogati mag-giu 2026_791_old'!$A:$W,14,FALSE)</f>
        <v>-71.03</v>
      </c>
      <c r="X137">
        <f t="shared" si="11"/>
        <v>0</v>
      </c>
      <c r="Y137" t="s">
        <v>158</v>
      </c>
      <c r="Z137" t="str">
        <f>VLOOKUP(G137,'[2]Erogati mag-giu 2026_791_old'!$D:$T,11,FALSE)</f>
        <v>indiretto</v>
      </c>
      <c r="AA137" t="b">
        <v>1</v>
      </c>
      <c r="AF137" t="s">
        <v>20</v>
      </c>
      <c r="AG137" t="s">
        <v>20</v>
      </c>
    </row>
    <row r="138" spans="1:33">
      <c r="A138" s="13" t="s">
        <v>161</v>
      </c>
      <c r="B138" t="s">
        <v>1504</v>
      </c>
      <c r="C138" s="4">
        <v>202100123395189</v>
      </c>
      <c r="D138" s="4" t="b">
        <f t="shared" si="12"/>
        <v>1</v>
      </c>
      <c r="E138" t="s">
        <v>20</v>
      </c>
      <c r="F138" t="s">
        <v>21</v>
      </c>
      <c r="G138" t="s">
        <v>162</v>
      </c>
      <c r="H138" t="str">
        <f>VLOOKUP(C138,'[1]Erogati mag-giu 2026_791_old'!$B:$E,4,FALSE)</f>
        <v>C311082</v>
      </c>
      <c r="I138" t="b">
        <f t="shared" si="8"/>
        <v>1</v>
      </c>
      <c r="J138" s="14">
        <v>46153</v>
      </c>
      <c r="K138" s="14">
        <v>46153</v>
      </c>
      <c r="L138" t="s">
        <v>20</v>
      </c>
      <c r="M138" s="14">
        <v>46188</v>
      </c>
      <c r="N138" s="14">
        <v>46153</v>
      </c>
      <c r="O138" t="s">
        <v>20</v>
      </c>
      <c r="P138">
        <v>-78.92</v>
      </c>
      <c r="Q138">
        <f>VLOOKUP(G138,'[1]Erogati mag-giu 2026_791_old'!$A:$W,12,FALSE)</f>
        <v>-78.92</v>
      </c>
      <c r="R138">
        <f t="shared" si="9"/>
        <v>0</v>
      </c>
      <c r="S138">
        <v>-78.92</v>
      </c>
      <c r="T138">
        <f>VLOOKUP(G138,'[1]Erogati mag-giu 2026_791_old'!$A:$W,13,FALSE)</f>
        <v>-78.92</v>
      </c>
      <c r="U138">
        <f t="shared" si="10"/>
        <v>0</v>
      </c>
      <c r="V138">
        <v>-78.92</v>
      </c>
      <c r="W138">
        <f>VLOOKUP(G138,'[1]Erogati mag-giu 2026_791_old'!$A:$W,14,FALSE)</f>
        <v>-78.92</v>
      </c>
      <c r="X138">
        <f t="shared" si="11"/>
        <v>0</v>
      </c>
      <c r="Y138" t="s">
        <v>158</v>
      </c>
      <c r="Z138" t="str">
        <f>VLOOKUP(G138,'[2]Erogati mag-giu 2026_791_old'!$D:$T,11,FALSE)</f>
        <v>indiretto</v>
      </c>
      <c r="AA138" t="b">
        <v>1</v>
      </c>
      <c r="AF138" t="s">
        <v>20</v>
      </c>
      <c r="AG138" t="s">
        <v>20</v>
      </c>
    </row>
    <row r="139" spans="1:33">
      <c r="A139" s="13" t="s">
        <v>163</v>
      </c>
      <c r="B139" t="s">
        <v>1505</v>
      </c>
      <c r="C139" s="4">
        <v>202100123424439</v>
      </c>
      <c r="D139" s="4" t="b">
        <f t="shared" si="12"/>
        <v>1</v>
      </c>
      <c r="E139" t="s">
        <v>20</v>
      </c>
      <c r="F139" t="s">
        <v>21</v>
      </c>
      <c r="G139" t="s">
        <v>164</v>
      </c>
      <c r="H139" t="str">
        <f>VLOOKUP(C139,'[1]Erogati mag-giu 2026_791_old'!$B:$E,4,FALSE)</f>
        <v>C309233</v>
      </c>
      <c r="I139" t="b">
        <f t="shared" si="8"/>
        <v>1</v>
      </c>
      <c r="J139" s="14">
        <v>46169</v>
      </c>
      <c r="K139" s="14">
        <v>46169</v>
      </c>
      <c r="L139" t="s">
        <v>20</v>
      </c>
      <c r="M139" s="14">
        <v>46188</v>
      </c>
      <c r="N139" s="14">
        <v>46169</v>
      </c>
      <c r="O139" t="s">
        <v>20</v>
      </c>
      <c r="P139">
        <v>-105.22</v>
      </c>
      <c r="Q139">
        <f>VLOOKUP(G139,'[1]Erogati mag-giu 2026_791_old'!$A:$W,12,FALSE)</f>
        <v>-105.22</v>
      </c>
      <c r="R139">
        <f t="shared" si="9"/>
        <v>0</v>
      </c>
      <c r="S139">
        <v>-105.22</v>
      </c>
      <c r="T139">
        <f>VLOOKUP(G139,'[1]Erogati mag-giu 2026_791_old'!$A:$W,13,FALSE)</f>
        <v>-105.22</v>
      </c>
      <c r="U139">
        <f t="shared" si="10"/>
        <v>0</v>
      </c>
      <c r="V139">
        <v>-105.22</v>
      </c>
      <c r="W139">
        <f>VLOOKUP(G139,'[1]Erogati mag-giu 2026_791_old'!$A:$W,14,FALSE)</f>
        <v>-105.22</v>
      </c>
      <c r="X139">
        <f t="shared" si="11"/>
        <v>0</v>
      </c>
      <c r="Y139" t="s">
        <v>158</v>
      </c>
      <c r="Z139" t="str">
        <f>VLOOKUP(G139,'[2]Erogati mag-giu 2026_791_old'!$D:$T,11,FALSE)</f>
        <v>indiretto</v>
      </c>
      <c r="AA139" t="b">
        <v>1</v>
      </c>
      <c r="AF139" t="s">
        <v>20</v>
      </c>
      <c r="AG139" t="s">
        <v>20</v>
      </c>
    </row>
    <row r="140" spans="1:33">
      <c r="A140" s="9" t="s">
        <v>165</v>
      </c>
      <c r="B140" t="s">
        <v>1506</v>
      </c>
      <c r="C140" s="4">
        <v>202200123448145</v>
      </c>
      <c r="D140" s="4" t="b">
        <f t="shared" si="12"/>
        <v>1</v>
      </c>
      <c r="E140" t="s">
        <v>20</v>
      </c>
      <c r="F140" t="s">
        <v>21</v>
      </c>
      <c r="G140" t="s">
        <v>157</v>
      </c>
      <c r="H140" t="str">
        <f>VLOOKUP(C140,'[1]Erogati mag-giu 2026_791_old'!$B:$E,4,FALSE)</f>
        <v>C312509</v>
      </c>
      <c r="I140" t="b">
        <f t="shared" si="8"/>
        <v>1</v>
      </c>
      <c r="J140" s="14">
        <v>46169</v>
      </c>
      <c r="K140" s="14">
        <v>46169</v>
      </c>
      <c r="L140" t="s">
        <v>20</v>
      </c>
      <c r="M140" s="14">
        <v>46188</v>
      </c>
      <c r="N140" s="14">
        <v>46169</v>
      </c>
      <c r="O140" t="s">
        <v>20</v>
      </c>
      <c r="P140">
        <v>-85.42</v>
      </c>
      <c r="Q140">
        <v>-85.42</v>
      </c>
      <c r="R140">
        <f t="shared" si="9"/>
        <v>0</v>
      </c>
      <c r="S140">
        <v>-85.42</v>
      </c>
      <c r="T140">
        <v>-85.42</v>
      </c>
      <c r="U140">
        <f t="shared" si="10"/>
        <v>0</v>
      </c>
      <c r="V140">
        <v>-85.42</v>
      </c>
      <c r="W140">
        <v>-85.42</v>
      </c>
      <c r="X140">
        <f t="shared" si="11"/>
        <v>0</v>
      </c>
      <c r="Y140" t="s">
        <v>158</v>
      </c>
      <c r="Z140" t="str">
        <f>VLOOKUP(G140,'[2]Erogati mag-giu 2026_791_old'!$D:$T,11,FALSE)</f>
        <v>indiretto</v>
      </c>
      <c r="AA140" t="b">
        <v>1</v>
      </c>
      <c r="AF140" t="s">
        <v>20</v>
      </c>
      <c r="AG140" t="s">
        <v>20</v>
      </c>
    </row>
    <row r="141" spans="1:33">
      <c r="A141" s="13" t="s">
        <v>166</v>
      </c>
      <c r="B141" t="s">
        <v>1507</v>
      </c>
      <c r="C141" s="4">
        <v>202200123478471</v>
      </c>
      <c r="D141" s="4" t="b">
        <f t="shared" si="12"/>
        <v>1</v>
      </c>
      <c r="E141" t="s">
        <v>20</v>
      </c>
      <c r="F141" t="s">
        <v>21</v>
      </c>
      <c r="G141" t="s">
        <v>167</v>
      </c>
      <c r="H141" t="str">
        <f>VLOOKUP(C141,'[1]Erogati mag-giu 2026_791_old'!$B:$E,4,FALSE)</f>
        <v>C311310</v>
      </c>
      <c r="I141" t="b">
        <f t="shared" si="8"/>
        <v>1</v>
      </c>
      <c r="J141" s="14">
        <v>46153</v>
      </c>
      <c r="K141" s="14">
        <v>46153</v>
      </c>
      <c r="L141" t="s">
        <v>20</v>
      </c>
      <c r="M141" s="14">
        <v>46188</v>
      </c>
      <c r="N141" s="14">
        <v>46153</v>
      </c>
      <c r="O141" t="s">
        <v>20</v>
      </c>
      <c r="P141">
        <v>-63.17</v>
      </c>
      <c r="Q141">
        <f>VLOOKUP(G141,'[1]Erogati mag-giu 2026_791_old'!$A:$W,12,FALSE)</f>
        <v>-63.17</v>
      </c>
      <c r="R141">
        <f t="shared" si="9"/>
        <v>0</v>
      </c>
      <c r="S141">
        <v>-63.17</v>
      </c>
      <c r="T141">
        <f>VLOOKUP(G141,'[1]Erogati mag-giu 2026_791_old'!$A:$W,13,FALSE)</f>
        <v>-63.17</v>
      </c>
      <c r="U141">
        <f t="shared" si="10"/>
        <v>0</v>
      </c>
      <c r="V141">
        <v>-63.17</v>
      </c>
      <c r="W141">
        <f>VLOOKUP(G141,'[1]Erogati mag-giu 2026_791_old'!$A:$W,14,FALSE)</f>
        <v>-63.17</v>
      </c>
      <c r="X141">
        <f t="shared" si="11"/>
        <v>0</v>
      </c>
      <c r="Y141" t="s">
        <v>158</v>
      </c>
      <c r="Z141" t="str">
        <f>VLOOKUP(G141,'[2]Erogati mag-giu 2026_791_old'!$D:$T,11,FALSE)</f>
        <v>indiretto</v>
      </c>
      <c r="AA141" t="b">
        <v>1</v>
      </c>
      <c r="AF141" t="s">
        <v>20</v>
      </c>
      <c r="AG141" t="s">
        <v>20</v>
      </c>
    </row>
    <row r="142" spans="1:33">
      <c r="A142" s="13" t="s">
        <v>168</v>
      </c>
      <c r="B142" t="s">
        <v>1508</v>
      </c>
      <c r="C142" s="4">
        <v>202200123485744</v>
      </c>
      <c r="D142" s="4" t="b">
        <f t="shared" si="12"/>
        <v>1</v>
      </c>
      <c r="E142" t="s">
        <v>20</v>
      </c>
      <c r="F142" t="s">
        <v>21</v>
      </c>
      <c r="G142" t="s">
        <v>169</v>
      </c>
      <c r="H142" t="str">
        <f>VLOOKUP(C142,'[1]Erogati mag-giu 2026_791_old'!$B:$E,4,FALSE)</f>
        <v>C309462</v>
      </c>
      <c r="I142" t="b">
        <f t="shared" si="8"/>
        <v>1</v>
      </c>
      <c r="J142" s="14">
        <v>46191</v>
      </c>
      <c r="K142" s="14">
        <v>46191</v>
      </c>
      <c r="L142" t="s">
        <v>20</v>
      </c>
      <c r="M142" s="14">
        <v>46188</v>
      </c>
      <c r="N142" s="14">
        <v>46191</v>
      </c>
      <c r="O142" t="s">
        <v>20</v>
      </c>
      <c r="P142">
        <v>-85.42</v>
      </c>
      <c r="Q142">
        <f>VLOOKUP(G142,'[1]Erogati mag-giu 2026_791_old'!$A:$W,12,FALSE)</f>
        <v>-85.42</v>
      </c>
      <c r="R142">
        <f t="shared" si="9"/>
        <v>0</v>
      </c>
      <c r="S142">
        <v>-85.42</v>
      </c>
      <c r="T142">
        <f>VLOOKUP(G142,'[1]Erogati mag-giu 2026_791_old'!$A:$W,13,FALSE)</f>
        <v>-85.42</v>
      </c>
      <c r="U142">
        <f t="shared" si="10"/>
        <v>0</v>
      </c>
      <c r="V142">
        <v>-85.42</v>
      </c>
      <c r="W142">
        <f>VLOOKUP(G142,'[1]Erogati mag-giu 2026_791_old'!$A:$W,14,FALSE)</f>
        <v>-85.42</v>
      </c>
      <c r="X142">
        <f t="shared" si="11"/>
        <v>0</v>
      </c>
      <c r="Y142" t="s">
        <v>158</v>
      </c>
      <c r="Z142" t="str">
        <f>VLOOKUP(G142,'[2]Erogati mag-giu 2026_791_old'!$D:$T,11,FALSE)</f>
        <v>indiretto</v>
      </c>
      <c r="AA142" t="b">
        <v>1</v>
      </c>
      <c r="AF142" t="s">
        <v>20</v>
      </c>
      <c r="AG142" t="s">
        <v>20</v>
      </c>
    </row>
    <row r="143" spans="1:33">
      <c r="A143" s="13" t="s">
        <v>170</v>
      </c>
      <c r="B143" s="4">
        <v>202301126498351</v>
      </c>
      <c r="C143" s="4">
        <v>202301126498351</v>
      </c>
      <c r="D143" s="4" t="b">
        <f t="shared" si="12"/>
        <v>1</v>
      </c>
      <c r="E143" t="s">
        <v>20</v>
      </c>
      <c r="F143" t="s">
        <v>21</v>
      </c>
      <c r="G143" t="s">
        <v>169</v>
      </c>
      <c r="H143" t="str">
        <f>VLOOKUP(C143,'[1]Erogati mag-giu 2026_791_old'!$B:$E,4,FALSE)</f>
        <v>C309462</v>
      </c>
      <c r="I143" t="b">
        <f t="shared" si="8"/>
        <v>1</v>
      </c>
      <c r="J143" s="14">
        <v>46191</v>
      </c>
      <c r="K143" s="14">
        <v>46191</v>
      </c>
      <c r="L143" t="s">
        <v>20</v>
      </c>
      <c r="M143" s="14">
        <v>46188</v>
      </c>
      <c r="N143" s="14">
        <v>46191</v>
      </c>
      <c r="O143" t="s">
        <v>20</v>
      </c>
      <c r="P143">
        <v>-92.72</v>
      </c>
      <c r="Q143">
        <v>-92.72</v>
      </c>
      <c r="R143">
        <f t="shared" si="9"/>
        <v>0</v>
      </c>
      <c r="S143">
        <v>-92.72</v>
      </c>
      <c r="T143">
        <v>-92.72</v>
      </c>
      <c r="U143">
        <f t="shared" si="10"/>
        <v>0</v>
      </c>
      <c r="V143">
        <v>-92.72</v>
      </c>
      <c r="W143">
        <v>-92.72</v>
      </c>
      <c r="X143">
        <f t="shared" si="11"/>
        <v>0</v>
      </c>
      <c r="Y143" t="s">
        <v>158</v>
      </c>
      <c r="Z143" t="str">
        <f>VLOOKUP(G143,'[2]Erogati mag-giu 2026_791_old'!$D:$T,11,FALSE)</f>
        <v>indiretto</v>
      </c>
      <c r="AA143" t="b">
        <v>1</v>
      </c>
      <c r="AF143" t="s">
        <v>20</v>
      </c>
      <c r="AG143" t="s">
        <v>20</v>
      </c>
    </row>
    <row r="144" spans="1:33">
      <c r="A144" s="13" t="s">
        <v>171</v>
      </c>
      <c r="B144" t="s">
        <v>1509</v>
      </c>
      <c r="C144" s="4">
        <v>202305143984151</v>
      </c>
      <c r="D144" s="4" t="b">
        <f t="shared" si="12"/>
        <v>1</v>
      </c>
      <c r="E144" t="s">
        <v>20</v>
      </c>
      <c r="F144" t="s">
        <v>21</v>
      </c>
      <c r="G144" t="s">
        <v>172</v>
      </c>
      <c r="H144" t="str">
        <f>VLOOKUP(C144,'[1]Erogati mag-giu 2026_791_old'!$B:$E,4,FALSE)</f>
        <v>C317242</v>
      </c>
      <c r="I144" t="b">
        <f t="shared" si="8"/>
        <v>1</v>
      </c>
      <c r="J144" s="14">
        <v>46191</v>
      </c>
      <c r="K144" s="14">
        <v>46191</v>
      </c>
      <c r="L144" t="s">
        <v>20</v>
      </c>
      <c r="M144" s="14">
        <v>46188</v>
      </c>
      <c r="N144" s="14">
        <v>46191</v>
      </c>
      <c r="O144" t="s">
        <v>20</v>
      </c>
      <c r="P144">
        <v>-96.46</v>
      </c>
      <c r="Q144">
        <f>VLOOKUP(G144,'[1]Erogati mag-giu 2026_791_old'!$A:$W,12,FALSE)</f>
        <v>-96.46</v>
      </c>
      <c r="R144">
        <f t="shared" si="9"/>
        <v>0</v>
      </c>
      <c r="S144">
        <v>-96.46</v>
      </c>
      <c r="T144">
        <f>VLOOKUP(G144,'[1]Erogati mag-giu 2026_791_old'!$A:$W,13,FALSE)</f>
        <v>-96.46</v>
      </c>
      <c r="U144">
        <f t="shared" si="10"/>
        <v>0</v>
      </c>
      <c r="V144">
        <v>-96.46</v>
      </c>
      <c r="W144">
        <f>VLOOKUP(G144,'[1]Erogati mag-giu 2026_791_old'!$A:$W,14,FALSE)</f>
        <v>-96.46</v>
      </c>
      <c r="X144">
        <f t="shared" si="11"/>
        <v>0</v>
      </c>
      <c r="Y144" t="s">
        <v>158</v>
      </c>
      <c r="Z144" t="str">
        <f>VLOOKUP(G144,'[2]Erogati mag-giu 2026_791_old'!$D:$T,11,FALSE)</f>
        <v>indiretto</v>
      </c>
      <c r="AA144" t="b">
        <v>1</v>
      </c>
      <c r="AF144" t="s">
        <v>20</v>
      </c>
      <c r="AG144" t="s">
        <v>20</v>
      </c>
    </row>
    <row r="145" spans="1:33">
      <c r="A145" s="13" t="s">
        <v>173</v>
      </c>
      <c r="B145" s="4">
        <v>202310168404689</v>
      </c>
      <c r="C145" s="4">
        <v>202310168404689</v>
      </c>
      <c r="D145" s="4" t="b">
        <f t="shared" si="12"/>
        <v>1</v>
      </c>
      <c r="E145" t="s">
        <v>20</v>
      </c>
      <c r="F145" t="s">
        <v>21</v>
      </c>
      <c r="G145" t="s">
        <v>164</v>
      </c>
      <c r="H145" t="str">
        <f>VLOOKUP(C145,'[1]Erogati mag-giu 2026_791_old'!$B:$E,4,FALSE)</f>
        <v>C309233</v>
      </c>
      <c r="I145" t="b">
        <f t="shared" si="8"/>
        <v>1</v>
      </c>
      <c r="J145" s="14">
        <v>46169</v>
      </c>
      <c r="K145" s="14">
        <v>46169</v>
      </c>
      <c r="L145" t="s">
        <v>20</v>
      </c>
      <c r="M145" s="14">
        <v>46188</v>
      </c>
      <c r="N145" s="14">
        <v>46169</v>
      </c>
      <c r="O145" t="s">
        <v>20</v>
      </c>
      <c r="P145">
        <v>-92.72</v>
      </c>
      <c r="Q145">
        <v>-92.72</v>
      </c>
      <c r="R145">
        <f t="shared" si="9"/>
        <v>0</v>
      </c>
      <c r="S145">
        <v>-92.72</v>
      </c>
      <c r="T145">
        <v>-92.72</v>
      </c>
      <c r="U145">
        <f t="shared" si="10"/>
        <v>0</v>
      </c>
      <c r="V145">
        <v>-92.72</v>
      </c>
      <c r="W145">
        <v>-92.72</v>
      </c>
      <c r="X145">
        <f t="shared" si="11"/>
        <v>0</v>
      </c>
      <c r="Y145" t="s">
        <v>158</v>
      </c>
      <c r="Z145" t="str">
        <f>VLOOKUP(G145,'[2]Erogati mag-giu 2026_791_old'!$D:$T,11,FALSE)</f>
        <v>indiretto</v>
      </c>
      <c r="AA145" t="b">
        <v>1</v>
      </c>
      <c r="AF145" t="s">
        <v>20</v>
      </c>
      <c r="AG145" t="s">
        <v>20</v>
      </c>
    </row>
    <row r="146" spans="1:33">
      <c r="A146" s="13" t="s">
        <v>174</v>
      </c>
      <c r="B146" t="s">
        <v>1510</v>
      </c>
      <c r="C146" s="4">
        <v>202403203138578</v>
      </c>
      <c r="D146" s="4" t="b">
        <f t="shared" si="12"/>
        <v>1</v>
      </c>
      <c r="E146" t="s">
        <v>20</v>
      </c>
      <c r="F146" t="s">
        <v>21</v>
      </c>
      <c r="G146" t="s">
        <v>175</v>
      </c>
      <c r="H146" t="str">
        <f>VLOOKUP(C146,'[1]Erogati mag-giu 2026_791_old'!$B:$E,4,FALSE)</f>
        <v>C018784</v>
      </c>
      <c r="I146" t="b">
        <f t="shared" si="8"/>
        <v>1</v>
      </c>
      <c r="J146" s="14">
        <v>46191</v>
      </c>
      <c r="K146" s="14">
        <v>46191</v>
      </c>
      <c r="L146" t="s">
        <v>20</v>
      </c>
      <c r="M146" s="14">
        <v>46188</v>
      </c>
      <c r="N146" s="14">
        <v>46191</v>
      </c>
      <c r="O146" t="s">
        <v>20</v>
      </c>
      <c r="P146">
        <v>-92.72</v>
      </c>
      <c r="Q146">
        <f>VLOOKUP(G146,'[1]Erogati mag-giu 2026_791_old'!$A:$W,12,FALSE)</f>
        <v>-92.72</v>
      </c>
      <c r="R146">
        <f t="shared" si="9"/>
        <v>0</v>
      </c>
      <c r="S146">
        <v>-92.72</v>
      </c>
      <c r="T146">
        <f>VLOOKUP(G146,'[1]Erogati mag-giu 2026_791_old'!$A:$W,13,FALSE)</f>
        <v>-92.72</v>
      </c>
      <c r="U146">
        <f t="shared" si="10"/>
        <v>0</v>
      </c>
      <c r="V146">
        <v>-92.72</v>
      </c>
      <c r="W146">
        <f>VLOOKUP(G146,'[1]Erogati mag-giu 2026_791_old'!$A:$W,14,FALSE)</f>
        <v>-92.72</v>
      </c>
      <c r="X146">
        <f t="shared" si="11"/>
        <v>0</v>
      </c>
      <c r="Y146" t="s">
        <v>158</v>
      </c>
      <c r="Z146" t="str">
        <f>VLOOKUP(G146,'[2]Erogati mag-giu 2026_791_old'!$D:$T,11,FALSE)</f>
        <v>indiretto</v>
      </c>
      <c r="AA146" t="b">
        <v>1</v>
      </c>
      <c r="AF146" t="s">
        <v>20</v>
      </c>
      <c r="AG146" t="s">
        <v>20</v>
      </c>
    </row>
    <row r="147" spans="1:33">
      <c r="A147" s="13" t="s">
        <v>176</v>
      </c>
      <c r="B147" t="s">
        <v>1511</v>
      </c>
      <c r="C147" s="4">
        <v>202403203225167</v>
      </c>
      <c r="D147" s="4" t="b">
        <f t="shared" si="12"/>
        <v>1</v>
      </c>
      <c r="E147" t="s">
        <v>20</v>
      </c>
      <c r="F147" t="s">
        <v>21</v>
      </c>
      <c r="G147" t="s">
        <v>177</v>
      </c>
      <c r="H147" t="str">
        <f>VLOOKUP(C147,'[1]Erogati mag-giu 2026_791_old'!$B:$E,4,FALSE)</f>
        <v>C319733</v>
      </c>
      <c r="I147" t="b">
        <f t="shared" si="8"/>
        <v>1</v>
      </c>
      <c r="J147" s="14">
        <v>46191</v>
      </c>
      <c r="K147" s="14">
        <v>46191</v>
      </c>
      <c r="L147" t="s">
        <v>20</v>
      </c>
      <c r="M147" s="14">
        <v>46188</v>
      </c>
      <c r="N147" s="14">
        <v>46191</v>
      </c>
      <c r="O147" t="s">
        <v>20</v>
      </c>
      <c r="P147">
        <v>-92.72</v>
      </c>
      <c r="Q147">
        <f>VLOOKUP(G147,'[1]Erogati mag-giu 2026_791_old'!$A:$W,12,FALSE)</f>
        <v>-92.72</v>
      </c>
      <c r="R147">
        <f t="shared" si="9"/>
        <v>0</v>
      </c>
      <c r="S147">
        <v>-92.72</v>
      </c>
      <c r="T147">
        <f>VLOOKUP(G147,'[1]Erogati mag-giu 2026_791_old'!$A:$W,13,FALSE)</f>
        <v>-92.72</v>
      </c>
      <c r="U147">
        <f t="shared" si="10"/>
        <v>0</v>
      </c>
      <c r="V147">
        <v>-92.72</v>
      </c>
      <c r="W147">
        <f>VLOOKUP(G147,'[1]Erogati mag-giu 2026_791_old'!$A:$W,14,FALSE)</f>
        <v>-92.72</v>
      </c>
      <c r="X147">
        <f t="shared" si="11"/>
        <v>0</v>
      </c>
      <c r="Y147" t="s">
        <v>158</v>
      </c>
      <c r="Z147" t="str">
        <f>VLOOKUP(G147,'[2]Erogati mag-giu 2026_791_old'!$D:$T,11,FALSE)</f>
        <v>indiretto</v>
      </c>
      <c r="AA147" t="b">
        <v>1</v>
      </c>
      <c r="AF147" t="s">
        <v>20</v>
      </c>
      <c r="AG147" t="s">
        <v>20</v>
      </c>
    </row>
    <row r="148" spans="1:33">
      <c r="A148" s="13" t="s">
        <v>178</v>
      </c>
      <c r="B148" t="s">
        <v>1512</v>
      </c>
      <c r="C148" s="4">
        <v>202408222514952</v>
      </c>
      <c r="D148" s="4" t="b">
        <f t="shared" si="12"/>
        <v>1</v>
      </c>
      <c r="E148" t="s">
        <v>20</v>
      </c>
      <c r="F148" t="s">
        <v>21</v>
      </c>
      <c r="G148" t="s">
        <v>179</v>
      </c>
      <c r="H148" t="str">
        <f>VLOOKUP(C148,'[1]Erogati mag-giu 2026_791_old'!$B:$E,4,FALSE)</f>
        <v>C314116</v>
      </c>
      <c r="I148" t="b">
        <f t="shared" si="8"/>
        <v>1</v>
      </c>
      <c r="J148" s="14">
        <v>46153</v>
      </c>
      <c r="K148" s="14">
        <v>46153</v>
      </c>
      <c r="L148" t="s">
        <v>20</v>
      </c>
      <c r="M148" s="14">
        <v>46188</v>
      </c>
      <c r="N148" s="14">
        <v>46153</v>
      </c>
      <c r="O148" t="s">
        <v>20</v>
      </c>
      <c r="P148">
        <v>-92.72</v>
      </c>
      <c r="Q148">
        <f>VLOOKUP(G148,'[1]Erogati mag-giu 2026_791_old'!$A:$W,12,FALSE)</f>
        <v>-92.72</v>
      </c>
      <c r="R148">
        <f t="shared" si="9"/>
        <v>0</v>
      </c>
      <c r="S148">
        <v>-92.72</v>
      </c>
      <c r="T148">
        <f>VLOOKUP(G148,'[1]Erogati mag-giu 2026_791_old'!$A:$W,13,FALSE)</f>
        <v>-92.72</v>
      </c>
      <c r="U148">
        <f t="shared" si="10"/>
        <v>0</v>
      </c>
      <c r="V148">
        <v>-92.72</v>
      </c>
      <c r="W148">
        <f>VLOOKUP(G148,'[1]Erogati mag-giu 2026_791_old'!$A:$W,14,FALSE)</f>
        <v>-92.72</v>
      </c>
      <c r="X148">
        <f t="shared" si="11"/>
        <v>0</v>
      </c>
      <c r="Y148" t="s">
        <v>158</v>
      </c>
      <c r="Z148" t="str">
        <f>VLOOKUP(G148,'[2]Erogati mag-giu 2026_791_old'!$D:$T,11,FALSE)</f>
        <v>indiretto</v>
      </c>
      <c r="AA148" t="b">
        <v>1</v>
      </c>
      <c r="AF148" t="s">
        <v>20</v>
      </c>
      <c r="AG148" t="s">
        <v>20</v>
      </c>
    </row>
    <row r="149" spans="1:33">
      <c r="A149" s="13" t="s">
        <v>180</v>
      </c>
      <c r="B149" s="4">
        <v>202410231807290</v>
      </c>
      <c r="C149" s="4">
        <v>202410231807290</v>
      </c>
      <c r="D149" s="4" t="b">
        <f t="shared" si="12"/>
        <v>1</v>
      </c>
      <c r="E149" t="s">
        <v>20</v>
      </c>
      <c r="F149" t="s">
        <v>21</v>
      </c>
      <c r="G149" t="s">
        <v>164</v>
      </c>
      <c r="H149" t="str">
        <f>VLOOKUP(C149,'[1]Erogati mag-giu 2026_791_old'!$B:$E,4,FALSE)</f>
        <v>C309233</v>
      </c>
      <c r="I149" t="b">
        <f t="shared" si="8"/>
        <v>1</v>
      </c>
      <c r="J149" s="14">
        <v>46169</v>
      </c>
      <c r="K149" s="14">
        <v>46169</v>
      </c>
      <c r="L149" t="s">
        <v>20</v>
      </c>
      <c r="M149" s="14">
        <v>46188</v>
      </c>
      <c r="N149" s="14">
        <v>46169</v>
      </c>
      <c r="O149" t="s">
        <v>20</v>
      </c>
      <c r="P149">
        <v>-99.21</v>
      </c>
      <c r="Q149">
        <v>-99.21</v>
      </c>
      <c r="R149">
        <f t="shared" si="9"/>
        <v>0</v>
      </c>
      <c r="S149">
        <v>-99.21</v>
      </c>
      <c r="T149">
        <v>-99.21</v>
      </c>
      <c r="U149">
        <f t="shared" si="10"/>
        <v>0</v>
      </c>
      <c r="V149">
        <v>-99.21</v>
      </c>
      <c r="W149">
        <v>-99.21</v>
      </c>
      <c r="X149">
        <f t="shared" si="11"/>
        <v>0</v>
      </c>
      <c r="Y149" t="s">
        <v>158</v>
      </c>
      <c r="Z149" t="str">
        <f>VLOOKUP(G149,'[2]Erogati mag-giu 2026_791_old'!$D:$T,11,FALSE)</f>
        <v>indiretto</v>
      </c>
      <c r="AA149" t="b">
        <v>1</v>
      </c>
      <c r="AF149" t="s">
        <v>20</v>
      </c>
      <c r="AG149" t="s">
        <v>20</v>
      </c>
    </row>
    <row r="150" spans="1:33">
      <c r="A150" s="13" t="s">
        <v>181</v>
      </c>
      <c r="B150" s="4">
        <v>202412237952579</v>
      </c>
      <c r="C150" s="4">
        <v>202412237952579</v>
      </c>
      <c r="D150" s="4" t="b">
        <f t="shared" si="12"/>
        <v>1</v>
      </c>
      <c r="E150" t="s">
        <v>20</v>
      </c>
      <c r="F150" t="s">
        <v>21</v>
      </c>
      <c r="G150" t="s">
        <v>169</v>
      </c>
      <c r="H150" t="str">
        <f>VLOOKUP(C150,'[1]Erogati mag-giu 2026_791_old'!$B:$E,4,FALSE)</f>
        <v>C309462</v>
      </c>
      <c r="I150" t="b">
        <f t="shared" si="8"/>
        <v>1</v>
      </c>
      <c r="J150" s="14">
        <v>46191</v>
      </c>
      <c r="K150" s="14">
        <v>46191</v>
      </c>
      <c r="L150" t="s">
        <v>20</v>
      </c>
      <c r="M150" s="14">
        <v>46188</v>
      </c>
      <c r="N150" s="14">
        <v>46191</v>
      </c>
      <c r="O150" t="s">
        <v>20</v>
      </c>
      <c r="P150">
        <v>-24.57</v>
      </c>
      <c r="Q150">
        <v>-24.57</v>
      </c>
      <c r="R150">
        <f t="shared" si="9"/>
        <v>0</v>
      </c>
      <c r="S150">
        <v>-24.57</v>
      </c>
      <c r="T150">
        <v>-24.57</v>
      </c>
      <c r="U150">
        <f t="shared" si="10"/>
        <v>0</v>
      </c>
      <c r="V150">
        <v>-24.57</v>
      </c>
      <c r="W150">
        <v>-24.57</v>
      </c>
      <c r="X150">
        <f t="shared" si="11"/>
        <v>0</v>
      </c>
      <c r="Y150" t="s">
        <v>158</v>
      </c>
      <c r="Z150" t="str">
        <f>VLOOKUP(G150,'[2]Erogati mag-giu 2026_791_old'!$D:$T,11,FALSE)</f>
        <v>indiretto</v>
      </c>
      <c r="AA150" t="b">
        <v>1</v>
      </c>
      <c r="AF150" t="s">
        <v>20</v>
      </c>
      <c r="AG150" t="s">
        <v>20</v>
      </c>
    </row>
    <row r="151" spans="1:33">
      <c r="A151" s="13" t="s">
        <v>182</v>
      </c>
      <c r="B151">
        <v>202502250703405</v>
      </c>
      <c r="C151" s="4">
        <v>202502250703405</v>
      </c>
      <c r="D151" s="4" t="b">
        <f t="shared" si="12"/>
        <v>1</v>
      </c>
      <c r="E151" t="s">
        <v>20</v>
      </c>
      <c r="F151" t="s">
        <v>21</v>
      </c>
      <c r="G151" t="s">
        <v>183</v>
      </c>
      <c r="H151" t="str">
        <f>VLOOKUP(C151,'[1]Erogati mag-giu 2026_791_old'!$B:$E,4,FALSE)</f>
        <v>C007200</v>
      </c>
      <c r="I151" t="b">
        <f t="shared" si="8"/>
        <v>1</v>
      </c>
      <c r="J151" s="14">
        <v>46181</v>
      </c>
      <c r="K151" s="14">
        <v>46181</v>
      </c>
      <c r="L151" t="s">
        <v>20</v>
      </c>
      <c r="M151" s="14">
        <v>46188</v>
      </c>
      <c r="N151" s="14">
        <v>46181</v>
      </c>
      <c r="O151" t="s">
        <v>20</v>
      </c>
      <c r="P151">
        <v>-175.39</v>
      </c>
      <c r="Q151">
        <f>VLOOKUP(G151,'[1]Erogati mag-giu 2026_791_old'!$A:$W,12,FALSE)</f>
        <v>-175.39</v>
      </c>
      <c r="R151">
        <f t="shared" si="9"/>
        <v>0</v>
      </c>
      <c r="S151">
        <v>-175.39</v>
      </c>
      <c r="T151">
        <f>VLOOKUP(G151,'[1]Erogati mag-giu 2026_791_old'!$A:$W,13,FALSE)</f>
        <v>-175.39</v>
      </c>
      <c r="U151">
        <f t="shared" si="10"/>
        <v>0</v>
      </c>
      <c r="V151">
        <v>-175.39</v>
      </c>
      <c r="W151">
        <f>VLOOKUP(G151,'[1]Erogati mag-giu 2026_791_old'!$A:$W,14,FALSE)</f>
        <v>-175.39</v>
      </c>
      <c r="X151">
        <f t="shared" si="11"/>
        <v>0</v>
      </c>
      <c r="Y151" t="s">
        <v>158</v>
      </c>
      <c r="Z151" t="str">
        <f>VLOOKUP(G151,'[2]Erogati mag-giu 2026_791_old'!$D:$T,11,FALSE)</f>
        <v>indiretto</v>
      </c>
      <c r="AA151" t="b">
        <v>1</v>
      </c>
      <c r="AF151" t="s">
        <v>20</v>
      </c>
      <c r="AG151" t="s">
        <v>20</v>
      </c>
    </row>
    <row r="152" spans="1:33">
      <c r="A152" s="13" t="s">
        <v>184</v>
      </c>
      <c r="B152">
        <v>202502253150221</v>
      </c>
      <c r="C152" s="4">
        <v>202502253150221</v>
      </c>
      <c r="D152" s="4" t="b">
        <f t="shared" si="12"/>
        <v>1</v>
      </c>
      <c r="E152" t="s">
        <v>20</v>
      </c>
      <c r="F152" t="s">
        <v>21</v>
      </c>
      <c r="G152" t="s">
        <v>185</v>
      </c>
      <c r="H152" t="str">
        <f>VLOOKUP(C152,'[1]Erogati mag-giu 2026_791_old'!$B:$E,4,FALSE)</f>
        <v>C307784</v>
      </c>
      <c r="I152" t="b">
        <f t="shared" si="8"/>
        <v>1</v>
      </c>
      <c r="J152" s="14">
        <v>46192</v>
      </c>
      <c r="K152" s="14">
        <v>46192</v>
      </c>
      <c r="L152" t="s">
        <v>20</v>
      </c>
      <c r="M152" s="14">
        <v>46188</v>
      </c>
      <c r="N152" s="14">
        <v>46192</v>
      </c>
      <c r="O152" t="s">
        <v>20</v>
      </c>
      <c r="P152">
        <v>-105.23</v>
      </c>
      <c r="Q152">
        <f>VLOOKUP(G152,'[1]Erogati mag-giu 2026_791_old'!$A:$W,12,FALSE)</f>
        <v>-105.23</v>
      </c>
      <c r="R152">
        <f t="shared" si="9"/>
        <v>0</v>
      </c>
      <c r="S152">
        <v>-105.23</v>
      </c>
      <c r="T152">
        <f>VLOOKUP(G152,'[1]Erogati mag-giu 2026_791_old'!$A:$W,13,FALSE)</f>
        <v>-105.23</v>
      </c>
      <c r="U152">
        <f t="shared" si="10"/>
        <v>0</v>
      </c>
      <c r="V152">
        <v>-105.23</v>
      </c>
      <c r="W152">
        <f>VLOOKUP(G152,'[1]Erogati mag-giu 2026_791_old'!$A:$W,14,FALSE)</f>
        <v>-105.23</v>
      </c>
      <c r="X152">
        <f t="shared" si="11"/>
        <v>0</v>
      </c>
      <c r="Y152" t="s">
        <v>158</v>
      </c>
      <c r="Z152" t="str">
        <f>VLOOKUP(G152,'[2]Erogati mag-giu 2026_791_old'!$D:$T,11,FALSE)</f>
        <v>indiretto</v>
      </c>
      <c r="AA152" t="b">
        <v>1</v>
      </c>
      <c r="AF152" t="s">
        <v>20</v>
      </c>
      <c r="AG152" t="s">
        <v>20</v>
      </c>
    </row>
    <row r="153" spans="1:33">
      <c r="A153" s="13" t="s">
        <v>186</v>
      </c>
      <c r="B153">
        <v>202503258040017</v>
      </c>
      <c r="C153" s="4">
        <v>202503258040017</v>
      </c>
      <c r="D153" s="4" t="b">
        <f t="shared" si="12"/>
        <v>1</v>
      </c>
      <c r="E153" t="s">
        <v>20</v>
      </c>
      <c r="F153" t="s">
        <v>21</v>
      </c>
      <c r="G153" t="s">
        <v>187</v>
      </c>
      <c r="H153" t="str">
        <f>VLOOKUP(C153,'[1]Erogati mag-giu 2026_791_old'!$B:$E,4,FALSE)</f>
        <v>C339592</v>
      </c>
      <c r="I153" t="b">
        <f t="shared" si="8"/>
        <v>1</v>
      </c>
      <c r="J153" s="14">
        <v>46181</v>
      </c>
      <c r="K153" s="14">
        <v>46181</v>
      </c>
      <c r="L153" t="s">
        <v>20</v>
      </c>
      <c r="M153" s="14">
        <v>46188</v>
      </c>
      <c r="N153" s="14">
        <v>46181</v>
      </c>
      <c r="O153" t="s">
        <v>20</v>
      </c>
      <c r="P153">
        <v>-70.16</v>
      </c>
      <c r="Q153">
        <f>VLOOKUP(G153,'[1]Erogati mag-giu 2026_791_old'!$A:$W,12,FALSE)</f>
        <v>-70.16</v>
      </c>
      <c r="R153">
        <f t="shared" si="9"/>
        <v>0</v>
      </c>
      <c r="S153">
        <v>-70.16</v>
      </c>
      <c r="T153">
        <f>VLOOKUP(G153,'[1]Erogati mag-giu 2026_791_old'!$A:$W,13,FALSE)</f>
        <v>-70.16</v>
      </c>
      <c r="U153">
        <f t="shared" si="10"/>
        <v>0</v>
      </c>
      <c r="V153">
        <v>-70.16</v>
      </c>
      <c r="W153">
        <f>VLOOKUP(G153,'[1]Erogati mag-giu 2026_791_old'!$A:$W,14,FALSE)</f>
        <v>-70.16</v>
      </c>
      <c r="X153">
        <f t="shared" si="11"/>
        <v>0</v>
      </c>
      <c r="Y153" t="s">
        <v>158</v>
      </c>
      <c r="Z153" t="str">
        <f>VLOOKUP(G153,'[2]Erogati mag-giu 2026_791_old'!$D:$T,11,FALSE)</f>
        <v>indiretto</v>
      </c>
      <c r="AA153" t="b">
        <v>1</v>
      </c>
      <c r="AF153" t="s">
        <v>20</v>
      </c>
      <c r="AG153" t="s">
        <v>20</v>
      </c>
    </row>
    <row r="154" spans="1:33">
      <c r="A154" s="13" t="s">
        <v>188</v>
      </c>
      <c r="B154" s="4">
        <v>202503258051874</v>
      </c>
      <c r="C154" s="4">
        <v>202503258051874</v>
      </c>
      <c r="D154" s="4" t="b">
        <f t="shared" si="12"/>
        <v>1</v>
      </c>
      <c r="E154" t="s">
        <v>20</v>
      </c>
      <c r="F154" t="s">
        <v>21</v>
      </c>
      <c r="G154" t="s">
        <v>175</v>
      </c>
      <c r="H154" t="str">
        <f>VLOOKUP(C154,'[1]Erogati mag-giu 2026_791_old'!$B:$E,4,FALSE)</f>
        <v>C018784</v>
      </c>
      <c r="I154" t="b">
        <f t="shared" si="8"/>
        <v>1</v>
      </c>
      <c r="J154" s="14">
        <v>46191</v>
      </c>
      <c r="K154" s="14">
        <v>46191</v>
      </c>
      <c r="L154" t="s">
        <v>20</v>
      </c>
      <c r="M154" s="14">
        <v>46188</v>
      </c>
      <c r="N154" s="14">
        <v>46191</v>
      </c>
      <c r="O154" t="s">
        <v>20</v>
      </c>
      <c r="P154">
        <v>-35.08</v>
      </c>
      <c r="Q154">
        <v>-35.08</v>
      </c>
      <c r="R154">
        <f t="shared" si="9"/>
        <v>0</v>
      </c>
      <c r="S154">
        <v>-35.08</v>
      </c>
      <c r="T154">
        <v>-35.08</v>
      </c>
      <c r="U154">
        <f t="shared" si="10"/>
        <v>0</v>
      </c>
      <c r="V154">
        <v>-35.08</v>
      </c>
      <c r="W154">
        <v>-35.08</v>
      </c>
      <c r="X154">
        <f t="shared" si="11"/>
        <v>0</v>
      </c>
      <c r="Y154" t="s">
        <v>158</v>
      </c>
      <c r="Z154" t="str">
        <f>VLOOKUP(G154,'[2]Erogati mag-giu 2026_791_old'!$D:$T,11,FALSE)</f>
        <v>indiretto</v>
      </c>
      <c r="AA154" t="b">
        <v>1</v>
      </c>
      <c r="AF154" t="s">
        <v>20</v>
      </c>
      <c r="AG154" t="s">
        <v>20</v>
      </c>
    </row>
    <row r="155" spans="1:33">
      <c r="A155" s="13" t="s">
        <v>189</v>
      </c>
      <c r="B155">
        <v>202506273163046</v>
      </c>
      <c r="C155" s="4">
        <v>202506273163046</v>
      </c>
      <c r="D155" s="4" t="b">
        <f t="shared" si="12"/>
        <v>1</v>
      </c>
      <c r="E155" t="s">
        <v>20</v>
      </c>
      <c r="F155" t="s">
        <v>21</v>
      </c>
      <c r="G155" t="s">
        <v>190</v>
      </c>
      <c r="H155" t="str">
        <f>VLOOKUP(C155,'[1]Erogati mag-giu 2026_791_old'!$B:$E,4,FALSE)</f>
        <v>C341166</v>
      </c>
      <c r="I155" t="b">
        <f t="shared" si="8"/>
        <v>1</v>
      </c>
      <c r="J155" s="14">
        <v>46169</v>
      </c>
      <c r="K155" s="14">
        <v>46169</v>
      </c>
      <c r="L155" t="s">
        <v>20</v>
      </c>
      <c r="M155" s="14">
        <v>46188</v>
      </c>
      <c r="N155" s="14">
        <v>46169</v>
      </c>
      <c r="O155" t="s">
        <v>20</v>
      </c>
      <c r="P155">
        <v>-222.41</v>
      </c>
      <c r="Q155">
        <f>VLOOKUP(G155,'[1]Erogati mag-giu 2026_791_old'!$A:$W,12,FALSE)</f>
        <v>-222.41</v>
      </c>
      <c r="R155">
        <f t="shared" si="9"/>
        <v>0</v>
      </c>
      <c r="S155">
        <v>-222.41</v>
      </c>
      <c r="T155">
        <f>VLOOKUP(G155,'[1]Erogati mag-giu 2026_791_old'!$A:$W,13,FALSE)</f>
        <v>-222.41</v>
      </c>
      <c r="U155">
        <f t="shared" si="10"/>
        <v>0</v>
      </c>
      <c r="V155">
        <v>-222.41</v>
      </c>
      <c r="W155">
        <f>VLOOKUP(G155,'[1]Erogati mag-giu 2026_791_old'!$A:$W,14,FALSE)</f>
        <v>-222.41</v>
      </c>
      <c r="X155">
        <f t="shared" si="11"/>
        <v>0</v>
      </c>
      <c r="Y155" t="s">
        <v>158</v>
      </c>
      <c r="Z155" t="str">
        <f>VLOOKUP(G155,'[2]Erogati mag-giu 2026_791_old'!$D:$T,11,FALSE)</f>
        <v>indiretto</v>
      </c>
      <c r="AA155" t="b">
        <v>1</v>
      </c>
      <c r="AF155" t="s">
        <v>20</v>
      </c>
      <c r="AG155" t="s">
        <v>20</v>
      </c>
    </row>
    <row r="156" spans="1:33">
      <c r="A156" s="13" t="s">
        <v>191</v>
      </c>
      <c r="B156">
        <v>202506273598225</v>
      </c>
      <c r="C156" s="4">
        <v>202506273598225</v>
      </c>
      <c r="D156" s="4" t="b">
        <f t="shared" si="12"/>
        <v>1</v>
      </c>
      <c r="E156" t="s">
        <v>20</v>
      </c>
      <c r="F156" t="s">
        <v>21</v>
      </c>
      <c r="G156" t="s">
        <v>192</v>
      </c>
      <c r="H156" t="str">
        <f>VLOOKUP(C156,'[1]Erogati mag-giu 2026_791_old'!$B:$E,4,FALSE)</f>
        <v>C311198</v>
      </c>
      <c r="I156" t="b">
        <f t="shared" si="8"/>
        <v>1</v>
      </c>
      <c r="J156" s="14">
        <v>46153</v>
      </c>
      <c r="K156" s="14">
        <v>46153</v>
      </c>
      <c r="L156" t="s">
        <v>20</v>
      </c>
      <c r="M156" s="14">
        <v>46188</v>
      </c>
      <c r="N156" s="14">
        <v>46153</v>
      </c>
      <c r="O156" t="s">
        <v>20</v>
      </c>
      <c r="P156">
        <v>-70.16</v>
      </c>
      <c r="Q156">
        <f>VLOOKUP(G156,'[1]Erogati mag-giu 2026_791_old'!$A:$W,12,FALSE)</f>
        <v>-70.16</v>
      </c>
      <c r="R156">
        <f t="shared" si="9"/>
        <v>0</v>
      </c>
      <c r="S156">
        <v>-70.16</v>
      </c>
      <c r="T156">
        <f>VLOOKUP(G156,'[1]Erogati mag-giu 2026_791_old'!$A:$W,13,FALSE)</f>
        <v>-70.16</v>
      </c>
      <c r="U156">
        <f t="shared" si="10"/>
        <v>0</v>
      </c>
      <c r="V156">
        <v>-70.16</v>
      </c>
      <c r="W156">
        <f>VLOOKUP(G156,'[1]Erogati mag-giu 2026_791_old'!$A:$W,14,FALSE)</f>
        <v>-70.16</v>
      </c>
      <c r="X156">
        <f t="shared" si="11"/>
        <v>0</v>
      </c>
      <c r="Y156" t="s">
        <v>158</v>
      </c>
      <c r="Z156" t="str">
        <f>VLOOKUP(G156,'[2]Erogati mag-giu 2026_791_old'!$D:$T,11,FALSE)</f>
        <v>indiretto</v>
      </c>
      <c r="AA156" t="b">
        <v>1</v>
      </c>
      <c r="AF156" t="s">
        <v>20</v>
      </c>
      <c r="AG156" t="s">
        <v>20</v>
      </c>
    </row>
    <row r="157" spans="1:33">
      <c r="A157" s="13" t="s">
        <v>191</v>
      </c>
      <c r="B157">
        <v>202506273598225</v>
      </c>
      <c r="C157" s="4">
        <v>202506273598225</v>
      </c>
      <c r="D157" s="4" t="b">
        <f t="shared" si="12"/>
        <v>1</v>
      </c>
      <c r="E157" t="s">
        <v>20</v>
      </c>
      <c r="F157" t="s">
        <v>21</v>
      </c>
      <c r="G157" t="s">
        <v>192</v>
      </c>
      <c r="H157" t="str">
        <f>VLOOKUP(C157,'[1]Erogati mag-giu 2026_791_old'!$B:$E,4,FALSE)</f>
        <v>C311198</v>
      </c>
      <c r="I157" t="b">
        <f t="shared" si="8"/>
        <v>1</v>
      </c>
      <c r="J157" s="14">
        <v>46181</v>
      </c>
      <c r="K157" s="14">
        <v>46181</v>
      </c>
      <c r="L157" t="s">
        <v>20</v>
      </c>
      <c r="M157" s="14">
        <v>46188</v>
      </c>
      <c r="N157" s="14">
        <v>46181</v>
      </c>
      <c r="O157" t="s">
        <v>20</v>
      </c>
      <c r="P157">
        <v>-70.16</v>
      </c>
      <c r="Q157">
        <f>VLOOKUP(G157,'[1]Erogati mag-giu 2026_791_old'!$A:$W,12,FALSE)</f>
        <v>-70.16</v>
      </c>
      <c r="R157">
        <f t="shared" si="9"/>
        <v>0</v>
      </c>
      <c r="S157">
        <v>-70.16</v>
      </c>
      <c r="T157">
        <f>VLOOKUP(G157,'[1]Erogati mag-giu 2026_791_old'!$A:$W,13,FALSE)</f>
        <v>-70.16</v>
      </c>
      <c r="U157">
        <f t="shared" si="10"/>
        <v>0</v>
      </c>
      <c r="V157">
        <v>-70.16</v>
      </c>
      <c r="W157">
        <f>VLOOKUP(G157,'[1]Erogati mag-giu 2026_791_old'!$A:$W,14,FALSE)</f>
        <v>-70.16</v>
      </c>
      <c r="X157">
        <f t="shared" si="11"/>
        <v>0</v>
      </c>
      <c r="Y157" t="s">
        <v>158</v>
      </c>
      <c r="Z157" t="str">
        <f>VLOOKUP(G157,'[2]Erogati mag-giu 2026_791_old'!$D:$T,11,FALSE)</f>
        <v>indiretto</v>
      </c>
      <c r="AA157" t="b">
        <v>1</v>
      </c>
      <c r="AF157" t="s">
        <v>20</v>
      </c>
      <c r="AG157" t="s">
        <v>20</v>
      </c>
    </row>
    <row r="158" spans="1:33">
      <c r="A158" s="13" t="s">
        <v>193</v>
      </c>
      <c r="B158">
        <v>202507277412924</v>
      </c>
      <c r="C158" s="4">
        <v>202507277412924</v>
      </c>
      <c r="D158" s="4" t="b">
        <f t="shared" si="12"/>
        <v>1</v>
      </c>
      <c r="E158" t="s">
        <v>20</v>
      </c>
      <c r="F158" t="s">
        <v>21</v>
      </c>
      <c r="G158" t="s">
        <v>194</v>
      </c>
      <c r="H158" t="str">
        <f>VLOOKUP(C158,'[1]Erogati mag-giu 2026_791_old'!$B:$E,4,FALSE)</f>
        <v>C312140</v>
      </c>
      <c r="I158" t="b">
        <f t="shared" si="8"/>
        <v>1</v>
      </c>
      <c r="J158" s="14">
        <v>46168</v>
      </c>
      <c r="K158" s="14">
        <v>46168</v>
      </c>
      <c r="L158" t="s">
        <v>20</v>
      </c>
      <c r="M158" s="14">
        <v>46188</v>
      </c>
      <c r="N158" s="14">
        <v>46168</v>
      </c>
      <c r="O158" t="s">
        <v>20</v>
      </c>
      <c r="P158">
        <v>-105.23</v>
      </c>
      <c r="Q158">
        <f>VLOOKUP(G158,'[1]Erogati mag-giu 2026_791_old'!$A:$W,12,FALSE)</f>
        <v>-105.23</v>
      </c>
      <c r="R158">
        <f t="shared" si="9"/>
        <v>0</v>
      </c>
      <c r="S158">
        <v>-105.23</v>
      </c>
      <c r="T158">
        <f>VLOOKUP(G158,'[1]Erogati mag-giu 2026_791_old'!$A:$W,13,FALSE)</f>
        <v>-105.23</v>
      </c>
      <c r="U158">
        <f t="shared" si="10"/>
        <v>0</v>
      </c>
      <c r="V158">
        <v>-105.23</v>
      </c>
      <c r="W158">
        <f>VLOOKUP(G158,'[1]Erogati mag-giu 2026_791_old'!$A:$W,14,FALSE)</f>
        <v>-105.23</v>
      </c>
      <c r="X158">
        <f t="shared" si="11"/>
        <v>0</v>
      </c>
      <c r="Y158" t="s">
        <v>158</v>
      </c>
      <c r="Z158" t="str">
        <f>VLOOKUP(G158,'[2]Erogati mag-giu 2026_791_old'!$D:$T,11,FALSE)</f>
        <v>indiretto</v>
      </c>
      <c r="AA158" t="b">
        <v>1</v>
      </c>
      <c r="AF158" t="s">
        <v>20</v>
      </c>
      <c r="AG158" t="s">
        <v>20</v>
      </c>
    </row>
    <row r="159" spans="1:33">
      <c r="A159" s="13" t="s">
        <v>195</v>
      </c>
      <c r="B159" s="4">
        <v>202508282159077</v>
      </c>
      <c r="C159" s="4">
        <v>202508282159077</v>
      </c>
      <c r="D159" s="4" t="b">
        <f t="shared" si="12"/>
        <v>1</v>
      </c>
      <c r="E159" t="s">
        <v>20</v>
      </c>
      <c r="F159" t="s">
        <v>21</v>
      </c>
      <c r="G159" t="s">
        <v>179</v>
      </c>
      <c r="H159" t="str">
        <f>VLOOKUP(C159,'[1]Erogati mag-giu 2026_791_old'!$B:$E,4,FALSE)</f>
        <v>C314116</v>
      </c>
      <c r="I159" t="b">
        <f t="shared" si="8"/>
        <v>1</v>
      </c>
      <c r="J159" s="14">
        <v>46153</v>
      </c>
      <c r="K159" s="14">
        <v>46153</v>
      </c>
      <c r="L159" t="s">
        <v>20</v>
      </c>
      <c r="M159" s="14">
        <v>46188</v>
      </c>
      <c r="N159" s="14">
        <v>46153</v>
      </c>
      <c r="O159" t="s">
        <v>20</v>
      </c>
      <c r="P159">
        <v>-70.16</v>
      </c>
      <c r="Q159">
        <v>-70.16</v>
      </c>
      <c r="R159">
        <f t="shared" si="9"/>
        <v>0</v>
      </c>
      <c r="S159">
        <v>-70.16</v>
      </c>
      <c r="T159">
        <v>-70.16</v>
      </c>
      <c r="U159">
        <f t="shared" si="10"/>
        <v>0</v>
      </c>
      <c r="V159">
        <v>-70.16</v>
      </c>
      <c r="W159">
        <v>-70.16</v>
      </c>
      <c r="X159">
        <f t="shared" si="11"/>
        <v>0</v>
      </c>
      <c r="Y159" t="s">
        <v>158</v>
      </c>
      <c r="Z159" t="str">
        <f>VLOOKUP(G159,'[2]Erogati mag-giu 2026_791_old'!$D:$T,11,FALSE)</f>
        <v>indiretto</v>
      </c>
      <c r="AA159" t="b">
        <v>1</v>
      </c>
      <c r="AF159" t="s">
        <v>20</v>
      </c>
      <c r="AG159" t="s">
        <v>20</v>
      </c>
    </row>
    <row r="160" spans="1:33">
      <c r="A160" s="13" t="s">
        <v>196</v>
      </c>
      <c r="B160">
        <v>202509286241879</v>
      </c>
      <c r="C160" s="4">
        <v>202509286241879</v>
      </c>
      <c r="D160" s="4" t="b">
        <f t="shared" si="12"/>
        <v>1</v>
      </c>
      <c r="E160" t="s">
        <v>20</v>
      </c>
      <c r="F160" t="s">
        <v>21</v>
      </c>
      <c r="G160" t="s">
        <v>197</v>
      </c>
      <c r="H160" t="str">
        <f>VLOOKUP(C160,'[1]Erogati mag-giu 2026_791_old'!$B:$E,4,FALSE)</f>
        <v>C342553</v>
      </c>
      <c r="I160" t="b">
        <f t="shared" si="8"/>
        <v>1</v>
      </c>
      <c r="J160" s="14">
        <v>46169</v>
      </c>
      <c r="K160" s="14">
        <v>46169</v>
      </c>
      <c r="L160" t="s">
        <v>20</v>
      </c>
      <c r="M160" s="14">
        <v>46188</v>
      </c>
      <c r="N160" s="14">
        <v>46169</v>
      </c>
      <c r="O160" t="s">
        <v>20</v>
      </c>
      <c r="P160">
        <v>-104.88</v>
      </c>
      <c r="Q160">
        <f>VLOOKUP(G160,'[1]Erogati mag-giu 2026_791_old'!$A:$W,12,FALSE)</f>
        <v>-104.88</v>
      </c>
      <c r="R160">
        <f t="shared" si="9"/>
        <v>0</v>
      </c>
      <c r="S160">
        <v>-104.88</v>
      </c>
      <c r="T160">
        <f>VLOOKUP(G160,'[1]Erogati mag-giu 2026_791_old'!$A:$W,13,FALSE)</f>
        <v>-104.88</v>
      </c>
      <c r="U160">
        <f t="shared" si="10"/>
        <v>0</v>
      </c>
      <c r="V160">
        <v>-104.88</v>
      </c>
      <c r="W160">
        <f>VLOOKUP(G160,'[1]Erogati mag-giu 2026_791_old'!$A:$W,14,FALSE)</f>
        <v>-104.88</v>
      </c>
      <c r="X160">
        <f t="shared" si="11"/>
        <v>0</v>
      </c>
      <c r="Y160" t="s">
        <v>158</v>
      </c>
      <c r="Z160" t="str">
        <f>VLOOKUP(G160,'[2]Erogati mag-giu 2026_791_old'!$D:$T,11,FALSE)</f>
        <v>indiretto</v>
      </c>
      <c r="AA160" t="b">
        <v>1</v>
      </c>
      <c r="AF160" t="s">
        <v>20</v>
      </c>
      <c r="AG160" t="s">
        <v>20</v>
      </c>
    </row>
    <row r="161" spans="1:33">
      <c r="A161" s="13" t="s">
        <v>198</v>
      </c>
      <c r="B161">
        <v>202509286449305</v>
      </c>
      <c r="C161" s="4">
        <v>202509286449305</v>
      </c>
      <c r="D161" s="4" t="b">
        <f t="shared" si="12"/>
        <v>1</v>
      </c>
      <c r="E161" t="s">
        <v>20</v>
      </c>
      <c r="F161" t="s">
        <v>21</v>
      </c>
      <c r="G161" t="s">
        <v>199</v>
      </c>
      <c r="H161" t="str">
        <f>VLOOKUP(C161,'[1]Erogati mag-giu 2026_791_old'!$B:$E,4,FALSE)</f>
        <v>C308450</v>
      </c>
      <c r="I161" t="b">
        <f t="shared" si="8"/>
        <v>1</v>
      </c>
      <c r="J161" s="14">
        <v>46153</v>
      </c>
      <c r="K161" s="14">
        <v>46153</v>
      </c>
      <c r="L161" t="s">
        <v>20</v>
      </c>
      <c r="M161" s="14">
        <v>46188</v>
      </c>
      <c r="N161" s="14">
        <v>46153</v>
      </c>
      <c r="O161" t="s">
        <v>20</v>
      </c>
      <c r="P161">
        <v>-104.88</v>
      </c>
      <c r="Q161">
        <f>VLOOKUP(G161,'[1]Erogati mag-giu 2026_791_old'!$A:$W,12,FALSE)</f>
        <v>-104.88</v>
      </c>
      <c r="R161">
        <f t="shared" si="9"/>
        <v>0</v>
      </c>
      <c r="S161">
        <v>-104.88</v>
      </c>
      <c r="T161">
        <f>VLOOKUP(G161,'[1]Erogati mag-giu 2026_791_old'!$A:$W,13,FALSE)</f>
        <v>-104.88</v>
      </c>
      <c r="U161">
        <f t="shared" si="10"/>
        <v>0</v>
      </c>
      <c r="V161">
        <v>-104.88</v>
      </c>
      <c r="W161">
        <f>VLOOKUP(G161,'[1]Erogati mag-giu 2026_791_old'!$A:$W,14,FALSE)</f>
        <v>-104.88</v>
      </c>
      <c r="X161">
        <f t="shared" si="11"/>
        <v>0</v>
      </c>
      <c r="Y161" t="s">
        <v>158</v>
      </c>
      <c r="Z161" t="str">
        <f>VLOOKUP(G161,'[2]Erogati mag-giu 2026_791_old'!$D:$T,11,FALSE)</f>
        <v>indiretto</v>
      </c>
      <c r="AA161" t="b">
        <v>1</v>
      </c>
      <c r="AF161" t="s">
        <v>20</v>
      </c>
      <c r="AG161" t="s">
        <v>20</v>
      </c>
    </row>
    <row r="162" spans="1:33">
      <c r="A162" s="13" t="s">
        <v>200</v>
      </c>
      <c r="B162">
        <v>202509286452085</v>
      </c>
      <c r="C162" s="4">
        <v>202509286452085</v>
      </c>
      <c r="D162" s="4" t="b">
        <f t="shared" si="12"/>
        <v>1</v>
      </c>
      <c r="E162" t="s">
        <v>20</v>
      </c>
      <c r="F162" t="s">
        <v>21</v>
      </c>
      <c r="G162" t="s">
        <v>201</v>
      </c>
      <c r="H162" t="str">
        <f>VLOOKUP(C162,'[1]Erogati mag-giu 2026_791_old'!$B:$E,4,FALSE)</f>
        <v>C309363</v>
      </c>
      <c r="I162" t="b">
        <f t="shared" si="8"/>
        <v>1</v>
      </c>
      <c r="J162" s="14">
        <v>46181</v>
      </c>
      <c r="K162" s="14">
        <v>46181</v>
      </c>
      <c r="L162" t="s">
        <v>20</v>
      </c>
      <c r="M162" s="14">
        <v>46188</v>
      </c>
      <c r="N162" s="14">
        <v>46181</v>
      </c>
      <c r="O162" t="s">
        <v>20</v>
      </c>
      <c r="P162">
        <v>-209.76</v>
      </c>
      <c r="Q162">
        <f>VLOOKUP(G162,'[1]Erogati mag-giu 2026_791_old'!$A:$W,12,FALSE)</f>
        <v>-209.76</v>
      </c>
      <c r="R162">
        <f t="shared" si="9"/>
        <v>0</v>
      </c>
      <c r="S162">
        <v>-209.76</v>
      </c>
      <c r="T162">
        <f>VLOOKUP(G162,'[1]Erogati mag-giu 2026_791_old'!$A:$W,13,FALSE)</f>
        <v>-209.76</v>
      </c>
      <c r="U162">
        <f t="shared" si="10"/>
        <v>0</v>
      </c>
      <c r="V162">
        <v>-209.76</v>
      </c>
      <c r="W162">
        <f>VLOOKUP(G162,'[1]Erogati mag-giu 2026_791_old'!$A:$W,14,FALSE)</f>
        <v>-209.76</v>
      </c>
      <c r="X162">
        <f t="shared" si="11"/>
        <v>0</v>
      </c>
      <c r="Y162" t="s">
        <v>158</v>
      </c>
      <c r="Z162" t="str">
        <f>VLOOKUP(G162,'[2]Erogati mag-giu 2026_791_old'!$D:$T,11,FALSE)</f>
        <v>indiretto</v>
      </c>
      <c r="AA162" t="b">
        <v>1</v>
      </c>
      <c r="AF162" t="s">
        <v>20</v>
      </c>
      <c r="AG162" t="s">
        <v>20</v>
      </c>
    </row>
    <row r="163" spans="1:33">
      <c r="A163" s="13" t="s">
        <v>202</v>
      </c>
      <c r="B163">
        <v>202509286625539</v>
      </c>
      <c r="C163" s="4">
        <v>202509286625539</v>
      </c>
      <c r="D163" s="4" t="b">
        <f t="shared" si="12"/>
        <v>1</v>
      </c>
      <c r="E163" t="s">
        <v>20</v>
      </c>
      <c r="F163" t="s">
        <v>21</v>
      </c>
      <c r="G163" t="s">
        <v>203</v>
      </c>
      <c r="H163" t="str">
        <f>VLOOKUP(C163,'[1]Erogati mag-giu 2026_791_old'!$B:$E,4,FALSE)</f>
        <v>C342580</v>
      </c>
      <c r="I163" t="b">
        <f t="shared" si="8"/>
        <v>1</v>
      </c>
      <c r="J163" s="14">
        <v>46153</v>
      </c>
      <c r="K163" s="14">
        <v>46153</v>
      </c>
      <c r="L163" t="s">
        <v>20</v>
      </c>
      <c r="M163" s="14">
        <v>46188</v>
      </c>
      <c r="N163" s="14">
        <v>46153</v>
      </c>
      <c r="O163" t="s">
        <v>20</v>
      </c>
      <c r="P163">
        <v>-126.28</v>
      </c>
      <c r="Q163">
        <f>VLOOKUP(G163,'[1]Erogati mag-giu 2026_791_old'!$A:$W,12,FALSE)</f>
        <v>-126.28</v>
      </c>
      <c r="R163">
        <f t="shared" si="9"/>
        <v>0</v>
      </c>
      <c r="S163">
        <v>-126.28</v>
      </c>
      <c r="T163">
        <f>VLOOKUP(G163,'[1]Erogati mag-giu 2026_791_old'!$A:$W,13,FALSE)</f>
        <v>-126.28</v>
      </c>
      <c r="U163">
        <f t="shared" si="10"/>
        <v>0</v>
      </c>
      <c r="V163">
        <v>-126.28</v>
      </c>
      <c r="W163">
        <f>VLOOKUP(G163,'[1]Erogati mag-giu 2026_791_old'!$A:$W,14,FALSE)</f>
        <v>-126.28</v>
      </c>
      <c r="X163">
        <f t="shared" si="11"/>
        <v>0</v>
      </c>
      <c r="Y163" t="s">
        <v>158</v>
      </c>
      <c r="Z163" t="str">
        <f>VLOOKUP(G163,'[2]Erogati mag-giu 2026_791_old'!$D:$T,11,FALSE)</f>
        <v>indiretto</v>
      </c>
      <c r="AA163" t="b">
        <v>1</v>
      </c>
      <c r="AF163" t="s">
        <v>20</v>
      </c>
      <c r="AG163" t="s">
        <v>20</v>
      </c>
    </row>
    <row r="164" spans="1:33">
      <c r="A164" s="13" t="s">
        <v>204</v>
      </c>
      <c r="B164">
        <v>202510289020158</v>
      </c>
      <c r="C164" s="4">
        <v>202510289020158</v>
      </c>
      <c r="D164" s="4" t="b">
        <f t="shared" si="12"/>
        <v>1</v>
      </c>
      <c r="E164" t="s">
        <v>20</v>
      </c>
      <c r="F164" t="s">
        <v>21</v>
      </c>
      <c r="G164" t="s">
        <v>205</v>
      </c>
      <c r="H164" t="str">
        <f>VLOOKUP(C164,'[1]Erogati mag-giu 2026_791_old'!$B:$E,4,FALSE)</f>
        <v>C343072</v>
      </c>
      <c r="I164" t="b">
        <f t="shared" si="8"/>
        <v>1</v>
      </c>
      <c r="J164" s="14">
        <v>46168</v>
      </c>
      <c r="K164" s="14">
        <v>46168</v>
      </c>
      <c r="L164" t="s">
        <v>20</v>
      </c>
      <c r="M164" s="14">
        <v>46188</v>
      </c>
      <c r="N164" s="14">
        <v>46168</v>
      </c>
      <c r="O164" t="s">
        <v>20</v>
      </c>
      <c r="P164">
        <v>-70.16</v>
      </c>
      <c r="Q164">
        <f>VLOOKUP(G164,'[1]Erogati mag-giu 2026_791_old'!$A:$W,12,FALSE)</f>
        <v>-70.16</v>
      </c>
      <c r="R164">
        <f t="shared" si="9"/>
        <v>0</v>
      </c>
      <c r="S164">
        <v>-70.16</v>
      </c>
      <c r="T164">
        <f>VLOOKUP(G164,'[1]Erogati mag-giu 2026_791_old'!$A:$W,13,FALSE)</f>
        <v>-70.16</v>
      </c>
      <c r="U164">
        <f t="shared" si="10"/>
        <v>0</v>
      </c>
      <c r="V164">
        <v>-70.16</v>
      </c>
      <c r="W164">
        <f>VLOOKUP(G164,'[1]Erogati mag-giu 2026_791_old'!$A:$W,14,FALSE)</f>
        <v>-70.16</v>
      </c>
      <c r="X164">
        <f t="shared" si="11"/>
        <v>0</v>
      </c>
      <c r="Y164" t="s">
        <v>158</v>
      </c>
      <c r="Z164" t="str">
        <f>VLOOKUP(G164,'[2]Erogati mag-giu 2026_791_old'!$D:$T,11,FALSE)</f>
        <v>indiretto</v>
      </c>
      <c r="AA164" t="b">
        <v>1</v>
      </c>
      <c r="AF164" t="s">
        <v>20</v>
      </c>
      <c r="AG164" t="s">
        <v>20</v>
      </c>
    </row>
    <row r="165" spans="1:33">
      <c r="A165" s="13" t="s">
        <v>206</v>
      </c>
      <c r="B165">
        <v>202510289073799</v>
      </c>
      <c r="C165" s="4">
        <v>202510289073799</v>
      </c>
      <c r="D165" s="4" t="b">
        <f t="shared" si="12"/>
        <v>1</v>
      </c>
      <c r="E165" t="s">
        <v>20</v>
      </c>
      <c r="F165" t="s">
        <v>21</v>
      </c>
      <c r="G165" t="s">
        <v>207</v>
      </c>
      <c r="H165" t="str">
        <f>VLOOKUP(C165,'[1]Erogati mag-giu 2026_791_old'!$B:$E,4,FALSE)</f>
        <v>C317493</v>
      </c>
      <c r="I165" t="b">
        <f t="shared" si="8"/>
        <v>1</v>
      </c>
      <c r="J165" s="14">
        <v>46191</v>
      </c>
      <c r="K165" s="14">
        <v>46191</v>
      </c>
      <c r="L165" t="s">
        <v>20</v>
      </c>
      <c r="M165" s="14">
        <v>46188</v>
      </c>
      <c r="N165" s="14">
        <v>46191</v>
      </c>
      <c r="O165" t="s">
        <v>20</v>
      </c>
      <c r="P165">
        <v>-140.31</v>
      </c>
      <c r="Q165">
        <f>VLOOKUP(G165,'[1]Erogati mag-giu 2026_791_old'!$A:$W,12,FALSE)</f>
        <v>-140.31</v>
      </c>
      <c r="R165">
        <f t="shared" si="9"/>
        <v>0</v>
      </c>
      <c r="S165">
        <v>-140.31</v>
      </c>
      <c r="T165">
        <f>VLOOKUP(G165,'[1]Erogati mag-giu 2026_791_old'!$A:$W,13,FALSE)</f>
        <v>-140.31</v>
      </c>
      <c r="U165">
        <f t="shared" si="10"/>
        <v>0</v>
      </c>
      <c r="V165">
        <v>-140.31</v>
      </c>
      <c r="W165">
        <f>VLOOKUP(G165,'[1]Erogati mag-giu 2026_791_old'!$A:$W,14,FALSE)</f>
        <v>-140.31</v>
      </c>
      <c r="X165">
        <f t="shared" si="11"/>
        <v>0</v>
      </c>
      <c r="Y165" t="s">
        <v>158</v>
      </c>
      <c r="Z165" t="str">
        <f>VLOOKUP(G165,'[2]Erogati mag-giu 2026_791_old'!$D:$T,11,FALSE)</f>
        <v>indiretto</v>
      </c>
      <c r="AA165" t="b">
        <v>1</v>
      </c>
      <c r="AF165" t="s">
        <v>20</v>
      </c>
      <c r="AG165" t="s">
        <v>20</v>
      </c>
    </row>
    <row r="166" spans="1:33">
      <c r="A166" s="13" t="s">
        <v>208</v>
      </c>
      <c r="B166">
        <v>202510290556897</v>
      </c>
      <c r="C166" s="4">
        <v>202510290556897</v>
      </c>
      <c r="D166" s="4" t="b">
        <f t="shared" si="12"/>
        <v>1</v>
      </c>
      <c r="E166" t="s">
        <v>20</v>
      </c>
      <c r="F166" t="s">
        <v>21</v>
      </c>
      <c r="G166" t="s">
        <v>209</v>
      </c>
      <c r="H166" t="str">
        <f>VLOOKUP(C166,'[1]Erogati mag-giu 2026_791_old'!$B:$E,4,FALSE)</f>
        <v>C314065</v>
      </c>
      <c r="I166" t="b">
        <f t="shared" si="8"/>
        <v>1</v>
      </c>
      <c r="J166" s="14">
        <v>46169</v>
      </c>
      <c r="K166" s="14">
        <v>46169</v>
      </c>
      <c r="L166" t="s">
        <v>20</v>
      </c>
      <c r="M166" s="14">
        <v>46188</v>
      </c>
      <c r="N166" s="14">
        <v>46169</v>
      </c>
      <c r="O166" t="s">
        <v>20</v>
      </c>
      <c r="P166">
        <v>-35.08</v>
      </c>
      <c r="Q166">
        <f>VLOOKUP(G166,'[1]Erogati mag-giu 2026_791_old'!$A:$W,12,FALSE)</f>
        <v>-35.08</v>
      </c>
      <c r="R166">
        <f t="shared" si="9"/>
        <v>0</v>
      </c>
      <c r="S166">
        <v>-35.08</v>
      </c>
      <c r="T166">
        <f>VLOOKUP(G166,'[1]Erogati mag-giu 2026_791_old'!$A:$W,13,FALSE)</f>
        <v>-35.08</v>
      </c>
      <c r="U166">
        <f t="shared" si="10"/>
        <v>0</v>
      </c>
      <c r="V166">
        <v>-35.08</v>
      </c>
      <c r="W166">
        <f>VLOOKUP(G166,'[1]Erogati mag-giu 2026_791_old'!$A:$W,14,FALSE)</f>
        <v>-35.08</v>
      </c>
      <c r="X166">
        <f t="shared" si="11"/>
        <v>0</v>
      </c>
      <c r="Y166" t="s">
        <v>158</v>
      </c>
      <c r="Z166" t="str">
        <f>VLOOKUP(G166,'[2]Erogati mag-giu 2026_791_old'!$D:$T,11,FALSE)</f>
        <v>indiretto</v>
      </c>
      <c r="AA166" t="b">
        <v>1</v>
      </c>
      <c r="AF166" t="s">
        <v>20</v>
      </c>
      <c r="AG166" t="s">
        <v>20</v>
      </c>
    </row>
    <row r="167" spans="1:33">
      <c r="A167" s="13" t="s">
        <v>210</v>
      </c>
      <c r="B167">
        <v>202510291105630</v>
      </c>
      <c r="C167" s="4">
        <v>202510291105630</v>
      </c>
      <c r="D167" s="4" t="b">
        <f t="shared" si="12"/>
        <v>1</v>
      </c>
      <c r="E167" t="s">
        <v>20</v>
      </c>
      <c r="F167" t="s">
        <v>21</v>
      </c>
      <c r="G167" t="s">
        <v>211</v>
      </c>
      <c r="H167" t="str">
        <f>VLOOKUP(C167,'[1]Erogati mag-giu 2026_791_old'!$B:$E,4,FALSE)</f>
        <v>C320180</v>
      </c>
      <c r="I167" t="b">
        <f t="shared" si="8"/>
        <v>1</v>
      </c>
      <c r="J167" s="14">
        <v>46181</v>
      </c>
      <c r="K167" s="14">
        <v>46181</v>
      </c>
      <c r="L167" t="s">
        <v>20</v>
      </c>
      <c r="M167" s="14">
        <v>46188</v>
      </c>
      <c r="N167" s="14">
        <v>46181</v>
      </c>
      <c r="O167" t="s">
        <v>20</v>
      </c>
      <c r="P167">
        <v>-118.31</v>
      </c>
      <c r="Q167">
        <f>VLOOKUP(G167,'[1]Erogati mag-giu 2026_791_old'!$A:$W,12,FALSE)</f>
        <v>-118.31</v>
      </c>
      <c r="R167">
        <f t="shared" si="9"/>
        <v>0</v>
      </c>
      <c r="S167">
        <v>-118.31</v>
      </c>
      <c r="T167">
        <f>VLOOKUP(G167,'[1]Erogati mag-giu 2026_791_old'!$A:$W,13,FALSE)</f>
        <v>-118.31</v>
      </c>
      <c r="U167">
        <f t="shared" si="10"/>
        <v>0</v>
      </c>
      <c r="V167">
        <v>-118.31</v>
      </c>
      <c r="W167">
        <f>VLOOKUP(G167,'[1]Erogati mag-giu 2026_791_old'!$A:$W,14,FALSE)</f>
        <v>-118.31</v>
      </c>
      <c r="X167">
        <f t="shared" si="11"/>
        <v>0</v>
      </c>
      <c r="Y167" t="s">
        <v>158</v>
      </c>
      <c r="Z167" t="str">
        <f>VLOOKUP(G167,'[2]Erogati mag-giu 2026_791_old'!$D:$T,11,FALSE)</f>
        <v>indiretto</v>
      </c>
      <c r="AA167" t="b">
        <v>1</v>
      </c>
      <c r="AF167" t="s">
        <v>20</v>
      </c>
      <c r="AG167" t="s">
        <v>20</v>
      </c>
    </row>
    <row r="168" spans="1:33">
      <c r="A168" s="13" t="s">
        <v>212</v>
      </c>
      <c r="B168">
        <v>202511296021791</v>
      </c>
      <c r="C168" s="4">
        <v>202511296021791</v>
      </c>
      <c r="D168" s="4" t="b">
        <f t="shared" si="12"/>
        <v>1</v>
      </c>
      <c r="E168" t="s">
        <v>20</v>
      </c>
      <c r="F168" t="s">
        <v>21</v>
      </c>
      <c r="G168" t="s">
        <v>213</v>
      </c>
      <c r="H168" t="str">
        <f>VLOOKUP(C168,'[1]Erogati mag-giu 2026_791_old'!$B:$E,4,FALSE)</f>
        <v>C336624</v>
      </c>
      <c r="I168" t="b">
        <f t="shared" si="8"/>
        <v>1</v>
      </c>
      <c r="J168" s="14">
        <v>46191</v>
      </c>
      <c r="K168" s="14">
        <v>46191</v>
      </c>
      <c r="L168" t="s">
        <v>20</v>
      </c>
      <c r="M168" s="14">
        <v>46188</v>
      </c>
      <c r="N168" s="14">
        <v>46191</v>
      </c>
      <c r="O168" t="s">
        <v>20</v>
      </c>
      <c r="P168">
        <v>-245.54</v>
      </c>
      <c r="Q168">
        <f>VLOOKUP(G168,'[1]Erogati mag-giu 2026_791_old'!$A:$W,12,FALSE)</f>
        <v>-245.54</v>
      </c>
      <c r="R168">
        <f t="shared" si="9"/>
        <v>0</v>
      </c>
      <c r="S168">
        <v>-245.54</v>
      </c>
      <c r="T168">
        <f>VLOOKUP(G168,'[1]Erogati mag-giu 2026_791_old'!$A:$W,13,FALSE)</f>
        <v>-245.54</v>
      </c>
      <c r="U168">
        <f t="shared" si="10"/>
        <v>0</v>
      </c>
      <c r="V168">
        <v>-245.54</v>
      </c>
      <c r="W168">
        <f>VLOOKUP(G168,'[1]Erogati mag-giu 2026_791_old'!$A:$W,14,FALSE)</f>
        <v>-245.54</v>
      </c>
      <c r="X168">
        <f t="shared" si="11"/>
        <v>0</v>
      </c>
      <c r="Y168" t="s">
        <v>158</v>
      </c>
      <c r="Z168" t="str">
        <f>VLOOKUP(G168,'[2]Erogati mag-giu 2026_791_old'!$D:$T,11,FALSE)</f>
        <v>indiretto</v>
      </c>
      <c r="AA168" t="b">
        <v>1</v>
      </c>
      <c r="AF168" t="s">
        <v>20</v>
      </c>
      <c r="AG168" t="s">
        <v>20</v>
      </c>
    </row>
    <row r="169" spans="1:33">
      <c r="A169" s="13" t="s">
        <v>214</v>
      </c>
      <c r="B169">
        <v>202511296509637</v>
      </c>
      <c r="C169" s="4">
        <v>202511296509637</v>
      </c>
      <c r="D169" s="4" t="b">
        <f t="shared" si="12"/>
        <v>1</v>
      </c>
      <c r="E169" t="s">
        <v>20</v>
      </c>
      <c r="F169" t="s">
        <v>21</v>
      </c>
      <c r="G169" t="s">
        <v>215</v>
      </c>
      <c r="H169" t="str">
        <f>VLOOKUP(C169,'[1]Erogati mag-giu 2026_791_old'!$B:$E,4,FALSE)</f>
        <v>C336636</v>
      </c>
      <c r="I169" t="b">
        <f t="shared" si="8"/>
        <v>1</v>
      </c>
      <c r="J169" s="14">
        <v>46191</v>
      </c>
      <c r="K169" s="14">
        <v>46191</v>
      </c>
      <c r="L169" t="s">
        <v>20</v>
      </c>
      <c r="M169" s="14">
        <v>46188</v>
      </c>
      <c r="N169" s="14">
        <v>46191</v>
      </c>
      <c r="O169" t="s">
        <v>20</v>
      </c>
      <c r="P169">
        <v>-175.39</v>
      </c>
      <c r="Q169">
        <f>VLOOKUP(G169,'[1]Erogati mag-giu 2026_791_old'!$A:$W,12,FALSE)</f>
        <v>-175.39</v>
      </c>
      <c r="R169">
        <f t="shared" si="9"/>
        <v>0</v>
      </c>
      <c r="S169">
        <v>-175.39</v>
      </c>
      <c r="T169">
        <f>VLOOKUP(G169,'[1]Erogati mag-giu 2026_791_old'!$A:$W,13,FALSE)</f>
        <v>-175.39</v>
      </c>
      <c r="U169">
        <f t="shared" si="10"/>
        <v>0</v>
      </c>
      <c r="V169">
        <v>-175.39</v>
      </c>
      <c r="W169">
        <f>VLOOKUP(G169,'[1]Erogati mag-giu 2026_791_old'!$A:$W,14,FALSE)</f>
        <v>-175.39</v>
      </c>
      <c r="X169">
        <f t="shared" si="11"/>
        <v>0</v>
      </c>
      <c r="Y169" t="s">
        <v>158</v>
      </c>
      <c r="Z169" t="str">
        <f>VLOOKUP(G169,'[2]Erogati mag-giu 2026_791_old'!$D:$T,11,FALSE)</f>
        <v>indiretto</v>
      </c>
      <c r="AA169" t="b">
        <v>1</v>
      </c>
      <c r="AF169" t="s">
        <v>20</v>
      </c>
      <c r="AG169" t="s">
        <v>20</v>
      </c>
    </row>
    <row r="170" spans="1:33">
      <c r="A170" s="13" t="s">
        <v>216</v>
      </c>
      <c r="B170">
        <v>202512302665805</v>
      </c>
      <c r="C170" s="4">
        <v>202512302665805</v>
      </c>
      <c r="D170" s="4" t="b">
        <f t="shared" si="12"/>
        <v>1</v>
      </c>
      <c r="E170" t="s">
        <v>20</v>
      </c>
      <c r="F170" t="s">
        <v>21</v>
      </c>
      <c r="G170" t="s">
        <v>217</v>
      </c>
      <c r="H170" t="str">
        <f>VLOOKUP(C170,'[1]Erogati mag-giu 2026_791_old'!$B:$E,4,FALSE)</f>
        <v>C343882</v>
      </c>
      <c r="I170" t="b">
        <f t="shared" si="8"/>
        <v>1</v>
      </c>
      <c r="J170" s="14">
        <v>46149</v>
      </c>
      <c r="K170" s="14">
        <v>46149</v>
      </c>
      <c r="L170" t="s">
        <v>20</v>
      </c>
      <c r="M170" s="14">
        <v>46188</v>
      </c>
      <c r="N170" s="14">
        <v>46149</v>
      </c>
      <c r="O170" t="s">
        <v>20</v>
      </c>
      <c r="P170">
        <v>-35.08</v>
      </c>
      <c r="Q170">
        <f>VLOOKUP(G170,'[1]Erogati mag-giu 2026_791_old'!$A:$W,12,FALSE)</f>
        <v>-35.08</v>
      </c>
      <c r="R170">
        <f t="shared" si="9"/>
        <v>0</v>
      </c>
      <c r="S170">
        <v>-35.08</v>
      </c>
      <c r="T170">
        <f>VLOOKUP(G170,'[1]Erogati mag-giu 2026_791_old'!$A:$W,13,FALSE)</f>
        <v>-35.08</v>
      </c>
      <c r="U170">
        <f t="shared" si="10"/>
        <v>0</v>
      </c>
      <c r="V170">
        <v>-35.08</v>
      </c>
      <c r="W170">
        <f>VLOOKUP(G170,'[1]Erogati mag-giu 2026_791_old'!$A:$W,14,FALSE)</f>
        <v>-35.08</v>
      </c>
      <c r="X170">
        <f t="shared" si="11"/>
        <v>0</v>
      </c>
      <c r="Y170" t="s">
        <v>158</v>
      </c>
      <c r="Z170" t="str">
        <f>VLOOKUP(G170,'[2]Erogati mag-giu 2026_791_old'!$D:$T,11,FALSE)</f>
        <v>indiretto</v>
      </c>
      <c r="AA170" t="b">
        <v>1</v>
      </c>
      <c r="AF170" t="s">
        <v>20</v>
      </c>
      <c r="AG170" t="s">
        <v>20</v>
      </c>
    </row>
    <row r="171" spans="1:33">
      <c r="A171" s="13" t="s">
        <v>218</v>
      </c>
      <c r="B171">
        <v>202512302666921</v>
      </c>
      <c r="C171" s="4">
        <v>202512302666921</v>
      </c>
      <c r="D171" s="4" t="b">
        <f t="shared" si="12"/>
        <v>1</v>
      </c>
      <c r="E171" t="s">
        <v>20</v>
      </c>
      <c r="F171" t="s">
        <v>21</v>
      </c>
      <c r="G171" t="s">
        <v>219</v>
      </c>
      <c r="H171" t="str">
        <f>VLOOKUP(C171,'[1]Erogati mag-giu 2026_791_old'!$B:$E,4,FALSE)</f>
        <v>C343923</v>
      </c>
      <c r="I171" t="b">
        <f t="shared" si="8"/>
        <v>1</v>
      </c>
      <c r="J171" s="14">
        <v>46149</v>
      </c>
      <c r="K171" s="14">
        <v>46149</v>
      </c>
      <c r="L171" t="s">
        <v>20</v>
      </c>
      <c r="M171" s="14">
        <v>46188</v>
      </c>
      <c r="N171" s="14">
        <v>46149</v>
      </c>
      <c r="O171" t="s">
        <v>20</v>
      </c>
      <c r="P171">
        <v>-111.52</v>
      </c>
      <c r="Q171">
        <f>VLOOKUP(G171,'[1]Erogati mag-giu 2026_791_old'!$A:$W,12,FALSE)</f>
        <v>-111.52</v>
      </c>
      <c r="R171">
        <f t="shared" si="9"/>
        <v>0</v>
      </c>
      <c r="S171">
        <v>-111.52</v>
      </c>
      <c r="T171">
        <f>VLOOKUP(G171,'[1]Erogati mag-giu 2026_791_old'!$A:$W,13,FALSE)</f>
        <v>-111.52</v>
      </c>
      <c r="U171">
        <f t="shared" si="10"/>
        <v>0</v>
      </c>
      <c r="V171">
        <v>-111.52</v>
      </c>
      <c r="W171">
        <f>VLOOKUP(G171,'[1]Erogati mag-giu 2026_791_old'!$A:$W,14,FALSE)</f>
        <v>-111.52</v>
      </c>
      <c r="X171">
        <f t="shared" si="11"/>
        <v>0</v>
      </c>
      <c r="Y171" t="s">
        <v>158</v>
      </c>
      <c r="Z171" t="str">
        <f>VLOOKUP(G171,'[2]Erogati mag-giu 2026_791_old'!$D:$T,11,FALSE)</f>
        <v>indiretto</v>
      </c>
      <c r="AA171" t="b">
        <v>1</v>
      </c>
      <c r="AF171" t="s">
        <v>20</v>
      </c>
      <c r="AG171" t="s">
        <v>20</v>
      </c>
    </row>
    <row r="172" spans="1:33">
      <c r="A172" s="13" t="s">
        <v>220</v>
      </c>
      <c r="B172">
        <v>202512302667989</v>
      </c>
      <c r="C172" s="4">
        <v>202512302667989</v>
      </c>
      <c r="D172" s="4" t="b">
        <f t="shared" si="12"/>
        <v>1</v>
      </c>
      <c r="E172" t="s">
        <v>20</v>
      </c>
      <c r="F172" t="s">
        <v>21</v>
      </c>
      <c r="G172" t="s">
        <v>221</v>
      </c>
      <c r="H172" t="str">
        <f>VLOOKUP(C172,'[1]Erogati mag-giu 2026_791_old'!$B:$E,4,FALSE)</f>
        <v>C343887</v>
      </c>
      <c r="I172" t="b">
        <f t="shared" si="8"/>
        <v>1</v>
      </c>
      <c r="J172" s="14">
        <v>46149</v>
      </c>
      <c r="K172" s="14">
        <v>46149</v>
      </c>
      <c r="L172" t="s">
        <v>20</v>
      </c>
      <c r="M172" s="14">
        <v>46188</v>
      </c>
      <c r="N172" s="14">
        <v>46149</v>
      </c>
      <c r="O172" t="s">
        <v>20</v>
      </c>
      <c r="P172">
        <v>-59.27</v>
      </c>
      <c r="Q172">
        <f>VLOOKUP(G172,'[1]Erogati mag-giu 2026_791_old'!$A:$W,12,FALSE)</f>
        <v>-59.27</v>
      </c>
      <c r="R172">
        <f t="shared" si="9"/>
        <v>0</v>
      </c>
      <c r="S172">
        <v>-59.27</v>
      </c>
      <c r="T172">
        <f>VLOOKUP(G172,'[1]Erogati mag-giu 2026_791_old'!$A:$W,13,FALSE)</f>
        <v>-59.27</v>
      </c>
      <c r="U172">
        <f t="shared" si="10"/>
        <v>0</v>
      </c>
      <c r="V172">
        <v>-59.27</v>
      </c>
      <c r="W172">
        <f>VLOOKUP(G172,'[1]Erogati mag-giu 2026_791_old'!$A:$W,14,FALSE)</f>
        <v>-59.27</v>
      </c>
      <c r="X172">
        <f t="shared" si="11"/>
        <v>0</v>
      </c>
      <c r="Y172" t="s">
        <v>158</v>
      </c>
      <c r="Z172" t="str">
        <f>VLOOKUP(G172,'[2]Erogati mag-giu 2026_791_old'!$D:$T,11,FALSE)</f>
        <v>indiretto</v>
      </c>
      <c r="AA172" t="b">
        <v>1</v>
      </c>
      <c r="AF172" t="s">
        <v>20</v>
      </c>
      <c r="AG172" t="s">
        <v>20</v>
      </c>
    </row>
    <row r="173" spans="1:33">
      <c r="A173" s="13" t="s">
        <v>222</v>
      </c>
      <c r="B173">
        <v>202512302668842</v>
      </c>
      <c r="C173" s="4">
        <v>202512302668842</v>
      </c>
      <c r="D173" s="4" t="b">
        <f t="shared" si="12"/>
        <v>1</v>
      </c>
      <c r="E173" t="s">
        <v>20</v>
      </c>
      <c r="F173" t="s">
        <v>21</v>
      </c>
      <c r="G173" t="s">
        <v>223</v>
      </c>
      <c r="H173" t="str">
        <f>VLOOKUP(C173,'[1]Erogati mag-giu 2026_791_old'!$B:$E,4,FALSE)</f>
        <v>C343910</v>
      </c>
      <c r="I173" t="b">
        <f t="shared" si="8"/>
        <v>1</v>
      </c>
      <c r="J173" s="14">
        <v>46149</v>
      </c>
      <c r="K173" s="14">
        <v>46149</v>
      </c>
      <c r="L173" t="s">
        <v>20</v>
      </c>
      <c r="M173" s="14">
        <v>46188</v>
      </c>
      <c r="N173" s="14">
        <v>46149</v>
      </c>
      <c r="O173" t="s">
        <v>20</v>
      </c>
      <c r="P173">
        <v>-35.08</v>
      </c>
      <c r="Q173">
        <f>VLOOKUP(G173,'[1]Erogati mag-giu 2026_791_old'!$A:$W,12,FALSE)</f>
        <v>-35.08</v>
      </c>
      <c r="R173">
        <f t="shared" si="9"/>
        <v>0</v>
      </c>
      <c r="S173">
        <v>-35.08</v>
      </c>
      <c r="T173">
        <f>VLOOKUP(G173,'[1]Erogati mag-giu 2026_791_old'!$A:$W,13,FALSE)</f>
        <v>-35.08</v>
      </c>
      <c r="U173">
        <f t="shared" si="10"/>
        <v>0</v>
      </c>
      <c r="V173">
        <v>-35.08</v>
      </c>
      <c r="W173">
        <f>VLOOKUP(G173,'[1]Erogati mag-giu 2026_791_old'!$A:$W,14,FALSE)</f>
        <v>-35.08</v>
      </c>
      <c r="X173">
        <f t="shared" si="11"/>
        <v>0</v>
      </c>
      <c r="Y173" t="s">
        <v>158</v>
      </c>
      <c r="Z173" t="str">
        <f>VLOOKUP(G173,'[2]Erogati mag-giu 2026_791_old'!$D:$T,11,FALSE)</f>
        <v>indiretto</v>
      </c>
      <c r="AA173" t="b">
        <v>1</v>
      </c>
      <c r="AF173" t="s">
        <v>20</v>
      </c>
      <c r="AG173" t="s">
        <v>20</v>
      </c>
    </row>
    <row r="174" spans="1:33">
      <c r="A174" s="13" t="s">
        <v>224</v>
      </c>
      <c r="B174">
        <v>202512302671495</v>
      </c>
      <c r="C174" s="4">
        <v>202512302671495</v>
      </c>
      <c r="D174" s="4" t="b">
        <f t="shared" si="12"/>
        <v>1</v>
      </c>
      <c r="E174" t="s">
        <v>20</v>
      </c>
      <c r="F174" t="s">
        <v>21</v>
      </c>
      <c r="G174" t="s">
        <v>225</v>
      </c>
      <c r="H174" t="str">
        <f>VLOOKUP(C174,'[1]Erogati mag-giu 2026_791_old'!$B:$E,4,FALSE)</f>
        <v>C320029</v>
      </c>
      <c r="I174" t="b">
        <f t="shared" si="8"/>
        <v>1</v>
      </c>
      <c r="J174" s="14">
        <v>46149</v>
      </c>
      <c r="K174" s="14">
        <v>46149</v>
      </c>
      <c r="L174" t="s">
        <v>20</v>
      </c>
      <c r="M174" s="14">
        <v>46188</v>
      </c>
      <c r="N174" s="14">
        <v>46149</v>
      </c>
      <c r="O174" t="s">
        <v>20</v>
      </c>
      <c r="P174">
        <v>-70.16</v>
      </c>
      <c r="Q174">
        <f>VLOOKUP(G174,'[1]Erogati mag-giu 2026_791_old'!$A:$W,12,FALSE)</f>
        <v>-70.16</v>
      </c>
      <c r="R174">
        <f t="shared" si="9"/>
        <v>0</v>
      </c>
      <c r="S174">
        <v>-70.16</v>
      </c>
      <c r="T174">
        <f>VLOOKUP(G174,'[1]Erogati mag-giu 2026_791_old'!$A:$W,13,FALSE)</f>
        <v>-70.16</v>
      </c>
      <c r="U174">
        <f t="shared" si="10"/>
        <v>0</v>
      </c>
      <c r="V174">
        <v>-70.16</v>
      </c>
      <c r="W174">
        <f>VLOOKUP(G174,'[1]Erogati mag-giu 2026_791_old'!$A:$W,14,FALSE)</f>
        <v>-70.16</v>
      </c>
      <c r="X174">
        <f t="shared" si="11"/>
        <v>0</v>
      </c>
      <c r="Y174" t="s">
        <v>158</v>
      </c>
      <c r="Z174" t="str">
        <f>VLOOKUP(G174,'[2]Erogati mag-giu 2026_791_old'!$D:$T,11,FALSE)</f>
        <v>indiretto</v>
      </c>
      <c r="AA174" t="b">
        <v>1</v>
      </c>
      <c r="AF174" t="s">
        <v>20</v>
      </c>
      <c r="AG174" t="s">
        <v>20</v>
      </c>
    </row>
    <row r="175" spans="1:33">
      <c r="A175" s="13" t="s">
        <v>226</v>
      </c>
      <c r="B175">
        <v>202512302671686</v>
      </c>
      <c r="C175" s="4">
        <v>202512302671686</v>
      </c>
      <c r="D175" s="4" t="b">
        <f t="shared" si="12"/>
        <v>1</v>
      </c>
      <c r="E175" t="s">
        <v>20</v>
      </c>
      <c r="F175" t="s">
        <v>21</v>
      </c>
      <c r="G175" t="s">
        <v>227</v>
      </c>
      <c r="H175" t="str">
        <f>VLOOKUP(C175,'[1]Erogati mag-giu 2026_791_old'!$B:$E,4,FALSE)</f>
        <v>C341839</v>
      </c>
      <c r="I175" t="b">
        <f t="shared" si="8"/>
        <v>1</v>
      </c>
      <c r="J175" s="14">
        <v>46149</v>
      </c>
      <c r="K175" s="14">
        <v>46149</v>
      </c>
      <c r="L175" t="s">
        <v>20</v>
      </c>
      <c r="M175" s="14">
        <v>46188</v>
      </c>
      <c r="N175" s="14">
        <v>46149</v>
      </c>
      <c r="O175" t="s">
        <v>20</v>
      </c>
      <c r="P175">
        <v>-40.479999999999997</v>
      </c>
      <c r="Q175">
        <f>VLOOKUP(G175,'[1]Erogati mag-giu 2026_791_old'!$A:$W,12,FALSE)</f>
        <v>-40.479999999999997</v>
      </c>
      <c r="R175">
        <f t="shared" si="9"/>
        <v>0</v>
      </c>
      <c r="S175">
        <v>-40.479999999999997</v>
      </c>
      <c r="T175">
        <f>VLOOKUP(G175,'[1]Erogati mag-giu 2026_791_old'!$A:$W,13,FALSE)</f>
        <v>-40.479999999999997</v>
      </c>
      <c r="U175">
        <f t="shared" si="10"/>
        <v>0</v>
      </c>
      <c r="V175">
        <v>-40.479999999999997</v>
      </c>
      <c r="W175">
        <f>VLOOKUP(G175,'[1]Erogati mag-giu 2026_791_old'!$A:$W,14,FALSE)</f>
        <v>-40.479999999999997</v>
      </c>
      <c r="X175">
        <f t="shared" si="11"/>
        <v>0</v>
      </c>
      <c r="Y175" t="s">
        <v>158</v>
      </c>
      <c r="Z175" t="str">
        <f>VLOOKUP(G175,'[2]Erogati mag-giu 2026_791_old'!$D:$T,11,FALSE)</f>
        <v>indiretto</v>
      </c>
      <c r="AA175" t="b">
        <v>1</v>
      </c>
      <c r="AF175" t="s">
        <v>20</v>
      </c>
      <c r="AG175" t="s">
        <v>20</v>
      </c>
    </row>
    <row r="176" spans="1:33">
      <c r="A176" s="13" t="s">
        <v>228</v>
      </c>
      <c r="B176">
        <v>202512302677978</v>
      </c>
      <c r="C176" s="4">
        <v>202512302677978</v>
      </c>
      <c r="D176" s="4" t="b">
        <f t="shared" si="12"/>
        <v>1</v>
      </c>
      <c r="E176" t="s">
        <v>20</v>
      </c>
      <c r="F176" t="s">
        <v>21</v>
      </c>
      <c r="G176" t="s">
        <v>229</v>
      </c>
      <c r="H176" t="str">
        <f>VLOOKUP(C176,'[1]Erogati mag-giu 2026_791_old'!$B:$E,4,FALSE)</f>
        <v>C343892</v>
      </c>
      <c r="I176" t="b">
        <f t="shared" si="8"/>
        <v>1</v>
      </c>
      <c r="J176" s="14">
        <v>46149</v>
      </c>
      <c r="K176" s="14">
        <v>46149</v>
      </c>
      <c r="L176" t="s">
        <v>20</v>
      </c>
      <c r="M176" s="14">
        <v>46188</v>
      </c>
      <c r="N176" s="14">
        <v>46149</v>
      </c>
      <c r="O176" t="s">
        <v>20</v>
      </c>
      <c r="P176">
        <v>-83.41</v>
      </c>
      <c r="Q176">
        <f>VLOOKUP(G176,'[1]Erogati mag-giu 2026_791_old'!$A:$W,12,FALSE)</f>
        <v>-83.41</v>
      </c>
      <c r="R176">
        <f t="shared" si="9"/>
        <v>0</v>
      </c>
      <c r="S176">
        <v>-83.41</v>
      </c>
      <c r="T176">
        <f>VLOOKUP(G176,'[1]Erogati mag-giu 2026_791_old'!$A:$W,13,FALSE)</f>
        <v>-83.41</v>
      </c>
      <c r="U176">
        <f t="shared" si="10"/>
        <v>0</v>
      </c>
      <c r="V176">
        <v>-83.41</v>
      </c>
      <c r="W176">
        <f>VLOOKUP(G176,'[1]Erogati mag-giu 2026_791_old'!$A:$W,14,FALSE)</f>
        <v>-83.41</v>
      </c>
      <c r="X176">
        <f t="shared" si="11"/>
        <v>0</v>
      </c>
      <c r="Y176" t="s">
        <v>158</v>
      </c>
      <c r="Z176" t="str">
        <f>VLOOKUP(G176,'[2]Erogati mag-giu 2026_791_old'!$D:$T,11,FALSE)</f>
        <v>indiretto</v>
      </c>
      <c r="AA176" t="b">
        <v>1</v>
      </c>
      <c r="AF176" t="s">
        <v>20</v>
      </c>
      <c r="AG176" t="s">
        <v>20</v>
      </c>
    </row>
    <row r="177" spans="1:33">
      <c r="A177" s="13" t="s">
        <v>230</v>
      </c>
      <c r="B177">
        <v>202512302678775</v>
      </c>
      <c r="C177" s="4">
        <v>202512302678775</v>
      </c>
      <c r="D177" s="4" t="b">
        <f t="shared" si="12"/>
        <v>1</v>
      </c>
      <c r="E177" t="s">
        <v>20</v>
      </c>
      <c r="F177" t="s">
        <v>21</v>
      </c>
      <c r="G177" t="s">
        <v>231</v>
      </c>
      <c r="H177" t="str">
        <f>VLOOKUP(C177,'[1]Erogati mag-giu 2026_791_old'!$B:$E,4,FALSE)</f>
        <v>C343922</v>
      </c>
      <c r="I177" t="b">
        <f t="shared" si="8"/>
        <v>1</v>
      </c>
      <c r="J177" s="14">
        <v>46149</v>
      </c>
      <c r="K177" s="14">
        <v>46149</v>
      </c>
      <c r="L177" t="s">
        <v>20</v>
      </c>
      <c r="M177" s="14">
        <v>46188</v>
      </c>
      <c r="N177" s="14">
        <v>46149</v>
      </c>
      <c r="O177" t="s">
        <v>20</v>
      </c>
      <c r="P177">
        <v>-37.17</v>
      </c>
      <c r="Q177">
        <f>VLOOKUP(G177,'[1]Erogati mag-giu 2026_791_old'!$A:$W,12,FALSE)</f>
        <v>-37.17</v>
      </c>
      <c r="R177">
        <f t="shared" si="9"/>
        <v>0</v>
      </c>
      <c r="S177">
        <v>-37.17</v>
      </c>
      <c r="T177">
        <f>VLOOKUP(G177,'[1]Erogati mag-giu 2026_791_old'!$A:$W,13,FALSE)</f>
        <v>-37.17</v>
      </c>
      <c r="U177">
        <f t="shared" si="10"/>
        <v>0</v>
      </c>
      <c r="V177">
        <v>-37.17</v>
      </c>
      <c r="W177">
        <f>VLOOKUP(G177,'[1]Erogati mag-giu 2026_791_old'!$A:$W,14,FALSE)</f>
        <v>-37.17</v>
      </c>
      <c r="X177">
        <f t="shared" si="11"/>
        <v>0</v>
      </c>
      <c r="Y177" t="s">
        <v>158</v>
      </c>
      <c r="Z177" t="str">
        <f>VLOOKUP(G177,'[2]Erogati mag-giu 2026_791_old'!$D:$T,11,FALSE)</f>
        <v>indiretto</v>
      </c>
      <c r="AA177" t="b">
        <v>1</v>
      </c>
      <c r="AF177" t="s">
        <v>20</v>
      </c>
      <c r="AG177" t="s">
        <v>20</v>
      </c>
    </row>
    <row r="178" spans="1:33">
      <c r="A178" s="13" t="s">
        <v>232</v>
      </c>
      <c r="B178">
        <v>202512302682042</v>
      </c>
      <c r="C178" s="4">
        <v>202512302682042</v>
      </c>
      <c r="D178" s="4" t="b">
        <f t="shared" si="12"/>
        <v>1</v>
      </c>
      <c r="E178" t="s">
        <v>20</v>
      </c>
      <c r="F178" t="s">
        <v>21</v>
      </c>
      <c r="G178" t="s">
        <v>233</v>
      </c>
      <c r="H178" t="str">
        <f>VLOOKUP(C178,'[1]Erogati mag-giu 2026_791_old'!$B:$E,4,FALSE)</f>
        <v>C308713</v>
      </c>
      <c r="I178" t="b">
        <f t="shared" si="8"/>
        <v>1</v>
      </c>
      <c r="J178" s="14">
        <v>46149</v>
      </c>
      <c r="K178" s="14">
        <v>46149</v>
      </c>
      <c r="L178" t="s">
        <v>20</v>
      </c>
      <c r="M178" s="14">
        <v>46188</v>
      </c>
      <c r="N178" s="14">
        <v>46149</v>
      </c>
      <c r="O178" t="s">
        <v>20</v>
      </c>
      <c r="P178">
        <v>-31.57</v>
      </c>
      <c r="Q178">
        <f>VLOOKUP(G178,'[1]Erogati mag-giu 2026_791_old'!$A:$W,12,FALSE)</f>
        <v>-31.57</v>
      </c>
      <c r="R178">
        <f t="shared" si="9"/>
        <v>0</v>
      </c>
      <c r="S178">
        <v>-31.57</v>
      </c>
      <c r="T178">
        <f>VLOOKUP(G178,'[1]Erogati mag-giu 2026_791_old'!$A:$W,13,FALSE)</f>
        <v>-31.57</v>
      </c>
      <c r="U178">
        <f t="shared" si="10"/>
        <v>0</v>
      </c>
      <c r="V178">
        <v>-31.57</v>
      </c>
      <c r="W178">
        <f>VLOOKUP(G178,'[1]Erogati mag-giu 2026_791_old'!$A:$W,14,FALSE)</f>
        <v>-31.57</v>
      </c>
      <c r="X178">
        <f t="shared" si="11"/>
        <v>0</v>
      </c>
      <c r="Y178" t="s">
        <v>158</v>
      </c>
      <c r="Z178" t="str">
        <f>VLOOKUP(G178,'[2]Erogati mag-giu 2026_791_old'!$D:$T,11,FALSE)</f>
        <v>indiretto</v>
      </c>
      <c r="AA178" t="b">
        <v>1</v>
      </c>
      <c r="AF178" t="s">
        <v>20</v>
      </c>
      <c r="AG178" t="s">
        <v>20</v>
      </c>
    </row>
    <row r="179" spans="1:33">
      <c r="A179" s="13" t="s">
        <v>234</v>
      </c>
      <c r="B179">
        <v>202512302684829</v>
      </c>
      <c r="C179" s="4">
        <v>202512302684829</v>
      </c>
      <c r="D179" s="4" t="b">
        <f t="shared" si="12"/>
        <v>1</v>
      </c>
      <c r="E179" t="s">
        <v>20</v>
      </c>
      <c r="F179" t="s">
        <v>21</v>
      </c>
      <c r="G179" t="s">
        <v>235</v>
      </c>
      <c r="H179" t="str">
        <f>VLOOKUP(C179,'[1]Erogati mag-giu 2026_791_old'!$B:$E,4,FALSE)</f>
        <v>C343913</v>
      </c>
      <c r="I179" t="b">
        <f t="shared" si="8"/>
        <v>1</v>
      </c>
      <c r="J179" s="14">
        <v>46149</v>
      </c>
      <c r="K179" s="14">
        <v>46149</v>
      </c>
      <c r="L179" t="s">
        <v>20</v>
      </c>
      <c r="M179" s="14">
        <v>46188</v>
      </c>
      <c r="N179" s="14">
        <v>46149</v>
      </c>
      <c r="O179" t="s">
        <v>20</v>
      </c>
      <c r="P179">
        <v>-105.23</v>
      </c>
      <c r="Q179">
        <f>VLOOKUP(G179,'[1]Erogati mag-giu 2026_791_old'!$A:$W,12,FALSE)</f>
        <v>-105.23</v>
      </c>
      <c r="R179">
        <f t="shared" si="9"/>
        <v>0</v>
      </c>
      <c r="S179">
        <v>-105.23</v>
      </c>
      <c r="T179">
        <f>VLOOKUP(G179,'[1]Erogati mag-giu 2026_791_old'!$A:$W,13,FALSE)</f>
        <v>-105.23</v>
      </c>
      <c r="U179">
        <f t="shared" si="10"/>
        <v>0</v>
      </c>
      <c r="V179">
        <v>-105.23</v>
      </c>
      <c r="W179">
        <f>VLOOKUP(G179,'[1]Erogati mag-giu 2026_791_old'!$A:$W,14,FALSE)</f>
        <v>-105.23</v>
      </c>
      <c r="X179">
        <f t="shared" si="11"/>
        <v>0</v>
      </c>
      <c r="Y179" t="s">
        <v>158</v>
      </c>
      <c r="Z179" t="str">
        <f>VLOOKUP(G179,'[2]Erogati mag-giu 2026_791_old'!$D:$T,11,FALSE)</f>
        <v>indiretto</v>
      </c>
      <c r="AA179" t="b">
        <v>1</v>
      </c>
      <c r="AF179" t="s">
        <v>20</v>
      </c>
      <c r="AG179" t="s">
        <v>20</v>
      </c>
    </row>
    <row r="180" spans="1:33">
      <c r="A180" s="13" t="s">
        <v>236</v>
      </c>
      <c r="B180">
        <v>202512302685591</v>
      </c>
      <c r="C180" s="4">
        <v>202512302685591</v>
      </c>
      <c r="D180" s="4" t="b">
        <f t="shared" si="12"/>
        <v>1</v>
      </c>
      <c r="E180" t="s">
        <v>20</v>
      </c>
      <c r="F180" t="s">
        <v>21</v>
      </c>
      <c r="G180" t="s">
        <v>237</v>
      </c>
      <c r="H180" t="str">
        <f>VLOOKUP(C180,'[1]Erogati mag-giu 2026_791_old'!$B:$E,4,FALSE)</f>
        <v>C312362</v>
      </c>
      <c r="I180" t="b">
        <f t="shared" si="8"/>
        <v>1</v>
      </c>
      <c r="J180" s="14">
        <v>46149</v>
      </c>
      <c r="K180" s="14">
        <v>46149</v>
      </c>
      <c r="L180" t="s">
        <v>20</v>
      </c>
      <c r="M180" s="14">
        <v>46188</v>
      </c>
      <c r="N180" s="14">
        <v>46149</v>
      </c>
      <c r="O180" t="s">
        <v>20</v>
      </c>
      <c r="P180">
        <v>-210.47</v>
      </c>
      <c r="Q180">
        <f>VLOOKUP(G180,'[1]Erogati mag-giu 2026_791_old'!$A:$W,12,FALSE)</f>
        <v>-210.47</v>
      </c>
      <c r="R180">
        <f t="shared" si="9"/>
        <v>0</v>
      </c>
      <c r="S180">
        <v>-210.47</v>
      </c>
      <c r="T180">
        <f>VLOOKUP(G180,'[1]Erogati mag-giu 2026_791_old'!$A:$W,13,FALSE)</f>
        <v>-210.47</v>
      </c>
      <c r="U180">
        <f t="shared" si="10"/>
        <v>0</v>
      </c>
      <c r="V180">
        <v>-210.47</v>
      </c>
      <c r="W180">
        <f>VLOOKUP(G180,'[1]Erogati mag-giu 2026_791_old'!$A:$W,14,FALSE)</f>
        <v>-210.47</v>
      </c>
      <c r="X180">
        <f t="shared" si="11"/>
        <v>0</v>
      </c>
      <c r="Y180" t="s">
        <v>158</v>
      </c>
      <c r="Z180" t="str">
        <f>VLOOKUP(G180,'[2]Erogati mag-giu 2026_791_old'!$D:$T,11,FALSE)</f>
        <v>indiretto</v>
      </c>
      <c r="AA180" t="b">
        <v>1</v>
      </c>
      <c r="AF180" t="s">
        <v>20</v>
      </c>
      <c r="AG180" t="s">
        <v>20</v>
      </c>
    </row>
    <row r="181" spans="1:33">
      <c r="A181" s="13" t="s">
        <v>238</v>
      </c>
      <c r="B181">
        <v>202512302685909</v>
      </c>
      <c r="C181" s="4">
        <v>202512302685909</v>
      </c>
      <c r="D181" s="4" t="b">
        <f t="shared" si="12"/>
        <v>1</v>
      </c>
      <c r="E181" t="s">
        <v>20</v>
      </c>
      <c r="F181" t="s">
        <v>21</v>
      </c>
      <c r="G181" t="s">
        <v>239</v>
      </c>
      <c r="H181" t="str">
        <f>VLOOKUP(C181,'[1]Erogati mag-giu 2026_791_old'!$B:$E,4,FALSE)</f>
        <v>C320109</v>
      </c>
      <c r="I181" t="b">
        <f t="shared" si="8"/>
        <v>1</v>
      </c>
      <c r="J181" s="14">
        <v>46149</v>
      </c>
      <c r="K181" s="14">
        <v>46149</v>
      </c>
      <c r="L181" t="s">
        <v>20</v>
      </c>
      <c r="M181" s="14">
        <v>46188</v>
      </c>
      <c r="N181" s="14">
        <v>46149</v>
      </c>
      <c r="O181" t="s">
        <v>20</v>
      </c>
      <c r="P181">
        <v>-35.08</v>
      </c>
      <c r="Q181">
        <f>VLOOKUP(G181,'[1]Erogati mag-giu 2026_791_old'!$A:$W,12,FALSE)</f>
        <v>-35.08</v>
      </c>
      <c r="R181">
        <f t="shared" si="9"/>
        <v>0</v>
      </c>
      <c r="S181">
        <v>-35.08</v>
      </c>
      <c r="T181">
        <f>VLOOKUP(G181,'[1]Erogati mag-giu 2026_791_old'!$A:$W,13,FALSE)</f>
        <v>-35.08</v>
      </c>
      <c r="U181">
        <f t="shared" si="10"/>
        <v>0</v>
      </c>
      <c r="V181">
        <v>-35.08</v>
      </c>
      <c r="W181">
        <f>VLOOKUP(G181,'[1]Erogati mag-giu 2026_791_old'!$A:$W,14,FALSE)</f>
        <v>-35.08</v>
      </c>
      <c r="X181">
        <f t="shared" si="11"/>
        <v>0</v>
      </c>
      <c r="Y181" t="s">
        <v>158</v>
      </c>
      <c r="Z181" t="str">
        <f>VLOOKUP(G181,'[2]Erogati mag-giu 2026_791_old'!$D:$T,11,FALSE)</f>
        <v>indiretto</v>
      </c>
      <c r="AA181" t="b">
        <v>1</v>
      </c>
      <c r="AF181" t="s">
        <v>20</v>
      </c>
      <c r="AG181" t="s">
        <v>20</v>
      </c>
    </row>
    <row r="182" spans="1:33">
      <c r="A182" s="13" t="s">
        <v>240</v>
      </c>
      <c r="B182">
        <v>202512302687122</v>
      </c>
      <c r="C182" s="4">
        <v>202512302687122</v>
      </c>
      <c r="D182" s="4" t="b">
        <f t="shared" si="12"/>
        <v>1</v>
      </c>
      <c r="E182" t="s">
        <v>20</v>
      </c>
      <c r="F182" t="s">
        <v>21</v>
      </c>
      <c r="G182" t="s">
        <v>241</v>
      </c>
      <c r="H182" t="str">
        <f>VLOOKUP(C182,'[1]Erogati mag-giu 2026_791_old'!$B:$E,4,FALSE)</f>
        <v>C343915</v>
      </c>
      <c r="I182" t="b">
        <f t="shared" si="8"/>
        <v>1</v>
      </c>
      <c r="J182" s="14">
        <v>46149</v>
      </c>
      <c r="K182" s="14">
        <v>46149</v>
      </c>
      <c r="L182" t="s">
        <v>20</v>
      </c>
      <c r="M182" s="14">
        <v>46188</v>
      </c>
      <c r="N182" s="14">
        <v>46149</v>
      </c>
      <c r="O182" t="s">
        <v>20</v>
      </c>
      <c r="P182">
        <v>-70.16</v>
      </c>
      <c r="Q182">
        <f>VLOOKUP(G182,'[1]Erogati mag-giu 2026_791_old'!$A:$W,12,FALSE)</f>
        <v>-70.16</v>
      </c>
      <c r="R182">
        <f t="shared" si="9"/>
        <v>0</v>
      </c>
      <c r="S182">
        <v>-70.16</v>
      </c>
      <c r="T182">
        <f>VLOOKUP(G182,'[1]Erogati mag-giu 2026_791_old'!$A:$W,13,FALSE)</f>
        <v>-70.16</v>
      </c>
      <c r="U182">
        <f t="shared" si="10"/>
        <v>0</v>
      </c>
      <c r="V182">
        <v>-70.16</v>
      </c>
      <c r="W182">
        <f>VLOOKUP(G182,'[1]Erogati mag-giu 2026_791_old'!$A:$W,14,FALSE)</f>
        <v>-70.16</v>
      </c>
      <c r="X182">
        <f t="shared" si="11"/>
        <v>0</v>
      </c>
      <c r="Y182" t="s">
        <v>158</v>
      </c>
      <c r="Z182" t="str">
        <f>VLOOKUP(G182,'[2]Erogati mag-giu 2026_791_old'!$D:$T,11,FALSE)</f>
        <v>indiretto</v>
      </c>
      <c r="AA182" t="b">
        <v>1</v>
      </c>
      <c r="AF182" t="s">
        <v>20</v>
      </c>
      <c r="AG182" t="s">
        <v>20</v>
      </c>
    </row>
    <row r="183" spans="1:33">
      <c r="A183" s="13" t="s">
        <v>242</v>
      </c>
      <c r="B183">
        <v>202512302687841</v>
      </c>
      <c r="C183" s="4">
        <v>202512302687841</v>
      </c>
      <c r="D183" s="4" t="b">
        <f t="shared" si="12"/>
        <v>1</v>
      </c>
      <c r="E183" t="s">
        <v>20</v>
      </c>
      <c r="F183" t="s">
        <v>21</v>
      </c>
      <c r="G183" t="s">
        <v>243</v>
      </c>
      <c r="H183" t="str">
        <f>VLOOKUP(C183,'[1]Erogati mag-giu 2026_791_old'!$B:$E,4,FALSE)</f>
        <v>C309807</v>
      </c>
      <c r="I183" t="b">
        <f t="shared" si="8"/>
        <v>1</v>
      </c>
      <c r="J183" s="14">
        <v>46149</v>
      </c>
      <c r="K183" s="14">
        <v>46149</v>
      </c>
      <c r="L183" t="s">
        <v>20</v>
      </c>
      <c r="M183" s="14">
        <v>46188</v>
      </c>
      <c r="N183" s="14">
        <v>46149</v>
      </c>
      <c r="O183" t="s">
        <v>20</v>
      </c>
      <c r="P183">
        <v>-70.16</v>
      </c>
      <c r="Q183">
        <f>VLOOKUP(G183,'[1]Erogati mag-giu 2026_791_old'!$A:$W,12,FALSE)</f>
        <v>-70.16</v>
      </c>
      <c r="R183">
        <f t="shared" si="9"/>
        <v>0</v>
      </c>
      <c r="S183">
        <v>-70.16</v>
      </c>
      <c r="T183">
        <f>VLOOKUP(G183,'[1]Erogati mag-giu 2026_791_old'!$A:$W,13,FALSE)</f>
        <v>-70.16</v>
      </c>
      <c r="U183">
        <f t="shared" si="10"/>
        <v>0</v>
      </c>
      <c r="V183">
        <v>-70.16</v>
      </c>
      <c r="W183">
        <f>VLOOKUP(G183,'[1]Erogati mag-giu 2026_791_old'!$A:$W,14,FALSE)</f>
        <v>-70.16</v>
      </c>
      <c r="X183">
        <f t="shared" si="11"/>
        <v>0</v>
      </c>
      <c r="Y183" t="s">
        <v>158</v>
      </c>
      <c r="Z183" t="str">
        <f>VLOOKUP(G183,'[2]Erogati mag-giu 2026_791_old'!$D:$T,11,FALSE)</f>
        <v>indiretto</v>
      </c>
      <c r="AA183" t="b">
        <v>1</v>
      </c>
      <c r="AF183" t="s">
        <v>20</v>
      </c>
      <c r="AG183" t="s">
        <v>20</v>
      </c>
    </row>
    <row r="184" spans="1:33">
      <c r="A184" s="13" t="s">
        <v>244</v>
      </c>
      <c r="B184">
        <v>202512302688211</v>
      </c>
      <c r="C184" s="4">
        <v>202512302688211</v>
      </c>
      <c r="D184" s="4" t="b">
        <f t="shared" si="12"/>
        <v>1</v>
      </c>
      <c r="E184" t="s">
        <v>20</v>
      </c>
      <c r="F184" t="s">
        <v>21</v>
      </c>
      <c r="G184" t="s">
        <v>245</v>
      </c>
      <c r="H184" t="str">
        <f>VLOOKUP(C184,'[1]Erogati mag-giu 2026_791_old'!$B:$E,4,FALSE)</f>
        <v>C343918</v>
      </c>
      <c r="I184" t="b">
        <f t="shared" si="8"/>
        <v>1</v>
      </c>
      <c r="J184" s="14">
        <v>46149</v>
      </c>
      <c r="K184" s="14">
        <v>46149</v>
      </c>
      <c r="L184" t="s">
        <v>20</v>
      </c>
      <c r="M184" s="14">
        <v>46188</v>
      </c>
      <c r="N184" s="14">
        <v>46149</v>
      </c>
      <c r="O184" t="s">
        <v>20</v>
      </c>
      <c r="P184">
        <v>-105.23</v>
      </c>
      <c r="Q184">
        <f>VLOOKUP(G184,'[1]Erogati mag-giu 2026_791_old'!$A:$W,12,FALSE)</f>
        <v>-105.23</v>
      </c>
      <c r="R184">
        <f t="shared" si="9"/>
        <v>0</v>
      </c>
      <c r="S184">
        <v>-105.23</v>
      </c>
      <c r="T184">
        <f>VLOOKUP(G184,'[1]Erogati mag-giu 2026_791_old'!$A:$W,13,FALSE)</f>
        <v>-105.23</v>
      </c>
      <c r="U184">
        <f t="shared" si="10"/>
        <v>0</v>
      </c>
      <c r="V184">
        <v>-105.23</v>
      </c>
      <c r="W184">
        <f>VLOOKUP(G184,'[1]Erogati mag-giu 2026_791_old'!$A:$W,14,FALSE)</f>
        <v>-105.23</v>
      </c>
      <c r="X184">
        <f t="shared" si="11"/>
        <v>0</v>
      </c>
      <c r="Y184" t="s">
        <v>158</v>
      </c>
      <c r="Z184" t="str">
        <f>VLOOKUP(G184,'[2]Erogati mag-giu 2026_791_old'!$D:$T,11,FALSE)</f>
        <v>indiretto</v>
      </c>
      <c r="AA184" t="b">
        <v>1</v>
      </c>
      <c r="AF184" t="s">
        <v>20</v>
      </c>
      <c r="AG184" t="s">
        <v>20</v>
      </c>
    </row>
    <row r="185" spans="1:33">
      <c r="A185" s="13" t="s">
        <v>246</v>
      </c>
      <c r="B185">
        <v>202512302688298</v>
      </c>
      <c r="C185" s="4">
        <v>202512302688298</v>
      </c>
      <c r="D185" s="4" t="b">
        <f t="shared" si="12"/>
        <v>1</v>
      </c>
      <c r="E185" t="s">
        <v>20</v>
      </c>
      <c r="F185" t="s">
        <v>21</v>
      </c>
      <c r="G185" t="s">
        <v>247</v>
      </c>
      <c r="H185" t="str">
        <f>VLOOKUP(C185,'[1]Erogati mag-giu 2026_791_old'!$B:$E,4,FALSE)</f>
        <v>C343914</v>
      </c>
      <c r="I185" t="b">
        <f t="shared" si="8"/>
        <v>1</v>
      </c>
      <c r="J185" s="14">
        <v>46149</v>
      </c>
      <c r="K185" s="14">
        <v>46149</v>
      </c>
      <c r="L185" t="s">
        <v>20</v>
      </c>
      <c r="M185" s="14">
        <v>46188</v>
      </c>
      <c r="N185" s="14">
        <v>46149</v>
      </c>
      <c r="O185" t="s">
        <v>20</v>
      </c>
      <c r="P185">
        <v>-35.08</v>
      </c>
      <c r="Q185">
        <f>VLOOKUP(G185,'[1]Erogati mag-giu 2026_791_old'!$A:$W,12,FALSE)</f>
        <v>-35.08</v>
      </c>
      <c r="R185">
        <f t="shared" si="9"/>
        <v>0</v>
      </c>
      <c r="S185">
        <v>-35.08</v>
      </c>
      <c r="T185">
        <f>VLOOKUP(G185,'[1]Erogati mag-giu 2026_791_old'!$A:$W,13,FALSE)</f>
        <v>-35.08</v>
      </c>
      <c r="U185">
        <f t="shared" si="10"/>
        <v>0</v>
      </c>
      <c r="V185">
        <v>-35.08</v>
      </c>
      <c r="W185">
        <f>VLOOKUP(G185,'[1]Erogati mag-giu 2026_791_old'!$A:$W,14,FALSE)</f>
        <v>-35.08</v>
      </c>
      <c r="X185">
        <f t="shared" si="11"/>
        <v>0</v>
      </c>
      <c r="Y185" t="s">
        <v>158</v>
      </c>
      <c r="Z185" t="str">
        <f>VLOOKUP(G185,'[2]Erogati mag-giu 2026_791_old'!$D:$T,11,FALSE)</f>
        <v>indiretto</v>
      </c>
      <c r="AA185" t="b">
        <v>1</v>
      </c>
      <c r="AF185" t="s">
        <v>20</v>
      </c>
      <c r="AG185" t="s">
        <v>20</v>
      </c>
    </row>
    <row r="186" spans="1:33">
      <c r="A186" s="13" t="s">
        <v>248</v>
      </c>
      <c r="B186">
        <v>202512302689844</v>
      </c>
      <c r="C186" s="4">
        <v>202512302689844</v>
      </c>
      <c r="D186" s="4" t="b">
        <f t="shared" si="12"/>
        <v>1</v>
      </c>
      <c r="E186" t="s">
        <v>20</v>
      </c>
      <c r="F186" t="s">
        <v>21</v>
      </c>
      <c r="G186" t="s">
        <v>249</v>
      </c>
      <c r="H186" t="str">
        <f>VLOOKUP(C186,'[1]Erogati mag-giu 2026_791_old'!$B:$E,4,FALSE)</f>
        <v>C343894</v>
      </c>
      <c r="I186" t="b">
        <f t="shared" si="8"/>
        <v>1</v>
      </c>
      <c r="J186" s="14">
        <v>46149</v>
      </c>
      <c r="K186" s="14">
        <v>46149</v>
      </c>
      <c r="L186" t="s">
        <v>20</v>
      </c>
      <c r="M186" s="14">
        <v>46188</v>
      </c>
      <c r="N186" s="14">
        <v>46149</v>
      </c>
      <c r="O186" t="s">
        <v>20</v>
      </c>
      <c r="P186">
        <v>-105.23</v>
      </c>
      <c r="Q186">
        <f>VLOOKUP(G186,'[1]Erogati mag-giu 2026_791_old'!$A:$W,12,FALSE)</f>
        <v>-105.23</v>
      </c>
      <c r="R186">
        <f t="shared" si="9"/>
        <v>0</v>
      </c>
      <c r="S186">
        <v>-105.23</v>
      </c>
      <c r="T186">
        <f>VLOOKUP(G186,'[1]Erogati mag-giu 2026_791_old'!$A:$W,13,FALSE)</f>
        <v>-105.23</v>
      </c>
      <c r="U186">
        <f t="shared" si="10"/>
        <v>0</v>
      </c>
      <c r="V186">
        <v>-105.23</v>
      </c>
      <c r="W186">
        <f>VLOOKUP(G186,'[1]Erogati mag-giu 2026_791_old'!$A:$W,14,FALSE)</f>
        <v>-105.23</v>
      </c>
      <c r="X186">
        <f t="shared" si="11"/>
        <v>0</v>
      </c>
      <c r="Y186" t="s">
        <v>158</v>
      </c>
      <c r="Z186" t="str">
        <f>VLOOKUP(G186,'[2]Erogati mag-giu 2026_791_old'!$D:$T,11,FALSE)</f>
        <v>indiretto</v>
      </c>
      <c r="AA186" t="b">
        <v>1</v>
      </c>
      <c r="AF186" t="s">
        <v>20</v>
      </c>
      <c r="AG186" t="s">
        <v>20</v>
      </c>
    </row>
    <row r="187" spans="1:33">
      <c r="A187" s="13" t="s">
        <v>250</v>
      </c>
      <c r="B187">
        <v>202512302689931</v>
      </c>
      <c r="C187" s="4">
        <v>202512302689931</v>
      </c>
      <c r="D187" s="4" t="b">
        <f t="shared" si="12"/>
        <v>1</v>
      </c>
      <c r="E187" t="s">
        <v>20</v>
      </c>
      <c r="F187" t="s">
        <v>21</v>
      </c>
      <c r="G187" t="s">
        <v>251</v>
      </c>
      <c r="H187" t="str">
        <f>VLOOKUP(C187,'[1]Erogati mag-giu 2026_791_old'!$B:$E,4,FALSE)</f>
        <v>C343896</v>
      </c>
      <c r="I187" t="b">
        <f t="shared" si="8"/>
        <v>1</v>
      </c>
      <c r="J187" s="14">
        <v>46149</v>
      </c>
      <c r="K187" s="14">
        <v>46149</v>
      </c>
      <c r="L187" t="s">
        <v>20</v>
      </c>
      <c r="M187" s="14">
        <v>46188</v>
      </c>
      <c r="N187" s="14">
        <v>46149</v>
      </c>
      <c r="O187" t="s">
        <v>20</v>
      </c>
      <c r="P187">
        <v>-139.01</v>
      </c>
      <c r="Q187">
        <f>VLOOKUP(G187,'[1]Erogati mag-giu 2026_791_old'!$A:$W,12,FALSE)</f>
        <v>-139.01</v>
      </c>
      <c r="R187">
        <f t="shared" si="9"/>
        <v>0</v>
      </c>
      <c r="S187">
        <v>-139.01</v>
      </c>
      <c r="T187">
        <f>VLOOKUP(G187,'[1]Erogati mag-giu 2026_791_old'!$A:$W,13,FALSE)</f>
        <v>-139.01</v>
      </c>
      <c r="U187">
        <f t="shared" si="10"/>
        <v>0</v>
      </c>
      <c r="V187">
        <v>-139.01</v>
      </c>
      <c r="W187">
        <f>VLOOKUP(G187,'[1]Erogati mag-giu 2026_791_old'!$A:$W,14,FALSE)</f>
        <v>-139.01</v>
      </c>
      <c r="X187">
        <f t="shared" si="11"/>
        <v>0</v>
      </c>
      <c r="Y187" t="s">
        <v>158</v>
      </c>
      <c r="Z187" t="str">
        <f>VLOOKUP(G187,'[2]Erogati mag-giu 2026_791_old'!$D:$T,11,FALSE)</f>
        <v>indiretto</v>
      </c>
      <c r="AA187" t="b">
        <v>1</v>
      </c>
      <c r="AF187" t="s">
        <v>20</v>
      </c>
      <c r="AG187" t="s">
        <v>20</v>
      </c>
    </row>
    <row r="188" spans="1:33">
      <c r="A188" s="13" t="s">
        <v>252</v>
      </c>
      <c r="B188">
        <v>202512302693828</v>
      </c>
      <c r="C188" s="4">
        <v>202512302693828</v>
      </c>
      <c r="D188" s="4" t="b">
        <f t="shared" si="12"/>
        <v>1</v>
      </c>
      <c r="E188" t="s">
        <v>20</v>
      </c>
      <c r="F188" t="s">
        <v>21</v>
      </c>
      <c r="G188" t="s">
        <v>253</v>
      </c>
      <c r="H188" t="str">
        <f>VLOOKUP(C188,'[1]Erogati mag-giu 2026_791_old'!$B:$E,4,FALSE)</f>
        <v>C128516</v>
      </c>
      <c r="I188" t="b">
        <f t="shared" si="8"/>
        <v>1</v>
      </c>
      <c r="J188" s="14">
        <v>46149</v>
      </c>
      <c r="K188" s="14">
        <v>46149</v>
      </c>
      <c r="L188" t="s">
        <v>20</v>
      </c>
      <c r="M188" s="14">
        <v>46188</v>
      </c>
      <c r="N188" s="14">
        <v>46149</v>
      </c>
      <c r="O188" t="s">
        <v>20</v>
      </c>
      <c r="P188">
        <v>-175.39</v>
      </c>
      <c r="Q188">
        <f>VLOOKUP(G188,'[1]Erogati mag-giu 2026_791_old'!$A:$W,12,FALSE)</f>
        <v>-175.39</v>
      </c>
      <c r="R188">
        <f t="shared" si="9"/>
        <v>0</v>
      </c>
      <c r="S188">
        <v>-175.39</v>
      </c>
      <c r="T188">
        <f>VLOOKUP(G188,'[1]Erogati mag-giu 2026_791_old'!$A:$W,13,FALSE)</f>
        <v>-175.39</v>
      </c>
      <c r="U188">
        <f t="shared" si="10"/>
        <v>0</v>
      </c>
      <c r="V188">
        <v>-175.39</v>
      </c>
      <c r="W188">
        <f>VLOOKUP(G188,'[1]Erogati mag-giu 2026_791_old'!$A:$W,14,FALSE)</f>
        <v>-175.39</v>
      </c>
      <c r="X188">
        <f t="shared" si="11"/>
        <v>0</v>
      </c>
      <c r="Y188" t="s">
        <v>158</v>
      </c>
      <c r="Z188" t="str">
        <f>VLOOKUP(G188,'[2]Erogati mag-giu 2026_791_old'!$D:$T,11,FALSE)</f>
        <v>indiretto</v>
      </c>
      <c r="AA188" t="b">
        <v>1</v>
      </c>
      <c r="AF188" t="s">
        <v>20</v>
      </c>
      <c r="AG188" t="s">
        <v>20</v>
      </c>
    </row>
    <row r="189" spans="1:33">
      <c r="A189" s="13" t="s">
        <v>254</v>
      </c>
      <c r="B189">
        <v>202512302693929</v>
      </c>
      <c r="C189" s="4">
        <v>202512302693929</v>
      </c>
      <c r="D189" s="4" t="b">
        <f t="shared" si="12"/>
        <v>1</v>
      </c>
      <c r="E189" t="s">
        <v>20</v>
      </c>
      <c r="F189" t="s">
        <v>21</v>
      </c>
      <c r="G189" t="s">
        <v>255</v>
      </c>
      <c r="H189" t="str">
        <f>VLOOKUP(C189,'[1]Erogati mag-giu 2026_791_old'!$B:$E,4,FALSE)</f>
        <v>C343911</v>
      </c>
      <c r="I189" t="b">
        <f t="shared" si="8"/>
        <v>1</v>
      </c>
      <c r="J189" s="14">
        <v>46149</v>
      </c>
      <c r="K189" s="14">
        <v>46149</v>
      </c>
      <c r="L189" t="s">
        <v>20</v>
      </c>
      <c r="M189" s="14">
        <v>46188</v>
      </c>
      <c r="N189" s="14">
        <v>46149</v>
      </c>
      <c r="O189" t="s">
        <v>20</v>
      </c>
      <c r="P189">
        <v>-35.08</v>
      </c>
      <c r="Q189">
        <f>VLOOKUP(G189,'[1]Erogati mag-giu 2026_791_old'!$A:$W,12,FALSE)</f>
        <v>-35.08</v>
      </c>
      <c r="R189">
        <f t="shared" si="9"/>
        <v>0</v>
      </c>
      <c r="S189">
        <v>-35.08</v>
      </c>
      <c r="T189">
        <f>VLOOKUP(G189,'[1]Erogati mag-giu 2026_791_old'!$A:$W,13,FALSE)</f>
        <v>-35.08</v>
      </c>
      <c r="U189">
        <f t="shared" si="10"/>
        <v>0</v>
      </c>
      <c r="V189">
        <v>-35.08</v>
      </c>
      <c r="W189">
        <f>VLOOKUP(G189,'[1]Erogati mag-giu 2026_791_old'!$A:$W,14,FALSE)</f>
        <v>-35.08</v>
      </c>
      <c r="X189">
        <f t="shared" si="11"/>
        <v>0</v>
      </c>
      <c r="Y189" t="s">
        <v>158</v>
      </c>
      <c r="Z189" t="str">
        <f>VLOOKUP(G189,'[2]Erogati mag-giu 2026_791_old'!$D:$T,11,FALSE)</f>
        <v>indiretto</v>
      </c>
      <c r="AA189" t="b">
        <v>1</v>
      </c>
      <c r="AF189" t="s">
        <v>20</v>
      </c>
      <c r="AG189" t="s">
        <v>20</v>
      </c>
    </row>
    <row r="190" spans="1:33">
      <c r="A190" s="13" t="s">
        <v>256</v>
      </c>
      <c r="B190">
        <v>202512302695539</v>
      </c>
      <c r="C190" s="4">
        <v>202512302695539</v>
      </c>
      <c r="D190" s="4" t="b">
        <f t="shared" si="12"/>
        <v>1</v>
      </c>
      <c r="E190" t="s">
        <v>20</v>
      </c>
      <c r="F190" t="s">
        <v>21</v>
      </c>
      <c r="G190" t="s">
        <v>257</v>
      </c>
      <c r="H190" t="str">
        <f>VLOOKUP(C190,'[1]Erogati mag-giu 2026_791_old'!$B:$E,4,FALSE)</f>
        <v>C343893</v>
      </c>
      <c r="I190" t="b">
        <f t="shared" si="8"/>
        <v>1</v>
      </c>
      <c r="J190" s="14">
        <v>46149</v>
      </c>
      <c r="K190" s="14">
        <v>46149</v>
      </c>
      <c r="L190" t="s">
        <v>20</v>
      </c>
      <c r="M190" s="14">
        <v>46188</v>
      </c>
      <c r="N190" s="14">
        <v>46149</v>
      </c>
      <c r="O190" t="s">
        <v>20</v>
      </c>
      <c r="P190">
        <v>-70.16</v>
      </c>
      <c r="Q190">
        <f>VLOOKUP(G190,'[1]Erogati mag-giu 2026_791_old'!$A:$W,12,FALSE)</f>
        <v>-70.16</v>
      </c>
      <c r="R190">
        <f t="shared" si="9"/>
        <v>0</v>
      </c>
      <c r="S190">
        <v>-70.16</v>
      </c>
      <c r="T190">
        <f>VLOOKUP(G190,'[1]Erogati mag-giu 2026_791_old'!$A:$W,13,FALSE)</f>
        <v>-70.16</v>
      </c>
      <c r="U190">
        <f t="shared" si="10"/>
        <v>0</v>
      </c>
      <c r="V190">
        <v>-70.16</v>
      </c>
      <c r="W190">
        <f>VLOOKUP(G190,'[1]Erogati mag-giu 2026_791_old'!$A:$W,14,FALSE)</f>
        <v>-70.16</v>
      </c>
      <c r="X190">
        <f t="shared" si="11"/>
        <v>0</v>
      </c>
      <c r="Y190" t="s">
        <v>158</v>
      </c>
      <c r="Z190" t="str">
        <f>VLOOKUP(G190,'[2]Erogati mag-giu 2026_791_old'!$D:$T,11,FALSE)</f>
        <v>indiretto</v>
      </c>
      <c r="AA190" t="b">
        <v>1</v>
      </c>
      <c r="AF190" t="s">
        <v>20</v>
      </c>
      <c r="AG190" t="s">
        <v>20</v>
      </c>
    </row>
    <row r="191" spans="1:33">
      <c r="A191" s="13" t="s">
        <v>258</v>
      </c>
      <c r="B191">
        <v>202512302696730</v>
      </c>
      <c r="C191" s="4">
        <v>202512302696730</v>
      </c>
      <c r="D191" s="4" t="b">
        <f t="shared" si="12"/>
        <v>1</v>
      </c>
      <c r="E191" t="s">
        <v>20</v>
      </c>
      <c r="F191" t="s">
        <v>21</v>
      </c>
      <c r="G191" t="s">
        <v>259</v>
      </c>
      <c r="H191" t="str">
        <f>VLOOKUP(C191,'[1]Erogati mag-giu 2026_791_old'!$B:$E,4,FALSE)</f>
        <v>C343889</v>
      </c>
      <c r="I191" t="b">
        <f t="shared" si="8"/>
        <v>1</v>
      </c>
      <c r="J191" s="14">
        <v>46149</v>
      </c>
      <c r="K191" s="14">
        <v>46149</v>
      </c>
      <c r="L191" t="s">
        <v>20</v>
      </c>
      <c r="M191" s="14">
        <v>46188</v>
      </c>
      <c r="N191" s="14">
        <v>46149</v>
      </c>
      <c r="O191" t="s">
        <v>20</v>
      </c>
      <c r="P191">
        <v>-130.34</v>
      </c>
      <c r="Q191">
        <f>VLOOKUP(G191,'[1]Erogati mag-giu 2026_791_old'!$A:$W,12,FALSE)</f>
        <v>-130.34</v>
      </c>
      <c r="R191">
        <f t="shared" si="9"/>
        <v>0</v>
      </c>
      <c r="S191">
        <v>-130.34</v>
      </c>
      <c r="T191">
        <f>VLOOKUP(G191,'[1]Erogati mag-giu 2026_791_old'!$A:$W,13,FALSE)</f>
        <v>-130.34</v>
      </c>
      <c r="U191">
        <f t="shared" si="10"/>
        <v>0</v>
      </c>
      <c r="V191">
        <v>-130.34</v>
      </c>
      <c r="W191">
        <f>VLOOKUP(G191,'[1]Erogati mag-giu 2026_791_old'!$A:$W,14,FALSE)</f>
        <v>-130.34</v>
      </c>
      <c r="X191">
        <f t="shared" si="11"/>
        <v>0</v>
      </c>
      <c r="Y191" t="s">
        <v>158</v>
      </c>
      <c r="Z191" t="str">
        <f>VLOOKUP(G191,'[2]Erogati mag-giu 2026_791_old'!$D:$T,11,FALSE)</f>
        <v>indiretto</v>
      </c>
      <c r="AA191" t="b">
        <v>1</v>
      </c>
      <c r="AF191" t="s">
        <v>20</v>
      </c>
      <c r="AG191" t="s">
        <v>20</v>
      </c>
    </row>
    <row r="192" spans="1:33">
      <c r="A192" s="13" t="s">
        <v>260</v>
      </c>
      <c r="B192">
        <v>202512302697201</v>
      </c>
      <c r="C192" s="4">
        <v>202512302697201</v>
      </c>
      <c r="D192" s="4" t="b">
        <f t="shared" si="12"/>
        <v>1</v>
      </c>
      <c r="E192" t="s">
        <v>20</v>
      </c>
      <c r="F192" t="s">
        <v>21</v>
      </c>
      <c r="G192" t="s">
        <v>261</v>
      </c>
      <c r="H192" t="str">
        <f>VLOOKUP(C192,'[1]Erogati mag-giu 2026_791_old'!$B:$E,4,FALSE)</f>
        <v>C343897</v>
      </c>
      <c r="I192" t="b">
        <f t="shared" si="8"/>
        <v>1</v>
      </c>
      <c r="J192" s="14">
        <v>46149</v>
      </c>
      <c r="K192" s="14">
        <v>46149</v>
      </c>
      <c r="L192" t="s">
        <v>20</v>
      </c>
      <c r="M192" s="14">
        <v>46188</v>
      </c>
      <c r="N192" s="14">
        <v>46149</v>
      </c>
      <c r="O192" t="s">
        <v>20</v>
      </c>
      <c r="P192">
        <v>-166.81</v>
      </c>
      <c r="Q192">
        <f>VLOOKUP(G192,'[1]Erogati mag-giu 2026_791_old'!$A:$W,12,FALSE)</f>
        <v>-166.81</v>
      </c>
      <c r="R192">
        <f t="shared" si="9"/>
        <v>0</v>
      </c>
      <c r="S192">
        <v>-166.81</v>
      </c>
      <c r="T192">
        <f>VLOOKUP(G192,'[1]Erogati mag-giu 2026_791_old'!$A:$W,13,FALSE)</f>
        <v>-166.81</v>
      </c>
      <c r="U192">
        <f t="shared" si="10"/>
        <v>0</v>
      </c>
      <c r="V192">
        <v>-166.81</v>
      </c>
      <c r="W192">
        <f>VLOOKUP(G192,'[1]Erogati mag-giu 2026_791_old'!$A:$W,14,FALSE)</f>
        <v>-166.81</v>
      </c>
      <c r="X192">
        <f t="shared" si="11"/>
        <v>0</v>
      </c>
      <c r="Y192" t="s">
        <v>158</v>
      </c>
      <c r="Z192" t="str">
        <f>VLOOKUP(G192,'[2]Erogati mag-giu 2026_791_old'!$D:$T,11,FALSE)</f>
        <v>indiretto</v>
      </c>
      <c r="AA192" t="b">
        <v>1</v>
      </c>
      <c r="AF192" t="s">
        <v>20</v>
      </c>
      <c r="AG192" t="s">
        <v>20</v>
      </c>
    </row>
    <row r="193" spans="1:33">
      <c r="A193" s="13" t="s">
        <v>262</v>
      </c>
      <c r="B193">
        <v>202512302704752</v>
      </c>
      <c r="C193" s="4">
        <v>202512302704752</v>
      </c>
      <c r="D193" s="4" t="b">
        <f t="shared" si="12"/>
        <v>1</v>
      </c>
      <c r="E193" t="s">
        <v>20</v>
      </c>
      <c r="F193" t="s">
        <v>21</v>
      </c>
      <c r="G193" t="s">
        <v>263</v>
      </c>
      <c r="H193" t="str">
        <f>VLOOKUP(C193,'[1]Erogati mag-giu 2026_791_old'!$B:$E,4,FALSE)</f>
        <v>C315043</v>
      </c>
      <c r="I193" t="b">
        <f t="shared" si="8"/>
        <v>1</v>
      </c>
      <c r="J193" s="14">
        <v>46149</v>
      </c>
      <c r="K193" s="14">
        <v>46149</v>
      </c>
      <c r="L193" t="s">
        <v>20</v>
      </c>
      <c r="M193" s="14">
        <v>46188</v>
      </c>
      <c r="N193" s="14">
        <v>46149</v>
      </c>
      <c r="O193" t="s">
        <v>20</v>
      </c>
      <c r="P193">
        <v>-31.57</v>
      </c>
      <c r="Q193">
        <f>VLOOKUP(G193,'[1]Erogati mag-giu 2026_791_old'!$A:$W,12,FALSE)</f>
        <v>-31.57</v>
      </c>
      <c r="R193">
        <f t="shared" si="9"/>
        <v>0</v>
      </c>
      <c r="S193">
        <v>-31.57</v>
      </c>
      <c r="T193">
        <f>VLOOKUP(G193,'[1]Erogati mag-giu 2026_791_old'!$A:$W,13,FALSE)</f>
        <v>-31.57</v>
      </c>
      <c r="U193">
        <f t="shared" si="10"/>
        <v>0</v>
      </c>
      <c r="V193">
        <v>-31.57</v>
      </c>
      <c r="W193">
        <f>VLOOKUP(G193,'[1]Erogati mag-giu 2026_791_old'!$A:$W,14,FALSE)</f>
        <v>-31.57</v>
      </c>
      <c r="X193">
        <f t="shared" si="11"/>
        <v>0</v>
      </c>
      <c r="Y193" t="s">
        <v>158</v>
      </c>
      <c r="Z193" t="str">
        <f>VLOOKUP(G193,'[2]Erogati mag-giu 2026_791_old'!$D:$T,11,FALSE)</f>
        <v>indiretto</v>
      </c>
      <c r="AA193" t="b">
        <v>1</v>
      </c>
      <c r="AF193" t="s">
        <v>20</v>
      </c>
      <c r="AG193" t="s">
        <v>20</v>
      </c>
    </row>
    <row r="194" spans="1:33">
      <c r="A194" s="13" t="s">
        <v>264</v>
      </c>
      <c r="B194">
        <v>202512302704897</v>
      </c>
      <c r="C194" s="4">
        <v>202512302704897</v>
      </c>
      <c r="D194" s="4" t="b">
        <f t="shared" si="12"/>
        <v>1</v>
      </c>
      <c r="E194" t="s">
        <v>20</v>
      </c>
      <c r="F194" t="s">
        <v>21</v>
      </c>
      <c r="G194" t="s">
        <v>265</v>
      </c>
      <c r="H194" t="str">
        <f>VLOOKUP(C194,'[1]Erogati mag-giu 2026_791_old'!$B:$E,4,FALSE)</f>
        <v>C311703</v>
      </c>
      <c r="I194" t="b">
        <f t="shared" si="8"/>
        <v>1</v>
      </c>
      <c r="J194" s="14">
        <v>46149</v>
      </c>
      <c r="K194" s="14">
        <v>46149</v>
      </c>
      <c r="L194" t="s">
        <v>20</v>
      </c>
      <c r="M194" s="14">
        <v>46188</v>
      </c>
      <c r="N194" s="14">
        <v>46149</v>
      </c>
      <c r="O194" t="s">
        <v>20</v>
      </c>
      <c r="P194">
        <v>-35.08</v>
      </c>
      <c r="Q194">
        <f>VLOOKUP(G194,'[1]Erogati mag-giu 2026_791_old'!$A:$W,12,FALSE)</f>
        <v>-35.08</v>
      </c>
      <c r="R194">
        <f t="shared" si="9"/>
        <v>0</v>
      </c>
      <c r="S194">
        <v>-35.08</v>
      </c>
      <c r="T194">
        <f>VLOOKUP(G194,'[1]Erogati mag-giu 2026_791_old'!$A:$W,13,FALSE)</f>
        <v>-35.08</v>
      </c>
      <c r="U194">
        <f t="shared" si="10"/>
        <v>0</v>
      </c>
      <c r="V194">
        <v>-35.08</v>
      </c>
      <c r="W194">
        <f>VLOOKUP(G194,'[1]Erogati mag-giu 2026_791_old'!$A:$W,14,FALSE)</f>
        <v>-35.08</v>
      </c>
      <c r="X194">
        <f t="shared" si="11"/>
        <v>0</v>
      </c>
      <c r="Y194" t="s">
        <v>158</v>
      </c>
      <c r="Z194" t="str">
        <f>VLOOKUP(G194,'[2]Erogati mag-giu 2026_791_old'!$D:$T,11,FALSE)</f>
        <v>indiretto</v>
      </c>
      <c r="AA194" t="b">
        <v>1</v>
      </c>
      <c r="AF194" t="s">
        <v>20</v>
      </c>
      <c r="AG194" t="s">
        <v>20</v>
      </c>
    </row>
    <row r="195" spans="1:33">
      <c r="A195" s="13" t="s">
        <v>266</v>
      </c>
      <c r="B195">
        <v>202512302705453</v>
      </c>
      <c r="C195" s="4">
        <v>202512302705453</v>
      </c>
      <c r="D195" s="4" t="b">
        <f t="shared" si="12"/>
        <v>1</v>
      </c>
      <c r="E195" t="s">
        <v>20</v>
      </c>
      <c r="F195" t="s">
        <v>21</v>
      </c>
      <c r="G195" t="s">
        <v>267</v>
      </c>
      <c r="H195" t="str">
        <f>VLOOKUP(C195,'[1]Erogati mag-giu 2026_791_old'!$B:$E,4,FALSE)</f>
        <v>C321357</v>
      </c>
      <c r="I195" t="b">
        <f t="shared" si="8"/>
        <v>1</v>
      </c>
      <c r="J195" s="14">
        <v>46149</v>
      </c>
      <c r="K195" s="14">
        <v>46149</v>
      </c>
      <c r="L195" t="s">
        <v>20</v>
      </c>
      <c r="M195" s="14">
        <v>46188</v>
      </c>
      <c r="N195" s="14">
        <v>46149</v>
      </c>
      <c r="O195" t="s">
        <v>20</v>
      </c>
      <c r="P195">
        <v>-175.39</v>
      </c>
      <c r="Q195">
        <f>VLOOKUP(G195,'[1]Erogati mag-giu 2026_791_old'!$A:$W,12,FALSE)</f>
        <v>-175.39</v>
      </c>
      <c r="R195">
        <f t="shared" si="9"/>
        <v>0</v>
      </c>
      <c r="S195">
        <v>-175.39</v>
      </c>
      <c r="T195">
        <f>VLOOKUP(G195,'[1]Erogati mag-giu 2026_791_old'!$A:$W,13,FALSE)</f>
        <v>-175.39</v>
      </c>
      <c r="U195">
        <f t="shared" si="10"/>
        <v>0</v>
      </c>
      <c r="V195">
        <v>-175.39</v>
      </c>
      <c r="W195">
        <f>VLOOKUP(G195,'[1]Erogati mag-giu 2026_791_old'!$A:$W,14,FALSE)</f>
        <v>-175.39</v>
      </c>
      <c r="X195">
        <f t="shared" si="11"/>
        <v>0</v>
      </c>
      <c r="Y195" t="s">
        <v>158</v>
      </c>
      <c r="Z195" t="str">
        <f>VLOOKUP(G195,'[2]Erogati mag-giu 2026_791_old'!$D:$T,11,FALSE)</f>
        <v>indiretto</v>
      </c>
      <c r="AA195" t="b">
        <v>1</v>
      </c>
      <c r="AF195" t="s">
        <v>20</v>
      </c>
      <c r="AG195" t="s">
        <v>20</v>
      </c>
    </row>
    <row r="196" spans="1:33">
      <c r="A196" s="13" t="s">
        <v>268</v>
      </c>
      <c r="B196">
        <v>202512302705862</v>
      </c>
      <c r="C196" s="4">
        <v>202512302705862</v>
      </c>
      <c r="D196" s="4" t="b">
        <f t="shared" si="12"/>
        <v>1</v>
      </c>
      <c r="E196" t="s">
        <v>20</v>
      </c>
      <c r="F196" t="s">
        <v>21</v>
      </c>
      <c r="G196" t="s">
        <v>269</v>
      </c>
      <c r="H196" t="str">
        <f>VLOOKUP(C196,'[1]Erogati mag-giu 2026_791_old'!$B:$E,4,FALSE)</f>
        <v>C343903</v>
      </c>
      <c r="I196" t="b">
        <f t="shared" ref="I196:I259" si="13">EXACT(G196,H196)</f>
        <v>1</v>
      </c>
      <c r="J196" s="14">
        <v>46149</v>
      </c>
      <c r="K196" s="14">
        <v>46149</v>
      </c>
      <c r="L196" t="s">
        <v>20</v>
      </c>
      <c r="M196" s="14">
        <v>46188</v>
      </c>
      <c r="N196" s="14">
        <v>46149</v>
      </c>
      <c r="O196" t="s">
        <v>20</v>
      </c>
      <c r="P196">
        <v>-210.47</v>
      </c>
      <c r="Q196">
        <f>VLOOKUP(G196,'[1]Erogati mag-giu 2026_791_old'!$A:$W,12,FALSE)</f>
        <v>-210.47</v>
      </c>
      <c r="R196">
        <f t="shared" ref="R196:R259" si="14">P196-Q196</f>
        <v>0</v>
      </c>
      <c r="S196">
        <v>-210.47</v>
      </c>
      <c r="T196">
        <f>VLOOKUP(G196,'[1]Erogati mag-giu 2026_791_old'!$A:$W,13,FALSE)</f>
        <v>-210.47</v>
      </c>
      <c r="U196">
        <f t="shared" ref="U196:U259" si="15">S196-T196</f>
        <v>0</v>
      </c>
      <c r="V196">
        <v>-210.47</v>
      </c>
      <c r="W196">
        <f>VLOOKUP(G196,'[1]Erogati mag-giu 2026_791_old'!$A:$W,14,FALSE)</f>
        <v>-210.47</v>
      </c>
      <c r="X196">
        <f t="shared" ref="X196:X259" si="16">V196-W196</f>
        <v>0</v>
      </c>
      <c r="Y196" t="s">
        <v>158</v>
      </c>
      <c r="Z196" t="str">
        <f>VLOOKUP(G196,'[2]Erogati mag-giu 2026_791_old'!$D:$T,11,FALSE)</f>
        <v>indiretto</v>
      </c>
      <c r="AA196" t="b">
        <v>1</v>
      </c>
      <c r="AF196" t="s">
        <v>20</v>
      </c>
      <c r="AG196" t="s">
        <v>20</v>
      </c>
    </row>
    <row r="197" spans="1:33">
      <c r="A197" s="13" t="s">
        <v>270</v>
      </c>
      <c r="B197">
        <v>202512302705931</v>
      </c>
      <c r="C197" s="4">
        <v>202512302705931</v>
      </c>
      <c r="D197" s="4" t="b">
        <f t="shared" si="12"/>
        <v>1</v>
      </c>
      <c r="E197" t="s">
        <v>20</v>
      </c>
      <c r="F197" t="s">
        <v>21</v>
      </c>
      <c r="G197" t="s">
        <v>271</v>
      </c>
      <c r="H197" t="str">
        <f>VLOOKUP(C197,'[1]Erogati mag-giu 2026_791_old'!$B:$E,4,FALSE)</f>
        <v>C343895</v>
      </c>
      <c r="I197" t="b">
        <f t="shared" si="13"/>
        <v>1</v>
      </c>
      <c r="J197" s="14">
        <v>46149</v>
      </c>
      <c r="K197" s="14">
        <v>46149</v>
      </c>
      <c r="L197" t="s">
        <v>20</v>
      </c>
      <c r="M197" s="14">
        <v>46188</v>
      </c>
      <c r="N197" s="14">
        <v>46149</v>
      </c>
      <c r="O197" t="s">
        <v>20</v>
      </c>
      <c r="P197">
        <v>-175.39</v>
      </c>
      <c r="Q197">
        <f>VLOOKUP(G197,'[1]Erogati mag-giu 2026_791_old'!$A:$W,12,FALSE)</f>
        <v>-175.39</v>
      </c>
      <c r="R197">
        <f t="shared" si="14"/>
        <v>0</v>
      </c>
      <c r="S197">
        <v>-175.39</v>
      </c>
      <c r="T197">
        <f>VLOOKUP(G197,'[1]Erogati mag-giu 2026_791_old'!$A:$W,13,FALSE)</f>
        <v>-175.39</v>
      </c>
      <c r="U197">
        <f t="shared" si="15"/>
        <v>0</v>
      </c>
      <c r="V197">
        <v>-175.39</v>
      </c>
      <c r="W197">
        <f>VLOOKUP(G197,'[1]Erogati mag-giu 2026_791_old'!$A:$W,14,FALSE)</f>
        <v>-175.39</v>
      </c>
      <c r="X197">
        <f t="shared" si="16"/>
        <v>0</v>
      </c>
      <c r="Y197" t="s">
        <v>158</v>
      </c>
      <c r="Z197" t="str">
        <f>VLOOKUP(G197,'[2]Erogati mag-giu 2026_791_old'!$D:$T,11,FALSE)</f>
        <v>indiretto</v>
      </c>
      <c r="AA197" t="b">
        <v>1</v>
      </c>
      <c r="AF197" t="s">
        <v>20</v>
      </c>
      <c r="AG197" t="s">
        <v>20</v>
      </c>
    </row>
    <row r="198" spans="1:33">
      <c r="A198" s="13" t="s">
        <v>272</v>
      </c>
      <c r="B198">
        <v>202512302706725</v>
      </c>
      <c r="C198" s="4">
        <v>202512302706725</v>
      </c>
      <c r="D198" s="4" t="b">
        <f t="shared" si="12"/>
        <v>1</v>
      </c>
      <c r="E198" t="s">
        <v>20</v>
      </c>
      <c r="F198" t="s">
        <v>21</v>
      </c>
      <c r="G198" t="s">
        <v>273</v>
      </c>
      <c r="H198" t="str">
        <f>VLOOKUP(C198,'[1]Erogati mag-giu 2026_791_old'!$B:$E,4,FALSE)</f>
        <v>C343888</v>
      </c>
      <c r="I198" t="b">
        <f t="shared" si="13"/>
        <v>1</v>
      </c>
      <c r="J198" s="14">
        <v>46149</v>
      </c>
      <c r="K198" s="14">
        <v>46149</v>
      </c>
      <c r="L198" t="s">
        <v>20</v>
      </c>
      <c r="M198" s="14">
        <v>46188</v>
      </c>
      <c r="N198" s="14">
        <v>46149</v>
      </c>
      <c r="O198" t="s">
        <v>20</v>
      </c>
      <c r="P198">
        <v>-83.41</v>
      </c>
      <c r="Q198">
        <f>VLOOKUP(G198,'[1]Erogati mag-giu 2026_791_old'!$A:$W,12,FALSE)</f>
        <v>-83.41</v>
      </c>
      <c r="R198">
        <f t="shared" si="14"/>
        <v>0</v>
      </c>
      <c r="S198">
        <v>-83.41</v>
      </c>
      <c r="T198">
        <f>VLOOKUP(G198,'[1]Erogati mag-giu 2026_791_old'!$A:$W,13,FALSE)</f>
        <v>-83.41</v>
      </c>
      <c r="U198">
        <f t="shared" si="15"/>
        <v>0</v>
      </c>
      <c r="V198">
        <v>-83.41</v>
      </c>
      <c r="W198">
        <f>VLOOKUP(G198,'[1]Erogati mag-giu 2026_791_old'!$A:$W,14,FALSE)</f>
        <v>-83.41</v>
      </c>
      <c r="X198">
        <f t="shared" si="16"/>
        <v>0</v>
      </c>
      <c r="Y198" t="s">
        <v>158</v>
      </c>
      <c r="Z198" t="str">
        <f>VLOOKUP(G198,'[2]Erogati mag-giu 2026_791_old'!$D:$T,11,FALSE)</f>
        <v>indiretto</v>
      </c>
      <c r="AA198" t="b">
        <v>1</v>
      </c>
      <c r="AF198" t="s">
        <v>20</v>
      </c>
      <c r="AG198" t="s">
        <v>20</v>
      </c>
    </row>
    <row r="199" spans="1:33">
      <c r="A199" s="13" t="s">
        <v>274</v>
      </c>
      <c r="B199">
        <v>202512303916498</v>
      </c>
      <c r="C199" s="4">
        <v>202512303916498</v>
      </c>
      <c r="D199" s="4" t="b">
        <f t="shared" si="12"/>
        <v>1</v>
      </c>
      <c r="E199" t="s">
        <v>20</v>
      </c>
      <c r="F199" t="s">
        <v>21</v>
      </c>
      <c r="G199" t="s">
        <v>275</v>
      </c>
      <c r="H199" t="str">
        <f>VLOOKUP(C199,'[1]Erogati mag-giu 2026_791_old'!$B:$E,4,FALSE)</f>
        <v>C109542</v>
      </c>
      <c r="I199" t="b">
        <f t="shared" si="13"/>
        <v>1</v>
      </c>
      <c r="J199" s="14">
        <v>46149</v>
      </c>
      <c r="K199" s="14">
        <v>46149</v>
      </c>
      <c r="L199" t="s">
        <v>20</v>
      </c>
      <c r="M199" s="14">
        <v>46188</v>
      </c>
      <c r="N199" s="14">
        <v>46149</v>
      </c>
      <c r="O199" t="s">
        <v>20</v>
      </c>
      <c r="P199">
        <v>-31.57</v>
      </c>
      <c r="Q199">
        <f>VLOOKUP(G199,'[1]Erogati mag-giu 2026_791_old'!$A:$W,12,FALSE)</f>
        <v>-31.57</v>
      </c>
      <c r="R199">
        <f t="shared" si="14"/>
        <v>0</v>
      </c>
      <c r="S199">
        <v>-31.57</v>
      </c>
      <c r="T199">
        <f>VLOOKUP(G199,'[1]Erogati mag-giu 2026_791_old'!$A:$W,13,FALSE)</f>
        <v>-31.57</v>
      </c>
      <c r="U199">
        <f t="shared" si="15"/>
        <v>0</v>
      </c>
      <c r="V199">
        <v>-31.57</v>
      </c>
      <c r="W199">
        <f>VLOOKUP(G199,'[1]Erogati mag-giu 2026_791_old'!$A:$W,14,FALSE)</f>
        <v>-31.57</v>
      </c>
      <c r="X199">
        <f t="shared" si="16"/>
        <v>0</v>
      </c>
      <c r="Y199" t="s">
        <v>158</v>
      </c>
      <c r="Z199" t="str">
        <f>VLOOKUP(G199,'[2]Erogati mag-giu 2026_791_old'!$D:$T,11,FALSE)</f>
        <v>indiretto</v>
      </c>
      <c r="AA199" t="b">
        <v>1</v>
      </c>
      <c r="AF199" t="s">
        <v>20</v>
      </c>
      <c r="AG199" t="s">
        <v>20</v>
      </c>
    </row>
    <row r="200" spans="1:33">
      <c r="A200" s="13" t="s">
        <v>276</v>
      </c>
      <c r="B200">
        <v>202512303933989</v>
      </c>
      <c r="C200" s="4">
        <v>202512303933989</v>
      </c>
      <c r="D200" s="4" t="b">
        <f t="shared" si="12"/>
        <v>1</v>
      </c>
      <c r="E200" t="s">
        <v>20</v>
      </c>
      <c r="F200" t="s">
        <v>21</v>
      </c>
      <c r="G200" t="s">
        <v>277</v>
      </c>
      <c r="H200" t="str">
        <f>VLOOKUP(C200,'[1]Erogati mag-giu 2026_791_old'!$B:$E,4,FALSE)</f>
        <v>C312185</v>
      </c>
      <c r="I200" t="b">
        <f t="shared" si="13"/>
        <v>1</v>
      </c>
      <c r="J200" s="14">
        <v>46149</v>
      </c>
      <c r="K200" s="14">
        <v>46149</v>
      </c>
      <c r="L200" t="s">
        <v>20</v>
      </c>
      <c r="M200" s="14">
        <v>46188</v>
      </c>
      <c r="N200" s="14">
        <v>46149</v>
      </c>
      <c r="O200" t="s">
        <v>20</v>
      </c>
      <c r="P200">
        <v>-113.11</v>
      </c>
      <c r="Q200">
        <f>VLOOKUP(G200,'[1]Erogati mag-giu 2026_791_old'!$A:$W,12,FALSE)</f>
        <v>-113.11</v>
      </c>
      <c r="R200">
        <f t="shared" si="14"/>
        <v>0</v>
      </c>
      <c r="S200">
        <v>-113.11</v>
      </c>
      <c r="T200">
        <f>VLOOKUP(G200,'[1]Erogati mag-giu 2026_791_old'!$A:$W,13,FALSE)</f>
        <v>-113.11</v>
      </c>
      <c r="U200">
        <f t="shared" si="15"/>
        <v>0</v>
      </c>
      <c r="V200">
        <v>-113.11</v>
      </c>
      <c r="W200">
        <f>VLOOKUP(G200,'[1]Erogati mag-giu 2026_791_old'!$A:$W,14,FALSE)</f>
        <v>-113.11</v>
      </c>
      <c r="X200">
        <f t="shared" si="16"/>
        <v>0</v>
      </c>
      <c r="Y200" t="s">
        <v>158</v>
      </c>
      <c r="Z200" t="str">
        <f>VLOOKUP(G200,'[2]Erogati mag-giu 2026_791_old'!$D:$T,11,FALSE)</f>
        <v>indiretto</v>
      </c>
      <c r="AA200" t="b">
        <v>1</v>
      </c>
      <c r="AF200" t="s">
        <v>20</v>
      </c>
      <c r="AG200" t="s">
        <v>20</v>
      </c>
    </row>
    <row r="201" spans="1:33">
      <c r="A201" s="13" t="s">
        <v>278</v>
      </c>
      <c r="B201">
        <v>202512303939444</v>
      </c>
      <c r="C201" s="4">
        <v>202512303939444</v>
      </c>
      <c r="D201" s="4" t="b">
        <f t="shared" ref="D201:D264" si="17">EXACT(B201,C201)</f>
        <v>1</v>
      </c>
      <c r="E201" t="s">
        <v>20</v>
      </c>
      <c r="F201" t="s">
        <v>21</v>
      </c>
      <c r="G201" t="s">
        <v>279</v>
      </c>
      <c r="H201" t="str">
        <f>VLOOKUP(C201,'[1]Erogati mag-giu 2026_791_old'!$B:$E,4,FALSE)</f>
        <v>C343157</v>
      </c>
      <c r="I201" t="b">
        <f t="shared" si="13"/>
        <v>1</v>
      </c>
      <c r="J201" s="14">
        <v>46149</v>
      </c>
      <c r="K201" s="14">
        <v>46149</v>
      </c>
      <c r="L201" t="s">
        <v>20</v>
      </c>
      <c r="M201" s="14">
        <v>46188</v>
      </c>
      <c r="N201" s="14">
        <v>46149</v>
      </c>
      <c r="O201" t="s">
        <v>20</v>
      </c>
      <c r="P201">
        <v>-111.21</v>
      </c>
      <c r="Q201">
        <f>VLOOKUP(G201,'[1]Erogati mag-giu 2026_791_old'!$A:$W,12,FALSE)</f>
        <v>-111.21</v>
      </c>
      <c r="R201">
        <f t="shared" si="14"/>
        <v>0</v>
      </c>
      <c r="S201">
        <v>-111.21</v>
      </c>
      <c r="T201">
        <f>VLOOKUP(G201,'[1]Erogati mag-giu 2026_791_old'!$A:$W,13,FALSE)</f>
        <v>-111.21</v>
      </c>
      <c r="U201">
        <f t="shared" si="15"/>
        <v>0</v>
      </c>
      <c r="V201">
        <v>-111.21</v>
      </c>
      <c r="W201">
        <f>VLOOKUP(G201,'[1]Erogati mag-giu 2026_791_old'!$A:$W,14,FALSE)</f>
        <v>-111.21</v>
      </c>
      <c r="X201">
        <f t="shared" si="16"/>
        <v>0</v>
      </c>
      <c r="Y201" t="s">
        <v>158</v>
      </c>
      <c r="Z201" t="str">
        <f>VLOOKUP(G201,'[2]Erogati mag-giu 2026_791_old'!$D:$T,11,FALSE)</f>
        <v>indiretto</v>
      </c>
      <c r="AA201" t="b">
        <v>1</v>
      </c>
      <c r="AF201" t="s">
        <v>20</v>
      </c>
      <c r="AG201" t="s">
        <v>20</v>
      </c>
    </row>
    <row r="202" spans="1:33">
      <c r="A202" s="13" t="s">
        <v>280</v>
      </c>
      <c r="B202">
        <v>202512303949697</v>
      </c>
      <c r="C202" s="4">
        <v>202512303949697</v>
      </c>
      <c r="D202" s="4" t="b">
        <f t="shared" si="17"/>
        <v>1</v>
      </c>
      <c r="E202" t="s">
        <v>20</v>
      </c>
      <c r="F202" t="s">
        <v>21</v>
      </c>
      <c r="G202" t="s">
        <v>281</v>
      </c>
      <c r="H202" t="str">
        <f>VLOOKUP(C202,'[1]Erogati mag-giu 2026_791_old'!$B:$E,4,FALSE)</f>
        <v>C337149</v>
      </c>
      <c r="I202" t="b">
        <f t="shared" si="13"/>
        <v>1</v>
      </c>
      <c r="J202" s="14">
        <v>46149</v>
      </c>
      <c r="K202" s="14">
        <v>46149</v>
      </c>
      <c r="L202" t="s">
        <v>20</v>
      </c>
      <c r="M202" s="14">
        <v>46188</v>
      </c>
      <c r="N202" s="14">
        <v>46149</v>
      </c>
      <c r="O202" t="s">
        <v>20</v>
      </c>
      <c r="P202">
        <v>-175.39</v>
      </c>
      <c r="Q202">
        <f>VLOOKUP(G202,'[1]Erogati mag-giu 2026_791_old'!$A:$W,12,FALSE)</f>
        <v>-175.39</v>
      </c>
      <c r="R202">
        <f t="shared" si="14"/>
        <v>0</v>
      </c>
      <c r="S202">
        <v>-175.39</v>
      </c>
      <c r="T202">
        <f>VLOOKUP(G202,'[1]Erogati mag-giu 2026_791_old'!$A:$W,13,FALSE)</f>
        <v>-175.39</v>
      </c>
      <c r="U202">
        <f t="shared" si="15"/>
        <v>0</v>
      </c>
      <c r="V202">
        <v>-175.39</v>
      </c>
      <c r="W202">
        <f>VLOOKUP(G202,'[1]Erogati mag-giu 2026_791_old'!$A:$W,14,FALSE)</f>
        <v>-175.39</v>
      </c>
      <c r="X202">
        <f t="shared" si="16"/>
        <v>0</v>
      </c>
      <c r="Y202" t="s">
        <v>158</v>
      </c>
      <c r="Z202" t="str">
        <f>VLOOKUP(G202,'[2]Erogati mag-giu 2026_791_old'!$D:$T,11,FALSE)</f>
        <v>indiretto</v>
      </c>
      <c r="AA202" t="b">
        <v>1</v>
      </c>
      <c r="AF202" t="s">
        <v>20</v>
      </c>
      <c r="AG202" t="s">
        <v>20</v>
      </c>
    </row>
    <row r="203" spans="1:33">
      <c r="A203" s="13" t="s">
        <v>282</v>
      </c>
      <c r="B203">
        <v>202512303957874</v>
      </c>
      <c r="C203" s="4">
        <v>202512303957874</v>
      </c>
      <c r="D203" s="4" t="b">
        <f t="shared" si="17"/>
        <v>1</v>
      </c>
      <c r="E203" t="s">
        <v>20</v>
      </c>
      <c r="F203" t="s">
        <v>21</v>
      </c>
      <c r="G203" t="s">
        <v>283</v>
      </c>
      <c r="H203" t="str">
        <f>VLOOKUP(C203,'[1]Erogati mag-giu 2026_791_old'!$B:$E,4,FALSE)</f>
        <v>C343905</v>
      </c>
      <c r="I203" t="b">
        <f t="shared" si="13"/>
        <v>1</v>
      </c>
      <c r="J203" s="14">
        <v>46149</v>
      </c>
      <c r="K203" s="14">
        <v>46149</v>
      </c>
      <c r="L203" t="s">
        <v>20</v>
      </c>
      <c r="M203" s="14">
        <v>46188</v>
      </c>
      <c r="N203" s="14">
        <v>46149</v>
      </c>
      <c r="O203" t="s">
        <v>20</v>
      </c>
      <c r="P203">
        <v>-55.6</v>
      </c>
      <c r="Q203">
        <f>VLOOKUP(G203,'[1]Erogati mag-giu 2026_791_old'!$A:$W,12,FALSE)</f>
        <v>-55.6</v>
      </c>
      <c r="R203">
        <f t="shared" si="14"/>
        <v>0</v>
      </c>
      <c r="S203">
        <v>-55.6</v>
      </c>
      <c r="T203">
        <f>VLOOKUP(G203,'[1]Erogati mag-giu 2026_791_old'!$A:$W,13,FALSE)</f>
        <v>-55.6</v>
      </c>
      <c r="U203">
        <f t="shared" si="15"/>
        <v>0</v>
      </c>
      <c r="V203">
        <v>-55.6</v>
      </c>
      <c r="W203">
        <f>VLOOKUP(G203,'[1]Erogati mag-giu 2026_791_old'!$A:$W,14,FALSE)</f>
        <v>-55.6</v>
      </c>
      <c r="X203">
        <f t="shared" si="16"/>
        <v>0</v>
      </c>
      <c r="Y203" t="s">
        <v>158</v>
      </c>
      <c r="Z203" t="str">
        <f>VLOOKUP(G203,'[2]Erogati mag-giu 2026_791_old'!$D:$T,11,FALSE)</f>
        <v>indiretto</v>
      </c>
      <c r="AA203" t="b">
        <v>1</v>
      </c>
      <c r="AF203" t="s">
        <v>20</v>
      </c>
      <c r="AG203" t="s">
        <v>20</v>
      </c>
    </row>
    <row r="204" spans="1:33">
      <c r="A204" s="13" t="s">
        <v>284</v>
      </c>
      <c r="B204">
        <v>202512303966799</v>
      </c>
      <c r="C204" s="4">
        <v>202512303966799</v>
      </c>
      <c r="D204" s="4" t="b">
        <f t="shared" si="17"/>
        <v>1</v>
      </c>
      <c r="E204" t="s">
        <v>20</v>
      </c>
      <c r="F204" t="s">
        <v>21</v>
      </c>
      <c r="G204" t="s">
        <v>285</v>
      </c>
      <c r="H204" t="str">
        <f>VLOOKUP(C204,'[1]Erogati mag-giu 2026_791_old'!$B:$E,4,FALSE)</f>
        <v>C339262</v>
      </c>
      <c r="I204" t="b">
        <f t="shared" si="13"/>
        <v>1</v>
      </c>
      <c r="J204" s="14">
        <v>46149</v>
      </c>
      <c r="K204" s="14">
        <v>46149</v>
      </c>
      <c r="L204" t="s">
        <v>20</v>
      </c>
      <c r="M204" s="14">
        <v>46188</v>
      </c>
      <c r="N204" s="14">
        <v>46149</v>
      </c>
      <c r="O204" t="s">
        <v>20</v>
      </c>
      <c r="P204">
        <v>-166.81</v>
      </c>
      <c r="Q204">
        <f>VLOOKUP(G204,'[1]Erogati mag-giu 2026_791_old'!$A:$W,12,FALSE)</f>
        <v>-166.81</v>
      </c>
      <c r="R204">
        <f t="shared" si="14"/>
        <v>0</v>
      </c>
      <c r="S204">
        <v>-166.81</v>
      </c>
      <c r="T204">
        <f>VLOOKUP(G204,'[1]Erogati mag-giu 2026_791_old'!$A:$W,13,FALSE)</f>
        <v>-166.81</v>
      </c>
      <c r="U204">
        <f t="shared" si="15"/>
        <v>0</v>
      </c>
      <c r="V204">
        <v>-166.81</v>
      </c>
      <c r="W204">
        <f>VLOOKUP(G204,'[1]Erogati mag-giu 2026_791_old'!$A:$W,14,FALSE)</f>
        <v>-166.81</v>
      </c>
      <c r="X204">
        <f t="shared" si="16"/>
        <v>0</v>
      </c>
      <c r="Y204" t="s">
        <v>158</v>
      </c>
      <c r="Z204" t="str">
        <f>VLOOKUP(G204,'[2]Erogati mag-giu 2026_791_old'!$D:$T,11,FALSE)</f>
        <v>indiretto</v>
      </c>
      <c r="AA204" t="b">
        <v>1</v>
      </c>
      <c r="AF204" t="s">
        <v>20</v>
      </c>
      <c r="AG204" t="s">
        <v>20</v>
      </c>
    </row>
    <row r="205" spans="1:33">
      <c r="A205" s="13" t="s">
        <v>286</v>
      </c>
      <c r="B205">
        <v>202512303967420</v>
      </c>
      <c r="C205" s="4">
        <v>202512303967420</v>
      </c>
      <c r="D205" s="4" t="b">
        <f t="shared" si="17"/>
        <v>1</v>
      </c>
      <c r="E205" t="s">
        <v>20</v>
      </c>
      <c r="F205" t="s">
        <v>21</v>
      </c>
      <c r="G205" t="s">
        <v>287</v>
      </c>
      <c r="H205" t="str">
        <f>VLOOKUP(C205,'[1]Erogati mag-giu 2026_791_old'!$B:$E,4,FALSE)</f>
        <v>C337163</v>
      </c>
      <c r="I205" t="b">
        <f t="shared" si="13"/>
        <v>1</v>
      </c>
      <c r="J205" s="14">
        <v>46149</v>
      </c>
      <c r="K205" s="14">
        <v>46149</v>
      </c>
      <c r="L205" t="s">
        <v>20</v>
      </c>
      <c r="M205" s="14">
        <v>46188</v>
      </c>
      <c r="N205" s="14">
        <v>46149</v>
      </c>
      <c r="O205" t="s">
        <v>20</v>
      </c>
      <c r="P205">
        <v>-35.08</v>
      </c>
      <c r="Q205">
        <f>VLOOKUP(G205,'[1]Erogati mag-giu 2026_791_old'!$A:$W,12,FALSE)</f>
        <v>-35.08</v>
      </c>
      <c r="R205">
        <f t="shared" si="14"/>
        <v>0</v>
      </c>
      <c r="S205">
        <v>-35.08</v>
      </c>
      <c r="T205">
        <f>VLOOKUP(G205,'[1]Erogati mag-giu 2026_791_old'!$A:$W,13,FALSE)</f>
        <v>-35.08</v>
      </c>
      <c r="U205">
        <f t="shared" si="15"/>
        <v>0</v>
      </c>
      <c r="V205">
        <v>-35.08</v>
      </c>
      <c r="W205">
        <f>VLOOKUP(G205,'[1]Erogati mag-giu 2026_791_old'!$A:$W,14,FALSE)</f>
        <v>-35.08</v>
      </c>
      <c r="X205">
        <f t="shared" si="16"/>
        <v>0</v>
      </c>
      <c r="Y205" t="s">
        <v>158</v>
      </c>
      <c r="Z205" t="str">
        <f>VLOOKUP(G205,'[2]Erogati mag-giu 2026_791_old'!$D:$T,11,FALSE)</f>
        <v>indiretto</v>
      </c>
      <c r="AA205" t="b">
        <v>1</v>
      </c>
      <c r="AF205" t="s">
        <v>20</v>
      </c>
      <c r="AG205" t="s">
        <v>20</v>
      </c>
    </row>
    <row r="206" spans="1:33">
      <c r="A206" s="13" t="s">
        <v>288</v>
      </c>
      <c r="B206">
        <v>202512303982462</v>
      </c>
      <c r="C206" s="4">
        <v>202512303982462</v>
      </c>
      <c r="D206" s="4" t="b">
        <f t="shared" si="17"/>
        <v>1</v>
      </c>
      <c r="E206" t="s">
        <v>20</v>
      </c>
      <c r="F206" t="s">
        <v>21</v>
      </c>
      <c r="G206" t="s">
        <v>289</v>
      </c>
      <c r="H206" t="str">
        <f>VLOOKUP(C206,'[1]Erogati mag-giu 2026_791_old'!$B:$E,4,FALSE)</f>
        <v>C316354</v>
      </c>
      <c r="I206" t="b">
        <f t="shared" si="13"/>
        <v>1</v>
      </c>
      <c r="J206" s="14">
        <v>46149</v>
      </c>
      <c r="K206" s="14">
        <v>46149</v>
      </c>
      <c r="L206" t="s">
        <v>20</v>
      </c>
      <c r="M206" s="14">
        <v>46188</v>
      </c>
      <c r="N206" s="14">
        <v>46149</v>
      </c>
      <c r="O206" t="s">
        <v>20</v>
      </c>
      <c r="P206">
        <v>-59.27</v>
      </c>
      <c r="Q206">
        <f>VLOOKUP(G206,'[1]Erogati mag-giu 2026_791_old'!$A:$W,12,FALSE)</f>
        <v>-59.27</v>
      </c>
      <c r="R206">
        <f t="shared" si="14"/>
        <v>0</v>
      </c>
      <c r="S206">
        <v>-59.27</v>
      </c>
      <c r="T206">
        <f>VLOOKUP(G206,'[1]Erogati mag-giu 2026_791_old'!$A:$W,13,FALSE)</f>
        <v>-59.27</v>
      </c>
      <c r="U206">
        <f t="shared" si="15"/>
        <v>0</v>
      </c>
      <c r="V206">
        <v>-59.27</v>
      </c>
      <c r="W206">
        <f>VLOOKUP(G206,'[1]Erogati mag-giu 2026_791_old'!$A:$W,14,FALSE)</f>
        <v>-59.27</v>
      </c>
      <c r="X206">
        <f t="shared" si="16"/>
        <v>0</v>
      </c>
      <c r="Y206" t="s">
        <v>158</v>
      </c>
      <c r="Z206" t="str">
        <f>VLOOKUP(G206,'[2]Erogati mag-giu 2026_791_old'!$D:$T,11,FALSE)</f>
        <v>indiretto</v>
      </c>
      <c r="AA206" t="b">
        <v>1</v>
      </c>
      <c r="AF206" t="s">
        <v>20</v>
      </c>
      <c r="AG206" t="s">
        <v>20</v>
      </c>
    </row>
    <row r="207" spans="1:33">
      <c r="A207" s="13" t="s">
        <v>290</v>
      </c>
      <c r="B207">
        <v>202512303983036</v>
      </c>
      <c r="C207" s="4">
        <v>202512303983036</v>
      </c>
      <c r="D207" s="4" t="b">
        <f t="shared" si="17"/>
        <v>1</v>
      </c>
      <c r="E207" t="s">
        <v>20</v>
      </c>
      <c r="F207" t="s">
        <v>21</v>
      </c>
      <c r="G207" t="s">
        <v>291</v>
      </c>
      <c r="H207" t="str">
        <f>VLOOKUP(C207,'[1]Erogati mag-giu 2026_791_old'!$B:$E,4,FALSE)</f>
        <v>C343919</v>
      </c>
      <c r="I207" t="b">
        <f t="shared" si="13"/>
        <v>1</v>
      </c>
      <c r="J207" s="14">
        <v>46149</v>
      </c>
      <c r="K207" s="14">
        <v>46149</v>
      </c>
      <c r="L207" t="s">
        <v>20</v>
      </c>
      <c r="M207" s="14">
        <v>46188</v>
      </c>
      <c r="N207" s="14">
        <v>46149</v>
      </c>
      <c r="O207" t="s">
        <v>20</v>
      </c>
      <c r="P207">
        <v>-70.16</v>
      </c>
      <c r="Q207">
        <f>VLOOKUP(G207,'[1]Erogati mag-giu 2026_791_old'!$A:$W,12,FALSE)</f>
        <v>-70.16</v>
      </c>
      <c r="R207">
        <f t="shared" si="14"/>
        <v>0</v>
      </c>
      <c r="S207">
        <v>-70.16</v>
      </c>
      <c r="T207">
        <f>VLOOKUP(G207,'[1]Erogati mag-giu 2026_791_old'!$A:$W,13,FALSE)</f>
        <v>-70.16</v>
      </c>
      <c r="U207">
        <f t="shared" si="15"/>
        <v>0</v>
      </c>
      <c r="V207">
        <v>-70.16</v>
      </c>
      <c r="W207">
        <f>VLOOKUP(G207,'[1]Erogati mag-giu 2026_791_old'!$A:$W,14,FALSE)</f>
        <v>-70.16</v>
      </c>
      <c r="X207">
        <f t="shared" si="16"/>
        <v>0</v>
      </c>
      <c r="Y207" t="s">
        <v>158</v>
      </c>
      <c r="Z207" t="str">
        <f>VLOOKUP(G207,'[2]Erogati mag-giu 2026_791_old'!$D:$T,11,FALSE)</f>
        <v>indiretto</v>
      </c>
      <c r="AA207" t="b">
        <v>1</v>
      </c>
      <c r="AF207" t="s">
        <v>20</v>
      </c>
      <c r="AG207" t="s">
        <v>20</v>
      </c>
    </row>
    <row r="208" spans="1:33">
      <c r="A208" s="13" t="s">
        <v>292</v>
      </c>
      <c r="B208">
        <v>202512304003374</v>
      </c>
      <c r="C208" s="4">
        <v>202512304003374</v>
      </c>
      <c r="D208" s="4" t="b">
        <f t="shared" si="17"/>
        <v>1</v>
      </c>
      <c r="E208" t="s">
        <v>20</v>
      </c>
      <c r="F208" t="s">
        <v>21</v>
      </c>
      <c r="G208" t="s">
        <v>293</v>
      </c>
      <c r="H208" t="str">
        <f>VLOOKUP(C208,'[1]Erogati mag-giu 2026_791_old'!$B:$E,4,FALSE)</f>
        <v>C312839</v>
      </c>
      <c r="I208" t="b">
        <f t="shared" si="13"/>
        <v>1</v>
      </c>
      <c r="J208" s="14">
        <v>46149</v>
      </c>
      <c r="K208" s="14">
        <v>46149</v>
      </c>
      <c r="L208" t="s">
        <v>20</v>
      </c>
      <c r="M208" s="14">
        <v>46188</v>
      </c>
      <c r="N208" s="14">
        <v>46149</v>
      </c>
      <c r="O208" t="s">
        <v>20</v>
      </c>
      <c r="P208">
        <v>-35.08</v>
      </c>
      <c r="Q208">
        <f>VLOOKUP(G208,'[1]Erogati mag-giu 2026_791_old'!$A:$W,12,FALSE)</f>
        <v>-35.08</v>
      </c>
      <c r="R208">
        <f t="shared" si="14"/>
        <v>0</v>
      </c>
      <c r="S208">
        <v>-35.08</v>
      </c>
      <c r="T208">
        <f>VLOOKUP(G208,'[1]Erogati mag-giu 2026_791_old'!$A:$W,13,FALSE)</f>
        <v>-35.08</v>
      </c>
      <c r="U208">
        <f t="shared" si="15"/>
        <v>0</v>
      </c>
      <c r="V208">
        <v>-35.08</v>
      </c>
      <c r="W208">
        <f>VLOOKUP(G208,'[1]Erogati mag-giu 2026_791_old'!$A:$W,14,FALSE)</f>
        <v>-35.08</v>
      </c>
      <c r="X208">
        <f t="shared" si="16"/>
        <v>0</v>
      </c>
      <c r="Y208" t="s">
        <v>158</v>
      </c>
      <c r="Z208" t="str">
        <f>VLOOKUP(G208,'[2]Erogati mag-giu 2026_791_old'!$D:$T,11,FALSE)</f>
        <v>indiretto</v>
      </c>
      <c r="AA208" t="b">
        <v>1</v>
      </c>
      <c r="AF208" t="s">
        <v>20</v>
      </c>
      <c r="AG208" t="s">
        <v>20</v>
      </c>
    </row>
    <row r="209" spans="1:33">
      <c r="A209" s="13" t="s">
        <v>294</v>
      </c>
      <c r="B209">
        <v>202512304004771</v>
      </c>
      <c r="C209" s="4">
        <v>202512304004771</v>
      </c>
      <c r="D209" s="4" t="b">
        <f t="shared" si="17"/>
        <v>1</v>
      </c>
      <c r="E209" t="s">
        <v>20</v>
      </c>
      <c r="F209" t="s">
        <v>21</v>
      </c>
      <c r="G209" t="s">
        <v>295</v>
      </c>
      <c r="H209" t="str">
        <f>VLOOKUP(C209,'[1]Erogati mag-giu 2026_791_old'!$B:$E,4,FALSE)</f>
        <v>C308632</v>
      </c>
      <c r="I209" t="b">
        <f t="shared" si="13"/>
        <v>1</v>
      </c>
      <c r="J209" s="14">
        <v>46149</v>
      </c>
      <c r="K209" s="14">
        <v>46149</v>
      </c>
      <c r="L209" t="s">
        <v>20</v>
      </c>
      <c r="M209" s="14">
        <v>46188</v>
      </c>
      <c r="N209" s="14">
        <v>46149</v>
      </c>
      <c r="O209" t="s">
        <v>20</v>
      </c>
      <c r="P209">
        <v>-70.16</v>
      </c>
      <c r="Q209">
        <f>VLOOKUP(G209,'[1]Erogati mag-giu 2026_791_old'!$A:$W,12,FALSE)</f>
        <v>-70.16</v>
      </c>
      <c r="R209">
        <f t="shared" si="14"/>
        <v>0</v>
      </c>
      <c r="S209">
        <v>-70.16</v>
      </c>
      <c r="T209">
        <f>VLOOKUP(G209,'[1]Erogati mag-giu 2026_791_old'!$A:$W,13,FALSE)</f>
        <v>-70.16</v>
      </c>
      <c r="U209">
        <f t="shared" si="15"/>
        <v>0</v>
      </c>
      <c r="V209">
        <v>-70.16</v>
      </c>
      <c r="W209">
        <f>VLOOKUP(G209,'[1]Erogati mag-giu 2026_791_old'!$A:$W,14,FALSE)</f>
        <v>-70.16</v>
      </c>
      <c r="X209">
        <f t="shared" si="16"/>
        <v>0</v>
      </c>
      <c r="Y209" t="s">
        <v>158</v>
      </c>
      <c r="Z209" t="str">
        <f>VLOOKUP(G209,'[2]Erogati mag-giu 2026_791_old'!$D:$T,11,FALSE)</f>
        <v>indiretto</v>
      </c>
      <c r="AA209" t="b">
        <v>1</v>
      </c>
      <c r="AF209" t="s">
        <v>20</v>
      </c>
      <c r="AG209" t="s">
        <v>20</v>
      </c>
    </row>
    <row r="210" spans="1:33">
      <c r="A210" s="13" t="s">
        <v>296</v>
      </c>
      <c r="B210">
        <v>202512304011989</v>
      </c>
      <c r="C210" s="4">
        <v>202512304011989</v>
      </c>
      <c r="D210" s="4" t="b">
        <f t="shared" si="17"/>
        <v>1</v>
      </c>
      <c r="E210" t="s">
        <v>20</v>
      </c>
      <c r="F210" t="s">
        <v>21</v>
      </c>
      <c r="G210" t="s">
        <v>297</v>
      </c>
      <c r="H210" t="str">
        <f>VLOOKUP(C210,'[1]Erogati mag-giu 2026_791_old'!$B:$E,4,FALSE)</f>
        <v>C310297</v>
      </c>
      <c r="I210" t="b">
        <f t="shared" si="13"/>
        <v>1</v>
      </c>
      <c r="J210" s="14">
        <v>46149</v>
      </c>
      <c r="K210" s="14">
        <v>46149</v>
      </c>
      <c r="L210" t="s">
        <v>20</v>
      </c>
      <c r="M210" s="14">
        <v>46188</v>
      </c>
      <c r="N210" s="14">
        <v>46149</v>
      </c>
      <c r="O210" t="s">
        <v>20</v>
      </c>
      <c r="P210">
        <v>-140.31</v>
      </c>
      <c r="Q210">
        <f>VLOOKUP(G210,'[1]Erogati mag-giu 2026_791_old'!$A:$W,12,FALSE)</f>
        <v>-140.31</v>
      </c>
      <c r="R210">
        <f t="shared" si="14"/>
        <v>0</v>
      </c>
      <c r="S210">
        <v>-140.31</v>
      </c>
      <c r="T210">
        <f>VLOOKUP(G210,'[1]Erogati mag-giu 2026_791_old'!$A:$W,13,FALSE)</f>
        <v>-140.31</v>
      </c>
      <c r="U210">
        <f t="shared" si="15"/>
        <v>0</v>
      </c>
      <c r="V210">
        <v>-140.31</v>
      </c>
      <c r="W210">
        <f>VLOOKUP(G210,'[1]Erogati mag-giu 2026_791_old'!$A:$W,14,FALSE)</f>
        <v>-140.31</v>
      </c>
      <c r="X210">
        <f t="shared" si="16"/>
        <v>0</v>
      </c>
      <c r="Y210" t="s">
        <v>158</v>
      </c>
      <c r="Z210" t="str">
        <f>VLOOKUP(G210,'[2]Erogati mag-giu 2026_791_old'!$D:$T,11,FALSE)</f>
        <v>indiretto</v>
      </c>
      <c r="AA210" t="b">
        <v>1</v>
      </c>
      <c r="AF210" t="s">
        <v>20</v>
      </c>
      <c r="AG210" t="s">
        <v>20</v>
      </c>
    </row>
    <row r="211" spans="1:33">
      <c r="A211" s="13" t="s">
        <v>298</v>
      </c>
      <c r="B211">
        <v>202512304036718</v>
      </c>
      <c r="C211" s="4">
        <v>202512304036718</v>
      </c>
      <c r="D211" s="4" t="b">
        <f t="shared" si="17"/>
        <v>1</v>
      </c>
      <c r="E211" t="s">
        <v>20</v>
      </c>
      <c r="F211" t="s">
        <v>21</v>
      </c>
      <c r="G211" t="s">
        <v>299</v>
      </c>
      <c r="H211" t="str">
        <f>VLOOKUP(C211,'[1]Erogati mag-giu 2026_791_old'!$B:$E,4,FALSE)</f>
        <v>C337162</v>
      </c>
      <c r="I211" t="b">
        <f t="shared" si="13"/>
        <v>1</v>
      </c>
      <c r="J211" s="14">
        <v>46149</v>
      </c>
      <c r="K211" s="14">
        <v>46149</v>
      </c>
      <c r="L211" t="s">
        <v>20</v>
      </c>
      <c r="M211" s="14">
        <v>46188</v>
      </c>
      <c r="N211" s="14">
        <v>46149</v>
      </c>
      <c r="O211" t="s">
        <v>20</v>
      </c>
      <c r="P211">
        <v>-76.13</v>
      </c>
      <c r="Q211">
        <f>VLOOKUP(G211,'[1]Erogati mag-giu 2026_791_old'!$A:$W,12,FALSE)</f>
        <v>-76.13</v>
      </c>
      <c r="R211">
        <f t="shared" si="14"/>
        <v>0</v>
      </c>
      <c r="S211">
        <v>-76.13</v>
      </c>
      <c r="T211">
        <f>VLOOKUP(G211,'[1]Erogati mag-giu 2026_791_old'!$A:$W,13,FALSE)</f>
        <v>-76.13</v>
      </c>
      <c r="U211">
        <f t="shared" si="15"/>
        <v>0</v>
      </c>
      <c r="V211">
        <v>-76.13</v>
      </c>
      <c r="W211">
        <f>VLOOKUP(G211,'[1]Erogati mag-giu 2026_791_old'!$A:$W,14,FALSE)</f>
        <v>-76.13</v>
      </c>
      <c r="X211">
        <f t="shared" si="16"/>
        <v>0</v>
      </c>
      <c r="Y211" t="s">
        <v>158</v>
      </c>
      <c r="Z211" t="str">
        <f>VLOOKUP(G211,'[2]Erogati mag-giu 2026_791_old'!$D:$T,11,FALSE)</f>
        <v>indiretto</v>
      </c>
      <c r="AA211" t="b">
        <v>1</v>
      </c>
      <c r="AF211" t="s">
        <v>20</v>
      </c>
      <c r="AG211" t="s">
        <v>20</v>
      </c>
    </row>
    <row r="212" spans="1:33">
      <c r="A212" s="13" t="s">
        <v>300</v>
      </c>
      <c r="B212">
        <v>202512304042163</v>
      </c>
      <c r="C212" s="4">
        <v>202512304042163</v>
      </c>
      <c r="D212" s="4" t="b">
        <f t="shared" si="17"/>
        <v>1</v>
      </c>
      <c r="E212" t="s">
        <v>20</v>
      </c>
      <c r="F212" t="s">
        <v>21</v>
      </c>
      <c r="G212" t="s">
        <v>301</v>
      </c>
      <c r="H212" t="str">
        <f>VLOOKUP(C212,'[1]Erogati mag-giu 2026_791_old'!$B:$E,4,FALSE)</f>
        <v>C343906</v>
      </c>
      <c r="I212" t="b">
        <f t="shared" si="13"/>
        <v>1</v>
      </c>
      <c r="J212" s="14">
        <v>46149</v>
      </c>
      <c r="K212" s="14">
        <v>46149</v>
      </c>
      <c r="L212" t="s">
        <v>20</v>
      </c>
      <c r="M212" s="14">
        <v>46188</v>
      </c>
      <c r="N212" s="14">
        <v>46149</v>
      </c>
      <c r="O212" t="s">
        <v>20</v>
      </c>
      <c r="P212">
        <v>-88.91</v>
      </c>
      <c r="Q212">
        <f>VLOOKUP(G212,'[1]Erogati mag-giu 2026_791_old'!$A:$W,12,FALSE)</f>
        <v>-88.91</v>
      </c>
      <c r="R212">
        <f t="shared" si="14"/>
        <v>0</v>
      </c>
      <c r="S212">
        <v>-88.91</v>
      </c>
      <c r="T212">
        <f>VLOOKUP(G212,'[1]Erogati mag-giu 2026_791_old'!$A:$W,13,FALSE)</f>
        <v>-88.91</v>
      </c>
      <c r="U212">
        <f t="shared" si="15"/>
        <v>0</v>
      </c>
      <c r="V212">
        <v>-88.91</v>
      </c>
      <c r="W212">
        <f>VLOOKUP(G212,'[1]Erogati mag-giu 2026_791_old'!$A:$W,14,FALSE)</f>
        <v>-88.91</v>
      </c>
      <c r="X212">
        <f t="shared" si="16"/>
        <v>0</v>
      </c>
      <c r="Y212" t="s">
        <v>158</v>
      </c>
      <c r="Z212" t="str">
        <f>VLOOKUP(G212,'[2]Erogati mag-giu 2026_791_old'!$D:$T,11,FALSE)</f>
        <v>indiretto</v>
      </c>
      <c r="AA212" t="b">
        <v>1</v>
      </c>
      <c r="AF212" t="s">
        <v>20</v>
      </c>
      <c r="AG212" t="s">
        <v>20</v>
      </c>
    </row>
    <row r="213" spans="1:33">
      <c r="A213" s="13" t="s">
        <v>302</v>
      </c>
      <c r="B213">
        <v>202512304068830</v>
      </c>
      <c r="C213" s="4">
        <v>202512304068830</v>
      </c>
      <c r="D213" s="4" t="b">
        <f t="shared" si="17"/>
        <v>1</v>
      </c>
      <c r="E213" t="s">
        <v>20</v>
      </c>
      <c r="F213" t="s">
        <v>21</v>
      </c>
      <c r="G213" t="s">
        <v>303</v>
      </c>
      <c r="H213" t="str">
        <f>VLOOKUP(C213,'[1]Erogati mag-giu 2026_791_old'!$B:$E,4,FALSE)</f>
        <v>C308226</v>
      </c>
      <c r="I213" t="b">
        <f t="shared" si="13"/>
        <v>1</v>
      </c>
      <c r="J213" s="14">
        <v>46149</v>
      </c>
      <c r="K213" s="14">
        <v>46149</v>
      </c>
      <c r="L213" t="s">
        <v>20</v>
      </c>
      <c r="M213" s="14">
        <v>46188</v>
      </c>
      <c r="N213" s="14">
        <v>46149</v>
      </c>
      <c r="O213" t="s">
        <v>20</v>
      </c>
      <c r="P213">
        <v>-35.08</v>
      </c>
      <c r="Q213">
        <f>VLOOKUP(G213,'[1]Erogati mag-giu 2026_791_old'!$A:$W,12,FALSE)</f>
        <v>-35.08</v>
      </c>
      <c r="R213">
        <f t="shared" si="14"/>
        <v>0</v>
      </c>
      <c r="S213">
        <v>-35.08</v>
      </c>
      <c r="T213">
        <f>VLOOKUP(G213,'[1]Erogati mag-giu 2026_791_old'!$A:$W,13,FALSE)</f>
        <v>-35.08</v>
      </c>
      <c r="U213">
        <f t="shared" si="15"/>
        <v>0</v>
      </c>
      <c r="V213">
        <v>-35.08</v>
      </c>
      <c r="W213">
        <f>VLOOKUP(G213,'[1]Erogati mag-giu 2026_791_old'!$A:$W,14,FALSE)</f>
        <v>-35.08</v>
      </c>
      <c r="X213">
        <f t="shared" si="16"/>
        <v>0</v>
      </c>
      <c r="Y213" t="s">
        <v>158</v>
      </c>
      <c r="Z213" t="str">
        <f>VLOOKUP(G213,'[2]Erogati mag-giu 2026_791_old'!$D:$T,11,FALSE)</f>
        <v>indiretto</v>
      </c>
      <c r="AA213" t="b">
        <v>1</v>
      </c>
      <c r="AF213" t="s">
        <v>20</v>
      </c>
      <c r="AG213" t="s">
        <v>20</v>
      </c>
    </row>
    <row r="214" spans="1:33">
      <c r="A214" s="13" t="s">
        <v>304</v>
      </c>
      <c r="B214">
        <v>202512304069706</v>
      </c>
      <c r="C214" s="4">
        <v>202512304069706</v>
      </c>
      <c r="D214" s="4" t="b">
        <f t="shared" si="17"/>
        <v>1</v>
      </c>
      <c r="E214" t="s">
        <v>20</v>
      </c>
      <c r="F214" t="s">
        <v>21</v>
      </c>
      <c r="G214" t="s">
        <v>305</v>
      </c>
      <c r="H214" t="str">
        <f>VLOOKUP(C214,'[1]Erogati mag-giu 2026_791_old'!$B:$E,4,FALSE)</f>
        <v>C343921</v>
      </c>
      <c r="I214" t="b">
        <f t="shared" si="13"/>
        <v>1</v>
      </c>
      <c r="J214" s="14">
        <v>46149</v>
      </c>
      <c r="K214" s="14">
        <v>46149</v>
      </c>
      <c r="L214" t="s">
        <v>20</v>
      </c>
      <c r="M214" s="14">
        <v>46188</v>
      </c>
      <c r="N214" s="14">
        <v>46149</v>
      </c>
      <c r="O214" t="s">
        <v>20</v>
      </c>
      <c r="P214">
        <v>-140.31</v>
      </c>
      <c r="Q214">
        <f>VLOOKUP(G214,'[1]Erogati mag-giu 2026_791_old'!$A:$W,12,FALSE)</f>
        <v>-140.31</v>
      </c>
      <c r="R214">
        <f t="shared" si="14"/>
        <v>0</v>
      </c>
      <c r="S214">
        <v>-140.31</v>
      </c>
      <c r="T214">
        <f>VLOOKUP(G214,'[1]Erogati mag-giu 2026_791_old'!$A:$W,13,FALSE)</f>
        <v>-140.31</v>
      </c>
      <c r="U214">
        <f t="shared" si="15"/>
        <v>0</v>
      </c>
      <c r="V214">
        <v>-140.31</v>
      </c>
      <c r="W214">
        <f>VLOOKUP(G214,'[1]Erogati mag-giu 2026_791_old'!$A:$W,14,FALSE)</f>
        <v>-140.31</v>
      </c>
      <c r="X214">
        <f t="shared" si="16"/>
        <v>0</v>
      </c>
      <c r="Y214" t="s">
        <v>158</v>
      </c>
      <c r="Z214" t="str">
        <f>VLOOKUP(G214,'[2]Erogati mag-giu 2026_791_old'!$D:$T,11,FALSE)</f>
        <v>indiretto</v>
      </c>
      <c r="AA214" t="b">
        <v>1</v>
      </c>
      <c r="AF214" t="s">
        <v>20</v>
      </c>
      <c r="AG214" t="s">
        <v>20</v>
      </c>
    </row>
    <row r="215" spans="1:33">
      <c r="A215" s="13" t="s">
        <v>306</v>
      </c>
      <c r="B215">
        <v>202512304075028</v>
      </c>
      <c r="C215" s="4">
        <v>202512304075028</v>
      </c>
      <c r="D215" s="4" t="b">
        <f t="shared" si="17"/>
        <v>1</v>
      </c>
      <c r="E215" t="s">
        <v>20</v>
      </c>
      <c r="F215" t="s">
        <v>21</v>
      </c>
      <c r="G215" t="s">
        <v>307</v>
      </c>
      <c r="H215" t="str">
        <f>VLOOKUP(C215,'[1]Erogati mag-giu 2026_791_old'!$B:$E,4,FALSE)</f>
        <v>C311323</v>
      </c>
      <c r="I215" t="b">
        <f t="shared" si="13"/>
        <v>1</v>
      </c>
      <c r="J215" s="14">
        <v>46149</v>
      </c>
      <c r="K215" s="14">
        <v>46149</v>
      </c>
      <c r="L215" t="s">
        <v>20</v>
      </c>
      <c r="M215" s="14">
        <v>46188</v>
      </c>
      <c r="N215" s="14">
        <v>46149</v>
      </c>
      <c r="O215" t="s">
        <v>20</v>
      </c>
      <c r="P215">
        <v>-35.08</v>
      </c>
      <c r="Q215">
        <f>VLOOKUP(G215,'[1]Erogati mag-giu 2026_791_old'!$A:$W,12,FALSE)</f>
        <v>-35.08</v>
      </c>
      <c r="R215">
        <f t="shared" si="14"/>
        <v>0</v>
      </c>
      <c r="S215">
        <v>-35.08</v>
      </c>
      <c r="T215">
        <f>VLOOKUP(G215,'[1]Erogati mag-giu 2026_791_old'!$A:$W,13,FALSE)</f>
        <v>-35.08</v>
      </c>
      <c r="U215">
        <f t="shared" si="15"/>
        <v>0</v>
      </c>
      <c r="V215">
        <v>-35.08</v>
      </c>
      <c r="W215">
        <f>VLOOKUP(G215,'[1]Erogati mag-giu 2026_791_old'!$A:$W,14,FALSE)</f>
        <v>-35.08</v>
      </c>
      <c r="X215">
        <f t="shared" si="16"/>
        <v>0</v>
      </c>
      <c r="Y215" t="s">
        <v>158</v>
      </c>
      <c r="Z215" t="str">
        <f>VLOOKUP(G215,'[2]Erogati mag-giu 2026_791_old'!$D:$T,11,FALSE)</f>
        <v>indiretto</v>
      </c>
      <c r="AA215" t="b">
        <v>1</v>
      </c>
      <c r="AF215" t="s">
        <v>20</v>
      </c>
      <c r="AG215" t="s">
        <v>20</v>
      </c>
    </row>
    <row r="216" spans="1:33">
      <c r="A216" s="13" t="s">
        <v>308</v>
      </c>
      <c r="B216">
        <v>202512304075814</v>
      </c>
      <c r="C216" s="4">
        <v>202512304075814</v>
      </c>
      <c r="D216" s="4" t="b">
        <f t="shared" si="17"/>
        <v>1</v>
      </c>
      <c r="E216" t="s">
        <v>20</v>
      </c>
      <c r="F216" t="s">
        <v>21</v>
      </c>
      <c r="G216" t="s">
        <v>309</v>
      </c>
      <c r="H216" t="str">
        <f>VLOOKUP(C216,'[1]Erogati mag-giu 2026_791_old'!$B:$E,4,FALSE)</f>
        <v>C343902</v>
      </c>
      <c r="I216" t="b">
        <f t="shared" si="13"/>
        <v>1</v>
      </c>
      <c r="J216" s="14">
        <v>46149</v>
      </c>
      <c r="K216" s="14">
        <v>46149</v>
      </c>
      <c r="L216" t="s">
        <v>20</v>
      </c>
      <c r="M216" s="14">
        <v>46188</v>
      </c>
      <c r="N216" s="14">
        <v>46149</v>
      </c>
      <c r="O216" t="s">
        <v>20</v>
      </c>
      <c r="P216">
        <v>-84.19</v>
      </c>
      <c r="Q216">
        <f>VLOOKUP(G216,'[1]Erogati mag-giu 2026_791_old'!$A:$W,12,FALSE)</f>
        <v>-84.19</v>
      </c>
      <c r="R216">
        <f t="shared" si="14"/>
        <v>0</v>
      </c>
      <c r="S216">
        <v>-84.19</v>
      </c>
      <c r="T216">
        <f>VLOOKUP(G216,'[1]Erogati mag-giu 2026_791_old'!$A:$W,13,FALSE)</f>
        <v>-84.19</v>
      </c>
      <c r="U216">
        <f t="shared" si="15"/>
        <v>0</v>
      </c>
      <c r="V216">
        <v>-84.19</v>
      </c>
      <c r="W216">
        <f>VLOOKUP(G216,'[1]Erogati mag-giu 2026_791_old'!$A:$W,14,FALSE)</f>
        <v>-84.19</v>
      </c>
      <c r="X216">
        <f t="shared" si="16"/>
        <v>0</v>
      </c>
      <c r="Y216" t="s">
        <v>158</v>
      </c>
      <c r="Z216" t="str">
        <f>VLOOKUP(G216,'[2]Erogati mag-giu 2026_791_old'!$D:$T,11,FALSE)</f>
        <v>indiretto</v>
      </c>
      <c r="AA216" t="b">
        <v>1</v>
      </c>
      <c r="AF216" t="s">
        <v>20</v>
      </c>
      <c r="AG216" t="s">
        <v>20</v>
      </c>
    </row>
    <row r="217" spans="1:33">
      <c r="A217" s="13" t="s">
        <v>310</v>
      </c>
      <c r="B217">
        <v>202512304101748</v>
      </c>
      <c r="C217" s="4">
        <v>202512304101748</v>
      </c>
      <c r="D217" s="4" t="b">
        <f t="shared" si="17"/>
        <v>1</v>
      </c>
      <c r="E217" t="s">
        <v>20</v>
      </c>
      <c r="F217" t="s">
        <v>21</v>
      </c>
      <c r="G217" t="s">
        <v>311</v>
      </c>
      <c r="H217" t="str">
        <f>VLOOKUP(C217,'[1]Erogati mag-giu 2026_791_old'!$B:$E,4,FALSE)</f>
        <v>C343925</v>
      </c>
      <c r="I217" t="b">
        <f t="shared" si="13"/>
        <v>1</v>
      </c>
      <c r="J217" s="14">
        <v>46149</v>
      </c>
      <c r="K217" s="14">
        <v>46149</v>
      </c>
      <c r="L217" t="s">
        <v>20</v>
      </c>
      <c r="M217" s="14">
        <v>46188</v>
      </c>
      <c r="N217" s="14">
        <v>46149</v>
      </c>
      <c r="O217" t="s">
        <v>20</v>
      </c>
      <c r="P217">
        <v>-175.39</v>
      </c>
      <c r="Q217">
        <f>VLOOKUP(G217,'[1]Erogati mag-giu 2026_791_old'!$A:$W,12,FALSE)</f>
        <v>-175.39</v>
      </c>
      <c r="R217">
        <f t="shared" si="14"/>
        <v>0</v>
      </c>
      <c r="S217">
        <v>-175.39</v>
      </c>
      <c r="T217">
        <f>VLOOKUP(G217,'[1]Erogati mag-giu 2026_791_old'!$A:$W,13,FALSE)</f>
        <v>-175.39</v>
      </c>
      <c r="U217">
        <f t="shared" si="15"/>
        <v>0</v>
      </c>
      <c r="V217">
        <v>-175.39</v>
      </c>
      <c r="W217">
        <f>VLOOKUP(G217,'[1]Erogati mag-giu 2026_791_old'!$A:$W,14,FALSE)</f>
        <v>-175.39</v>
      </c>
      <c r="X217">
        <f t="shared" si="16"/>
        <v>0</v>
      </c>
      <c r="Y217" t="s">
        <v>158</v>
      </c>
      <c r="Z217" t="str">
        <f>VLOOKUP(G217,'[2]Erogati mag-giu 2026_791_old'!$D:$T,11,FALSE)</f>
        <v>indiretto</v>
      </c>
      <c r="AA217" t="b">
        <v>1</v>
      </c>
      <c r="AF217" t="s">
        <v>20</v>
      </c>
      <c r="AG217" t="s">
        <v>20</v>
      </c>
    </row>
    <row r="218" spans="1:33">
      <c r="A218" s="13" t="s">
        <v>312</v>
      </c>
      <c r="B218">
        <v>202512304105560</v>
      </c>
      <c r="C218" s="4">
        <v>202512304105560</v>
      </c>
      <c r="D218" s="4" t="b">
        <f t="shared" si="17"/>
        <v>1</v>
      </c>
      <c r="E218" t="s">
        <v>20</v>
      </c>
      <c r="F218" t="s">
        <v>21</v>
      </c>
      <c r="G218" t="s">
        <v>313</v>
      </c>
      <c r="H218" t="str">
        <f>VLOOKUP(C218,'[1]Erogati mag-giu 2026_791_old'!$B:$E,4,FALSE)</f>
        <v>C343916</v>
      </c>
      <c r="I218" t="b">
        <f t="shared" si="13"/>
        <v>1</v>
      </c>
      <c r="J218" s="14">
        <v>46149</v>
      </c>
      <c r="K218" s="14">
        <v>46149</v>
      </c>
      <c r="L218" t="s">
        <v>20</v>
      </c>
      <c r="M218" s="14">
        <v>46188</v>
      </c>
      <c r="N218" s="14">
        <v>46149</v>
      </c>
      <c r="O218" t="s">
        <v>20</v>
      </c>
      <c r="P218">
        <v>-35.08</v>
      </c>
      <c r="Q218">
        <f>VLOOKUP(G218,'[1]Erogati mag-giu 2026_791_old'!$A:$W,12,FALSE)</f>
        <v>-35.08</v>
      </c>
      <c r="R218">
        <f t="shared" si="14"/>
        <v>0</v>
      </c>
      <c r="S218">
        <v>-35.08</v>
      </c>
      <c r="T218">
        <f>VLOOKUP(G218,'[1]Erogati mag-giu 2026_791_old'!$A:$W,13,FALSE)</f>
        <v>-35.08</v>
      </c>
      <c r="U218">
        <f t="shared" si="15"/>
        <v>0</v>
      </c>
      <c r="V218">
        <v>-35.08</v>
      </c>
      <c r="W218">
        <f>VLOOKUP(G218,'[1]Erogati mag-giu 2026_791_old'!$A:$W,14,FALSE)</f>
        <v>-35.08</v>
      </c>
      <c r="X218">
        <f t="shared" si="16"/>
        <v>0</v>
      </c>
      <c r="Y218" t="s">
        <v>158</v>
      </c>
      <c r="Z218" t="str">
        <f>VLOOKUP(G218,'[2]Erogati mag-giu 2026_791_old'!$D:$T,11,FALSE)</f>
        <v>indiretto</v>
      </c>
      <c r="AA218" t="b">
        <v>1</v>
      </c>
      <c r="AF218" t="s">
        <v>20</v>
      </c>
      <c r="AG218" t="s">
        <v>20</v>
      </c>
    </row>
    <row r="219" spans="1:33">
      <c r="A219" s="13" t="s">
        <v>314</v>
      </c>
      <c r="B219">
        <v>202512304115130</v>
      </c>
      <c r="C219" s="4">
        <v>202512304115130</v>
      </c>
      <c r="D219" s="4" t="b">
        <f t="shared" si="17"/>
        <v>1</v>
      </c>
      <c r="E219" t="s">
        <v>20</v>
      </c>
      <c r="F219" t="s">
        <v>21</v>
      </c>
      <c r="G219" t="s">
        <v>315</v>
      </c>
      <c r="H219" t="str">
        <f>VLOOKUP(C219,'[1]Erogati mag-giu 2026_791_old'!$B:$E,4,FALSE)</f>
        <v>C124340</v>
      </c>
      <c r="I219" t="b">
        <f t="shared" si="13"/>
        <v>1</v>
      </c>
      <c r="J219" s="14">
        <v>46149</v>
      </c>
      <c r="K219" s="14">
        <v>46149</v>
      </c>
      <c r="L219" t="s">
        <v>20</v>
      </c>
      <c r="M219" s="14">
        <v>46188</v>
      </c>
      <c r="N219" s="14">
        <v>46149</v>
      </c>
      <c r="O219" t="s">
        <v>20</v>
      </c>
      <c r="P219">
        <v>-76.13</v>
      </c>
      <c r="Q219">
        <f>VLOOKUP(G219,'[1]Erogati mag-giu 2026_791_old'!$A:$W,12,FALSE)</f>
        <v>-76.13</v>
      </c>
      <c r="R219">
        <f t="shared" si="14"/>
        <v>0</v>
      </c>
      <c r="S219">
        <v>-76.13</v>
      </c>
      <c r="T219">
        <f>VLOOKUP(G219,'[1]Erogati mag-giu 2026_791_old'!$A:$W,13,FALSE)</f>
        <v>-76.13</v>
      </c>
      <c r="U219">
        <f t="shared" si="15"/>
        <v>0</v>
      </c>
      <c r="V219">
        <v>-76.13</v>
      </c>
      <c r="W219">
        <f>VLOOKUP(G219,'[1]Erogati mag-giu 2026_791_old'!$A:$W,14,FALSE)</f>
        <v>-76.13</v>
      </c>
      <c r="X219">
        <f t="shared" si="16"/>
        <v>0</v>
      </c>
      <c r="Y219" t="s">
        <v>158</v>
      </c>
      <c r="Z219" t="str">
        <f>VLOOKUP(G219,'[2]Erogati mag-giu 2026_791_old'!$D:$T,11,FALSE)</f>
        <v>indiretto</v>
      </c>
      <c r="AA219" t="b">
        <v>1</v>
      </c>
      <c r="AF219" t="s">
        <v>20</v>
      </c>
      <c r="AG219" t="s">
        <v>20</v>
      </c>
    </row>
    <row r="220" spans="1:33">
      <c r="A220" s="13" t="s">
        <v>316</v>
      </c>
      <c r="B220">
        <v>202512304126755</v>
      </c>
      <c r="C220" s="4">
        <v>202512304126755</v>
      </c>
      <c r="D220" s="4" t="b">
        <f t="shared" si="17"/>
        <v>1</v>
      </c>
      <c r="E220" t="s">
        <v>20</v>
      </c>
      <c r="F220" t="s">
        <v>21</v>
      </c>
      <c r="G220" t="s">
        <v>317</v>
      </c>
      <c r="H220" t="str">
        <f>VLOOKUP(C220,'[1]Erogati mag-giu 2026_791_old'!$B:$E,4,FALSE)</f>
        <v>C337144</v>
      </c>
      <c r="I220" t="b">
        <f t="shared" si="13"/>
        <v>1</v>
      </c>
      <c r="J220" s="14">
        <v>46149</v>
      </c>
      <c r="K220" s="14">
        <v>46149</v>
      </c>
      <c r="L220" t="s">
        <v>20</v>
      </c>
      <c r="M220" s="14">
        <v>46188</v>
      </c>
      <c r="N220" s="14">
        <v>46149</v>
      </c>
      <c r="O220" t="s">
        <v>20</v>
      </c>
      <c r="P220">
        <v>-175.39</v>
      </c>
      <c r="Q220">
        <f>VLOOKUP(G220,'[1]Erogati mag-giu 2026_791_old'!$A:$W,12,FALSE)</f>
        <v>-175.39</v>
      </c>
      <c r="R220">
        <f t="shared" si="14"/>
        <v>0</v>
      </c>
      <c r="S220">
        <v>-175.39</v>
      </c>
      <c r="T220">
        <f>VLOOKUP(G220,'[1]Erogati mag-giu 2026_791_old'!$A:$W,13,FALSE)</f>
        <v>-175.39</v>
      </c>
      <c r="U220">
        <f t="shared" si="15"/>
        <v>0</v>
      </c>
      <c r="V220">
        <v>-175.39</v>
      </c>
      <c r="W220">
        <f>VLOOKUP(G220,'[1]Erogati mag-giu 2026_791_old'!$A:$W,14,FALSE)</f>
        <v>-175.39</v>
      </c>
      <c r="X220">
        <f t="shared" si="16"/>
        <v>0</v>
      </c>
      <c r="Y220" t="s">
        <v>158</v>
      </c>
      <c r="Z220" t="str">
        <f>VLOOKUP(G220,'[2]Erogati mag-giu 2026_791_old'!$D:$T,11,FALSE)</f>
        <v>indiretto</v>
      </c>
      <c r="AA220" t="b">
        <v>1</v>
      </c>
      <c r="AF220" t="s">
        <v>20</v>
      </c>
      <c r="AG220" t="s">
        <v>20</v>
      </c>
    </row>
    <row r="221" spans="1:33">
      <c r="A221" s="13" t="s">
        <v>318</v>
      </c>
      <c r="B221">
        <v>202512304154013</v>
      </c>
      <c r="C221" s="4">
        <v>202512304154013</v>
      </c>
      <c r="D221" s="4" t="b">
        <f t="shared" si="17"/>
        <v>1</v>
      </c>
      <c r="E221" t="s">
        <v>20</v>
      </c>
      <c r="F221" t="s">
        <v>21</v>
      </c>
      <c r="G221" t="s">
        <v>319</v>
      </c>
      <c r="H221" t="str">
        <f>VLOOKUP(C221,'[1]Erogati mag-giu 2026_791_old'!$B:$E,4,FALSE)</f>
        <v>C337151</v>
      </c>
      <c r="I221" t="b">
        <f t="shared" si="13"/>
        <v>1</v>
      </c>
      <c r="J221" s="14">
        <v>46149</v>
      </c>
      <c r="K221" s="14">
        <v>46149</v>
      </c>
      <c r="L221" t="s">
        <v>20</v>
      </c>
      <c r="M221" s="14">
        <v>46188</v>
      </c>
      <c r="N221" s="14">
        <v>46149</v>
      </c>
      <c r="O221" t="s">
        <v>20</v>
      </c>
      <c r="P221">
        <v>-70.16</v>
      </c>
      <c r="Q221">
        <f>VLOOKUP(G221,'[1]Erogati mag-giu 2026_791_old'!$A:$W,12,FALSE)</f>
        <v>-70.16</v>
      </c>
      <c r="R221">
        <f t="shared" si="14"/>
        <v>0</v>
      </c>
      <c r="S221">
        <v>-70.16</v>
      </c>
      <c r="T221">
        <f>VLOOKUP(G221,'[1]Erogati mag-giu 2026_791_old'!$A:$W,13,FALSE)</f>
        <v>-70.16</v>
      </c>
      <c r="U221">
        <f t="shared" si="15"/>
        <v>0</v>
      </c>
      <c r="V221">
        <v>-70.16</v>
      </c>
      <c r="W221">
        <f>VLOOKUP(G221,'[1]Erogati mag-giu 2026_791_old'!$A:$W,14,FALSE)</f>
        <v>-70.16</v>
      </c>
      <c r="X221">
        <f t="shared" si="16"/>
        <v>0</v>
      </c>
      <c r="Y221" t="s">
        <v>158</v>
      </c>
      <c r="Z221" t="str">
        <f>VLOOKUP(G221,'[2]Erogati mag-giu 2026_791_old'!$D:$T,11,FALSE)</f>
        <v>indiretto</v>
      </c>
      <c r="AA221" t="b">
        <v>1</v>
      </c>
      <c r="AF221" t="s">
        <v>20</v>
      </c>
      <c r="AG221" t="s">
        <v>20</v>
      </c>
    </row>
    <row r="222" spans="1:33">
      <c r="A222" s="13" t="s">
        <v>320</v>
      </c>
      <c r="B222">
        <v>202512304164788</v>
      </c>
      <c r="C222" s="4">
        <v>202512304164788</v>
      </c>
      <c r="D222" s="4" t="b">
        <f t="shared" si="17"/>
        <v>1</v>
      </c>
      <c r="E222" t="s">
        <v>20</v>
      </c>
      <c r="F222" t="s">
        <v>21</v>
      </c>
      <c r="G222" t="s">
        <v>321</v>
      </c>
      <c r="H222" t="str">
        <f>VLOOKUP(C222,'[1]Erogati mag-giu 2026_791_old'!$B:$E,4,FALSE)</f>
        <v>C337147</v>
      </c>
      <c r="I222" t="b">
        <f t="shared" si="13"/>
        <v>1</v>
      </c>
      <c r="J222" s="14">
        <v>46149</v>
      </c>
      <c r="K222" s="14">
        <v>46149</v>
      </c>
      <c r="L222" t="s">
        <v>20</v>
      </c>
      <c r="M222" s="14">
        <v>46188</v>
      </c>
      <c r="N222" s="14">
        <v>46149</v>
      </c>
      <c r="O222" t="s">
        <v>20</v>
      </c>
      <c r="P222">
        <v>-94.71</v>
      </c>
      <c r="Q222">
        <f>VLOOKUP(G222,'[1]Erogati mag-giu 2026_791_old'!$A:$W,12,FALSE)</f>
        <v>-94.71</v>
      </c>
      <c r="R222">
        <f t="shared" si="14"/>
        <v>0</v>
      </c>
      <c r="S222">
        <v>-94.71</v>
      </c>
      <c r="T222">
        <f>VLOOKUP(G222,'[1]Erogati mag-giu 2026_791_old'!$A:$W,13,FALSE)</f>
        <v>-94.71</v>
      </c>
      <c r="U222">
        <f t="shared" si="15"/>
        <v>0</v>
      </c>
      <c r="V222">
        <v>-94.71</v>
      </c>
      <c r="W222">
        <f>VLOOKUP(G222,'[1]Erogati mag-giu 2026_791_old'!$A:$W,14,FALSE)</f>
        <v>-94.71</v>
      </c>
      <c r="X222">
        <f t="shared" si="16"/>
        <v>0</v>
      </c>
      <c r="Y222" t="s">
        <v>158</v>
      </c>
      <c r="Z222" t="str">
        <f>VLOOKUP(G222,'[2]Erogati mag-giu 2026_791_old'!$D:$T,11,FALSE)</f>
        <v>indiretto</v>
      </c>
      <c r="AA222" t="b">
        <v>1</v>
      </c>
      <c r="AF222" t="s">
        <v>20</v>
      </c>
      <c r="AG222" t="s">
        <v>20</v>
      </c>
    </row>
    <row r="223" spans="1:33">
      <c r="A223" s="13" t="s">
        <v>322</v>
      </c>
      <c r="B223">
        <v>202512304180486</v>
      </c>
      <c r="C223" s="4">
        <v>202512304180486</v>
      </c>
      <c r="D223" s="4" t="b">
        <f t="shared" si="17"/>
        <v>1</v>
      </c>
      <c r="E223" t="s">
        <v>20</v>
      </c>
      <c r="F223" t="s">
        <v>21</v>
      </c>
      <c r="G223" t="s">
        <v>323</v>
      </c>
      <c r="H223" t="str">
        <f>VLOOKUP(C223,'[1]Erogati mag-giu 2026_791_old'!$B:$E,4,FALSE)</f>
        <v>C343924</v>
      </c>
      <c r="I223" t="b">
        <f t="shared" si="13"/>
        <v>1</v>
      </c>
      <c r="J223" s="14">
        <v>46149</v>
      </c>
      <c r="K223" s="14">
        <v>46149</v>
      </c>
      <c r="L223" t="s">
        <v>20</v>
      </c>
      <c r="M223" s="14">
        <v>46188</v>
      </c>
      <c r="N223" s="14">
        <v>46149</v>
      </c>
      <c r="O223" t="s">
        <v>20</v>
      </c>
      <c r="P223">
        <v>-175.39</v>
      </c>
      <c r="Q223">
        <f>VLOOKUP(G223,'[1]Erogati mag-giu 2026_791_old'!$A:$W,12,FALSE)</f>
        <v>-175.39</v>
      </c>
      <c r="R223">
        <f t="shared" si="14"/>
        <v>0</v>
      </c>
      <c r="S223">
        <v>-175.39</v>
      </c>
      <c r="T223">
        <f>VLOOKUP(G223,'[1]Erogati mag-giu 2026_791_old'!$A:$W,13,FALSE)</f>
        <v>-175.39</v>
      </c>
      <c r="U223">
        <f t="shared" si="15"/>
        <v>0</v>
      </c>
      <c r="V223">
        <v>-175.39</v>
      </c>
      <c r="W223">
        <f>VLOOKUP(G223,'[1]Erogati mag-giu 2026_791_old'!$A:$W,14,FALSE)</f>
        <v>-175.39</v>
      </c>
      <c r="X223">
        <f t="shared" si="16"/>
        <v>0</v>
      </c>
      <c r="Y223" t="s">
        <v>158</v>
      </c>
      <c r="Z223" t="str">
        <f>VLOOKUP(G223,'[2]Erogati mag-giu 2026_791_old'!$D:$T,11,FALSE)</f>
        <v>indiretto</v>
      </c>
      <c r="AA223" t="b">
        <v>1</v>
      </c>
      <c r="AF223" t="s">
        <v>20</v>
      </c>
      <c r="AG223" t="s">
        <v>20</v>
      </c>
    </row>
    <row r="224" spans="1:33">
      <c r="A224" s="13" t="s">
        <v>324</v>
      </c>
      <c r="B224">
        <v>202512304197854</v>
      </c>
      <c r="C224" s="4">
        <v>202512304197854</v>
      </c>
      <c r="D224" s="4" t="b">
        <f t="shared" si="17"/>
        <v>1</v>
      </c>
      <c r="E224" t="s">
        <v>20</v>
      </c>
      <c r="F224" t="s">
        <v>21</v>
      </c>
      <c r="G224" t="s">
        <v>325</v>
      </c>
      <c r="H224" t="str">
        <f>VLOOKUP(C224,'[1]Erogati mag-giu 2026_791_old'!$B:$E,4,FALSE)</f>
        <v>C343885</v>
      </c>
      <c r="I224" t="b">
        <f t="shared" si="13"/>
        <v>1</v>
      </c>
      <c r="J224" s="14">
        <v>46149</v>
      </c>
      <c r="K224" s="14">
        <v>46149</v>
      </c>
      <c r="L224" t="s">
        <v>20</v>
      </c>
      <c r="M224" s="14">
        <v>46188</v>
      </c>
      <c r="N224" s="14">
        <v>46149</v>
      </c>
      <c r="O224" t="s">
        <v>20</v>
      </c>
      <c r="P224">
        <v>-140.31</v>
      </c>
      <c r="Q224">
        <f>VLOOKUP(G224,'[1]Erogati mag-giu 2026_791_old'!$A:$W,12,FALSE)</f>
        <v>-140.31</v>
      </c>
      <c r="R224">
        <f t="shared" si="14"/>
        <v>0</v>
      </c>
      <c r="S224">
        <v>-140.31</v>
      </c>
      <c r="T224">
        <f>VLOOKUP(G224,'[1]Erogati mag-giu 2026_791_old'!$A:$W,13,FALSE)</f>
        <v>-140.31</v>
      </c>
      <c r="U224">
        <f t="shared" si="15"/>
        <v>0</v>
      </c>
      <c r="V224">
        <v>-140.31</v>
      </c>
      <c r="W224">
        <f>VLOOKUP(G224,'[1]Erogati mag-giu 2026_791_old'!$A:$W,14,FALSE)</f>
        <v>-140.31</v>
      </c>
      <c r="X224">
        <f t="shared" si="16"/>
        <v>0</v>
      </c>
      <c r="Y224" t="s">
        <v>158</v>
      </c>
      <c r="Z224" t="str">
        <f>VLOOKUP(G224,'[2]Erogati mag-giu 2026_791_old'!$D:$T,11,FALSE)</f>
        <v>indiretto</v>
      </c>
      <c r="AA224" t="b">
        <v>1</v>
      </c>
      <c r="AF224" t="s">
        <v>20</v>
      </c>
      <c r="AG224" t="s">
        <v>20</v>
      </c>
    </row>
    <row r="225" spans="1:33">
      <c r="A225" s="13" t="s">
        <v>326</v>
      </c>
      <c r="B225">
        <v>202512304201168</v>
      </c>
      <c r="C225" s="4">
        <v>202512304201168</v>
      </c>
      <c r="D225" s="4" t="b">
        <f t="shared" si="17"/>
        <v>1</v>
      </c>
      <c r="E225" t="s">
        <v>20</v>
      </c>
      <c r="F225" t="s">
        <v>21</v>
      </c>
      <c r="G225" t="s">
        <v>327</v>
      </c>
      <c r="H225" t="str">
        <f>VLOOKUP(C225,'[1]Erogati mag-giu 2026_791_old'!$B:$E,4,FALSE)</f>
        <v>C317131</v>
      </c>
      <c r="I225" t="b">
        <f t="shared" si="13"/>
        <v>1</v>
      </c>
      <c r="J225" s="14">
        <v>46149</v>
      </c>
      <c r="K225" s="14">
        <v>46149</v>
      </c>
      <c r="L225" t="s">
        <v>20</v>
      </c>
      <c r="M225" s="14">
        <v>46188</v>
      </c>
      <c r="N225" s="14">
        <v>46149</v>
      </c>
      <c r="O225" t="s">
        <v>20</v>
      </c>
      <c r="P225">
        <v>-35.08</v>
      </c>
      <c r="Q225">
        <f>VLOOKUP(G225,'[1]Erogati mag-giu 2026_791_old'!$A:$W,12,FALSE)</f>
        <v>-35.08</v>
      </c>
      <c r="R225">
        <f t="shared" si="14"/>
        <v>0</v>
      </c>
      <c r="S225">
        <v>-35.08</v>
      </c>
      <c r="T225">
        <f>VLOOKUP(G225,'[1]Erogati mag-giu 2026_791_old'!$A:$W,13,FALSE)</f>
        <v>-35.08</v>
      </c>
      <c r="U225">
        <f t="shared" si="15"/>
        <v>0</v>
      </c>
      <c r="V225">
        <v>-35.08</v>
      </c>
      <c r="W225">
        <f>VLOOKUP(G225,'[1]Erogati mag-giu 2026_791_old'!$A:$W,14,FALSE)</f>
        <v>-35.08</v>
      </c>
      <c r="X225">
        <f t="shared" si="16"/>
        <v>0</v>
      </c>
      <c r="Y225" t="s">
        <v>158</v>
      </c>
      <c r="Z225" t="str">
        <f>VLOOKUP(G225,'[2]Erogati mag-giu 2026_791_old'!$D:$T,11,FALSE)</f>
        <v>indiretto</v>
      </c>
      <c r="AA225" t="b">
        <v>1</v>
      </c>
      <c r="AF225" t="s">
        <v>20</v>
      </c>
      <c r="AG225" t="s">
        <v>20</v>
      </c>
    </row>
    <row r="226" spans="1:33">
      <c r="A226" s="13" t="s">
        <v>328</v>
      </c>
      <c r="B226">
        <v>202512304202849</v>
      </c>
      <c r="C226" s="4">
        <v>202512304202849</v>
      </c>
      <c r="D226" s="4" t="b">
        <f t="shared" si="17"/>
        <v>1</v>
      </c>
      <c r="E226" t="s">
        <v>20</v>
      </c>
      <c r="F226" t="s">
        <v>21</v>
      </c>
      <c r="G226" t="s">
        <v>329</v>
      </c>
      <c r="H226" t="str">
        <f>VLOOKUP(C226,'[1]Erogati mag-giu 2026_791_old'!$B:$E,4,FALSE)</f>
        <v>C313549</v>
      </c>
      <c r="I226" t="b">
        <f t="shared" si="13"/>
        <v>1</v>
      </c>
      <c r="J226" s="14">
        <v>46149</v>
      </c>
      <c r="K226" s="14">
        <v>46149</v>
      </c>
      <c r="L226" t="s">
        <v>20</v>
      </c>
      <c r="M226" s="14">
        <v>46188</v>
      </c>
      <c r="N226" s="14">
        <v>46149</v>
      </c>
      <c r="O226" t="s">
        <v>20</v>
      </c>
      <c r="P226">
        <v>-35.08</v>
      </c>
      <c r="Q226">
        <f>VLOOKUP(G226,'[1]Erogati mag-giu 2026_791_old'!$A:$W,12,FALSE)</f>
        <v>-35.08</v>
      </c>
      <c r="R226">
        <f t="shared" si="14"/>
        <v>0</v>
      </c>
      <c r="S226">
        <v>-35.08</v>
      </c>
      <c r="T226">
        <f>VLOOKUP(G226,'[1]Erogati mag-giu 2026_791_old'!$A:$W,13,FALSE)</f>
        <v>-35.08</v>
      </c>
      <c r="U226">
        <f t="shared" si="15"/>
        <v>0</v>
      </c>
      <c r="V226">
        <v>-35.08</v>
      </c>
      <c r="W226">
        <f>VLOOKUP(G226,'[1]Erogati mag-giu 2026_791_old'!$A:$W,14,FALSE)</f>
        <v>-35.08</v>
      </c>
      <c r="X226">
        <f t="shared" si="16"/>
        <v>0</v>
      </c>
      <c r="Y226" t="s">
        <v>158</v>
      </c>
      <c r="Z226" t="str">
        <f>VLOOKUP(G226,'[2]Erogati mag-giu 2026_791_old'!$D:$T,11,FALSE)</f>
        <v>indiretto</v>
      </c>
      <c r="AA226" t="b">
        <v>1</v>
      </c>
      <c r="AF226" t="s">
        <v>20</v>
      </c>
      <c r="AG226" t="s">
        <v>20</v>
      </c>
    </row>
    <row r="227" spans="1:33">
      <c r="A227" s="13" t="s">
        <v>330</v>
      </c>
      <c r="B227">
        <v>202512304215001</v>
      </c>
      <c r="C227" s="4">
        <v>202512304215001</v>
      </c>
      <c r="D227" s="4" t="b">
        <f t="shared" si="17"/>
        <v>1</v>
      </c>
      <c r="E227" t="s">
        <v>20</v>
      </c>
      <c r="F227" t="s">
        <v>21</v>
      </c>
      <c r="G227" t="s">
        <v>331</v>
      </c>
      <c r="H227" t="str">
        <f>VLOOKUP(C227,'[1]Erogati mag-giu 2026_791_old'!$B:$E,4,FALSE)</f>
        <v>C308930</v>
      </c>
      <c r="I227" t="b">
        <f t="shared" si="13"/>
        <v>1</v>
      </c>
      <c r="J227" s="14">
        <v>46149</v>
      </c>
      <c r="K227" s="14">
        <v>46149</v>
      </c>
      <c r="L227" t="s">
        <v>20</v>
      </c>
      <c r="M227" s="14">
        <v>46188</v>
      </c>
      <c r="N227" s="14">
        <v>46149</v>
      </c>
      <c r="O227" t="s">
        <v>20</v>
      </c>
      <c r="P227">
        <v>-140.31</v>
      </c>
      <c r="Q227">
        <f>VLOOKUP(G227,'[1]Erogati mag-giu 2026_791_old'!$A:$W,12,FALSE)</f>
        <v>-140.31</v>
      </c>
      <c r="R227">
        <f t="shared" si="14"/>
        <v>0</v>
      </c>
      <c r="S227">
        <v>-140.31</v>
      </c>
      <c r="T227">
        <f>VLOOKUP(G227,'[1]Erogati mag-giu 2026_791_old'!$A:$W,13,FALSE)</f>
        <v>-140.31</v>
      </c>
      <c r="U227">
        <f t="shared" si="15"/>
        <v>0</v>
      </c>
      <c r="V227">
        <v>-140.31</v>
      </c>
      <c r="W227">
        <f>VLOOKUP(G227,'[1]Erogati mag-giu 2026_791_old'!$A:$W,14,FALSE)</f>
        <v>-140.31</v>
      </c>
      <c r="X227">
        <f t="shared" si="16"/>
        <v>0</v>
      </c>
      <c r="Y227" t="s">
        <v>158</v>
      </c>
      <c r="Z227" t="str">
        <f>VLOOKUP(G227,'[2]Erogati mag-giu 2026_791_old'!$D:$T,11,FALSE)</f>
        <v>indiretto</v>
      </c>
      <c r="AA227" t="b">
        <v>1</v>
      </c>
      <c r="AF227" t="s">
        <v>20</v>
      </c>
      <c r="AG227" t="s">
        <v>20</v>
      </c>
    </row>
    <row r="228" spans="1:33">
      <c r="A228" s="13" t="s">
        <v>332</v>
      </c>
      <c r="B228">
        <v>202512304225903</v>
      </c>
      <c r="C228" s="4">
        <v>202512304225903</v>
      </c>
      <c r="D228" s="4" t="b">
        <f t="shared" si="17"/>
        <v>1</v>
      </c>
      <c r="E228" t="s">
        <v>20</v>
      </c>
      <c r="F228" t="s">
        <v>21</v>
      </c>
      <c r="G228" t="s">
        <v>333</v>
      </c>
      <c r="H228" t="str">
        <f>VLOOKUP(C228,'[1]Erogati mag-giu 2026_791_old'!$B:$E,4,FALSE)</f>
        <v>C343900</v>
      </c>
      <c r="I228" t="b">
        <f t="shared" si="13"/>
        <v>1</v>
      </c>
      <c r="J228" s="14">
        <v>46149</v>
      </c>
      <c r="K228" s="14">
        <v>46149</v>
      </c>
      <c r="L228" t="s">
        <v>20</v>
      </c>
      <c r="M228" s="14">
        <v>46188</v>
      </c>
      <c r="N228" s="14">
        <v>46149</v>
      </c>
      <c r="O228" t="s">
        <v>20</v>
      </c>
      <c r="P228">
        <v>-35.08</v>
      </c>
      <c r="Q228">
        <f>VLOOKUP(G228,'[1]Erogati mag-giu 2026_791_old'!$A:$W,12,FALSE)</f>
        <v>-35.08</v>
      </c>
      <c r="R228">
        <f t="shared" si="14"/>
        <v>0</v>
      </c>
      <c r="S228">
        <v>-35.08</v>
      </c>
      <c r="T228">
        <f>VLOOKUP(G228,'[1]Erogati mag-giu 2026_791_old'!$A:$W,13,FALSE)</f>
        <v>-35.08</v>
      </c>
      <c r="U228">
        <f t="shared" si="15"/>
        <v>0</v>
      </c>
      <c r="V228">
        <v>-35.08</v>
      </c>
      <c r="W228">
        <f>VLOOKUP(G228,'[1]Erogati mag-giu 2026_791_old'!$A:$W,14,FALSE)</f>
        <v>-35.08</v>
      </c>
      <c r="X228">
        <f t="shared" si="16"/>
        <v>0</v>
      </c>
      <c r="Y228" t="s">
        <v>158</v>
      </c>
      <c r="Z228" t="str">
        <f>VLOOKUP(G228,'[2]Erogati mag-giu 2026_791_old'!$D:$T,11,FALSE)</f>
        <v>indiretto</v>
      </c>
      <c r="AA228" t="b">
        <v>1</v>
      </c>
      <c r="AF228" t="s">
        <v>20</v>
      </c>
      <c r="AG228" t="s">
        <v>20</v>
      </c>
    </row>
    <row r="229" spans="1:33">
      <c r="A229" s="13" t="s">
        <v>334</v>
      </c>
      <c r="B229">
        <v>202512304231146</v>
      </c>
      <c r="C229" s="4">
        <v>202512304231146</v>
      </c>
      <c r="D229" s="4" t="b">
        <f t="shared" si="17"/>
        <v>1</v>
      </c>
      <c r="E229" t="s">
        <v>20</v>
      </c>
      <c r="F229" t="s">
        <v>21</v>
      </c>
      <c r="G229" t="s">
        <v>335</v>
      </c>
      <c r="H229" t="str">
        <f>VLOOKUP(C229,'[1]Erogati mag-giu 2026_791_old'!$B:$E,4,FALSE)</f>
        <v>C320227</v>
      </c>
      <c r="I229" t="b">
        <f t="shared" si="13"/>
        <v>1</v>
      </c>
      <c r="J229" s="14">
        <v>46149</v>
      </c>
      <c r="K229" s="14">
        <v>46149</v>
      </c>
      <c r="L229" t="s">
        <v>20</v>
      </c>
      <c r="M229" s="14">
        <v>46188</v>
      </c>
      <c r="N229" s="14">
        <v>46149</v>
      </c>
      <c r="O229" t="s">
        <v>20</v>
      </c>
      <c r="P229">
        <v>-104.27</v>
      </c>
      <c r="Q229">
        <f>VLOOKUP(G229,'[1]Erogati mag-giu 2026_791_old'!$A:$W,12,FALSE)</f>
        <v>-104.27</v>
      </c>
      <c r="R229">
        <f t="shared" si="14"/>
        <v>0</v>
      </c>
      <c r="S229">
        <v>-104.27</v>
      </c>
      <c r="T229">
        <f>VLOOKUP(G229,'[1]Erogati mag-giu 2026_791_old'!$A:$W,13,FALSE)</f>
        <v>-104.27</v>
      </c>
      <c r="U229">
        <f t="shared" si="15"/>
        <v>0</v>
      </c>
      <c r="V229">
        <v>-104.27</v>
      </c>
      <c r="W229">
        <f>VLOOKUP(G229,'[1]Erogati mag-giu 2026_791_old'!$A:$W,14,FALSE)</f>
        <v>-104.27</v>
      </c>
      <c r="X229">
        <f t="shared" si="16"/>
        <v>0</v>
      </c>
      <c r="Y229" t="s">
        <v>158</v>
      </c>
      <c r="Z229" t="str">
        <f>VLOOKUP(G229,'[2]Erogati mag-giu 2026_791_old'!$D:$T,11,FALSE)</f>
        <v>indiretto</v>
      </c>
      <c r="AA229" t="b">
        <v>1</v>
      </c>
      <c r="AF229" t="s">
        <v>20</v>
      </c>
      <c r="AG229" t="s">
        <v>20</v>
      </c>
    </row>
    <row r="230" spans="1:33">
      <c r="A230" s="13" t="s">
        <v>336</v>
      </c>
      <c r="B230">
        <v>202512304234218</v>
      </c>
      <c r="C230" s="4">
        <v>202512304234218</v>
      </c>
      <c r="D230" s="4" t="b">
        <f t="shared" si="17"/>
        <v>1</v>
      </c>
      <c r="E230" t="s">
        <v>20</v>
      </c>
      <c r="F230" t="s">
        <v>21</v>
      </c>
      <c r="G230" t="s">
        <v>337</v>
      </c>
      <c r="H230" t="str">
        <f>VLOOKUP(C230,'[1]Erogati mag-giu 2026_791_old'!$B:$E,4,FALSE)</f>
        <v>C343891</v>
      </c>
      <c r="I230" t="b">
        <f t="shared" si="13"/>
        <v>1</v>
      </c>
      <c r="J230" s="14">
        <v>46149</v>
      </c>
      <c r="K230" s="14">
        <v>46149</v>
      </c>
      <c r="L230" t="s">
        <v>20</v>
      </c>
      <c r="M230" s="14">
        <v>46188</v>
      </c>
      <c r="N230" s="14">
        <v>46149</v>
      </c>
      <c r="O230" t="s">
        <v>20</v>
      </c>
      <c r="P230">
        <v>-83.41</v>
      </c>
      <c r="Q230">
        <f>VLOOKUP(G230,'[1]Erogati mag-giu 2026_791_old'!$A:$W,12,FALSE)</f>
        <v>-83.41</v>
      </c>
      <c r="R230">
        <f t="shared" si="14"/>
        <v>0</v>
      </c>
      <c r="S230">
        <v>-83.41</v>
      </c>
      <c r="T230">
        <f>VLOOKUP(G230,'[1]Erogati mag-giu 2026_791_old'!$A:$W,13,FALSE)</f>
        <v>-83.41</v>
      </c>
      <c r="U230">
        <f t="shared" si="15"/>
        <v>0</v>
      </c>
      <c r="V230">
        <v>-83.41</v>
      </c>
      <c r="W230">
        <f>VLOOKUP(G230,'[1]Erogati mag-giu 2026_791_old'!$A:$W,14,FALSE)</f>
        <v>-83.41</v>
      </c>
      <c r="X230">
        <f t="shared" si="16"/>
        <v>0</v>
      </c>
      <c r="Y230" t="s">
        <v>158</v>
      </c>
      <c r="Z230" t="str">
        <f>VLOOKUP(G230,'[2]Erogati mag-giu 2026_791_old'!$D:$T,11,FALSE)</f>
        <v>indiretto</v>
      </c>
      <c r="AA230" t="b">
        <v>1</v>
      </c>
      <c r="AF230" t="s">
        <v>20</v>
      </c>
      <c r="AG230" t="s">
        <v>20</v>
      </c>
    </row>
    <row r="231" spans="1:33">
      <c r="A231" s="13" t="s">
        <v>338</v>
      </c>
      <c r="B231">
        <v>202512304245121</v>
      </c>
      <c r="C231" s="4">
        <v>202512304245121</v>
      </c>
      <c r="D231" s="4" t="b">
        <f t="shared" si="17"/>
        <v>1</v>
      </c>
      <c r="E231" t="s">
        <v>20</v>
      </c>
      <c r="F231" t="s">
        <v>21</v>
      </c>
      <c r="G231" t="s">
        <v>339</v>
      </c>
      <c r="H231" t="str">
        <f>VLOOKUP(C231,'[1]Erogati mag-giu 2026_791_old'!$B:$E,4,FALSE)</f>
        <v>C307742</v>
      </c>
      <c r="I231" t="b">
        <f t="shared" si="13"/>
        <v>1</v>
      </c>
      <c r="J231" s="14">
        <v>46149</v>
      </c>
      <c r="K231" s="14">
        <v>46149</v>
      </c>
      <c r="L231" t="s">
        <v>20</v>
      </c>
      <c r="M231" s="14">
        <v>46188</v>
      </c>
      <c r="N231" s="14">
        <v>46149</v>
      </c>
      <c r="O231" t="s">
        <v>20</v>
      </c>
      <c r="P231">
        <v>-35.08</v>
      </c>
      <c r="Q231">
        <f>VLOOKUP(G231,'[1]Erogati mag-giu 2026_791_old'!$A:$W,12,FALSE)</f>
        <v>-35.08</v>
      </c>
      <c r="R231">
        <f t="shared" si="14"/>
        <v>0</v>
      </c>
      <c r="S231">
        <v>-35.08</v>
      </c>
      <c r="T231">
        <f>VLOOKUP(G231,'[1]Erogati mag-giu 2026_791_old'!$A:$W,13,FALSE)</f>
        <v>-35.08</v>
      </c>
      <c r="U231">
        <f t="shared" si="15"/>
        <v>0</v>
      </c>
      <c r="V231">
        <v>-35.08</v>
      </c>
      <c r="W231">
        <f>VLOOKUP(G231,'[1]Erogati mag-giu 2026_791_old'!$A:$W,14,FALSE)</f>
        <v>-35.08</v>
      </c>
      <c r="X231">
        <f t="shared" si="16"/>
        <v>0</v>
      </c>
      <c r="Y231" t="s">
        <v>158</v>
      </c>
      <c r="Z231" t="str">
        <f>VLOOKUP(G231,'[2]Erogati mag-giu 2026_791_old'!$D:$T,11,FALSE)</f>
        <v>indiretto</v>
      </c>
      <c r="AA231" t="b">
        <v>1</v>
      </c>
      <c r="AF231" t="s">
        <v>20</v>
      </c>
      <c r="AG231" t="s">
        <v>20</v>
      </c>
    </row>
    <row r="232" spans="1:33">
      <c r="A232" s="13" t="s">
        <v>340</v>
      </c>
      <c r="B232">
        <v>202512304245810</v>
      </c>
      <c r="C232" s="4">
        <v>202512304245810</v>
      </c>
      <c r="D232" s="4" t="b">
        <f t="shared" si="17"/>
        <v>1</v>
      </c>
      <c r="E232" t="s">
        <v>20</v>
      </c>
      <c r="F232" t="s">
        <v>21</v>
      </c>
      <c r="G232" t="s">
        <v>341</v>
      </c>
      <c r="H232" t="str">
        <f>VLOOKUP(C232,'[1]Erogati mag-giu 2026_791_old'!$B:$E,4,FALSE)</f>
        <v>C343886</v>
      </c>
      <c r="I232" t="b">
        <f t="shared" si="13"/>
        <v>1</v>
      </c>
      <c r="J232" s="14">
        <v>46149</v>
      </c>
      <c r="K232" s="14">
        <v>46149</v>
      </c>
      <c r="L232" t="s">
        <v>20</v>
      </c>
      <c r="M232" s="14">
        <v>46188</v>
      </c>
      <c r="N232" s="14">
        <v>46149</v>
      </c>
      <c r="O232" t="s">
        <v>20</v>
      </c>
      <c r="P232">
        <v>-27.8</v>
      </c>
      <c r="Q232">
        <f>VLOOKUP(G232,'[1]Erogati mag-giu 2026_791_old'!$A:$W,12,FALSE)</f>
        <v>-27.8</v>
      </c>
      <c r="R232">
        <f t="shared" si="14"/>
        <v>0</v>
      </c>
      <c r="S232">
        <v>-27.8</v>
      </c>
      <c r="T232">
        <f>VLOOKUP(G232,'[1]Erogati mag-giu 2026_791_old'!$A:$W,13,FALSE)</f>
        <v>-27.8</v>
      </c>
      <c r="U232">
        <f t="shared" si="15"/>
        <v>0</v>
      </c>
      <c r="V232">
        <v>-27.8</v>
      </c>
      <c r="W232">
        <f>VLOOKUP(G232,'[1]Erogati mag-giu 2026_791_old'!$A:$W,14,FALSE)</f>
        <v>-27.8</v>
      </c>
      <c r="X232">
        <f t="shared" si="16"/>
        <v>0</v>
      </c>
      <c r="Y232" t="s">
        <v>158</v>
      </c>
      <c r="Z232" t="str">
        <f>VLOOKUP(G232,'[2]Erogati mag-giu 2026_791_old'!$D:$T,11,FALSE)</f>
        <v>indiretto</v>
      </c>
      <c r="AA232" t="b">
        <v>1</v>
      </c>
      <c r="AF232" t="s">
        <v>20</v>
      </c>
      <c r="AG232" t="s">
        <v>20</v>
      </c>
    </row>
    <row r="233" spans="1:33">
      <c r="A233" s="13" t="s">
        <v>342</v>
      </c>
      <c r="B233">
        <v>202512304246785</v>
      </c>
      <c r="C233" s="4">
        <v>202512304246785</v>
      </c>
      <c r="D233" s="4" t="b">
        <f t="shared" si="17"/>
        <v>1</v>
      </c>
      <c r="E233" t="s">
        <v>20</v>
      </c>
      <c r="F233" t="s">
        <v>21</v>
      </c>
      <c r="G233" t="s">
        <v>343</v>
      </c>
      <c r="H233" t="str">
        <f>VLOOKUP(C233,'[1]Erogati mag-giu 2026_791_old'!$B:$E,4,FALSE)</f>
        <v>C343890</v>
      </c>
      <c r="I233" t="b">
        <f t="shared" si="13"/>
        <v>1</v>
      </c>
      <c r="J233" s="14">
        <v>46149</v>
      </c>
      <c r="K233" s="14">
        <v>46149</v>
      </c>
      <c r="L233" t="s">
        <v>20</v>
      </c>
      <c r="M233" s="14">
        <v>46188</v>
      </c>
      <c r="N233" s="14">
        <v>46149</v>
      </c>
      <c r="O233" t="s">
        <v>20</v>
      </c>
      <c r="P233">
        <v>-105.23</v>
      </c>
      <c r="Q233">
        <f>VLOOKUP(G233,'[1]Erogati mag-giu 2026_791_old'!$A:$W,12,FALSE)</f>
        <v>-105.23</v>
      </c>
      <c r="R233">
        <f t="shared" si="14"/>
        <v>0</v>
      </c>
      <c r="S233">
        <v>-105.23</v>
      </c>
      <c r="T233">
        <f>VLOOKUP(G233,'[1]Erogati mag-giu 2026_791_old'!$A:$W,13,FALSE)</f>
        <v>-105.23</v>
      </c>
      <c r="U233">
        <f t="shared" si="15"/>
        <v>0</v>
      </c>
      <c r="V233">
        <v>-105.23</v>
      </c>
      <c r="W233">
        <f>VLOOKUP(G233,'[1]Erogati mag-giu 2026_791_old'!$A:$W,14,FALSE)</f>
        <v>-105.23</v>
      </c>
      <c r="X233">
        <f t="shared" si="16"/>
        <v>0</v>
      </c>
      <c r="Y233" t="s">
        <v>158</v>
      </c>
      <c r="Z233" t="str">
        <f>VLOOKUP(G233,'[2]Erogati mag-giu 2026_791_old'!$D:$T,11,FALSE)</f>
        <v>indiretto</v>
      </c>
      <c r="AA233" t="b">
        <v>1</v>
      </c>
      <c r="AF233" t="s">
        <v>20</v>
      </c>
      <c r="AG233" t="s">
        <v>20</v>
      </c>
    </row>
    <row r="234" spans="1:33">
      <c r="A234" s="13" t="s">
        <v>344</v>
      </c>
      <c r="B234">
        <v>202512304264590</v>
      </c>
      <c r="C234" s="4">
        <v>202512304264590</v>
      </c>
      <c r="D234" s="4" t="b">
        <f t="shared" si="17"/>
        <v>1</v>
      </c>
      <c r="E234" t="s">
        <v>20</v>
      </c>
      <c r="F234" t="s">
        <v>21</v>
      </c>
      <c r="G234" t="s">
        <v>345</v>
      </c>
      <c r="H234" t="str">
        <f>VLOOKUP(C234,'[1]Erogati mag-giu 2026_791_old'!$B:$E,4,FALSE)</f>
        <v>C343901</v>
      </c>
      <c r="I234" t="b">
        <f t="shared" si="13"/>
        <v>1</v>
      </c>
      <c r="J234" s="14">
        <v>46149</v>
      </c>
      <c r="K234" s="14">
        <v>46149</v>
      </c>
      <c r="L234" t="s">
        <v>20</v>
      </c>
      <c r="M234" s="14">
        <v>46188</v>
      </c>
      <c r="N234" s="14">
        <v>46149</v>
      </c>
      <c r="O234" t="s">
        <v>20</v>
      </c>
      <c r="P234">
        <v>-105.23</v>
      </c>
      <c r="Q234">
        <f>VLOOKUP(G234,'[1]Erogati mag-giu 2026_791_old'!$A:$W,12,FALSE)</f>
        <v>-105.23</v>
      </c>
      <c r="R234">
        <f t="shared" si="14"/>
        <v>0</v>
      </c>
      <c r="S234">
        <v>-105.23</v>
      </c>
      <c r="T234">
        <f>VLOOKUP(G234,'[1]Erogati mag-giu 2026_791_old'!$A:$W,13,FALSE)</f>
        <v>-105.23</v>
      </c>
      <c r="U234">
        <f t="shared" si="15"/>
        <v>0</v>
      </c>
      <c r="V234">
        <v>-105.23</v>
      </c>
      <c r="W234">
        <f>VLOOKUP(G234,'[1]Erogati mag-giu 2026_791_old'!$A:$W,14,FALSE)</f>
        <v>-105.23</v>
      </c>
      <c r="X234">
        <f t="shared" si="16"/>
        <v>0</v>
      </c>
      <c r="Y234" t="s">
        <v>158</v>
      </c>
      <c r="Z234" t="str">
        <f>VLOOKUP(G234,'[2]Erogati mag-giu 2026_791_old'!$D:$T,11,FALSE)</f>
        <v>indiretto</v>
      </c>
      <c r="AA234" t="b">
        <v>1</v>
      </c>
      <c r="AF234" t="s">
        <v>20</v>
      </c>
      <c r="AG234" t="s">
        <v>20</v>
      </c>
    </row>
    <row r="235" spans="1:33">
      <c r="A235" s="13" t="s">
        <v>346</v>
      </c>
      <c r="B235">
        <v>202512304273538</v>
      </c>
      <c r="C235" s="4">
        <v>202512304273538</v>
      </c>
      <c r="D235" s="4" t="b">
        <f t="shared" si="17"/>
        <v>1</v>
      </c>
      <c r="E235" t="s">
        <v>20</v>
      </c>
      <c r="F235" t="s">
        <v>21</v>
      </c>
      <c r="G235" t="s">
        <v>347</v>
      </c>
      <c r="H235" t="str">
        <f>VLOOKUP(C235,'[1]Erogati mag-giu 2026_791_old'!$B:$E,4,FALSE)</f>
        <v>C320210</v>
      </c>
      <c r="I235" t="b">
        <f t="shared" si="13"/>
        <v>1</v>
      </c>
      <c r="J235" s="14">
        <v>46149</v>
      </c>
      <c r="K235" s="14">
        <v>46149</v>
      </c>
      <c r="L235" t="s">
        <v>20</v>
      </c>
      <c r="M235" s="14">
        <v>46188</v>
      </c>
      <c r="N235" s="14">
        <v>46149</v>
      </c>
      <c r="O235" t="s">
        <v>20</v>
      </c>
      <c r="P235">
        <v>-35.08</v>
      </c>
      <c r="Q235">
        <f>VLOOKUP(G235,'[1]Erogati mag-giu 2026_791_old'!$A:$W,12,FALSE)</f>
        <v>-35.08</v>
      </c>
      <c r="R235">
        <f t="shared" si="14"/>
        <v>0</v>
      </c>
      <c r="S235">
        <v>-35.08</v>
      </c>
      <c r="T235">
        <f>VLOOKUP(G235,'[1]Erogati mag-giu 2026_791_old'!$A:$W,13,FALSE)</f>
        <v>-35.08</v>
      </c>
      <c r="U235">
        <f t="shared" si="15"/>
        <v>0</v>
      </c>
      <c r="V235">
        <v>-35.08</v>
      </c>
      <c r="W235">
        <f>VLOOKUP(G235,'[1]Erogati mag-giu 2026_791_old'!$A:$W,14,FALSE)</f>
        <v>-35.08</v>
      </c>
      <c r="X235">
        <f t="shared" si="16"/>
        <v>0</v>
      </c>
      <c r="Y235" t="s">
        <v>158</v>
      </c>
      <c r="Z235" t="str">
        <f>VLOOKUP(G235,'[2]Erogati mag-giu 2026_791_old'!$D:$T,11,FALSE)</f>
        <v>indiretto</v>
      </c>
      <c r="AA235" t="b">
        <v>1</v>
      </c>
      <c r="AF235" t="s">
        <v>20</v>
      </c>
      <c r="AG235" t="s">
        <v>20</v>
      </c>
    </row>
    <row r="236" spans="1:33">
      <c r="A236" s="13" t="s">
        <v>348</v>
      </c>
      <c r="B236">
        <v>202512304274335</v>
      </c>
      <c r="C236" s="4">
        <v>202512304274335</v>
      </c>
      <c r="D236" s="4" t="b">
        <f t="shared" si="17"/>
        <v>1</v>
      </c>
      <c r="E236" t="s">
        <v>20</v>
      </c>
      <c r="F236" t="s">
        <v>21</v>
      </c>
      <c r="G236" t="s">
        <v>349</v>
      </c>
      <c r="H236" t="str">
        <f>VLOOKUP(C236,'[1]Erogati mag-giu 2026_791_old'!$B:$E,4,FALSE)</f>
        <v>C343912</v>
      </c>
      <c r="I236" t="b">
        <f t="shared" si="13"/>
        <v>1</v>
      </c>
      <c r="J236" s="14">
        <v>46149</v>
      </c>
      <c r="K236" s="14">
        <v>46149</v>
      </c>
      <c r="L236" t="s">
        <v>20</v>
      </c>
      <c r="M236" s="14">
        <v>46188</v>
      </c>
      <c r="N236" s="14">
        <v>46149</v>
      </c>
      <c r="O236" t="s">
        <v>20</v>
      </c>
      <c r="P236">
        <v>-35.08</v>
      </c>
      <c r="Q236">
        <f>VLOOKUP(G236,'[1]Erogati mag-giu 2026_791_old'!$A:$W,12,FALSE)</f>
        <v>-35.08</v>
      </c>
      <c r="R236">
        <f t="shared" si="14"/>
        <v>0</v>
      </c>
      <c r="S236">
        <v>-35.08</v>
      </c>
      <c r="T236">
        <f>VLOOKUP(G236,'[1]Erogati mag-giu 2026_791_old'!$A:$W,13,FALSE)</f>
        <v>-35.08</v>
      </c>
      <c r="U236">
        <f t="shared" si="15"/>
        <v>0</v>
      </c>
      <c r="V236">
        <v>-35.08</v>
      </c>
      <c r="W236">
        <f>VLOOKUP(G236,'[1]Erogati mag-giu 2026_791_old'!$A:$W,14,FALSE)</f>
        <v>-35.08</v>
      </c>
      <c r="X236">
        <f t="shared" si="16"/>
        <v>0</v>
      </c>
      <c r="Y236" t="s">
        <v>158</v>
      </c>
      <c r="Z236" t="str">
        <f>VLOOKUP(G236,'[2]Erogati mag-giu 2026_791_old'!$D:$T,11,FALSE)</f>
        <v>indiretto</v>
      </c>
      <c r="AA236" t="b">
        <v>1</v>
      </c>
      <c r="AF236" t="s">
        <v>20</v>
      </c>
      <c r="AG236" t="s">
        <v>20</v>
      </c>
    </row>
    <row r="237" spans="1:33">
      <c r="A237" s="13" t="s">
        <v>350</v>
      </c>
      <c r="B237">
        <v>202512304281473</v>
      </c>
      <c r="C237" s="4">
        <v>202512304281473</v>
      </c>
      <c r="D237" s="4" t="b">
        <f t="shared" si="17"/>
        <v>1</v>
      </c>
      <c r="E237" t="s">
        <v>20</v>
      </c>
      <c r="F237" t="s">
        <v>21</v>
      </c>
      <c r="G237" t="s">
        <v>351</v>
      </c>
      <c r="H237" t="str">
        <f>VLOOKUP(C237,'[1]Erogati mag-giu 2026_791_old'!$B:$E,4,FALSE)</f>
        <v>C343920</v>
      </c>
      <c r="I237" t="b">
        <f t="shared" si="13"/>
        <v>1</v>
      </c>
      <c r="J237" s="14">
        <v>46149</v>
      </c>
      <c r="K237" s="14">
        <v>46149</v>
      </c>
      <c r="L237" t="s">
        <v>20</v>
      </c>
      <c r="M237" s="14">
        <v>46188</v>
      </c>
      <c r="N237" s="14">
        <v>46149</v>
      </c>
      <c r="O237" t="s">
        <v>20</v>
      </c>
      <c r="P237">
        <v>-27.8</v>
      </c>
      <c r="Q237">
        <f>VLOOKUP(G237,'[1]Erogati mag-giu 2026_791_old'!$A:$W,12,FALSE)</f>
        <v>-27.8</v>
      </c>
      <c r="R237">
        <f t="shared" si="14"/>
        <v>0</v>
      </c>
      <c r="S237">
        <v>-27.8</v>
      </c>
      <c r="T237">
        <f>VLOOKUP(G237,'[1]Erogati mag-giu 2026_791_old'!$A:$W,13,FALSE)</f>
        <v>-27.8</v>
      </c>
      <c r="U237">
        <f t="shared" si="15"/>
        <v>0</v>
      </c>
      <c r="V237">
        <v>-27.8</v>
      </c>
      <c r="W237">
        <f>VLOOKUP(G237,'[1]Erogati mag-giu 2026_791_old'!$A:$W,14,FALSE)</f>
        <v>-27.8</v>
      </c>
      <c r="X237">
        <f t="shared" si="16"/>
        <v>0</v>
      </c>
      <c r="Y237" t="s">
        <v>158</v>
      </c>
      <c r="Z237" t="str">
        <f>VLOOKUP(G237,'[2]Erogati mag-giu 2026_791_old'!$D:$T,11,FALSE)</f>
        <v>indiretto</v>
      </c>
      <c r="AA237" t="b">
        <v>1</v>
      </c>
      <c r="AF237" t="s">
        <v>20</v>
      </c>
      <c r="AG237" t="s">
        <v>20</v>
      </c>
    </row>
    <row r="238" spans="1:33">
      <c r="A238" s="13" t="s">
        <v>352</v>
      </c>
      <c r="B238">
        <v>202512304298599</v>
      </c>
      <c r="C238" s="4">
        <v>202512304298599</v>
      </c>
      <c r="D238" s="4" t="b">
        <f t="shared" si="17"/>
        <v>1</v>
      </c>
      <c r="E238" t="s">
        <v>20</v>
      </c>
      <c r="F238" t="s">
        <v>21</v>
      </c>
      <c r="G238" t="s">
        <v>353</v>
      </c>
      <c r="H238" t="str">
        <f>VLOOKUP(C238,'[1]Erogati mag-giu 2026_791_old'!$B:$E,4,FALSE)</f>
        <v>C343899</v>
      </c>
      <c r="I238" t="b">
        <f t="shared" si="13"/>
        <v>1</v>
      </c>
      <c r="J238" s="14">
        <v>46149</v>
      </c>
      <c r="K238" s="14">
        <v>46149</v>
      </c>
      <c r="L238" t="s">
        <v>20</v>
      </c>
      <c r="M238" s="14">
        <v>46188</v>
      </c>
      <c r="N238" s="14">
        <v>46149</v>
      </c>
      <c r="O238" t="s">
        <v>20</v>
      </c>
      <c r="P238">
        <v>-105.23</v>
      </c>
      <c r="Q238">
        <f>VLOOKUP(G238,'[1]Erogati mag-giu 2026_791_old'!$A:$W,12,FALSE)</f>
        <v>-105.23</v>
      </c>
      <c r="R238">
        <f t="shared" si="14"/>
        <v>0</v>
      </c>
      <c r="S238">
        <v>-105.23</v>
      </c>
      <c r="T238">
        <f>VLOOKUP(G238,'[1]Erogati mag-giu 2026_791_old'!$A:$W,13,FALSE)</f>
        <v>-105.23</v>
      </c>
      <c r="U238">
        <f t="shared" si="15"/>
        <v>0</v>
      </c>
      <c r="V238">
        <v>-105.23</v>
      </c>
      <c r="W238">
        <f>VLOOKUP(G238,'[1]Erogati mag-giu 2026_791_old'!$A:$W,14,FALSE)</f>
        <v>-105.23</v>
      </c>
      <c r="X238">
        <f t="shared" si="16"/>
        <v>0</v>
      </c>
      <c r="Y238" t="s">
        <v>158</v>
      </c>
      <c r="Z238" t="str">
        <f>VLOOKUP(G238,'[2]Erogati mag-giu 2026_791_old'!$D:$T,11,FALSE)</f>
        <v>indiretto</v>
      </c>
      <c r="AA238" t="b">
        <v>1</v>
      </c>
      <c r="AF238" t="s">
        <v>20</v>
      </c>
      <c r="AG238" t="s">
        <v>20</v>
      </c>
    </row>
    <row r="239" spans="1:33">
      <c r="A239" s="13" t="s">
        <v>354</v>
      </c>
      <c r="B239">
        <v>202512304298666</v>
      </c>
      <c r="C239" s="4">
        <v>202512304298666</v>
      </c>
      <c r="D239" s="4" t="b">
        <f t="shared" si="17"/>
        <v>1</v>
      </c>
      <c r="E239" t="s">
        <v>20</v>
      </c>
      <c r="F239" t="s">
        <v>21</v>
      </c>
      <c r="G239" t="s">
        <v>355</v>
      </c>
      <c r="H239" t="str">
        <f>VLOOKUP(C239,'[1]Erogati mag-giu 2026_791_old'!$B:$E,4,FALSE)</f>
        <v>C343907</v>
      </c>
      <c r="I239" t="b">
        <f t="shared" si="13"/>
        <v>1</v>
      </c>
      <c r="J239" s="14">
        <v>46149</v>
      </c>
      <c r="K239" s="14">
        <v>46149</v>
      </c>
      <c r="L239" t="s">
        <v>20</v>
      </c>
      <c r="M239" s="14">
        <v>46188</v>
      </c>
      <c r="N239" s="14">
        <v>46149</v>
      </c>
      <c r="O239" t="s">
        <v>20</v>
      </c>
      <c r="P239">
        <v>-157.85</v>
      </c>
      <c r="Q239">
        <f>VLOOKUP(G239,'[1]Erogati mag-giu 2026_791_old'!$A:$W,12,FALSE)</f>
        <v>-157.85</v>
      </c>
      <c r="R239">
        <f t="shared" si="14"/>
        <v>0</v>
      </c>
      <c r="S239">
        <v>-157.85</v>
      </c>
      <c r="T239">
        <f>VLOOKUP(G239,'[1]Erogati mag-giu 2026_791_old'!$A:$W,13,FALSE)</f>
        <v>-157.85</v>
      </c>
      <c r="U239">
        <f t="shared" si="15"/>
        <v>0</v>
      </c>
      <c r="V239">
        <v>-157.85</v>
      </c>
      <c r="W239">
        <f>VLOOKUP(G239,'[1]Erogati mag-giu 2026_791_old'!$A:$W,14,FALSE)</f>
        <v>-157.85</v>
      </c>
      <c r="X239">
        <f t="shared" si="16"/>
        <v>0</v>
      </c>
      <c r="Y239" t="s">
        <v>158</v>
      </c>
      <c r="Z239" t="str">
        <f>VLOOKUP(G239,'[2]Erogati mag-giu 2026_791_old'!$D:$T,11,FALSE)</f>
        <v>indiretto</v>
      </c>
      <c r="AA239" t="b">
        <v>1</v>
      </c>
      <c r="AF239" t="s">
        <v>20</v>
      </c>
      <c r="AG239" t="s">
        <v>20</v>
      </c>
    </row>
    <row r="240" spans="1:33">
      <c r="A240" s="13" t="s">
        <v>356</v>
      </c>
      <c r="B240">
        <v>202512304301856</v>
      </c>
      <c r="C240" s="4">
        <v>202512304301856</v>
      </c>
      <c r="D240" s="4" t="b">
        <f t="shared" si="17"/>
        <v>1</v>
      </c>
      <c r="E240" t="s">
        <v>20</v>
      </c>
      <c r="F240" t="s">
        <v>21</v>
      </c>
      <c r="G240" t="s">
        <v>357</v>
      </c>
      <c r="H240" t="str">
        <f>VLOOKUP(C240,'[1]Erogati mag-giu 2026_791_old'!$B:$E,4,FALSE)</f>
        <v>C337146</v>
      </c>
      <c r="I240" t="b">
        <f t="shared" si="13"/>
        <v>1</v>
      </c>
      <c r="J240" s="14">
        <v>46149</v>
      </c>
      <c r="K240" s="14">
        <v>46149</v>
      </c>
      <c r="L240" t="s">
        <v>20</v>
      </c>
      <c r="M240" s="14">
        <v>46188</v>
      </c>
      <c r="N240" s="14">
        <v>46149</v>
      </c>
      <c r="O240" t="s">
        <v>20</v>
      </c>
      <c r="P240">
        <v>-35.08</v>
      </c>
      <c r="Q240">
        <f>VLOOKUP(G240,'[1]Erogati mag-giu 2026_791_old'!$A:$W,12,FALSE)</f>
        <v>-35.08</v>
      </c>
      <c r="R240">
        <f t="shared" si="14"/>
        <v>0</v>
      </c>
      <c r="S240">
        <v>-35.08</v>
      </c>
      <c r="T240">
        <f>VLOOKUP(G240,'[1]Erogati mag-giu 2026_791_old'!$A:$W,13,FALSE)</f>
        <v>-35.08</v>
      </c>
      <c r="U240">
        <f t="shared" si="15"/>
        <v>0</v>
      </c>
      <c r="V240">
        <v>-35.08</v>
      </c>
      <c r="W240">
        <f>VLOOKUP(G240,'[1]Erogati mag-giu 2026_791_old'!$A:$W,14,FALSE)</f>
        <v>-35.08</v>
      </c>
      <c r="X240">
        <f t="shared" si="16"/>
        <v>0</v>
      </c>
      <c r="Y240" t="s">
        <v>158</v>
      </c>
      <c r="Z240" t="str">
        <f>VLOOKUP(G240,'[2]Erogati mag-giu 2026_791_old'!$D:$T,11,FALSE)</f>
        <v>indiretto</v>
      </c>
      <c r="AA240" t="b">
        <v>1</v>
      </c>
      <c r="AF240" t="s">
        <v>20</v>
      </c>
      <c r="AG240" t="s">
        <v>20</v>
      </c>
    </row>
    <row r="241" spans="1:33">
      <c r="A241" s="13" t="s">
        <v>358</v>
      </c>
      <c r="B241">
        <v>202512304307527</v>
      </c>
      <c r="C241" s="4">
        <v>202512304307527</v>
      </c>
      <c r="D241" s="4" t="b">
        <f t="shared" si="17"/>
        <v>1</v>
      </c>
      <c r="E241" t="s">
        <v>20</v>
      </c>
      <c r="F241" t="s">
        <v>21</v>
      </c>
      <c r="G241" t="s">
        <v>359</v>
      </c>
      <c r="H241" t="str">
        <f>VLOOKUP(C241,'[1]Erogati mag-giu 2026_791_old'!$B:$E,4,FALSE)</f>
        <v>C337156</v>
      </c>
      <c r="I241" t="b">
        <f t="shared" si="13"/>
        <v>1</v>
      </c>
      <c r="J241" s="14">
        <v>46149</v>
      </c>
      <c r="K241" s="14">
        <v>46149</v>
      </c>
      <c r="L241" t="s">
        <v>20</v>
      </c>
      <c r="M241" s="14">
        <v>46188</v>
      </c>
      <c r="N241" s="14">
        <v>46149</v>
      </c>
      <c r="O241" t="s">
        <v>20</v>
      </c>
      <c r="P241">
        <v>-105.23</v>
      </c>
      <c r="Q241">
        <f>VLOOKUP(G241,'[1]Erogati mag-giu 2026_791_old'!$A:$W,12,FALSE)</f>
        <v>-105.23</v>
      </c>
      <c r="R241">
        <f t="shared" si="14"/>
        <v>0</v>
      </c>
      <c r="S241">
        <v>-105.23</v>
      </c>
      <c r="T241">
        <f>VLOOKUP(G241,'[1]Erogati mag-giu 2026_791_old'!$A:$W,13,FALSE)</f>
        <v>-105.23</v>
      </c>
      <c r="U241">
        <f t="shared" si="15"/>
        <v>0</v>
      </c>
      <c r="V241">
        <v>-105.23</v>
      </c>
      <c r="W241">
        <f>VLOOKUP(G241,'[1]Erogati mag-giu 2026_791_old'!$A:$W,14,FALSE)</f>
        <v>-105.23</v>
      </c>
      <c r="X241">
        <f t="shared" si="16"/>
        <v>0</v>
      </c>
      <c r="Y241" t="s">
        <v>158</v>
      </c>
      <c r="Z241" t="str">
        <f>VLOOKUP(G241,'[2]Erogati mag-giu 2026_791_old'!$D:$T,11,FALSE)</f>
        <v>indiretto</v>
      </c>
      <c r="AA241" t="b">
        <v>1</v>
      </c>
      <c r="AF241" t="s">
        <v>20</v>
      </c>
      <c r="AG241" t="s">
        <v>20</v>
      </c>
    </row>
    <row r="242" spans="1:33">
      <c r="A242" s="13" t="s">
        <v>360</v>
      </c>
      <c r="B242">
        <v>202512304307862</v>
      </c>
      <c r="C242" s="4">
        <v>202512304307862</v>
      </c>
      <c r="D242" s="4" t="b">
        <f t="shared" si="17"/>
        <v>1</v>
      </c>
      <c r="E242" t="s">
        <v>20</v>
      </c>
      <c r="F242" t="s">
        <v>21</v>
      </c>
      <c r="G242" t="s">
        <v>361</v>
      </c>
      <c r="H242" t="str">
        <f>VLOOKUP(C242,'[1]Erogati mag-giu 2026_791_old'!$B:$E,4,FALSE)</f>
        <v>C314416</v>
      </c>
      <c r="I242" t="b">
        <f t="shared" si="13"/>
        <v>1</v>
      </c>
      <c r="J242" s="14">
        <v>46149</v>
      </c>
      <c r="K242" s="14">
        <v>46149</v>
      </c>
      <c r="L242" t="s">
        <v>20</v>
      </c>
      <c r="M242" s="14">
        <v>46188</v>
      </c>
      <c r="N242" s="14">
        <v>46149</v>
      </c>
      <c r="O242" t="s">
        <v>20</v>
      </c>
      <c r="P242">
        <v>-35.08</v>
      </c>
      <c r="Q242">
        <f>VLOOKUP(G242,'[1]Erogati mag-giu 2026_791_old'!$A:$W,12,FALSE)</f>
        <v>-35.08</v>
      </c>
      <c r="R242">
        <f t="shared" si="14"/>
        <v>0</v>
      </c>
      <c r="S242">
        <v>-35.08</v>
      </c>
      <c r="T242">
        <f>VLOOKUP(G242,'[1]Erogati mag-giu 2026_791_old'!$A:$W,13,FALSE)</f>
        <v>-35.08</v>
      </c>
      <c r="U242">
        <f t="shared" si="15"/>
        <v>0</v>
      </c>
      <c r="V242">
        <v>-35.08</v>
      </c>
      <c r="W242">
        <f>VLOOKUP(G242,'[1]Erogati mag-giu 2026_791_old'!$A:$W,14,FALSE)</f>
        <v>-35.08</v>
      </c>
      <c r="X242">
        <f t="shared" si="16"/>
        <v>0</v>
      </c>
      <c r="Y242" t="s">
        <v>158</v>
      </c>
      <c r="Z242" t="str">
        <f>VLOOKUP(G242,'[2]Erogati mag-giu 2026_791_old'!$D:$T,11,FALSE)</f>
        <v>indiretto</v>
      </c>
      <c r="AA242" t="b">
        <v>1</v>
      </c>
      <c r="AF242" t="s">
        <v>20</v>
      </c>
      <c r="AG242" t="s">
        <v>20</v>
      </c>
    </row>
    <row r="243" spans="1:33">
      <c r="A243" s="13" t="s">
        <v>362</v>
      </c>
      <c r="B243">
        <v>202512304317497</v>
      </c>
      <c r="C243" s="4">
        <v>202512304317497</v>
      </c>
      <c r="D243" s="4" t="b">
        <f t="shared" si="17"/>
        <v>1</v>
      </c>
      <c r="E243" t="s">
        <v>20</v>
      </c>
      <c r="F243" t="s">
        <v>21</v>
      </c>
      <c r="G243" t="s">
        <v>363</v>
      </c>
      <c r="H243" t="str">
        <f>VLOOKUP(C243,'[1]Erogati mag-giu 2026_791_old'!$B:$E,4,FALSE)</f>
        <v>C343884</v>
      </c>
      <c r="I243" t="b">
        <f t="shared" si="13"/>
        <v>1</v>
      </c>
      <c r="J243" s="14">
        <v>46149</v>
      </c>
      <c r="K243" s="14">
        <v>46149</v>
      </c>
      <c r="L243" t="s">
        <v>20</v>
      </c>
      <c r="M243" s="14">
        <v>46188</v>
      </c>
      <c r="N243" s="14">
        <v>46149</v>
      </c>
      <c r="O243" t="s">
        <v>20</v>
      </c>
      <c r="P243">
        <v>-35.08</v>
      </c>
      <c r="Q243">
        <f>VLOOKUP(G243,'[1]Erogati mag-giu 2026_791_old'!$A:$W,12,FALSE)</f>
        <v>-35.08</v>
      </c>
      <c r="R243">
        <f t="shared" si="14"/>
        <v>0</v>
      </c>
      <c r="S243">
        <v>-35.08</v>
      </c>
      <c r="T243">
        <f>VLOOKUP(G243,'[1]Erogati mag-giu 2026_791_old'!$A:$W,13,FALSE)</f>
        <v>-35.08</v>
      </c>
      <c r="U243">
        <f t="shared" si="15"/>
        <v>0</v>
      </c>
      <c r="V243">
        <v>-35.08</v>
      </c>
      <c r="W243">
        <f>VLOOKUP(G243,'[1]Erogati mag-giu 2026_791_old'!$A:$W,14,FALSE)</f>
        <v>-35.08</v>
      </c>
      <c r="X243">
        <f t="shared" si="16"/>
        <v>0</v>
      </c>
      <c r="Y243" t="s">
        <v>158</v>
      </c>
      <c r="Z243" t="str">
        <f>VLOOKUP(G243,'[2]Erogati mag-giu 2026_791_old'!$D:$T,11,FALSE)</f>
        <v>indiretto</v>
      </c>
      <c r="AA243" t="b">
        <v>1</v>
      </c>
      <c r="AF243" t="s">
        <v>20</v>
      </c>
      <c r="AG243" t="s">
        <v>20</v>
      </c>
    </row>
    <row r="244" spans="1:33">
      <c r="A244" s="13" t="s">
        <v>364</v>
      </c>
      <c r="B244">
        <v>202512304325940</v>
      </c>
      <c r="C244" s="4">
        <v>202512304325940</v>
      </c>
      <c r="D244" s="4" t="b">
        <f t="shared" si="17"/>
        <v>1</v>
      </c>
      <c r="E244" t="s">
        <v>20</v>
      </c>
      <c r="F244" t="s">
        <v>21</v>
      </c>
      <c r="G244" t="s">
        <v>365</v>
      </c>
      <c r="H244" t="str">
        <f>VLOOKUP(C244,'[1]Erogati mag-giu 2026_791_old'!$B:$E,4,FALSE)</f>
        <v>C308147</v>
      </c>
      <c r="I244" t="b">
        <f t="shared" si="13"/>
        <v>1</v>
      </c>
      <c r="J244" s="14">
        <v>46149</v>
      </c>
      <c r="K244" s="14">
        <v>46149</v>
      </c>
      <c r="L244" t="s">
        <v>20</v>
      </c>
      <c r="M244" s="14">
        <v>46188</v>
      </c>
      <c r="N244" s="14">
        <v>46149</v>
      </c>
      <c r="O244" t="s">
        <v>20</v>
      </c>
      <c r="P244">
        <v>-35.08</v>
      </c>
      <c r="Q244">
        <f>VLOOKUP(G244,'[1]Erogati mag-giu 2026_791_old'!$A:$W,12,FALSE)</f>
        <v>-35.08</v>
      </c>
      <c r="R244">
        <f t="shared" si="14"/>
        <v>0</v>
      </c>
      <c r="S244">
        <v>-35.08</v>
      </c>
      <c r="T244">
        <f>VLOOKUP(G244,'[1]Erogati mag-giu 2026_791_old'!$A:$W,13,FALSE)</f>
        <v>-35.08</v>
      </c>
      <c r="U244">
        <f t="shared" si="15"/>
        <v>0</v>
      </c>
      <c r="V244">
        <v>-35.08</v>
      </c>
      <c r="W244">
        <f>VLOOKUP(G244,'[1]Erogati mag-giu 2026_791_old'!$A:$W,14,FALSE)</f>
        <v>-35.08</v>
      </c>
      <c r="X244">
        <f t="shared" si="16"/>
        <v>0</v>
      </c>
      <c r="Y244" t="s">
        <v>158</v>
      </c>
      <c r="Z244" t="str">
        <f>VLOOKUP(G244,'[2]Erogati mag-giu 2026_791_old'!$D:$T,11,FALSE)</f>
        <v>indiretto</v>
      </c>
      <c r="AA244" t="b">
        <v>1</v>
      </c>
      <c r="AF244" t="s">
        <v>20</v>
      </c>
      <c r="AG244" t="s">
        <v>20</v>
      </c>
    </row>
    <row r="245" spans="1:33">
      <c r="A245" s="13" t="s">
        <v>366</v>
      </c>
      <c r="B245">
        <v>202512304328934</v>
      </c>
      <c r="C245" s="4">
        <v>202512304328934</v>
      </c>
      <c r="D245" s="4" t="b">
        <f t="shared" si="17"/>
        <v>1</v>
      </c>
      <c r="E245" t="s">
        <v>20</v>
      </c>
      <c r="F245" t="s">
        <v>21</v>
      </c>
      <c r="G245" t="s">
        <v>367</v>
      </c>
      <c r="H245" t="str">
        <f>VLOOKUP(C245,'[1]Erogati mag-giu 2026_791_old'!$B:$E,4,FALSE)</f>
        <v>C343898</v>
      </c>
      <c r="I245" t="b">
        <f t="shared" si="13"/>
        <v>1</v>
      </c>
      <c r="J245" s="14">
        <v>46149</v>
      </c>
      <c r="K245" s="14">
        <v>46149</v>
      </c>
      <c r="L245" t="s">
        <v>20</v>
      </c>
      <c r="M245" s="14">
        <v>46188</v>
      </c>
      <c r="N245" s="14">
        <v>46149</v>
      </c>
      <c r="O245" t="s">
        <v>20</v>
      </c>
      <c r="P245">
        <v>-83.41</v>
      </c>
      <c r="Q245">
        <f>VLOOKUP(G245,'[1]Erogati mag-giu 2026_791_old'!$A:$W,12,FALSE)</f>
        <v>-83.41</v>
      </c>
      <c r="R245">
        <f t="shared" si="14"/>
        <v>0</v>
      </c>
      <c r="S245">
        <v>-83.41</v>
      </c>
      <c r="T245">
        <f>VLOOKUP(G245,'[1]Erogati mag-giu 2026_791_old'!$A:$W,13,FALSE)</f>
        <v>-83.41</v>
      </c>
      <c r="U245">
        <f t="shared" si="15"/>
        <v>0</v>
      </c>
      <c r="V245">
        <v>-83.41</v>
      </c>
      <c r="W245">
        <f>VLOOKUP(G245,'[1]Erogati mag-giu 2026_791_old'!$A:$W,14,FALSE)</f>
        <v>-83.41</v>
      </c>
      <c r="X245">
        <f t="shared" si="16"/>
        <v>0</v>
      </c>
      <c r="Y245" t="s">
        <v>158</v>
      </c>
      <c r="Z245" t="str">
        <f>VLOOKUP(G245,'[2]Erogati mag-giu 2026_791_old'!$D:$T,11,FALSE)</f>
        <v>indiretto</v>
      </c>
      <c r="AA245" t="b">
        <v>1</v>
      </c>
      <c r="AF245" t="s">
        <v>20</v>
      </c>
      <c r="AG245" t="s">
        <v>20</v>
      </c>
    </row>
    <row r="246" spans="1:33">
      <c r="A246" s="13" t="s">
        <v>368</v>
      </c>
      <c r="B246">
        <v>202512304330153</v>
      </c>
      <c r="C246" s="4">
        <v>202512304330153</v>
      </c>
      <c r="D246" s="4" t="b">
        <f t="shared" si="17"/>
        <v>1</v>
      </c>
      <c r="E246" t="s">
        <v>20</v>
      </c>
      <c r="F246" t="s">
        <v>21</v>
      </c>
      <c r="G246" t="s">
        <v>369</v>
      </c>
      <c r="H246" t="str">
        <f>VLOOKUP(C246,'[1]Erogati mag-giu 2026_791_old'!$B:$E,4,FALSE)</f>
        <v>C308391</v>
      </c>
      <c r="I246" t="b">
        <f t="shared" si="13"/>
        <v>1</v>
      </c>
      <c r="J246" s="14">
        <v>46149</v>
      </c>
      <c r="K246" s="14">
        <v>46149</v>
      </c>
      <c r="L246" t="s">
        <v>20</v>
      </c>
      <c r="M246" s="14">
        <v>46188</v>
      </c>
      <c r="N246" s="14">
        <v>46149</v>
      </c>
      <c r="O246" t="s">
        <v>20</v>
      </c>
      <c r="P246">
        <v>-25.72</v>
      </c>
      <c r="Q246">
        <f>VLOOKUP(G246,'[1]Erogati mag-giu 2026_791_old'!$A:$W,12,FALSE)</f>
        <v>-25.72</v>
      </c>
      <c r="R246">
        <f t="shared" si="14"/>
        <v>0</v>
      </c>
      <c r="S246">
        <v>-25.72</v>
      </c>
      <c r="T246">
        <f>VLOOKUP(G246,'[1]Erogati mag-giu 2026_791_old'!$A:$W,13,FALSE)</f>
        <v>-25.72</v>
      </c>
      <c r="U246">
        <f t="shared" si="15"/>
        <v>0</v>
      </c>
      <c r="V246">
        <v>-25.72</v>
      </c>
      <c r="W246">
        <f>VLOOKUP(G246,'[1]Erogati mag-giu 2026_791_old'!$A:$W,14,FALSE)</f>
        <v>-25.72</v>
      </c>
      <c r="X246">
        <f t="shared" si="16"/>
        <v>0</v>
      </c>
      <c r="Y246" t="s">
        <v>158</v>
      </c>
      <c r="Z246" t="str">
        <f>VLOOKUP(G246,'[2]Erogati mag-giu 2026_791_old'!$D:$T,11,FALSE)</f>
        <v>indiretto</v>
      </c>
      <c r="AA246" t="b">
        <v>1</v>
      </c>
      <c r="AF246" t="s">
        <v>20</v>
      </c>
      <c r="AG246" t="s">
        <v>20</v>
      </c>
    </row>
    <row r="247" spans="1:33">
      <c r="A247" s="13" t="s">
        <v>370</v>
      </c>
      <c r="B247">
        <v>202512304336891</v>
      </c>
      <c r="C247" s="4">
        <v>202512304336891</v>
      </c>
      <c r="D247" s="4" t="b">
        <f t="shared" si="17"/>
        <v>1</v>
      </c>
      <c r="E247" t="s">
        <v>20</v>
      </c>
      <c r="F247" t="s">
        <v>21</v>
      </c>
      <c r="G247" t="s">
        <v>371</v>
      </c>
      <c r="H247" t="str">
        <f>VLOOKUP(C247,'[1]Erogati mag-giu 2026_791_old'!$B:$E,4,FALSE)</f>
        <v>C310944</v>
      </c>
      <c r="I247" t="b">
        <f t="shared" si="13"/>
        <v>1</v>
      </c>
      <c r="J247" s="14">
        <v>46149</v>
      </c>
      <c r="K247" s="14">
        <v>46149</v>
      </c>
      <c r="L247" t="s">
        <v>20</v>
      </c>
      <c r="M247" s="14">
        <v>46188</v>
      </c>
      <c r="N247" s="14">
        <v>46149</v>
      </c>
      <c r="O247" t="s">
        <v>20</v>
      </c>
      <c r="P247">
        <v>-156.41</v>
      </c>
      <c r="Q247">
        <f>VLOOKUP(G247,'[1]Erogati mag-giu 2026_791_old'!$A:$W,12,FALSE)</f>
        <v>-156.41</v>
      </c>
      <c r="R247">
        <f t="shared" si="14"/>
        <v>0</v>
      </c>
      <c r="S247">
        <v>-156.41</v>
      </c>
      <c r="T247">
        <f>VLOOKUP(G247,'[1]Erogati mag-giu 2026_791_old'!$A:$W,13,FALSE)</f>
        <v>-156.41</v>
      </c>
      <c r="U247">
        <f t="shared" si="15"/>
        <v>0</v>
      </c>
      <c r="V247">
        <v>-156.41</v>
      </c>
      <c r="W247">
        <f>VLOOKUP(G247,'[1]Erogati mag-giu 2026_791_old'!$A:$W,14,FALSE)</f>
        <v>-156.41</v>
      </c>
      <c r="X247">
        <f t="shared" si="16"/>
        <v>0</v>
      </c>
      <c r="Y247" t="s">
        <v>158</v>
      </c>
      <c r="Z247" t="str">
        <f>VLOOKUP(G247,'[2]Erogati mag-giu 2026_791_old'!$D:$T,11,FALSE)</f>
        <v>indiretto</v>
      </c>
      <c r="AA247" t="b">
        <v>1</v>
      </c>
      <c r="AF247" t="s">
        <v>20</v>
      </c>
      <c r="AG247" t="s">
        <v>20</v>
      </c>
    </row>
    <row r="248" spans="1:33">
      <c r="A248" s="13" t="s">
        <v>372</v>
      </c>
      <c r="B248">
        <v>202512304340062</v>
      </c>
      <c r="C248" s="4">
        <v>202512304340062</v>
      </c>
      <c r="D248" s="4" t="b">
        <f t="shared" si="17"/>
        <v>1</v>
      </c>
      <c r="E248" t="s">
        <v>20</v>
      </c>
      <c r="F248" t="s">
        <v>21</v>
      </c>
      <c r="G248" t="s">
        <v>373</v>
      </c>
      <c r="H248" t="str">
        <f>VLOOKUP(C248,'[1]Erogati mag-giu 2026_791_old'!$B:$E,4,FALSE)</f>
        <v>C313727</v>
      </c>
      <c r="I248" t="b">
        <f t="shared" si="13"/>
        <v>1</v>
      </c>
      <c r="J248" s="14">
        <v>46149</v>
      </c>
      <c r="K248" s="14">
        <v>46149</v>
      </c>
      <c r="L248" t="s">
        <v>20</v>
      </c>
      <c r="M248" s="14">
        <v>46188</v>
      </c>
      <c r="N248" s="14">
        <v>46149</v>
      </c>
      <c r="O248" t="s">
        <v>20</v>
      </c>
      <c r="P248">
        <v>-175.39</v>
      </c>
      <c r="Q248">
        <f>VLOOKUP(G248,'[1]Erogati mag-giu 2026_791_old'!$A:$W,12,FALSE)</f>
        <v>-175.39</v>
      </c>
      <c r="R248">
        <f t="shared" si="14"/>
        <v>0</v>
      </c>
      <c r="S248">
        <v>-175.39</v>
      </c>
      <c r="T248">
        <f>VLOOKUP(G248,'[1]Erogati mag-giu 2026_791_old'!$A:$W,13,FALSE)</f>
        <v>-175.39</v>
      </c>
      <c r="U248">
        <f t="shared" si="15"/>
        <v>0</v>
      </c>
      <c r="V248">
        <v>-175.39</v>
      </c>
      <c r="W248">
        <f>VLOOKUP(G248,'[1]Erogati mag-giu 2026_791_old'!$A:$W,14,FALSE)</f>
        <v>-175.39</v>
      </c>
      <c r="X248">
        <f t="shared" si="16"/>
        <v>0</v>
      </c>
      <c r="Y248" t="s">
        <v>158</v>
      </c>
      <c r="Z248" t="str">
        <f>VLOOKUP(G248,'[2]Erogati mag-giu 2026_791_old'!$D:$T,11,FALSE)</f>
        <v>indiretto</v>
      </c>
      <c r="AA248" t="b">
        <v>1</v>
      </c>
      <c r="AF248" t="s">
        <v>20</v>
      </c>
      <c r="AG248" t="s">
        <v>20</v>
      </c>
    </row>
    <row r="249" spans="1:33">
      <c r="A249" s="13" t="s">
        <v>374</v>
      </c>
      <c r="B249">
        <v>202512304340304</v>
      </c>
      <c r="C249" s="4">
        <v>202512304340304</v>
      </c>
      <c r="D249" s="4" t="b">
        <f t="shared" si="17"/>
        <v>1</v>
      </c>
      <c r="E249" t="s">
        <v>20</v>
      </c>
      <c r="F249" t="s">
        <v>21</v>
      </c>
      <c r="G249" t="s">
        <v>375</v>
      </c>
      <c r="H249" t="str">
        <f>VLOOKUP(C249,'[1]Erogati mag-giu 2026_791_old'!$B:$E,4,FALSE)</f>
        <v>C342162</v>
      </c>
      <c r="I249" t="b">
        <f t="shared" si="13"/>
        <v>1</v>
      </c>
      <c r="J249" s="14">
        <v>46149</v>
      </c>
      <c r="K249" s="14">
        <v>46149</v>
      </c>
      <c r="L249" t="s">
        <v>20</v>
      </c>
      <c r="M249" s="14">
        <v>46188</v>
      </c>
      <c r="N249" s="14">
        <v>46149</v>
      </c>
      <c r="O249" t="s">
        <v>20</v>
      </c>
      <c r="P249">
        <v>-27.8</v>
      </c>
      <c r="Q249">
        <f>VLOOKUP(G249,'[1]Erogati mag-giu 2026_791_old'!$A:$W,12,FALSE)</f>
        <v>-27.8</v>
      </c>
      <c r="R249">
        <f t="shared" si="14"/>
        <v>0</v>
      </c>
      <c r="S249">
        <v>-27.8</v>
      </c>
      <c r="T249">
        <f>VLOOKUP(G249,'[1]Erogati mag-giu 2026_791_old'!$A:$W,13,FALSE)</f>
        <v>-27.8</v>
      </c>
      <c r="U249">
        <f t="shared" si="15"/>
        <v>0</v>
      </c>
      <c r="V249">
        <v>-27.8</v>
      </c>
      <c r="W249">
        <f>VLOOKUP(G249,'[1]Erogati mag-giu 2026_791_old'!$A:$W,14,FALSE)</f>
        <v>-27.8</v>
      </c>
      <c r="X249">
        <f t="shared" si="16"/>
        <v>0</v>
      </c>
      <c r="Y249" t="s">
        <v>158</v>
      </c>
      <c r="Z249" t="str">
        <f>VLOOKUP(G249,'[2]Erogati mag-giu 2026_791_old'!$D:$T,11,FALSE)</f>
        <v>indiretto</v>
      </c>
      <c r="AA249" t="b">
        <v>1</v>
      </c>
      <c r="AF249" t="s">
        <v>20</v>
      </c>
      <c r="AG249" t="s">
        <v>20</v>
      </c>
    </row>
    <row r="250" spans="1:33">
      <c r="A250" s="13" t="s">
        <v>376</v>
      </c>
      <c r="B250" s="4">
        <v>202512304344744</v>
      </c>
      <c r="C250" s="4">
        <v>202512304344744</v>
      </c>
      <c r="D250" s="4" t="b">
        <f t="shared" si="17"/>
        <v>1</v>
      </c>
      <c r="E250" t="s">
        <v>20</v>
      </c>
      <c r="F250" t="s">
        <v>21</v>
      </c>
      <c r="G250" t="s">
        <v>169</v>
      </c>
      <c r="H250" t="str">
        <f>VLOOKUP(C250,'[1]Erogati mag-giu 2026_791_old'!$B:$E,4,FALSE)</f>
        <v>C309462</v>
      </c>
      <c r="I250" t="b">
        <f t="shared" si="13"/>
        <v>1</v>
      </c>
      <c r="J250" s="14">
        <v>46149</v>
      </c>
      <c r="K250" s="14">
        <v>46149</v>
      </c>
      <c r="L250" t="s">
        <v>20</v>
      </c>
      <c r="M250" s="14">
        <v>46188</v>
      </c>
      <c r="N250" s="14">
        <v>46149</v>
      </c>
      <c r="O250" t="s">
        <v>20</v>
      </c>
      <c r="P250">
        <v>-26.07</v>
      </c>
      <c r="Q250">
        <v>-26.07</v>
      </c>
      <c r="R250">
        <f t="shared" si="14"/>
        <v>0</v>
      </c>
      <c r="S250">
        <v>-26.07</v>
      </c>
      <c r="T250">
        <v>-26.07</v>
      </c>
      <c r="U250">
        <f t="shared" si="15"/>
        <v>0</v>
      </c>
      <c r="V250">
        <v>-26.07</v>
      </c>
      <c r="W250">
        <v>-26.07</v>
      </c>
      <c r="X250">
        <f t="shared" si="16"/>
        <v>0</v>
      </c>
      <c r="Y250" t="s">
        <v>158</v>
      </c>
      <c r="Z250" t="str">
        <f>VLOOKUP(G250,'[2]Erogati mag-giu 2026_791_old'!$D:$T,11,FALSE)</f>
        <v>indiretto</v>
      </c>
      <c r="AA250" t="b">
        <v>1</v>
      </c>
      <c r="AF250" t="s">
        <v>20</v>
      </c>
      <c r="AG250" t="s">
        <v>20</v>
      </c>
    </row>
    <row r="251" spans="1:33">
      <c r="A251" s="13" t="s">
        <v>377</v>
      </c>
      <c r="B251" t="s">
        <v>1513</v>
      </c>
      <c r="C251" s="4">
        <v>202512304350770</v>
      </c>
      <c r="D251" s="4" t="b">
        <f t="shared" si="17"/>
        <v>1</v>
      </c>
      <c r="E251" t="s">
        <v>20</v>
      </c>
      <c r="F251" t="s">
        <v>21</v>
      </c>
      <c r="G251" t="s">
        <v>378</v>
      </c>
      <c r="H251" t="str">
        <f>VLOOKUP(C251,'[1]Erogati mag-giu 2026_791_old'!$B:$E,4,FALSE)</f>
        <v>C337150</v>
      </c>
      <c r="I251" t="b">
        <f t="shared" si="13"/>
        <v>1</v>
      </c>
      <c r="J251" s="14">
        <v>46149</v>
      </c>
      <c r="K251" s="14">
        <v>46149</v>
      </c>
      <c r="L251" t="s">
        <v>20</v>
      </c>
      <c r="M251" s="14">
        <v>46188</v>
      </c>
      <c r="N251" s="14">
        <v>46149</v>
      </c>
      <c r="O251" t="s">
        <v>20</v>
      </c>
      <c r="P251">
        <v>-175.39</v>
      </c>
      <c r="Q251">
        <f>VLOOKUP(G251,'[1]Erogati mag-giu 2026_791_old'!$A:$W,12,FALSE)</f>
        <v>-175.39</v>
      </c>
      <c r="R251">
        <f t="shared" si="14"/>
        <v>0</v>
      </c>
      <c r="S251">
        <v>-175.39</v>
      </c>
      <c r="T251">
        <f>VLOOKUP(G251,'[1]Erogati mag-giu 2026_791_old'!$A:$W,13,FALSE)</f>
        <v>-175.39</v>
      </c>
      <c r="U251">
        <f t="shared" si="15"/>
        <v>0</v>
      </c>
      <c r="V251">
        <v>-175.39</v>
      </c>
      <c r="W251">
        <f>VLOOKUP(G251,'[1]Erogati mag-giu 2026_791_old'!$A:$W,14,FALSE)</f>
        <v>-175.39</v>
      </c>
      <c r="X251">
        <f t="shared" si="16"/>
        <v>0</v>
      </c>
      <c r="Y251" t="s">
        <v>158</v>
      </c>
      <c r="Z251" t="str">
        <f>VLOOKUP(G251,'[2]Erogati mag-giu 2026_791_old'!$D:$T,11,FALSE)</f>
        <v>indiretto</v>
      </c>
      <c r="AA251" t="b">
        <v>1</v>
      </c>
      <c r="AF251" t="s">
        <v>20</v>
      </c>
      <c r="AG251" t="s">
        <v>20</v>
      </c>
    </row>
    <row r="252" spans="1:33">
      <c r="A252" s="13" t="s">
        <v>379</v>
      </c>
      <c r="B252" t="s">
        <v>1514</v>
      </c>
      <c r="C252" s="4">
        <v>202512304367154</v>
      </c>
      <c r="D252" s="4" t="b">
        <f t="shared" si="17"/>
        <v>1</v>
      </c>
      <c r="E252" t="s">
        <v>20</v>
      </c>
      <c r="F252" t="s">
        <v>21</v>
      </c>
      <c r="G252" t="s">
        <v>380</v>
      </c>
      <c r="H252" t="str">
        <f>VLOOKUP(C252,'[1]Erogati mag-giu 2026_791_old'!$B:$E,4,FALSE)</f>
        <v>C312760</v>
      </c>
      <c r="I252" t="b">
        <f t="shared" si="13"/>
        <v>1</v>
      </c>
      <c r="J252" s="14">
        <v>46149</v>
      </c>
      <c r="K252" s="14">
        <v>46149</v>
      </c>
      <c r="L252" t="s">
        <v>20</v>
      </c>
      <c r="M252" s="14">
        <v>46188</v>
      </c>
      <c r="N252" s="14">
        <v>46149</v>
      </c>
      <c r="O252" t="s">
        <v>20</v>
      </c>
      <c r="P252">
        <v>-78.2</v>
      </c>
      <c r="Q252">
        <f>VLOOKUP(G252,'[1]Erogati mag-giu 2026_791_old'!$A:$W,12,FALSE)</f>
        <v>-78.2</v>
      </c>
      <c r="R252">
        <f t="shared" si="14"/>
        <v>0</v>
      </c>
      <c r="S252">
        <v>-78.2</v>
      </c>
      <c r="T252">
        <f>VLOOKUP(G252,'[1]Erogati mag-giu 2026_791_old'!$A:$W,13,FALSE)</f>
        <v>-78.2</v>
      </c>
      <c r="U252">
        <f t="shared" si="15"/>
        <v>0</v>
      </c>
      <c r="V252">
        <v>-78.2</v>
      </c>
      <c r="W252">
        <f>VLOOKUP(G252,'[1]Erogati mag-giu 2026_791_old'!$A:$W,14,FALSE)</f>
        <v>-78.2</v>
      </c>
      <c r="X252">
        <f t="shared" si="16"/>
        <v>0</v>
      </c>
      <c r="Y252" t="s">
        <v>158</v>
      </c>
      <c r="Z252" t="str">
        <f>VLOOKUP(G252,'[2]Erogati mag-giu 2026_791_old'!$D:$T,11,FALSE)</f>
        <v>indiretto</v>
      </c>
      <c r="AA252" t="b">
        <v>1</v>
      </c>
      <c r="AF252" t="s">
        <v>20</v>
      </c>
      <c r="AG252" t="s">
        <v>20</v>
      </c>
    </row>
    <row r="253" spans="1:33">
      <c r="A253" s="13" t="s">
        <v>381</v>
      </c>
      <c r="B253" t="s">
        <v>1515</v>
      </c>
      <c r="C253" s="4">
        <v>202512304370913</v>
      </c>
      <c r="D253" s="4" t="b">
        <f t="shared" si="17"/>
        <v>1</v>
      </c>
      <c r="E253" t="s">
        <v>20</v>
      </c>
      <c r="F253" t="s">
        <v>21</v>
      </c>
      <c r="G253" t="s">
        <v>382</v>
      </c>
      <c r="H253" t="str">
        <f>VLOOKUP(C253,'[1]Erogati mag-giu 2026_791_old'!$B:$E,4,FALSE)</f>
        <v>C337142</v>
      </c>
      <c r="I253" t="b">
        <f t="shared" si="13"/>
        <v>1</v>
      </c>
      <c r="J253" s="14">
        <v>46149</v>
      </c>
      <c r="K253" s="14">
        <v>46149</v>
      </c>
      <c r="L253" t="s">
        <v>20</v>
      </c>
      <c r="M253" s="14">
        <v>46188</v>
      </c>
      <c r="N253" s="14">
        <v>46149</v>
      </c>
      <c r="O253" t="s">
        <v>20</v>
      </c>
      <c r="P253">
        <v>-50.75</v>
      </c>
      <c r="Q253">
        <f>VLOOKUP(G253,'[1]Erogati mag-giu 2026_791_old'!$A:$W,12,FALSE)</f>
        <v>-50.75</v>
      </c>
      <c r="R253">
        <f t="shared" si="14"/>
        <v>0</v>
      </c>
      <c r="S253">
        <v>-50.75</v>
      </c>
      <c r="T253">
        <f>VLOOKUP(G253,'[1]Erogati mag-giu 2026_791_old'!$A:$W,13,FALSE)</f>
        <v>-50.75</v>
      </c>
      <c r="U253">
        <f t="shared" si="15"/>
        <v>0</v>
      </c>
      <c r="V253">
        <v>-50.75</v>
      </c>
      <c r="W253">
        <f>VLOOKUP(G253,'[1]Erogati mag-giu 2026_791_old'!$A:$W,14,FALSE)</f>
        <v>-50.75</v>
      </c>
      <c r="X253">
        <f t="shared" si="16"/>
        <v>0</v>
      </c>
      <c r="Y253" t="s">
        <v>158</v>
      </c>
      <c r="Z253" t="str">
        <f>VLOOKUP(G253,'[2]Erogati mag-giu 2026_791_old'!$D:$T,11,FALSE)</f>
        <v>indiretto</v>
      </c>
      <c r="AA253" t="b">
        <v>1</v>
      </c>
      <c r="AF253" t="s">
        <v>20</v>
      </c>
      <c r="AG253" t="s">
        <v>20</v>
      </c>
    </row>
    <row r="254" spans="1:33">
      <c r="A254" s="13" t="s">
        <v>383</v>
      </c>
      <c r="B254" t="s">
        <v>1516</v>
      </c>
      <c r="C254" s="4">
        <v>202512304380254</v>
      </c>
      <c r="D254" s="4" t="b">
        <f t="shared" si="17"/>
        <v>1</v>
      </c>
      <c r="E254" t="s">
        <v>20</v>
      </c>
      <c r="F254" t="s">
        <v>21</v>
      </c>
      <c r="G254" t="s">
        <v>384</v>
      </c>
      <c r="H254" t="str">
        <f>VLOOKUP(C254,'[1]Erogati mag-giu 2026_791_old'!$B:$E,4,FALSE)</f>
        <v>C343883</v>
      </c>
      <c r="I254" t="b">
        <f t="shared" si="13"/>
        <v>1</v>
      </c>
      <c r="J254" s="14">
        <v>46149</v>
      </c>
      <c r="K254" s="14">
        <v>46149</v>
      </c>
      <c r="L254" t="s">
        <v>20</v>
      </c>
      <c r="M254" s="14">
        <v>46188</v>
      </c>
      <c r="N254" s="14">
        <v>46149</v>
      </c>
      <c r="O254" t="s">
        <v>20</v>
      </c>
      <c r="P254">
        <v>-95.39</v>
      </c>
      <c r="Q254">
        <f>VLOOKUP(G254,'[1]Erogati mag-giu 2026_791_old'!$A:$W,12,FALSE)</f>
        <v>-95.39</v>
      </c>
      <c r="R254">
        <f t="shared" si="14"/>
        <v>0</v>
      </c>
      <c r="S254">
        <v>-95.39</v>
      </c>
      <c r="T254">
        <f>VLOOKUP(G254,'[1]Erogati mag-giu 2026_791_old'!$A:$W,13,FALSE)</f>
        <v>-95.39</v>
      </c>
      <c r="U254">
        <f t="shared" si="15"/>
        <v>0</v>
      </c>
      <c r="V254">
        <v>-95.39</v>
      </c>
      <c r="W254">
        <f>VLOOKUP(G254,'[1]Erogati mag-giu 2026_791_old'!$A:$W,14,FALSE)</f>
        <v>-95.39</v>
      </c>
      <c r="X254">
        <f t="shared" si="16"/>
        <v>0</v>
      </c>
      <c r="Y254" t="s">
        <v>158</v>
      </c>
      <c r="Z254" t="str">
        <f>VLOOKUP(G254,'[2]Erogati mag-giu 2026_791_old'!$D:$T,11,FALSE)</f>
        <v>indiretto</v>
      </c>
      <c r="AA254" t="b">
        <v>1</v>
      </c>
      <c r="AF254" t="s">
        <v>20</v>
      </c>
      <c r="AG254" t="s">
        <v>20</v>
      </c>
    </row>
    <row r="255" spans="1:33">
      <c r="A255" s="13" t="s">
        <v>385</v>
      </c>
      <c r="B255" t="s">
        <v>1517</v>
      </c>
      <c r="C255" s="4">
        <v>202512304385487</v>
      </c>
      <c r="D255" s="4" t="b">
        <f t="shared" si="17"/>
        <v>1</v>
      </c>
      <c r="E255" t="s">
        <v>20</v>
      </c>
      <c r="F255" t="s">
        <v>21</v>
      </c>
      <c r="G255" t="s">
        <v>386</v>
      </c>
      <c r="H255" t="str">
        <f>VLOOKUP(C255,'[1]Erogati mag-giu 2026_791_old'!$B:$E,4,FALSE)</f>
        <v>C343908</v>
      </c>
      <c r="I255" t="b">
        <f t="shared" si="13"/>
        <v>1</v>
      </c>
      <c r="J255" s="14">
        <v>46149</v>
      </c>
      <c r="K255" s="14">
        <v>46149</v>
      </c>
      <c r="L255" t="s">
        <v>20</v>
      </c>
      <c r="M255" s="14">
        <v>46188</v>
      </c>
      <c r="N255" s="14">
        <v>46149</v>
      </c>
      <c r="O255" t="s">
        <v>20</v>
      </c>
      <c r="P255">
        <v>-35.08</v>
      </c>
      <c r="Q255">
        <f>VLOOKUP(G255,'[1]Erogati mag-giu 2026_791_old'!$A:$W,12,FALSE)</f>
        <v>-35.08</v>
      </c>
      <c r="R255">
        <f t="shared" si="14"/>
        <v>0</v>
      </c>
      <c r="S255">
        <v>-35.08</v>
      </c>
      <c r="T255">
        <f>VLOOKUP(G255,'[1]Erogati mag-giu 2026_791_old'!$A:$W,13,FALSE)</f>
        <v>-35.08</v>
      </c>
      <c r="U255">
        <f t="shared" si="15"/>
        <v>0</v>
      </c>
      <c r="V255">
        <v>-35.08</v>
      </c>
      <c r="W255">
        <f>VLOOKUP(G255,'[1]Erogati mag-giu 2026_791_old'!$A:$W,14,FALSE)</f>
        <v>-35.08</v>
      </c>
      <c r="X255">
        <f t="shared" si="16"/>
        <v>0</v>
      </c>
      <c r="Y255" t="s">
        <v>158</v>
      </c>
      <c r="Z255" t="str">
        <f>VLOOKUP(G255,'[2]Erogati mag-giu 2026_791_old'!$D:$T,11,FALSE)</f>
        <v>indiretto</v>
      </c>
      <c r="AA255" t="b">
        <v>1</v>
      </c>
      <c r="AF255" t="s">
        <v>20</v>
      </c>
      <c r="AG255" t="s">
        <v>20</v>
      </c>
    </row>
    <row r="256" spans="1:33">
      <c r="A256" s="13" t="s">
        <v>387</v>
      </c>
      <c r="B256" t="s">
        <v>1518</v>
      </c>
      <c r="C256" s="4">
        <v>202512304402221</v>
      </c>
      <c r="D256" s="4" t="b">
        <f t="shared" si="17"/>
        <v>1</v>
      </c>
      <c r="E256" t="s">
        <v>20</v>
      </c>
      <c r="F256" t="s">
        <v>21</v>
      </c>
      <c r="G256" t="s">
        <v>388</v>
      </c>
      <c r="H256" t="str">
        <f>VLOOKUP(C256,'[1]Erogati mag-giu 2026_791_old'!$B:$E,4,FALSE)</f>
        <v>C337152</v>
      </c>
      <c r="I256" t="b">
        <f t="shared" si="13"/>
        <v>1</v>
      </c>
      <c r="J256" s="14">
        <v>46149</v>
      </c>
      <c r="K256" s="14">
        <v>46149</v>
      </c>
      <c r="L256" t="s">
        <v>20</v>
      </c>
      <c r="M256" s="14">
        <v>46188</v>
      </c>
      <c r="N256" s="14">
        <v>46149</v>
      </c>
      <c r="O256" t="s">
        <v>20</v>
      </c>
      <c r="P256">
        <v>-84.19</v>
      </c>
      <c r="Q256">
        <f>VLOOKUP(G256,'[1]Erogati mag-giu 2026_791_old'!$A:$W,12,FALSE)</f>
        <v>-84.19</v>
      </c>
      <c r="R256">
        <f t="shared" si="14"/>
        <v>0</v>
      </c>
      <c r="S256">
        <v>-84.19</v>
      </c>
      <c r="T256">
        <f>VLOOKUP(G256,'[1]Erogati mag-giu 2026_791_old'!$A:$W,13,FALSE)</f>
        <v>-84.19</v>
      </c>
      <c r="U256">
        <f t="shared" si="15"/>
        <v>0</v>
      </c>
      <c r="V256">
        <v>-84.19</v>
      </c>
      <c r="W256">
        <f>VLOOKUP(G256,'[1]Erogati mag-giu 2026_791_old'!$A:$W,14,FALSE)</f>
        <v>-84.19</v>
      </c>
      <c r="X256">
        <f t="shared" si="16"/>
        <v>0</v>
      </c>
      <c r="Y256" t="s">
        <v>158</v>
      </c>
      <c r="Z256" t="str">
        <f>VLOOKUP(G256,'[2]Erogati mag-giu 2026_791_old'!$D:$T,11,FALSE)</f>
        <v>indiretto</v>
      </c>
      <c r="AA256" t="b">
        <v>1</v>
      </c>
      <c r="AF256" t="s">
        <v>20</v>
      </c>
      <c r="AG256" t="s">
        <v>20</v>
      </c>
    </row>
    <row r="257" spans="1:33">
      <c r="A257" s="13" t="s">
        <v>389</v>
      </c>
      <c r="B257" t="s">
        <v>1519</v>
      </c>
      <c r="C257" s="4">
        <v>202512304427693</v>
      </c>
      <c r="D257" s="4" t="b">
        <f t="shared" si="17"/>
        <v>1</v>
      </c>
      <c r="E257" t="s">
        <v>20</v>
      </c>
      <c r="F257" t="s">
        <v>21</v>
      </c>
      <c r="G257" t="s">
        <v>390</v>
      </c>
      <c r="H257" t="str">
        <f>VLOOKUP(C257,'[1]Erogati mag-giu 2026_791_old'!$B:$E,4,FALSE)</f>
        <v>C337159</v>
      </c>
      <c r="I257" t="b">
        <f t="shared" si="13"/>
        <v>1</v>
      </c>
      <c r="J257" s="14">
        <v>46149</v>
      </c>
      <c r="K257" s="14">
        <v>46149</v>
      </c>
      <c r="L257" t="s">
        <v>20</v>
      </c>
      <c r="M257" s="14">
        <v>46188</v>
      </c>
      <c r="N257" s="14">
        <v>46149</v>
      </c>
      <c r="O257" t="s">
        <v>20</v>
      </c>
      <c r="P257">
        <v>-105.23</v>
      </c>
      <c r="Q257">
        <f>VLOOKUP(G257,'[1]Erogati mag-giu 2026_791_old'!$A:$W,12,FALSE)</f>
        <v>-105.23</v>
      </c>
      <c r="R257">
        <f t="shared" si="14"/>
        <v>0</v>
      </c>
      <c r="S257">
        <v>-105.23</v>
      </c>
      <c r="T257">
        <f>VLOOKUP(G257,'[1]Erogati mag-giu 2026_791_old'!$A:$W,13,FALSE)</f>
        <v>-105.23</v>
      </c>
      <c r="U257">
        <f t="shared" si="15"/>
        <v>0</v>
      </c>
      <c r="V257">
        <v>-105.23</v>
      </c>
      <c r="W257">
        <f>VLOOKUP(G257,'[1]Erogati mag-giu 2026_791_old'!$A:$W,14,FALSE)</f>
        <v>-105.23</v>
      </c>
      <c r="X257">
        <f t="shared" si="16"/>
        <v>0</v>
      </c>
      <c r="Y257" t="s">
        <v>158</v>
      </c>
      <c r="Z257" t="str">
        <f>VLOOKUP(G257,'[2]Erogati mag-giu 2026_791_old'!$D:$T,11,FALSE)</f>
        <v>indiretto</v>
      </c>
      <c r="AA257" t="b">
        <v>1</v>
      </c>
      <c r="AF257" t="s">
        <v>20</v>
      </c>
      <c r="AG257" t="s">
        <v>20</v>
      </c>
    </row>
    <row r="258" spans="1:33">
      <c r="A258" s="13" t="s">
        <v>391</v>
      </c>
      <c r="B258" t="s">
        <v>1520</v>
      </c>
      <c r="C258" s="4">
        <v>202512304433975</v>
      </c>
      <c r="D258" s="4" t="b">
        <f t="shared" si="17"/>
        <v>1</v>
      </c>
      <c r="E258" t="s">
        <v>20</v>
      </c>
      <c r="F258" t="s">
        <v>21</v>
      </c>
      <c r="G258" t="s">
        <v>392</v>
      </c>
      <c r="H258" t="str">
        <f>VLOOKUP(C258,'[1]Erogati mag-giu 2026_791_old'!$B:$E,4,FALSE)</f>
        <v>C343917</v>
      </c>
      <c r="I258" t="b">
        <f t="shared" si="13"/>
        <v>1</v>
      </c>
      <c r="J258" s="14">
        <v>46149</v>
      </c>
      <c r="K258" s="14">
        <v>46149</v>
      </c>
      <c r="L258" t="s">
        <v>20</v>
      </c>
      <c r="M258" s="14">
        <v>46188</v>
      </c>
      <c r="N258" s="14">
        <v>46149</v>
      </c>
      <c r="O258" t="s">
        <v>20</v>
      </c>
      <c r="P258">
        <v>-83.41</v>
      </c>
      <c r="Q258">
        <f>VLOOKUP(G258,'[1]Erogati mag-giu 2026_791_old'!$A:$W,12,FALSE)</f>
        <v>-83.41</v>
      </c>
      <c r="R258">
        <f t="shared" si="14"/>
        <v>0</v>
      </c>
      <c r="S258">
        <v>-83.41</v>
      </c>
      <c r="T258">
        <f>VLOOKUP(G258,'[1]Erogati mag-giu 2026_791_old'!$A:$W,13,FALSE)</f>
        <v>-83.41</v>
      </c>
      <c r="U258">
        <f t="shared" si="15"/>
        <v>0</v>
      </c>
      <c r="V258">
        <v>-83.41</v>
      </c>
      <c r="W258">
        <f>VLOOKUP(G258,'[1]Erogati mag-giu 2026_791_old'!$A:$W,14,FALSE)</f>
        <v>-83.41</v>
      </c>
      <c r="X258">
        <f t="shared" si="16"/>
        <v>0</v>
      </c>
      <c r="Y258" t="s">
        <v>158</v>
      </c>
      <c r="Z258" t="str">
        <f>VLOOKUP(G258,'[2]Erogati mag-giu 2026_791_old'!$D:$T,11,FALSE)</f>
        <v>indiretto</v>
      </c>
      <c r="AA258" t="b">
        <v>1</v>
      </c>
      <c r="AF258" t="s">
        <v>20</v>
      </c>
      <c r="AG258" t="s">
        <v>20</v>
      </c>
    </row>
    <row r="259" spans="1:33">
      <c r="A259" s="13" t="s">
        <v>393</v>
      </c>
      <c r="B259" t="s">
        <v>1521</v>
      </c>
      <c r="C259" s="4">
        <v>202512304435523</v>
      </c>
      <c r="D259" s="4" t="b">
        <f t="shared" si="17"/>
        <v>1</v>
      </c>
      <c r="E259" t="s">
        <v>20</v>
      </c>
      <c r="F259" t="s">
        <v>21</v>
      </c>
      <c r="G259" t="s">
        <v>394</v>
      </c>
      <c r="H259" t="str">
        <f>VLOOKUP(C259,'[1]Erogati mag-giu 2026_791_old'!$B:$E,4,FALSE)</f>
        <v>C314744</v>
      </c>
      <c r="I259" t="b">
        <f t="shared" si="13"/>
        <v>1</v>
      </c>
      <c r="J259" s="14">
        <v>46149</v>
      </c>
      <c r="K259" s="14">
        <v>46149</v>
      </c>
      <c r="L259" t="s">
        <v>20</v>
      </c>
      <c r="M259" s="14">
        <v>46188</v>
      </c>
      <c r="N259" s="14">
        <v>46149</v>
      </c>
      <c r="O259" t="s">
        <v>20</v>
      </c>
      <c r="P259">
        <v>-35.08</v>
      </c>
      <c r="Q259">
        <f>VLOOKUP(G259,'[1]Erogati mag-giu 2026_791_old'!$A:$W,12,FALSE)</f>
        <v>-35.08</v>
      </c>
      <c r="R259">
        <f t="shared" si="14"/>
        <v>0</v>
      </c>
      <c r="S259">
        <v>-35.08</v>
      </c>
      <c r="T259">
        <f>VLOOKUP(G259,'[1]Erogati mag-giu 2026_791_old'!$A:$W,13,FALSE)</f>
        <v>-35.08</v>
      </c>
      <c r="U259">
        <f t="shared" si="15"/>
        <v>0</v>
      </c>
      <c r="V259">
        <v>-35.08</v>
      </c>
      <c r="W259">
        <f>VLOOKUP(G259,'[1]Erogati mag-giu 2026_791_old'!$A:$W,14,FALSE)</f>
        <v>-35.08</v>
      </c>
      <c r="X259">
        <f t="shared" si="16"/>
        <v>0</v>
      </c>
      <c r="Y259" t="s">
        <v>158</v>
      </c>
      <c r="Z259" t="str">
        <f>VLOOKUP(G259,'[2]Erogati mag-giu 2026_791_old'!$D:$T,11,FALSE)</f>
        <v>indiretto</v>
      </c>
      <c r="AA259" t="b">
        <v>1</v>
      </c>
      <c r="AF259" t="s">
        <v>20</v>
      </c>
      <c r="AG259" t="s">
        <v>20</v>
      </c>
    </row>
    <row r="260" spans="1:33">
      <c r="A260" s="13" t="s">
        <v>395</v>
      </c>
      <c r="B260" t="s">
        <v>1522</v>
      </c>
      <c r="C260" s="4">
        <v>202512304437502</v>
      </c>
      <c r="D260" s="4" t="b">
        <f t="shared" si="17"/>
        <v>1</v>
      </c>
      <c r="E260" t="s">
        <v>20</v>
      </c>
      <c r="F260" t="s">
        <v>21</v>
      </c>
      <c r="G260" t="s">
        <v>396</v>
      </c>
      <c r="H260" t="str">
        <f>VLOOKUP(C260,'[1]Erogati mag-giu 2026_791_old'!$B:$E,4,FALSE)</f>
        <v>C311042</v>
      </c>
      <c r="I260" t="b">
        <f t="shared" ref="I260:I323" si="18">EXACT(G260,H260)</f>
        <v>1</v>
      </c>
      <c r="J260" s="14">
        <v>46149</v>
      </c>
      <c r="K260" s="14">
        <v>46149</v>
      </c>
      <c r="L260" t="s">
        <v>20</v>
      </c>
      <c r="M260" s="14">
        <v>46188</v>
      </c>
      <c r="N260" s="14">
        <v>46149</v>
      </c>
      <c r="O260" t="s">
        <v>20</v>
      </c>
      <c r="P260">
        <v>-175.39</v>
      </c>
      <c r="Q260">
        <f>VLOOKUP(G260,'[1]Erogati mag-giu 2026_791_old'!$A:$W,12,FALSE)</f>
        <v>-175.39</v>
      </c>
      <c r="R260">
        <f t="shared" ref="R260:R323" si="19">P260-Q260</f>
        <v>0</v>
      </c>
      <c r="S260">
        <v>-175.39</v>
      </c>
      <c r="T260">
        <f>VLOOKUP(G260,'[1]Erogati mag-giu 2026_791_old'!$A:$W,13,FALSE)</f>
        <v>-175.39</v>
      </c>
      <c r="U260">
        <f t="shared" ref="U260:U323" si="20">S260-T260</f>
        <v>0</v>
      </c>
      <c r="V260">
        <v>-175.39</v>
      </c>
      <c r="W260">
        <f>VLOOKUP(G260,'[1]Erogati mag-giu 2026_791_old'!$A:$W,14,FALSE)</f>
        <v>-175.39</v>
      </c>
      <c r="X260">
        <f t="shared" ref="X260:X323" si="21">V260-W260</f>
        <v>0</v>
      </c>
      <c r="Y260" t="s">
        <v>158</v>
      </c>
      <c r="Z260" t="str">
        <f>VLOOKUP(G260,'[2]Erogati mag-giu 2026_791_old'!$D:$T,11,FALSE)</f>
        <v>indiretto</v>
      </c>
      <c r="AA260" t="b">
        <v>1</v>
      </c>
      <c r="AF260" t="s">
        <v>20</v>
      </c>
      <c r="AG260" t="s">
        <v>20</v>
      </c>
    </row>
    <row r="261" spans="1:33">
      <c r="A261" s="13" t="s">
        <v>397</v>
      </c>
      <c r="B261" t="s">
        <v>1523</v>
      </c>
      <c r="C261" s="4">
        <v>202512304455957</v>
      </c>
      <c r="D261" s="4" t="b">
        <f t="shared" si="17"/>
        <v>1</v>
      </c>
      <c r="E261" t="s">
        <v>20</v>
      </c>
      <c r="F261" t="s">
        <v>21</v>
      </c>
      <c r="G261" t="s">
        <v>398</v>
      </c>
      <c r="H261" t="str">
        <f>VLOOKUP(C261,'[1]Erogati mag-giu 2026_791_old'!$B:$E,4,FALSE)</f>
        <v>C312993</v>
      </c>
      <c r="I261" t="b">
        <f t="shared" si="18"/>
        <v>1</v>
      </c>
      <c r="J261" s="14">
        <v>46149</v>
      </c>
      <c r="K261" s="14">
        <v>46149</v>
      </c>
      <c r="L261" t="s">
        <v>20</v>
      </c>
      <c r="M261" s="14">
        <v>46188</v>
      </c>
      <c r="N261" s="14">
        <v>46149</v>
      </c>
      <c r="O261" t="s">
        <v>20</v>
      </c>
      <c r="P261">
        <v>-158.44999999999999</v>
      </c>
      <c r="Q261">
        <f>VLOOKUP(G261,'[1]Erogati mag-giu 2026_791_old'!$A:$W,12,FALSE)</f>
        <v>-158.44999999999999</v>
      </c>
      <c r="R261">
        <f t="shared" si="19"/>
        <v>0</v>
      </c>
      <c r="S261">
        <v>-158.44999999999999</v>
      </c>
      <c r="T261">
        <f>VLOOKUP(G261,'[1]Erogati mag-giu 2026_791_old'!$A:$W,13,FALSE)</f>
        <v>-158.44999999999999</v>
      </c>
      <c r="U261">
        <f t="shared" si="20"/>
        <v>0</v>
      </c>
      <c r="V261">
        <v>-158.44999999999999</v>
      </c>
      <c r="W261">
        <f>VLOOKUP(G261,'[1]Erogati mag-giu 2026_791_old'!$A:$W,14,FALSE)</f>
        <v>-158.44999999999999</v>
      </c>
      <c r="X261">
        <f t="shared" si="21"/>
        <v>0</v>
      </c>
      <c r="Y261" t="s">
        <v>158</v>
      </c>
      <c r="Z261" t="str">
        <f>VLOOKUP(G261,'[2]Erogati mag-giu 2026_791_old'!$D:$T,11,FALSE)</f>
        <v>indiretto</v>
      </c>
      <c r="AA261" t="b">
        <v>1</v>
      </c>
      <c r="AF261" t="s">
        <v>20</v>
      </c>
      <c r="AG261" t="s">
        <v>20</v>
      </c>
    </row>
    <row r="262" spans="1:33">
      <c r="A262" s="13" t="s">
        <v>399</v>
      </c>
      <c r="B262" t="s">
        <v>1524</v>
      </c>
      <c r="C262" s="4">
        <v>202512304460027</v>
      </c>
      <c r="D262" s="4" t="b">
        <f t="shared" si="17"/>
        <v>1</v>
      </c>
      <c r="E262" t="s">
        <v>20</v>
      </c>
      <c r="F262" t="s">
        <v>21</v>
      </c>
      <c r="G262" t="s">
        <v>400</v>
      </c>
      <c r="H262" t="str">
        <f>VLOOKUP(C262,'[1]Erogati mag-giu 2026_791_old'!$B:$E,4,FALSE)</f>
        <v>C343909</v>
      </c>
      <c r="I262" t="b">
        <f t="shared" si="18"/>
        <v>1</v>
      </c>
      <c r="J262" s="14">
        <v>46149</v>
      </c>
      <c r="K262" s="14">
        <v>46149</v>
      </c>
      <c r="L262" t="s">
        <v>20</v>
      </c>
      <c r="M262" s="14">
        <v>46188</v>
      </c>
      <c r="N262" s="14">
        <v>46149</v>
      </c>
      <c r="O262" t="s">
        <v>20</v>
      </c>
      <c r="P262">
        <v>-94.71</v>
      </c>
      <c r="Q262">
        <f>VLOOKUP(G262,'[1]Erogati mag-giu 2026_791_old'!$A:$W,12,FALSE)</f>
        <v>-94.71</v>
      </c>
      <c r="R262">
        <f t="shared" si="19"/>
        <v>0</v>
      </c>
      <c r="S262">
        <v>-94.71</v>
      </c>
      <c r="T262">
        <f>VLOOKUP(G262,'[1]Erogati mag-giu 2026_791_old'!$A:$W,13,FALSE)</f>
        <v>-94.71</v>
      </c>
      <c r="U262">
        <f t="shared" si="20"/>
        <v>0</v>
      </c>
      <c r="V262">
        <v>-94.71</v>
      </c>
      <c r="W262">
        <f>VLOOKUP(G262,'[1]Erogati mag-giu 2026_791_old'!$A:$W,14,FALSE)</f>
        <v>-94.71</v>
      </c>
      <c r="X262">
        <f t="shared" si="21"/>
        <v>0</v>
      </c>
      <c r="Y262" t="s">
        <v>158</v>
      </c>
      <c r="Z262" t="str">
        <f>VLOOKUP(G262,'[2]Erogati mag-giu 2026_791_old'!$D:$T,11,FALSE)</f>
        <v>indiretto</v>
      </c>
      <c r="AA262" t="b">
        <v>1</v>
      </c>
      <c r="AF262" t="s">
        <v>20</v>
      </c>
      <c r="AG262" t="s">
        <v>20</v>
      </c>
    </row>
    <row r="263" spans="1:33">
      <c r="A263" s="13" t="s">
        <v>401</v>
      </c>
      <c r="B263" t="s">
        <v>1525</v>
      </c>
      <c r="C263" s="4">
        <v>202512304464209</v>
      </c>
      <c r="D263" s="4" t="b">
        <f t="shared" si="17"/>
        <v>1</v>
      </c>
      <c r="E263" t="s">
        <v>20</v>
      </c>
      <c r="F263" t="s">
        <v>21</v>
      </c>
      <c r="G263" t="s">
        <v>402</v>
      </c>
      <c r="H263" t="str">
        <f>VLOOKUP(C263,'[1]Erogati mag-giu 2026_791_old'!$B:$E,4,FALSE)</f>
        <v>C343904</v>
      </c>
      <c r="I263" t="b">
        <f t="shared" si="18"/>
        <v>1</v>
      </c>
      <c r="J263" s="14">
        <v>46149</v>
      </c>
      <c r="K263" s="14">
        <v>46149</v>
      </c>
      <c r="L263" t="s">
        <v>20</v>
      </c>
      <c r="M263" s="14">
        <v>46188</v>
      </c>
      <c r="N263" s="14">
        <v>46149</v>
      </c>
      <c r="O263" t="s">
        <v>20</v>
      </c>
      <c r="P263">
        <v>-55.6</v>
      </c>
      <c r="Q263">
        <f>VLOOKUP(G263,'[1]Erogati mag-giu 2026_791_old'!$A:$W,12,FALSE)</f>
        <v>-55.6</v>
      </c>
      <c r="R263">
        <f t="shared" si="19"/>
        <v>0</v>
      </c>
      <c r="S263">
        <v>-55.6</v>
      </c>
      <c r="T263">
        <f>VLOOKUP(G263,'[1]Erogati mag-giu 2026_791_old'!$A:$W,13,FALSE)</f>
        <v>-55.6</v>
      </c>
      <c r="U263">
        <f t="shared" si="20"/>
        <v>0</v>
      </c>
      <c r="V263">
        <v>-55.6</v>
      </c>
      <c r="W263">
        <f>VLOOKUP(G263,'[1]Erogati mag-giu 2026_791_old'!$A:$W,14,FALSE)</f>
        <v>-55.6</v>
      </c>
      <c r="X263">
        <f t="shared" si="21"/>
        <v>0</v>
      </c>
      <c r="Y263" t="s">
        <v>158</v>
      </c>
      <c r="Z263" t="str">
        <f>VLOOKUP(G263,'[2]Erogati mag-giu 2026_791_old'!$D:$T,11,FALSE)</f>
        <v>indiretto</v>
      </c>
      <c r="AA263" t="b">
        <v>1</v>
      </c>
      <c r="AF263" t="s">
        <v>20</v>
      </c>
      <c r="AG263" t="s">
        <v>20</v>
      </c>
    </row>
    <row r="264" spans="1:33">
      <c r="A264" s="13" t="s">
        <v>403</v>
      </c>
      <c r="B264" t="s">
        <v>1526</v>
      </c>
      <c r="C264" s="4">
        <v>202512304472519</v>
      </c>
      <c r="D264" s="4" t="b">
        <f t="shared" si="17"/>
        <v>1</v>
      </c>
      <c r="E264" t="s">
        <v>20</v>
      </c>
      <c r="F264" t="s">
        <v>21</v>
      </c>
      <c r="G264" t="s">
        <v>404</v>
      </c>
      <c r="H264" t="str">
        <f>VLOOKUP(C264,'[1]Erogati mag-giu 2026_791_old'!$B:$E,4,FALSE)</f>
        <v>C320208</v>
      </c>
      <c r="I264" t="b">
        <f t="shared" si="18"/>
        <v>1</v>
      </c>
      <c r="J264" s="14">
        <v>46149</v>
      </c>
      <c r="K264" s="14">
        <v>46149</v>
      </c>
      <c r="L264" t="s">
        <v>20</v>
      </c>
      <c r="M264" s="14">
        <v>46188</v>
      </c>
      <c r="N264" s="14">
        <v>46149</v>
      </c>
      <c r="O264" t="s">
        <v>20</v>
      </c>
      <c r="P264">
        <v>-105.23</v>
      </c>
      <c r="Q264">
        <f>VLOOKUP(G264,'[1]Erogati mag-giu 2026_791_old'!$A:$W,12,FALSE)</f>
        <v>-105.23</v>
      </c>
      <c r="R264">
        <f t="shared" si="19"/>
        <v>0</v>
      </c>
      <c r="S264">
        <v>-105.23</v>
      </c>
      <c r="T264">
        <f>VLOOKUP(G264,'[1]Erogati mag-giu 2026_791_old'!$A:$W,13,FALSE)</f>
        <v>-105.23</v>
      </c>
      <c r="U264">
        <f t="shared" si="20"/>
        <v>0</v>
      </c>
      <c r="V264">
        <v>-105.23</v>
      </c>
      <c r="W264">
        <f>VLOOKUP(G264,'[1]Erogati mag-giu 2026_791_old'!$A:$W,14,FALSE)</f>
        <v>-105.23</v>
      </c>
      <c r="X264">
        <f t="shared" si="21"/>
        <v>0</v>
      </c>
      <c r="Y264" t="s">
        <v>158</v>
      </c>
      <c r="Z264" t="str">
        <f>VLOOKUP(G264,'[2]Erogati mag-giu 2026_791_old'!$D:$T,11,FALSE)</f>
        <v>indiretto</v>
      </c>
      <c r="AA264" t="b">
        <v>1</v>
      </c>
      <c r="AF264" t="s">
        <v>20</v>
      </c>
      <c r="AG264" t="s">
        <v>20</v>
      </c>
    </row>
    <row r="265" spans="1:33">
      <c r="A265" s="13" t="s">
        <v>405</v>
      </c>
      <c r="B265" t="s">
        <v>1527</v>
      </c>
      <c r="C265" s="4">
        <v>202512304489730</v>
      </c>
      <c r="D265" s="4" t="b">
        <f t="shared" ref="D265:D328" si="22">EXACT(B265,C265)</f>
        <v>1</v>
      </c>
      <c r="E265" t="s">
        <v>20</v>
      </c>
      <c r="F265" t="s">
        <v>21</v>
      </c>
      <c r="G265" t="s">
        <v>406</v>
      </c>
      <c r="H265" t="str">
        <f>VLOOKUP(C265,'[1]Erogati mag-giu 2026_791_old'!$B:$E,4,FALSE)</f>
        <v>C343128</v>
      </c>
      <c r="I265" t="b">
        <f t="shared" si="18"/>
        <v>1</v>
      </c>
      <c r="J265" s="14">
        <v>46149</v>
      </c>
      <c r="K265" s="14">
        <v>46149</v>
      </c>
      <c r="L265" t="s">
        <v>20</v>
      </c>
      <c r="M265" s="14">
        <v>46188</v>
      </c>
      <c r="N265" s="14">
        <v>46149</v>
      </c>
      <c r="O265" t="s">
        <v>20</v>
      </c>
      <c r="P265">
        <v>-31.57</v>
      </c>
      <c r="Q265">
        <f>VLOOKUP(G265,'[1]Erogati mag-giu 2026_791_old'!$A:$W,12,FALSE)</f>
        <v>-31.57</v>
      </c>
      <c r="R265">
        <f t="shared" si="19"/>
        <v>0</v>
      </c>
      <c r="S265">
        <v>-31.57</v>
      </c>
      <c r="T265">
        <f>VLOOKUP(G265,'[1]Erogati mag-giu 2026_791_old'!$A:$W,13,FALSE)</f>
        <v>-31.57</v>
      </c>
      <c r="U265">
        <f t="shared" si="20"/>
        <v>0</v>
      </c>
      <c r="V265">
        <v>-31.57</v>
      </c>
      <c r="W265">
        <f>VLOOKUP(G265,'[1]Erogati mag-giu 2026_791_old'!$A:$W,14,FALSE)</f>
        <v>-31.57</v>
      </c>
      <c r="X265">
        <f t="shared" si="21"/>
        <v>0</v>
      </c>
      <c r="Y265" t="s">
        <v>158</v>
      </c>
      <c r="Z265" t="str">
        <f>VLOOKUP(G265,'[2]Erogati mag-giu 2026_791_old'!$D:$T,11,FALSE)</f>
        <v>indiretto</v>
      </c>
      <c r="AA265" t="b">
        <v>1</v>
      </c>
      <c r="AF265" t="s">
        <v>20</v>
      </c>
      <c r="AG265" t="s">
        <v>20</v>
      </c>
    </row>
    <row r="266" spans="1:33">
      <c r="A266" s="13" t="s">
        <v>407</v>
      </c>
      <c r="B266" t="s">
        <v>1528</v>
      </c>
      <c r="C266" s="4">
        <v>202601306499127</v>
      </c>
      <c r="D266" s="4" t="b">
        <f t="shared" si="22"/>
        <v>1</v>
      </c>
      <c r="E266" t="s">
        <v>20</v>
      </c>
      <c r="F266" t="s">
        <v>21</v>
      </c>
      <c r="G266" t="s">
        <v>408</v>
      </c>
      <c r="H266" t="str">
        <f>VLOOKUP(C266,'[1]Erogati mag-giu 2026_791_old'!$B:$E,4,FALSE)</f>
        <v>C337666</v>
      </c>
      <c r="I266" t="b">
        <f t="shared" si="18"/>
        <v>1</v>
      </c>
      <c r="J266" s="14">
        <v>46179</v>
      </c>
      <c r="K266" s="14">
        <v>46179</v>
      </c>
      <c r="L266" t="s">
        <v>20</v>
      </c>
      <c r="M266" s="14">
        <v>46188</v>
      </c>
      <c r="N266" s="14">
        <v>46179</v>
      </c>
      <c r="O266" t="s">
        <v>20</v>
      </c>
      <c r="P266">
        <v>-99.39</v>
      </c>
      <c r="Q266">
        <f>VLOOKUP(G266,'[1]Erogati mag-giu 2026_791_old'!$A:$W,12,FALSE)</f>
        <v>-99.39</v>
      </c>
      <c r="R266">
        <f t="shared" si="19"/>
        <v>0</v>
      </c>
      <c r="S266">
        <v>-99.39</v>
      </c>
      <c r="T266">
        <f>VLOOKUP(G266,'[1]Erogati mag-giu 2026_791_old'!$A:$W,13,FALSE)</f>
        <v>-99.39</v>
      </c>
      <c r="U266">
        <f t="shared" si="20"/>
        <v>0</v>
      </c>
      <c r="V266">
        <v>-99.39</v>
      </c>
      <c r="W266">
        <f>VLOOKUP(G266,'[1]Erogati mag-giu 2026_791_old'!$A:$W,14,FALSE)</f>
        <v>-99.39</v>
      </c>
      <c r="X266">
        <f t="shared" si="21"/>
        <v>0</v>
      </c>
      <c r="Y266" t="s">
        <v>158</v>
      </c>
      <c r="Z266" t="str">
        <f>VLOOKUP(G266,'[2]Erogati mag-giu 2026_791_old'!$D:$T,11,FALSE)</f>
        <v>indiretto</v>
      </c>
      <c r="AA266" t="b">
        <v>1</v>
      </c>
      <c r="AF266" t="s">
        <v>20</v>
      </c>
      <c r="AG266" t="s">
        <v>20</v>
      </c>
    </row>
    <row r="267" spans="1:33">
      <c r="A267" s="13" t="s">
        <v>409</v>
      </c>
      <c r="B267" t="s">
        <v>1529</v>
      </c>
      <c r="C267" s="4">
        <v>202601306508823</v>
      </c>
      <c r="D267" s="4" t="b">
        <f t="shared" si="22"/>
        <v>1</v>
      </c>
      <c r="E267" t="s">
        <v>20</v>
      </c>
      <c r="F267" t="s">
        <v>21</v>
      </c>
      <c r="G267" t="s">
        <v>410</v>
      </c>
      <c r="H267" t="str">
        <f>VLOOKUP(C267,'[1]Erogati mag-giu 2026_791_old'!$B:$E,4,FALSE)</f>
        <v>C344248</v>
      </c>
      <c r="I267" t="b">
        <f t="shared" si="18"/>
        <v>1</v>
      </c>
      <c r="J267" s="14">
        <v>46179</v>
      </c>
      <c r="K267" s="14">
        <v>46179</v>
      </c>
      <c r="L267" t="s">
        <v>20</v>
      </c>
      <c r="M267" s="14">
        <v>46188</v>
      </c>
      <c r="N267" s="14">
        <v>46179</v>
      </c>
      <c r="O267" t="s">
        <v>20</v>
      </c>
      <c r="P267">
        <v>-131.29</v>
      </c>
      <c r="Q267">
        <f>VLOOKUP(G267,'[1]Erogati mag-giu 2026_791_old'!$A:$W,12,FALSE)</f>
        <v>-131.29</v>
      </c>
      <c r="R267">
        <f t="shared" si="19"/>
        <v>0</v>
      </c>
      <c r="S267">
        <v>-131.29</v>
      </c>
      <c r="T267">
        <f>VLOOKUP(G267,'[1]Erogati mag-giu 2026_791_old'!$A:$W,13,FALSE)</f>
        <v>-131.29</v>
      </c>
      <c r="U267">
        <f t="shared" si="20"/>
        <v>0</v>
      </c>
      <c r="V267">
        <v>-131.29</v>
      </c>
      <c r="W267">
        <f>VLOOKUP(G267,'[1]Erogati mag-giu 2026_791_old'!$A:$W,14,FALSE)</f>
        <v>-131.29</v>
      </c>
      <c r="X267">
        <f t="shared" si="21"/>
        <v>0</v>
      </c>
      <c r="Y267" t="s">
        <v>158</v>
      </c>
      <c r="Z267" t="str">
        <f>VLOOKUP(G267,'[2]Erogati mag-giu 2026_791_old'!$D:$T,11,FALSE)</f>
        <v>indiretto</v>
      </c>
      <c r="AA267" t="b">
        <v>1</v>
      </c>
      <c r="AF267" t="s">
        <v>20</v>
      </c>
      <c r="AG267" t="s">
        <v>20</v>
      </c>
    </row>
    <row r="268" spans="1:33">
      <c r="A268" s="13" t="s">
        <v>411</v>
      </c>
      <c r="B268" t="s">
        <v>1530</v>
      </c>
      <c r="C268" s="4">
        <v>202601306515768</v>
      </c>
      <c r="D268" s="4" t="b">
        <f t="shared" si="22"/>
        <v>1</v>
      </c>
      <c r="E268" t="s">
        <v>20</v>
      </c>
      <c r="F268" t="s">
        <v>21</v>
      </c>
      <c r="G268" t="s">
        <v>412</v>
      </c>
      <c r="H268" t="str">
        <f>VLOOKUP(C268,'[1]Erogati mag-giu 2026_791_old'!$B:$E,4,FALSE)</f>
        <v>C319959</v>
      </c>
      <c r="I268" t="b">
        <f t="shared" si="18"/>
        <v>1</v>
      </c>
      <c r="J268" s="14">
        <v>46179</v>
      </c>
      <c r="K268" s="14">
        <v>46179</v>
      </c>
      <c r="L268" t="s">
        <v>20</v>
      </c>
      <c r="M268" s="14">
        <v>46188</v>
      </c>
      <c r="N268" s="14">
        <v>46179</v>
      </c>
      <c r="O268" t="s">
        <v>20</v>
      </c>
      <c r="P268">
        <v>-165.65</v>
      </c>
      <c r="Q268">
        <f>VLOOKUP(G268,'[1]Erogati mag-giu 2026_791_old'!$A:$W,12,FALSE)</f>
        <v>-165.65</v>
      </c>
      <c r="R268">
        <f t="shared" si="19"/>
        <v>0</v>
      </c>
      <c r="S268">
        <v>-165.65</v>
      </c>
      <c r="T268">
        <f>VLOOKUP(G268,'[1]Erogati mag-giu 2026_791_old'!$A:$W,13,FALSE)</f>
        <v>-165.65</v>
      </c>
      <c r="U268">
        <f t="shared" si="20"/>
        <v>0</v>
      </c>
      <c r="V268">
        <v>-165.65</v>
      </c>
      <c r="W268">
        <f>VLOOKUP(G268,'[1]Erogati mag-giu 2026_791_old'!$A:$W,14,FALSE)</f>
        <v>-165.65</v>
      </c>
      <c r="X268">
        <f t="shared" si="21"/>
        <v>0</v>
      </c>
      <c r="Y268" t="s">
        <v>158</v>
      </c>
      <c r="Z268" t="str">
        <f>VLOOKUP(G268,'[2]Erogati mag-giu 2026_791_old'!$D:$T,11,FALSE)</f>
        <v>indiretto</v>
      </c>
      <c r="AA268" t="b">
        <v>1</v>
      </c>
      <c r="AF268" t="s">
        <v>20</v>
      </c>
      <c r="AG268" t="s">
        <v>20</v>
      </c>
    </row>
    <row r="269" spans="1:33">
      <c r="A269" s="13" t="s">
        <v>413</v>
      </c>
      <c r="B269" t="s">
        <v>1531</v>
      </c>
      <c r="C269" s="4">
        <v>202601306516163</v>
      </c>
      <c r="D269" s="4" t="b">
        <f t="shared" si="22"/>
        <v>1</v>
      </c>
      <c r="E269" t="s">
        <v>20</v>
      </c>
      <c r="F269" t="s">
        <v>21</v>
      </c>
      <c r="G269" t="s">
        <v>414</v>
      </c>
      <c r="H269" t="str">
        <f>VLOOKUP(C269,'[1]Erogati mag-giu 2026_791_old'!$B:$E,4,FALSE)</f>
        <v>C317546</v>
      </c>
      <c r="I269" t="b">
        <f t="shared" si="18"/>
        <v>1</v>
      </c>
      <c r="J269" s="14">
        <v>46179</v>
      </c>
      <c r="K269" s="14">
        <v>46179</v>
      </c>
      <c r="L269" t="s">
        <v>20</v>
      </c>
      <c r="M269" s="14">
        <v>46188</v>
      </c>
      <c r="N269" s="14">
        <v>46179</v>
      </c>
      <c r="O269" t="s">
        <v>20</v>
      </c>
      <c r="P269">
        <v>-137.87</v>
      </c>
      <c r="Q269">
        <f>VLOOKUP(G269,'[1]Erogati mag-giu 2026_791_old'!$A:$W,12,FALSE)</f>
        <v>-137.87</v>
      </c>
      <c r="R269">
        <f t="shared" si="19"/>
        <v>0</v>
      </c>
      <c r="S269">
        <v>-137.87</v>
      </c>
      <c r="T269">
        <f>VLOOKUP(G269,'[1]Erogati mag-giu 2026_791_old'!$A:$W,13,FALSE)</f>
        <v>-137.87</v>
      </c>
      <c r="U269">
        <f t="shared" si="20"/>
        <v>0</v>
      </c>
      <c r="V269">
        <v>-137.87</v>
      </c>
      <c r="W269">
        <f>VLOOKUP(G269,'[1]Erogati mag-giu 2026_791_old'!$A:$W,14,FALSE)</f>
        <v>-137.87</v>
      </c>
      <c r="X269">
        <f t="shared" si="21"/>
        <v>0</v>
      </c>
      <c r="Y269" t="s">
        <v>158</v>
      </c>
      <c r="Z269" t="str">
        <f>VLOOKUP(G269,'[2]Erogati mag-giu 2026_791_old'!$D:$T,11,FALSE)</f>
        <v>indiretto</v>
      </c>
      <c r="AA269" t="b">
        <v>1</v>
      </c>
      <c r="AF269" t="s">
        <v>20</v>
      </c>
      <c r="AG269" t="s">
        <v>20</v>
      </c>
    </row>
    <row r="270" spans="1:33">
      <c r="A270" s="13" t="s">
        <v>415</v>
      </c>
      <c r="B270" t="s">
        <v>1532</v>
      </c>
      <c r="C270" s="4">
        <v>202601306516388</v>
      </c>
      <c r="D270" s="4" t="b">
        <f t="shared" si="22"/>
        <v>1</v>
      </c>
      <c r="E270" t="s">
        <v>20</v>
      </c>
      <c r="F270" t="s">
        <v>21</v>
      </c>
      <c r="G270" t="s">
        <v>416</v>
      </c>
      <c r="H270" t="str">
        <f>VLOOKUP(C270,'[1]Erogati mag-giu 2026_791_old'!$B:$E,4,FALSE)</f>
        <v>C344178</v>
      </c>
      <c r="I270" t="b">
        <f t="shared" si="18"/>
        <v>1</v>
      </c>
      <c r="J270" s="14">
        <v>46179</v>
      </c>
      <c r="K270" s="14">
        <v>46179</v>
      </c>
      <c r="L270" t="s">
        <v>20</v>
      </c>
      <c r="M270" s="14">
        <v>46188</v>
      </c>
      <c r="N270" s="14">
        <v>46179</v>
      </c>
      <c r="O270" t="s">
        <v>20</v>
      </c>
      <c r="P270">
        <v>-37.950000000000003</v>
      </c>
      <c r="Q270">
        <f>VLOOKUP(G270,'[1]Erogati mag-giu 2026_791_old'!$A:$W,12,FALSE)</f>
        <v>-37.950000000000003</v>
      </c>
      <c r="R270">
        <f t="shared" si="19"/>
        <v>0</v>
      </c>
      <c r="S270">
        <v>-37.950000000000003</v>
      </c>
      <c r="T270">
        <f>VLOOKUP(G270,'[1]Erogati mag-giu 2026_791_old'!$A:$W,13,FALSE)</f>
        <v>-37.950000000000003</v>
      </c>
      <c r="U270">
        <f t="shared" si="20"/>
        <v>0</v>
      </c>
      <c r="V270">
        <v>-37.950000000000003</v>
      </c>
      <c r="W270">
        <f>VLOOKUP(G270,'[1]Erogati mag-giu 2026_791_old'!$A:$W,14,FALSE)</f>
        <v>-37.950000000000003</v>
      </c>
      <c r="X270">
        <f t="shared" si="21"/>
        <v>0</v>
      </c>
      <c r="Y270" t="s">
        <v>158</v>
      </c>
      <c r="Z270" t="str">
        <f>VLOOKUP(G270,'[2]Erogati mag-giu 2026_791_old'!$D:$T,11,FALSE)</f>
        <v>indiretto</v>
      </c>
      <c r="AA270" t="b">
        <v>1</v>
      </c>
      <c r="AF270" t="s">
        <v>20</v>
      </c>
      <c r="AG270" t="s">
        <v>20</v>
      </c>
    </row>
    <row r="271" spans="1:33">
      <c r="A271" s="13" t="s">
        <v>417</v>
      </c>
      <c r="B271" t="s">
        <v>1533</v>
      </c>
      <c r="C271" s="4">
        <v>202601306519198</v>
      </c>
      <c r="D271" s="4" t="b">
        <f t="shared" si="22"/>
        <v>1</v>
      </c>
      <c r="E271" t="s">
        <v>20</v>
      </c>
      <c r="F271" t="s">
        <v>21</v>
      </c>
      <c r="G271" t="s">
        <v>418</v>
      </c>
      <c r="H271" t="str">
        <f>VLOOKUP(C271,'[1]Erogati mag-giu 2026_791_old'!$B:$E,4,FALSE)</f>
        <v>C317813</v>
      </c>
      <c r="I271" t="b">
        <f t="shared" si="18"/>
        <v>1</v>
      </c>
      <c r="J271" s="14">
        <v>46179</v>
      </c>
      <c r="K271" s="14">
        <v>46179</v>
      </c>
      <c r="L271" t="s">
        <v>20</v>
      </c>
      <c r="M271" s="14">
        <v>46188</v>
      </c>
      <c r="N271" s="14">
        <v>46179</v>
      </c>
      <c r="O271" t="s">
        <v>20</v>
      </c>
      <c r="P271">
        <v>-23.97</v>
      </c>
      <c r="Q271">
        <f>VLOOKUP(G271,'[1]Erogati mag-giu 2026_791_old'!$A:$W,12,FALSE)</f>
        <v>-23.97</v>
      </c>
      <c r="R271">
        <f t="shared" si="19"/>
        <v>0</v>
      </c>
      <c r="S271">
        <v>-23.97</v>
      </c>
      <c r="T271">
        <f>VLOOKUP(G271,'[1]Erogati mag-giu 2026_791_old'!$A:$W,13,FALSE)</f>
        <v>-23.97</v>
      </c>
      <c r="U271">
        <f t="shared" si="20"/>
        <v>0</v>
      </c>
      <c r="V271">
        <v>-23.97</v>
      </c>
      <c r="W271">
        <f>VLOOKUP(G271,'[1]Erogati mag-giu 2026_791_old'!$A:$W,14,FALSE)</f>
        <v>-23.97</v>
      </c>
      <c r="X271">
        <f t="shared" si="21"/>
        <v>0</v>
      </c>
      <c r="Y271" t="s">
        <v>158</v>
      </c>
      <c r="Z271" t="str">
        <f>VLOOKUP(G271,'[2]Erogati mag-giu 2026_791_old'!$D:$T,11,FALSE)</f>
        <v>indiretto</v>
      </c>
      <c r="AA271" t="b">
        <v>1</v>
      </c>
      <c r="AF271" t="s">
        <v>20</v>
      </c>
      <c r="AG271" t="s">
        <v>20</v>
      </c>
    </row>
    <row r="272" spans="1:33">
      <c r="A272" s="13" t="s">
        <v>419</v>
      </c>
      <c r="B272" t="s">
        <v>1534</v>
      </c>
      <c r="C272" s="4">
        <v>202601306524308</v>
      </c>
      <c r="D272" s="4" t="b">
        <f t="shared" si="22"/>
        <v>1</v>
      </c>
      <c r="E272" t="s">
        <v>20</v>
      </c>
      <c r="F272" t="s">
        <v>21</v>
      </c>
      <c r="G272" t="s">
        <v>420</v>
      </c>
      <c r="H272" t="str">
        <f>VLOOKUP(C272,'[1]Erogati mag-giu 2026_791_old'!$B:$E,4,FALSE)</f>
        <v>C310819</v>
      </c>
      <c r="I272" t="b">
        <f t="shared" si="18"/>
        <v>1</v>
      </c>
      <c r="J272" s="14">
        <v>46179</v>
      </c>
      <c r="K272" s="14">
        <v>46179</v>
      </c>
      <c r="L272" t="s">
        <v>20</v>
      </c>
      <c r="M272" s="14">
        <v>46188</v>
      </c>
      <c r="N272" s="14">
        <v>46179</v>
      </c>
      <c r="O272" t="s">
        <v>20</v>
      </c>
      <c r="P272">
        <v>-132.52000000000001</v>
      </c>
      <c r="Q272">
        <f>VLOOKUP(G272,'[1]Erogati mag-giu 2026_791_old'!$A:$W,12,FALSE)</f>
        <v>-132.52000000000001</v>
      </c>
      <c r="R272">
        <f t="shared" si="19"/>
        <v>0</v>
      </c>
      <c r="S272">
        <v>-132.52000000000001</v>
      </c>
      <c r="T272">
        <f>VLOOKUP(G272,'[1]Erogati mag-giu 2026_791_old'!$A:$W,13,FALSE)</f>
        <v>-132.52000000000001</v>
      </c>
      <c r="U272">
        <f t="shared" si="20"/>
        <v>0</v>
      </c>
      <c r="V272">
        <v>-132.52000000000001</v>
      </c>
      <c r="W272">
        <f>VLOOKUP(G272,'[1]Erogati mag-giu 2026_791_old'!$A:$W,14,FALSE)</f>
        <v>-132.52000000000001</v>
      </c>
      <c r="X272">
        <f t="shared" si="21"/>
        <v>0</v>
      </c>
      <c r="Y272" t="s">
        <v>158</v>
      </c>
      <c r="Z272" t="str">
        <f>VLOOKUP(G272,'[2]Erogati mag-giu 2026_791_old'!$D:$T,11,FALSE)</f>
        <v>indiretto</v>
      </c>
      <c r="AA272" t="b">
        <v>1</v>
      </c>
      <c r="AF272" t="s">
        <v>20</v>
      </c>
      <c r="AG272" t="s">
        <v>20</v>
      </c>
    </row>
    <row r="273" spans="1:33">
      <c r="A273" s="13" t="s">
        <v>421</v>
      </c>
      <c r="B273" t="s">
        <v>1535</v>
      </c>
      <c r="C273" s="4">
        <v>202601306525679</v>
      </c>
      <c r="D273" s="4" t="b">
        <f t="shared" si="22"/>
        <v>1</v>
      </c>
      <c r="E273" t="s">
        <v>20</v>
      </c>
      <c r="F273" t="s">
        <v>21</v>
      </c>
      <c r="G273" t="s">
        <v>422</v>
      </c>
      <c r="H273" t="str">
        <f>VLOOKUP(C273,'[1]Erogati mag-giu 2026_791_old'!$B:$E,4,FALSE)</f>
        <v>C337598</v>
      </c>
      <c r="I273" t="b">
        <f t="shared" si="18"/>
        <v>1</v>
      </c>
      <c r="J273" s="14">
        <v>46179</v>
      </c>
      <c r="K273" s="14">
        <v>46179</v>
      </c>
      <c r="L273" t="s">
        <v>20</v>
      </c>
      <c r="M273" s="14">
        <v>46188</v>
      </c>
      <c r="N273" s="14">
        <v>46179</v>
      </c>
      <c r="O273" t="s">
        <v>20</v>
      </c>
      <c r="P273">
        <v>-165.65</v>
      </c>
      <c r="Q273">
        <f>VLOOKUP(G273,'[1]Erogati mag-giu 2026_791_old'!$A:$W,12,FALSE)</f>
        <v>-165.65</v>
      </c>
      <c r="R273">
        <f t="shared" si="19"/>
        <v>0</v>
      </c>
      <c r="S273">
        <v>-165.65</v>
      </c>
      <c r="T273">
        <f>VLOOKUP(G273,'[1]Erogati mag-giu 2026_791_old'!$A:$W,13,FALSE)</f>
        <v>-165.65</v>
      </c>
      <c r="U273">
        <f t="shared" si="20"/>
        <v>0</v>
      </c>
      <c r="V273">
        <v>-165.65</v>
      </c>
      <c r="W273">
        <f>VLOOKUP(G273,'[1]Erogati mag-giu 2026_791_old'!$A:$W,14,FALSE)</f>
        <v>-165.65</v>
      </c>
      <c r="X273">
        <f t="shared" si="21"/>
        <v>0</v>
      </c>
      <c r="Y273" t="s">
        <v>158</v>
      </c>
      <c r="Z273" t="str">
        <f>VLOOKUP(G273,'[2]Erogati mag-giu 2026_791_old'!$D:$T,11,FALSE)</f>
        <v>indiretto</v>
      </c>
      <c r="AA273" t="b">
        <v>1</v>
      </c>
      <c r="AF273" t="s">
        <v>20</v>
      </c>
      <c r="AG273" t="s">
        <v>20</v>
      </c>
    </row>
    <row r="274" spans="1:33">
      <c r="A274" s="13" t="s">
        <v>423</v>
      </c>
      <c r="B274" t="s">
        <v>1536</v>
      </c>
      <c r="C274" s="4">
        <v>202601306540843</v>
      </c>
      <c r="D274" s="4" t="b">
        <f t="shared" si="22"/>
        <v>1</v>
      </c>
      <c r="E274" t="s">
        <v>20</v>
      </c>
      <c r="F274" t="s">
        <v>21</v>
      </c>
      <c r="G274" t="s">
        <v>424</v>
      </c>
      <c r="H274" t="str">
        <f>VLOOKUP(C274,'[1]Erogati mag-giu 2026_791_old'!$B:$E,4,FALSE)</f>
        <v>C308856</v>
      </c>
      <c r="I274" t="b">
        <f t="shared" si="18"/>
        <v>1</v>
      </c>
      <c r="J274" s="14">
        <v>46179</v>
      </c>
      <c r="K274" s="14">
        <v>46179</v>
      </c>
      <c r="L274" t="s">
        <v>20</v>
      </c>
      <c r="M274" s="14">
        <v>46188</v>
      </c>
      <c r="N274" s="14">
        <v>46179</v>
      </c>
      <c r="O274" t="s">
        <v>20</v>
      </c>
      <c r="P274">
        <v>-132.52000000000001</v>
      </c>
      <c r="Q274">
        <f>VLOOKUP(G274,'[1]Erogati mag-giu 2026_791_old'!$A:$W,12,FALSE)</f>
        <v>-132.52000000000001</v>
      </c>
      <c r="R274">
        <f t="shared" si="19"/>
        <v>0</v>
      </c>
      <c r="S274">
        <v>-132.52000000000001</v>
      </c>
      <c r="T274">
        <f>VLOOKUP(G274,'[1]Erogati mag-giu 2026_791_old'!$A:$W,13,FALSE)</f>
        <v>-132.52000000000001</v>
      </c>
      <c r="U274">
        <f t="shared" si="20"/>
        <v>0</v>
      </c>
      <c r="V274">
        <v>-132.52000000000001</v>
      </c>
      <c r="W274">
        <f>VLOOKUP(G274,'[1]Erogati mag-giu 2026_791_old'!$A:$W,14,FALSE)</f>
        <v>-132.52000000000001</v>
      </c>
      <c r="X274">
        <f t="shared" si="21"/>
        <v>0</v>
      </c>
      <c r="Y274" t="s">
        <v>158</v>
      </c>
      <c r="Z274" t="str">
        <f>VLOOKUP(G274,'[2]Erogati mag-giu 2026_791_old'!$D:$T,11,FALSE)</f>
        <v>indiretto</v>
      </c>
      <c r="AA274" t="b">
        <v>1</v>
      </c>
      <c r="AF274" t="s">
        <v>20</v>
      </c>
      <c r="AG274" t="s">
        <v>20</v>
      </c>
    </row>
    <row r="275" spans="1:33">
      <c r="A275" s="13" t="s">
        <v>425</v>
      </c>
      <c r="B275" t="s">
        <v>1537</v>
      </c>
      <c r="C275" s="4">
        <v>202601306547210</v>
      </c>
      <c r="D275" s="4" t="b">
        <f t="shared" si="22"/>
        <v>1</v>
      </c>
      <c r="E275" t="s">
        <v>20</v>
      </c>
      <c r="F275" t="s">
        <v>21</v>
      </c>
      <c r="G275" t="s">
        <v>426</v>
      </c>
      <c r="H275" t="str">
        <f>VLOOKUP(C275,'[1]Erogati mag-giu 2026_791_old'!$B:$E,4,FALSE)</f>
        <v>C344267</v>
      </c>
      <c r="I275" t="b">
        <f t="shared" si="18"/>
        <v>1</v>
      </c>
      <c r="J275" s="14">
        <v>46179</v>
      </c>
      <c r="K275" s="14">
        <v>46179</v>
      </c>
      <c r="L275" t="s">
        <v>20</v>
      </c>
      <c r="M275" s="14">
        <v>46188</v>
      </c>
      <c r="N275" s="14">
        <v>46179</v>
      </c>
      <c r="O275" t="s">
        <v>20</v>
      </c>
      <c r="P275">
        <v>-42.73</v>
      </c>
      <c r="Q275">
        <f>VLOOKUP(G275,'[1]Erogati mag-giu 2026_791_old'!$A:$W,12,FALSE)</f>
        <v>-42.73</v>
      </c>
      <c r="R275">
        <f t="shared" si="19"/>
        <v>0</v>
      </c>
      <c r="S275">
        <v>-42.73</v>
      </c>
      <c r="T275">
        <f>VLOOKUP(G275,'[1]Erogati mag-giu 2026_791_old'!$A:$W,13,FALSE)</f>
        <v>-42.73</v>
      </c>
      <c r="U275">
        <f t="shared" si="20"/>
        <v>0</v>
      </c>
      <c r="V275">
        <v>-42.73</v>
      </c>
      <c r="W275">
        <f>VLOOKUP(G275,'[1]Erogati mag-giu 2026_791_old'!$A:$W,14,FALSE)</f>
        <v>-42.73</v>
      </c>
      <c r="X275">
        <f t="shared" si="21"/>
        <v>0</v>
      </c>
      <c r="Y275" t="s">
        <v>158</v>
      </c>
      <c r="Z275" t="str">
        <f>VLOOKUP(G275,'[2]Erogati mag-giu 2026_791_old'!$D:$T,11,FALSE)</f>
        <v>indiretto</v>
      </c>
      <c r="AA275" t="b">
        <v>1</v>
      </c>
      <c r="AF275" t="s">
        <v>20</v>
      </c>
      <c r="AG275" t="s">
        <v>20</v>
      </c>
    </row>
    <row r="276" spans="1:33">
      <c r="A276" s="13" t="s">
        <v>427</v>
      </c>
      <c r="B276" t="s">
        <v>1538</v>
      </c>
      <c r="C276" s="4">
        <v>202601306547932</v>
      </c>
      <c r="D276" s="4" t="b">
        <f t="shared" si="22"/>
        <v>1</v>
      </c>
      <c r="E276" t="s">
        <v>20</v>
      </c>
      <c r="F276" t="s">
        <v>21</v>
      </c>
      <c r="G276" t="s">
        <v>428</v>
      </c>
      <c r="H276" t="str">
        <f>VLOOKUP(C276,'[1]Erogati mag-giu 2026_791_old'!$B:$E,4,FALSE)</f>
        <v>C307876</v>
      </c>
      <c r="I276" t="b">
        <f t="shared" si="18"/>
        <v>1</v>
      </c>
      <c r="J276" s="14">
        <v>46179</v>
      </c>
      <c r="K276" s="14">
        <v>46179</v>
      </c>
      <c r="L276" t="s">
        <v>20</v>
      </c>
      <c r="M276" s="14">
        <v>46188</v>
      </c>
      <c r="N276" s="14">
        <v>46179</v>
      </c>
      <c r="O276" t="s">
        <v>20</v>
      </c>
      <c r="P276">
        <v>-99.39</v>
      </c>
      <c r="Q276">
        <f>VLOOKUP(G276,'[1]Erogati mag-giu 2026_791_old'!$A:$W,12,FALSE)</f>
        <v>-99.39</v>
      </c>
      <c r="R276">
        <f t="shared" si="19"/>
        <v>0</v>
      </c>
      <c r="S276">
        <v>-99.39</v>
      </c>
      <c r="T276">
        <f>VLOOKUP(G276,'[1]Erogati mag-giu 2026_791_old'!$A:$W,13,FALSE)</f>
        <v>-99.39</v>
      </c>
      <c r="U276">
        <f t="shared" si="20"/>
        <v>0</v>
      </c>
      <c r="V276">
        <v>-99.39</v>
      </c>
      <c r="W276">
        <f>VLOOKUP(G276,'[1]Erogati mag-giu 2026_791_old'!$A:$W,14,FALSE)</f>
        <v>-99.39</v>
      </c>
      <c r="X276">
        <f t="shared" si="21"/>
        <v>0</v>
      </c>
      <c r="Y276" t="s">
        <v>158</v>
      </c>
      <c r="Z276" t="str">
        <f>VLOOKUP(G276,'[2]Erogati mag-giu 2026_791_old'!$D:$T,11,FALSE)</f>
        <v>indiretto</v>
      </c>
      <c r="AA276" t="b">
        <v>1</v>
      </c>
      <c r="AF276" t="s">
        <v>20</v>
      </c>
      <c r="AG276" t="s">
        <v>20</v>
      </c>
    </row>
    <row r="277" spans="1:33">
      <c r="A277" s="13" t="s">
        <v>429</v>
      </c>
      <c r="B277" t="s">
        <v>1539</v>
      </c>
      <c r="C277" s="4">
        <v>202601306552382</v>
      </c>
      <c r="D277" s="4" t="b">
        <f t="shared" si="22"/>
        <v>1</v>
      </c>
      <c r="E277" t="s">
        <v>20</v>
      </c>
      <c r="F277" t="s">
        <v>21</v>
      </c>
      <c r="G277" t="s">
        <v>430</v>
      </c>
      <c r="H277" t="str">
        <f>VLOOKUP(C277,'[1]Erogati mag-giu 2026_791_old'!$B:$E,4,FALSE)</f>
        <v>C337651</v>
      </c>
      <c r="I277" t="b">
        <f t="shared" si="18"/>
        <v>1</v>
      </c>
      <c r="J277" s="14">
        <v>46179</v>
      </c>
      <c r="K277" s="14">
        <v>46179</v>
      </c>
      <c r="L277" t="s">
        <v>20</v>
      </c>
      <c r="M277" s="14">
        <v>46188</v>
      </c>
      <c r="N277" s="14">
        <v>46179</v>
      </c>
      <c r="O277" t="s">
        <v>20</v>
      </c>
      <c r="P277">
        <v>-33.130000000000003</v>
      </c>
      <c r="Q277">
        <f>VLOOKUP(G277,'[1]Erogati mag-giu 2026_791_old'!$A:$W,12,FALSE)</f>
        <v>-33.130000000000003</v>
      </c>
      <c r="R277">
        <f t="shared" si="19"/>
        <v>0</v>
      </c>
      <c r="S277">
        <v>-33.130000000000003</v>
      </c>
      <c r="T277">
        <f>VLOOKUP(G277,'[1]Erogati mag-giu 2026_791_old'!$A:$W,13,FALSE)</f>
        <v>-33.130000000000003</v>
      </c>
      <c r="U277">
        <f t="shared" si="20"/>
        <v>0</v>
      </c>
      <c r="V277">
        <v>-33.130000000000003</v>
      </c>
      <c r="W277">
        <f>VLOOKUP(G277,'[1]Erogati mag-giu 2026_791_old'!$A:$W,14,FALSE)</f>
        <v>-33.130000000000003</v>
      </c>
      <c r="X277">
        <f t="shared" si="21"/>
        <v>0</v>
      </c>
      <c r="Y277" t="s">
        <v>158</v>
      </c>
      <c r="Z277" t="str">
        <f>VLOOKUP(G277,'[2]Erogati mag-giu 2026_791_old'!$D:$T,11,FALSE)</f>
        <v>indiretto</v>
      </c>
      <c r="AA277" t="b">
        <v>1</v>
      </c>
      <c r="AF277" t="s">
        <v>20</v>
      </c>
      <c r="AG277" t="s">
        <v>20</v>
      </c>
    </row>
    <row r="278" spans="1:33">
      <c r="A278" s="13" t="s">
        <v>431</v>
      </c>
      <c r="B278" t="s">
        <v>1540</v>
      </c>
      <c r="C278" s="4">
        <v>202601306554298</v>
      </c>
      <c r="D278" s="4" t="b">
        <f t="shared" si="22"/>
        <v>1</v>
      </c>
      <c r="E278" t="s">
        <v>20</v>
      </c>
      <c r="F278" t="s">
        <v>21</v>
      </c>
      <c r="G278" t="s">
        <v>432</v>
      </c>
      <c r="H278" t="str">
        <f>VLOOKUP(C278,'[1]Erogati mag-giu 2026_791_old'!$B:$E,4,FALSE)</f>
        <v>C315649</v>
      </c>
      <c r="I278" t="b">
        <f t="shared" si="18"/>
        <v>1</v>
      </c>
      <c r="J278" s="14">
        <v>46179</v>
      </c>
      <c r="K278" s="14">
        <v>46179</v>
      </c>
      <c r="L278" t="s">
        <v>20</v>
      </c>
      <c r="M278" s="14">
        <v>46188</v>
      </c>
      <c r="N278" s="14">
        <v>46179</v>
      </c>
      <c r="O278" t="s">
        <v>20</v>
      </c>
      <c r="P278">
        <v>-32.369999999999997</v>
      </c>
      <c r="Q278">
        <f>VLOOKUP(G278,'[1]Erogati mag-giu 2026_791_old'!$A:$W,12,FALSE)</f>
        <v>-32.369999999999997</v>
      </c>
      <c r="R278">
        <f t="shared" si="19"/>
        <v>0</v>
      </c>
      <c r="S278">
        <v>-32.369999999999997</v>
      </c>
      <c r="T278">
        <f>VLOOKUP(G278,'[1]Erogati mag-giu 2026_791_old'!$A:$W,13,FALSE)</f>
        <v>-32.369999999999997</v>
      </c>
      <c r="U278">
        <f t="shared" si="20"/>
        <v>0</v>
      </c>
      <c r="V278">
        <v>-32.369999999999997</v>
      </c>
      <c r="W278">
        <f>VLOOKUP(G278,'[1]Erogati mag-giu 2026_791_old'!$A:$W,14,FALSE)</f>
        <v>-32.369999999999997</v>
      </c>
      <c r="X278">
        <f t="shared" si="21"/>
        <v>0</v>
      </c>
      <c r="Y278" t="s">
        <v>158</v>
      </c>
      <c r="Z278" t="str">
        <f>VLOOKUP(G278,'[2]Erogati mag-giu 2026_791_old'!$D:$T,11,FALSE)</f>
        <v>indiretto</v>
      </c>
      <c r="AA278" t="b">
        <v>1</v>
      </c>
      <c r="AF278" t="s">
        <v>20</v>
      </c>
      <c r="AG278" t="s">
        <v>20</v>
      </c>
    </row>
    <row r="279" spans="1:33">
      <c r="A279" s="13" t="s">
        <v>433</v>
      </c>
      <c r="B279" t="s">
        <v>1541</v>
      </c>
      <c r="C279" s="4">
        <v>202601306571248</v>
      </c>
      <c r="D279" s="4" t="b">
        <f t="shared" si="22"/>
        <v>1</v>
      </c>
      <c r="E279" t="s">
        <v>20</v>
      </c>
      <c r="F279" t="s">
        <v>21</v>
      </c>
      <c r="G279" t="s">
        <v>434</v>
      </c>
      <c r="H279" t="str">
        <f>VLOOKUP(C279,'[1]Erogati mag-giu 2026_791_old'!$B:$E,4,FALSE)</f>
        <v>C309498</v>
      </c>
      <c r="I279" t="b">
        <f t="shared" si="18"/>
        <v>1</v>
      </c>
      <c r="J279" s="14">
        <v>46179</v>
      </c>
      <c r="K279" s="14">
        <v>46179</v>
      </c>
      <c r="L279" t="s">
        <v>20</v>
      </c>
      <c r="M279" s="14">
        <v>46188</v>
      </c>
      <c r="N279" s="14">
        <v>46179</v>
      </c>
      <c r="O279" t="s">
        <v>20</v>
      </c>
      <c r="P279">
        <v>-99.39</v>
      </c>
      <c r="Q279">
        <f>VLOOKUP(G279,'[1]Erogati mag-giu 2026_791_old'!$A:$W,12,FALSE)</f>
        <v>-99.39</v>
      </c>
      <c r="R279">
        <f t="shared" si="19"/>
        <v>0</v>
      </c>
      <c r="S279">
        <v>-99.39</v>
      </c>
      <c r="T279">
        <f>VLOOKUP(G279,'[1]Erogati mag-giu 2026_791_old'!$A:$W,13,FALSE)</f>
        <v>-99.39</v>
      </c>
      <c r="U279">
        <f t="shared" si="20"/>
        <v>0</v>
      </c>
      <c r="V279">
        <v>-99.39</v>
      </c>
      <c r="W279">
        <f>VLOOKUP(G279,'[1]Erogati mag-giu 2026_791_old'!$A:$W,14,FALSE)</f>
        <v>-99.39</v>
      </c>
      <c r="X279">
        <f t="shared" si="21"/>
        <v>0</v>
      </c>
      <c r="Y279" t="s">
        <v>158</v>
      </c>
      <c r="Z279" t="str">
        <f>VLOOKUP(G279,'[2]Erogati mag-giu 2026_791_old'!$D:$T,11,FALSE)</f>
        <v>indiretto</v>
      </c>
      <c r="AA279" t="b">
        <v>1</v>
      </c>
      <c r="AF279" t="s">
        <v>20</v>
      </c>
      <c r="AG279" t="s">
        <v>20</v>
      </c>
    </row>
    <row r="280" spans="1:33">
      <c r="A280" s="13" t="s">
        <v>435</v>
      </c>
      <c r="B280" t="s">
        <v>1542</v>
      </c>
      <c r="C280" s="4">
        <v>202601306572632</v>
      </c>
      <c r="D280" s="4" t="b">
        <f t="shared" si="22"/>
        <v>1</v>
      </c>
      <c r="E280" t="s">
        <v>20</v>
      </c>
      <c r="F280" t="s">
        <v>21</v>
      </c>
      <c r="G280" s="16" t="s">
        <v>436</v>
      </c>
      <c r="H280" t="str">
        <f>VLOOKUP(C280,'[1]Erogati mag-giu 2026_791_old'!$B:$E,4,FALSE)</f>
        <v>C311889</v>
      </c>
      <c r="I280" t="b">
        <f t="shared" si="18"/>
        <v>1</v>
      </c>
      <c r="J280" s="14">
        <v>46179</v>
      </c>
      <c r="K280" s="14">
        <v>46179</v>
      </c>
      <c r="L280" t="s">
        <v>20</v>
      </c>
      <c r="M280" s="14">
        <v>46188</v>
      </c>
      <c r="N280" s="14">
        <v>46179</v>
      </c>
      <c r="O280" t="s">
        <v>20</v>
      </c>
      <c r="P280">
        <v>-99.39</v>
      </c>
      <c r="Q280">
        <f>VLOOKUP(G280,'[1]Erogati mag-giu 2026_791_old'!$A:$W,12,FALSE)</f>
        <v>-99.39</v>
      </c>
      <c r="R280">
        <f t="shared" si="19"/>
        <v>0</v>
      </c>
      <c r="S280">
        <v>-99.39</v>
      </c>
      <c r="T280">
        <f>VLOOKUP(G280,'[1]Erogati mag-giu 2026_791_old'!$A:$W,13,FALSE)</f>
        <v>-99.39</v>
      </c>
      <c r="U280">
        <f t="shared" si="20"/>
        <v>0</v>
      </c>
      <c r="V280">
        <v>-99.39</v>
      </c>
      <c r="W280">
        <f>VLOOKUP(G280,'[1]Erogati mag-giu 2026_791_old'!$A:$W,14,FALSE)</f>
        <v>-99.39</v>
      </c>
      <c r="X280">
        <f t="shared" si="21"/>
        <v>0</v>
      </c>
      <c r="Y280" t="s">
        <v>158</v>
      </c>
      <c r="Z280" t="str">
        <f>VLOOKUP(G280,'[2]Erogati mag-giu 2026_791_old'!$D:$T,11,FALSE)</f>
        <v>indiretto</v>
      </c>
      <c r="AA280" t="b">
        <v>1</v>
      </c>
      <c r="AF280" t="s">
        <v>20</v>
      </c>
      <c r="AG280" t="s">
        <v>20</v>
      </c>
    </row>
    <row r="281" spans="1:33">
      <c r="A281" s="13" t="s">
        <v>437</v>
      </c>
      <c r="B281" t="s">
        <v>1543</v>
      </c>
      <c r="C281" s="4">
        <v>202601306575010</v>
      </c>
      <c r="D281" s="4" t="b">
        <f t="shared" si="22"/>
        <v>1</v>
      </c>
      <c r="E281" t="s">
        <v>20</v>
      </c>
      <c r="F281" t="s">
        <v>21</v>
      </c>
      <c r="G281" t="s">
        <v>438</v>
      </c>
      <c r="H281" t="str">
        <f>VLOOKUP(C281,'[1]Erogati mag-giu 2026_791_old'!$B:$E,4,FALSE)</f>
        <v>C344254</v>
      </c>
      <c r="I281" t="b">
        <f t="shared" si="18"/>
        <v>1</v>
      </c>
      <c r="J281" s="14">
        <v>46179</v>
      </c>
      <c r="K281" s="14">
        <v>46179</v>
      </c>
      <c r="L281" t="s">
        <v>20</v>
      </c>
      <c r="M281" s="14">
        <v>46188</v>
      </c>
      <c r="N281" s="14">
        <v>46179</v>
      </c>
      <c r="O281" t="s">
        <v>20</v>
      </c>
      <c r="P281">
        <v>-66.260000000000005</v>
      </c>
      <c r="Q281">
        <f>VLOOKUP(G281,'[1]Erogati mag-giu 2026_791_old'!$A:$W,12,FALSE)</f>
        <v>-66.260000000000005</v>
      </c>
      <c r="R281">
        <f t="shared" si="19"/>
        <v>0</v>
      </c>
      <c r="S281">
        <v>-66.260000000000005</v>
      </c>
      <c r="T281">
        <f>VLOOKUP(G281,'[1]Erogati mag-giu 2026_791_old'!$A:$W,13,FALSE)</f>
        <v>-66.260000000000005</v>
      </c>
      <c r="U281">
        <f t="shared" si="20"/>
        <v>0</v>
      </c>
      <c r="V281">
        <v>-66.260000000000005</v>
      </c>
      <c r="W281">
        <f>VLOOKUP(G281,'[1]Erogati mag-giu 2026_791_old'!$A:$W,14,FALSE)</f>
        <v>-66.260000000000005</v>
      </c>
      <c r="X281">
        <f t="shared" si="21"/>
        <v>0</v>
      </c>
      <c r="Y281" t="s">
        <v>158</v>
      </c>
      <c r="Z281" t="str">
        <f>VLOOKUP(G281,'[2]Erogati mag-giu 2026_791_old'!$D:$T,11,FALSE)</f>
        <v>indiretto</v>
      </c>
      <c r="AA281" t="b">
        <v>1</v>
      </c>
      <c r="AF281" t="s">
        <v>20</v>
      </c>
      <c r="AG281" t="s">
        <v>20</v>
      </c>
    </row>
    <row r="282" spans="1:33">
      <c r="A282" s="13" t="s">
        <v>439</v>
      </c>
      <c r="B282" t="s">
        <v>1544</v>
      </c>
      <c r="C282" s="4">
        <v>202601306584205</v>
      </c>
      <c r="D282" s="4" t="b">
        <f t="shared" si="22"/>
        <v>1</v>
      </c>
      <c r="E282" t="s">
        <v>20</v>
      </c>
      <c r="F282" t="s">
        <v>21</v>
      </c>
      <c r="G282" t="s">
        <v>440</v>
      </c>
      <c r="H282" t="str">
        <f>VLOOKUP(C282,'[1]Erogati mag-giu 2026_791_old'!$B:$E,4,FALSE)</f>
        <v>C344170</v>
      </c>
      <c r="I282" t="b">
        <f t="shared" si="18"/>
        <v>1</v>
      </c>
      <c r="J282" s="14">
        <v>46179</v>
      </c>
      <c r="K282" s="14">
        <v>46179</v>
      </c>
      <c r="L282" t="s">
        <v>20</v>
      </c>
      <c r="M282" s="14">
        <v>46188</v>
      </c>
      <c r="N282" s="14">
        <v>46179</v>
      </c>
      <c r="O282" t="s">
        <v>20</v>
      </c>
      <c r="P282">
        <v>-64.739999999999995</v>
      </c>
      <c r="Q282">
        <f>VLOOKUP(G282,'[1]Erogati mag-giu 2026_791_old'!$A:$W,12,FALSE)</f>
        <v>-64.739999999999995</v>
      </c>
      <c r="R282">
        <f t="shared" si="19"/>
        <v>0</v>
      </c>
      <c r="S282">
        <v>-64.739999999999995</v>
      </c>
      <c r="T282">
        <f>VLOOKUP(G282,'[1]Erogati mag-giu 2026_791_old'!$A:$W,13,FALSE)</f>
        <v>-64.739999999999995</v>
      </c>
      <c r="U282">
        <f t="shared" si="20"/>
        <v>0</v>
      </c>
      <c r="V282">
        <v>-64.739999999999995</v>
      </c>
      <c r="W282">
        <f>VLOOKUP(G282,'[1]Erogati mag-giu 2026_791_old'!$A:$W,14,FALSE)</f>
        <v>-64.739999999999995</v>
      </c>
      <c r="X282">
        <f t="shared" si="21"/>
        <v>0</v>
      </c>
      <c r="Y282" t="s">
        <v>158</v>
      </c>
      <c r="Z282" t="str">
        <f>VLOOKUP(G282,'[2]Erogati mag-giu 2026_791_old'!$D:$T,11,FALSE)</f>
        <v>indiretto</v>
      </c>
      <c r="AA282" t="b">
        <v>1</v>
      </c>
      <c r="AF282" t="s">
        <v>20</v>
      </c>
      <c r="AG282" t="s">
        <v>20</v>
      </c>
    </row>
    <row r="283" spans="1:33">
      <c r="A283" s="13" t="s">
        <v>441</v>
      </c>
      <c r="B283" t="s">
        <v>1545</v>
      </c>
      <c r="C283" s="4">
        <v>202601306587235</v>
      </c>
      <c r="D283" s="4" t="b">
        <f t="shared" si="22"/>
        <v>1</v>
      </c>
      <c r="E283" t="s">
        <v>20</v>
      </c>
      <c r="F283" t="s">
        <v>21</v>
      </c>
      <c r="G283" t="s">
        <v>442</v>
      </c>
      <c r="H283" t="str">
        <f>VLOOKUP(C283,'[1]Erogati mag-giu 2026_791_old'!$B:$E,4,FALSE)</f>
        <v>C321378</v>
      </c>
      <c r="I283" t="b">
        <f t="shared" si="18"/>
        <v>1</v>
      </c>
      <c r="J283" s="14">
        <v>46179</v>
      </c>
      <c r="K283" s="14">
        <v>46179</v>
      </c>
      <c r="L283" t="s">
        <v>20</v>
      </c>
      <c r="M283" s="14">
        <v>46188</v>
      </c>
      <c r="N283" s="14">
        <v>46179</v>
      </c>
      <c r="O283" t="s">
        <v>20</v>
      </c>
      <c r="P283">
        <v>-33.130000000000003</v>
      </c>
      <c r="Q283">
        <f>VLOOKUP(G283,'[1]Erogati mag-giu 2026_791_old'!$A:$W,12,FALSE)</f>
        <v>-33.130000000000003</v>
      </c>
      <c r="R283">
        <f t="shared" si="19"/>
        <v>0</v>
      </c>
      <c r="S283">
        <v>-33.130000000000003</v>
      </c>
      <c r="T283">
        <f>VLOOKUP(G283,'[1]Erogati mag-giu 2026_791_old'!$A:$W,13,FALSE)</f>
        <v>-33.130000000000003</v>
      </c>
      <c r="U283">
        <f t="shared" si="20"/>
        <v>0</v>
      </c>
      <c r="V283">
        <v>-33.130000000000003</v>
      </c>
      <c r="W283">
        <f>VLOOKUP(G283,'[1]Erogati mag-giu 2026_791_old'!$A:$W,14,FALSE)</f>
        <v>-33.130000000000003</v>
      </c>
      <c r="X283">
        <f t="shared" si="21"/>
        <v>0</v>
      </c>
      <c r="Y283" t="s">
        <v>158</v>
      </c>
      <c r="Z283" t="str">
        <f>VLOOKUP(G283,'[2]Erogati mag-giu 2026_791_old'!$D:$T,11,FALSE)</f>
        <v>indiretto</v>
      </c>
      <c r="AA283" t="b">
        <v>1</v>
      </c>
      <c r="AF283" t="s">
        <v>20</v>
      </c>
      <c r="AG283" t="s">
        <v>20</v>
      </c>
    </row>
    <row r="284" spans="1:33">
      <c r="A284" s="13" t="s">
        <v>443</v>
      </c>
      <c r="B284" t="s">
        <v>1546</v>
      </c>
      <c r="C284" s="4">
        <v>202601306589197</v>
      </c>
      <c r="D284" s="4" t="b">
        <f t="shared" si="22"/>
        <v>1</v>
      </c>
      <c r="E284" t="s">
        <v>20</v>
      </c>
      <c r="F284" t="s">
        <v>21</v>
      </c>
      <c r="G284" t="s">
        <v>444</v>
      </c>
      <c r="H284" t="str">
        <f>VLOOKUP(C284,'[1]Erogati mag-giu 2026_791_old'!$B:$E,4,FALSE)</f>
        <v>C091341</v>
      </c>
      <c r="I284" t="b">
        <f t="shared" si="18"/>
        <v>1</v>
      </c>
      <c r="J284" s="14">
        <v>46179</v>
      </c>
      <c r="K284" s="14">
        <v>46179</v>
      </c>
      <c r="L284" t="s">
        <v>20</v>
      </c>
      <c r="M284" s="14">
        <v>46188</v>
      </c>
      <c r="N284" s="14">
        <v>46179</v>
      </c>
      <c r="O284" t="s">
        <v>20</v>
      </c>
      <c r="P284">
        <v>-33.130000000000003</v>
      </c>
      <c r="Q284">
        <f>VLOOKUP(G284,'[1]Erogati mag-giu 2026_791_old'!$A:$W,12,FALSE)</f>
        <v>-33.130000000000003</v>
      </c>
      <c r="R284">
        <f t="shared" si="19"/>
        <v>0</v>
      </c>
      <c r="S284">
        <v>-33.130000000000003</v>
      </c>
      <c r="T284">
        <f>VLOOKUP(G284,'[1]Erogati mag-giu 2026_791_old'!$A:$W,13,FALSE)</f>
        <v>-33.130000000000003</v>
      </c>
      <c r="U284">
        <f t="shared" si="20"/>
        <v>0</v>
      </c>
      <c r="V284">
        <v>-33.130000000000003</v>
      </c>
      <c r="W284">
        <f>VLOOKUP(G284,'[1]Erogati mag-giu 2026_791_old'!$A:$W,14,FALSE)</f>
        <v>-33.130000000000003</v>
      </c>
      <c r="X284">
        <f t="shared" si="21"/>
        <v>0</v>
      </c>
      <c r="Y284" t="s">
        <v>158</v>
      </c>
      <c r="Z284" t="str">
        <f>VLOOKUP(G284,'[2]Erogati mag-giu 2026_791_old'!$D:$T,11,FALSE)</f>
        <v>indiretto</v>
      </c>
      <c r="AA284" t="b">
        <v>1</v>
      </c>
      <c r="AF284" t="s">
        <v>20</v>
      </c>
      <c r="AG284" t="s">
        <v>20</v>
      </c>
    </row>
    <row r="285" spans="1:33">
      <c r="A285" s="13" t="s">
        <v>445</v>
      </c>
      <c r="B285" t="s">
        <v>1547</v>
      </c>
      <c r="C285" s="4">
        <v>202601306589609</v>
      </c>
      <c r="D285" s="4" t="b">
        <f t="shared" si="22"/>
        <v>1</v>
      </c>
      <c r="E285" t="s">
        <v>20</v>
      </c>
      <c r="F285" t="s">
        <v>21</v>
      </c>
      <c r="G285" t="s">
        <v>446</v>
      </c>
      <c r="H285" t="str">
        <f>VLOOKUP(C285,'[1]Erogati mag-giu 2026_791_old'!$B:$E,4,FALSE)</f>
        <v>C344235</v>
      </c>
      <c r="I285" t="b">
        <f t="shared" si="18"/>
        <v>1</v>
      </c>
      <c r="J285" s="14">
        <v>46179</v>
      </c>
      <c r="K285" s="14">
        <v>46179</v>
      </c>
      <c r="L285" t="s">
        <v>20</v>
      </c>
      <c r="M285" s="14">
        <v>46188</v>
      </c>
      <c r="N285" s="14">
        <v>46179</v>
      </c>
      <c r="O285" t="s">
        <v>20</v>
      </c>
      <c r="P285">
        <v>-52.52</v>
      </c>
      <c r="Q285">
        <f>VLOOKUP(G285,'[1]Erogati mag-giu 2026_791_old'!$A:$W,12,FALSE)</f>
        <v>-52.52</v>
      </c>
      <c r="R285">
        <f t="shared" si="19"/>
        <v>0</v>
      </c>
      <c r="S285">
        <v>-52.52</v>
      </c>
      <c r="T285">
        <f>VLOOKUP(G285,'[1]Erogati mag-giu 2026_791_old'!$A:$W,13,FALSE)</f>
        <v>-52.52</v>
      </c>
      <c r="U285">
        <f t="shared" si="20"/>
        <v>0</v>
      </c>
      <c r="V285">
        <v>-52.52</v>
      </c>
      <c r="W285">
        <f>VLOOKUP(G285,'[1]Erogati mag-giu 2026_791_old'!$A:$W,14,FALSE)</f>
        <v>-52.52</v>
      </c>
      <c r="X285">
        <f t="shared" si="21"/>
        <v>0</v>
      </c>
      <c r="Y285" t="s">
        <v>158</v>
      </c>
      <c r="Z285" t="str">
        <f>VLOOKUP(G285,'[2]Erogati mag-giu 2026_791_old'!$D:$T,11,FALSE)</f>
        <v>indiretto</v>
      </c>
      <c r="AA285" t="b">
        <v>1</v>
      </c>
      <c r="AF285" t="s">
        <v>20</v>
      </c>
      <c r="AG285" t="s">
        <v>20</v>
      </c>
    </row>
    <row r="286" spans="1:33">
      <c r="A286" s="13" t="s">
        <v>447</v>
      </c>
      <c r="B286" t="s">
        <v>1548</v>
      </c>
      <c r="C286" s="4">
        <v>202601306592571</v>
      </c>
      <c r="D286" s="4" t="b">
        <f t="shared" si="22"/>
        <v>1</v>
      </c>
      <c r="E286" t="s">
        <v>20</v>
      </c>
      <c r="F286" t="s">
        <v>21</v>
      </c>
      <c r="G286" t="s">
        <v>448</v>
      </c>
      <c r="H286" t="str">
        <f>VLOOKUP(C286,'[1]Erogati mag-giu 2026_791_old'!$B:$E,4,FALSE)</f>
        <v>C310223</v>
      </c>
      <c r="I286" t="b">
        <f t="shared" si="18"/>
        <v>1</v>
      </c>
      <c r="J286" s="14">
        <v>46179</v>
      </c>
      <c r="K286" s="14">
        <v>46179</v>
      </c>
      <c r="L286" t="s">
        <v>20</v>
      </c>
      <c r="M286" s="14">
        <v>46188</v>
      </c>
      <c r="N286" s="14">
        <v>46179</v>
      </c>
      <c r="O286" t="s">
        <v>20</v>
      </c>
      <c r="P286">
        <v>-108.96</v>
      </c>
      <c r="Q286">
        <f>VLOOKUP(G286,'[1]Erogati mag-giu 2026_791_old'!$A:$W,12,FALSE)</f>
        <v>-108.96</v>
      </c>
      <c r="R286">
        <f t="shared" si="19"/>
        <v>0</v>
      </c>
      <c r="S286">
        <v>-108.96</v>
      </c>
      <c r="T286">
        <f>VLOOKUP(G286,'[1]Erogati mag-giu 2026_791_old'!$A:$W,13,FALSE)</f>
        <v>-108.96</v>
      </c>
      <c r="U286">
        <f t="shared" si="20"/>
        <v>0</v>
      </c>
      <c r="V286">
        <v>-108.96</v>
      </c>
      <c r="W286">
        <f>VLOOKUP(G286,'[1]Erogati mag-giu 2026_791_old'!$A:$W,14,FALSE)</f>
        <v>-108.96</v>
      </c>
      <c r="X286">
        <f t="shared" si="21"/>
        <v>0</v>
      </c>
      <c r="Y286" t="s">
        <v>158</v>
      </c>
      <c r="Z286" t="str">
        <f>VLOOKUP(G286,'[2]Erogati mag-giu 2026_791_old'!$D:$T,11,FALSE)</f>
        <v>indiretto</v>
      </c>
      <c r="AA286" t="b">
        <v>1</v>
      </c>
      <c r="AF286" t="s">
        <v>20</v>
      </c>
      <c r="AG286" t="s">
        <v>20</v>
      </c>
    </row>
    <row r="287" spans="1:33">
      <c r="A287" s="13" t="s">
        <v>449</v>
      </c>
      <c r="B287" t="s">
        <v>1549</v>
      </c>
      <c r="C287" s="4">
        <v>202601306595531</v>
      </c>
      <c r="D287" s="4" t="b">
        <f t="shared" si="22"/>
        <v>1</v>
      </c>
      <c r="E287" t="s">
        <v>20</v>
      </c>
      <c r="F287" t="s">
        <v>21</v>
      </c>
      <c r="G287" t="s">
        <v>450</v>
      </c>
      <c r="H287" t="str">
        <f>VLOOKUP(C287,'[1]Erogati mag-giu 2026_791_old'!$B:$E,4,FALSE)</f>
        <v>C337724</v>
      </c>
      <c r="I287" t="b">
        <f t="shared" si="18"/>
        <v>1</v>
      </c>
      <c r="J287" s="14">
        <v>46179</v>
      </c>
      <c r="K287" s="14">
        <v>46179</v>
      </c>
      <c r="L287" t="s">
        <v>20</v>
      </c>
      <c r="M287" s="14">
        <v>46188</v>
      </c>
      <c r="N287" s="14">
        <v>46179</v>
      </c>
      <c r="O287" t="s">
        <v>20</v>
      </c>
      <c r="P287">
        <v>-30.03</v>
      </c>
      <c r="Q287">
        <f>VLOOKUP(G287,'[1]Erogati mag-giu 2026_791_old'!$A:$W,12,FALSE)</f>
        <v>-30.03</v>
      </c>
      <c r="R287">
        <f t="shared" si="19"/>
        <v>0</v>
      </c>
      <c r="S287">
        <v>-30.03</v>
      </c>
      <c r="T287">
        <f>VLOOKUP(G287,'[1]Erogati mag-giu 2026_791_old'!$A:$W,13,FALSE)</f>
        <v>-30.03</v>
      </c>
      <c r="U287">
        <f t="shared" si="20"/>
        <v>0</v>
      </c>
      <c r="V287">
        <v>-30.03</v>
      </c>
      <c r="W287">
        <f>VLOOKUP(G287,'[1]Erogati mag-giu 2026_791_old'!$A:$W,14,FALSE)</f>
        <v>-30.03</v>
      </c>
      <c r="X287">
        <f t="shared" si="21"/>
        <v>0</v>
      </c>
      <c r="Y287" t="s">
        <v>158</v>
      </c>
      <c r="Z287" t="str">
        <f>VLOOKUP(G287,'[2]Erogati mag-giu 2026_791_old'!$D:$T,11,FALSE)</f>
        <v>indiretto</v>
      </c>
      <c r="AA287" t="b">
        <v>1</v>
      </c>
      <c r="AF287" t="s">
        <v>20</v>
      </c>
      <c r="AG287" t="s">
        <v>20</v>
      </c>
    </row>
    <row r="288" spans="1:33">
      <c r="A288" s="13" t="s">
        <v>451</v>
      </c>
      <c r="B288" t="s">
        <v>1550</v>
      </c>
      <c r="C288" s="4">
        <v>202601306596269</v>
      </c>
      <c r="D288" s="4" t="b">
        <f t="shared" si="22"/>
        <v>1</v>
      </c>
      <c r="E288" t="s">
        <v>20</v>
      </c>
      <c r="F288" t="s">
        <v>21</v>
      </c>
      <c r="G288" t="s">
        <v>452</v>
      </c>
      <c r="H288" t="str">
        <f>VLOOKUP(C288,'[1]Erogati mag-giu 2026_791_old'!$B:$E,4,FALSE)</f>
        <v>C344234</v>
      </c>
      <c r="I288" t="b">
        <f t="shared" si="18"/>
        <v>1</v>
      </c>
      <c r="J288" s="14">
        <v>46179</v>
      </c>
      <c r="K288" s="14">
        <v>46179</v>
      </c>
      <c r="L288" t="s">
        <v>20</v>
      </c>
      <c r="M288" s="14">
        <v>46188</v>
      </c>
      <c r="N288" s="14">
        <v>46179</v>
      </c>
      <c r="O288" t="s">
        <v>20</v>
      </c>
      <c r="P288">
        <v>-193.3</v>
      </c>
      <c r="Q288">
        <f>VLOOKUP(G288,'[1]Erogati mag-giu 2026_791_old'!$A:$W,12,FALSE)</f>
        <v>-193.3</v>
      </c>
      <c r="R288">
        <f t="shared" si="19"/>
        <v>0</v>
      </c>
      <c r="S288">
        <v>-193.3</v>
      </c>
      <c r="T288">
        <f>VLOOKUP(G288,'[1]Erogati mag-giu 2026_791_old'!$A:$W,13,FALSE)</f>
        <v>-193.3</v>
      </c>
      <c r="U288">
        <f t="shared" si="20"/>
        <v>0</v>
      </c>
      <c r="V288">
        <v>-193.3</v>
      </c>
      <c r="W288">
        <f>VLOOKUP(G288,'[1]Erogati mag-giu 2026_791_old'!$A:$W,14,FALSE)</f>
        <v>-193.3</v>
      </c>
      <c r="X288">
        <f t="shared" si="21"/>
        <v>0</v>
      </c>
      <c r="Y288" t="s">
        <v>158</v>
      </c>
      <c r="Z288" t="str">
        <f>VLOOKUP(G288,'[2]Erogati mag-giu 2026_791_old'!$D:$T,11,FALSE)</f>
        <v>indiretto</v>
      </c>
      <c r="AA288" t="b">
        <v>1</v>
      </c>
      <c r="AF288" t="s">
        <v>20</v>
      </c>
      <c r="AG288" t="s">
        <v>20</v>
      </c>
    </row>
    <row r="289" spans="1:33">
      <c r="A289" s="13" t="s">
        <v>453</v>
      </c>
      <c r="B289" t="s">
        <v>1551</v>
      </c>
      <c r="C289" s="4">
        <v>202601306597279</v>
      </c>
      <c r="D289" s="4" t="b">
        <f t="shared" si="22"/>
        <v>1</v>
      </c>
      <c r="E289" t="s">
        <v>20</v>
      </c>
      <c r="F289" t="s">
        <v>21</v>
      </c>
      <c r="G289" t="s">
        <v>454</v>
      </c>
      <c r="H289" t="str">
        <f>VLOOKUP(C289,'[1]Erogati mag-giu 2026_791_old'!$B:$E,4,FALSE)</f>
        <v>C310840</v>
      </c>
      <c r="I289" t="b">
        <f t="shared" si="18"/>
        <v>1</v>
      </c>
      <c r="J289" s="14">
        <v>46179</v>
      </c>
      <c r="K289" s="14">
        <v>46179</v>
      </c>
      <c r="L289" t="s">
        <v>20</v>
      </c>
      <c r="M289" s="14">
        <v>46188</v>
      </c>
      <c r="N289" s="14">
        <v>46179</v>
      </c>
      <c r="O289" t="s">
        <v>20</v>
      </c>
      <c r="P289">
        <v>-99.39</v>
      </c>
      <c r="Q289">
        <f>VLOOKUP(G289,'[1]Erogati mag-giu 2026_791_old'!$A:$W,12,FALSE)</f>
        <v>-99.39</v>
      </c>
      <c r="R289">
        <f t="shared" si="19"/>
        <v>0</v>
      </c>
      <c r="S289">
        <v>-99.39</v>
      </c>
      <c r="T289">
        <f>VLOOKUP(G289,'[1]Erogati mag-giu 2026_791_old'!$A:$W,13,FALSE)</f>
        <v>-99.39</v>
      </c>
      <c r="U289">
        <f t="shared" si="20"/>
        <v>0</v>
      </c>
      <c r="V289">
        <v>-99.39</v>
      </c>
      <c r="W289">
        <f>VLOOKUP(G289,'[1]Erogati mag-giu 2026_791_old'!$A:$W,14,FALSE)</f>
        <v>-99.39</v>
      </c>
      <c r="X289">
        <f t="shared" si="21"/>
        <v>0</v>
      </c>
      <c r="Y289" t="s">
        <v>158</v>
      </c>
      <c r="Z289" t="str">
        <f>VLOOKUP(G289,'[2]Erogati mag-giu 2026_791_old'!$D:$T,11,FALSE)</f>
        <v>indiretto</v>
      </c>
      <c r="AA289" t="b">
        <v>1</v>
      </c>
      <c r="AF289" t="s">
        <v>20</v>
      </c>
      <c r="AG289" t="s">
        <v>20</v>
      </c>
    </row>
    <row r="290" spans="1:33">
      <c r="A290" s="13" t="s">
        <v>455</v>
      </c>
      <c r="B290" t="s">
        <v>1552</v>
      </c>
      <c r="C290" s="4">
        <v>202601306601887</v>
      </c>
      <c r="D290" s="4" t="b">
        <f t="shared" si="22"/>
        <v>1</v>
      </c>
      <c r="E290" t="s">
        <v>20</v>
      </c>
      <c r="F290" t="s">
        <v>21</v>
      </c>
      <c r="G290" t="s">
        <v>456</v>
      </c>
      <c r="H290" t="str">
        <f>VLOOKUP(C290,'[1]Erogati mag-giu 2026_791_old'!$B:$E,4,FALSE)</f>
        <v>C337585</v>
      </c>
      <c r="I290" t="b">
        <f t="shared" si="18"/>
        <v>1</v>
      </c>
      <c r="J290" s="14">
        <v>46179</v>
      </c>
      <c r="K290" s="14">
        <v>46179</v>
      </c>
      <c r="L290" t="s">
        <v>20</v>
      </c>
      <c r="M290" s="14">
        <v>46188</v>
      </c>
      <c r="N290" s="14">
        <v>46179</v>
      </c>
      <c r="O290" t="s">
        <v>20</v>
      </c>
      <c r="P290">
        <v>-13.29</v>
      </c>
      <c r="Q290">
        <f>VLOOKUP(G290,'[1]Erogati mag-giu 2026_791_old'!$A:$W,12,FALSE)</f>
        <v>-13.29</v>
      </c>
      <c r="R290">
        <f t="shared" si="19"/>
        <v>0</v>
      </c>
      <c r="S290">
        <v>-13.29</v>
      </c>
      <c r="T290">
        <f>VLOOKUP(G290,'[1]Erogati mag-giu 2026_791_old'!$A:$W,13,FALSE)</f>
        <v>-13.29</v>
      </c>
      <c r="U290">
        <f t="shared" si="20"/>
        <v>0</v>
      </c>
      <c r="V290">
        <v>-13.29</v>
      </c>
      <c r="W290">
        <f>VLOOKUP(G290,'[1]Erogati mag-giu 2026_791_old'!$A:$W,14,FALSE)</f>
        <v>-13.29</v>
      </c>
      <c r="X290">
        <f t="shared" si="21"/>
        <v>0</v>
      </c>
      <c r="Y290" t="s">
        <v>158</v>
      </c>
      <c r="Z290" t="str">
        <f>VLOOKUP(G290,'[2]Erogati mag-giu 2026_791_old'!$D:$T,11,FALSE)</f>
        <v>indiretto</v>
      </c>
      <c r="AA290" t="b">
        <v>1</v>
      </c>
      <c r="AF290" t="s">
        <v>20</v>
      </c>
      <c r="AG290" t="s">
        <v>20</v>
      </c>
    </row>
    <row r="291" spans="1:33">
      <c r="A291" s="13" t="s">
        <v>457</v>
      </c>
      <c r="B291" t="s">
        <v>1553</v>
      </c>
      <c r="C291" s="4">
        <v>202601306604169</v>
      </c>
      <c r="D291" s="4" t="b">
        <f t="shared" si="22"/>
        <v>1</v>
      </c>
      <c r="E291" t="s">
        <v>20</v>
      </c>
      <c r="F291" t="s">
        <v>21</v>
      </c>
      <c r="G291" t="s">
        <v>458</v>
      </c>
      <c r="H291" t="str">
        <f>VLOOKUP(C291,'[1]Erogati mag-giu 2026_791_old'!$B:$E,4,FALSE)</f>
        <v>C337513</v>
      </c>
      <c r="I291" t="b">
        <f t="shared" si="18"/>
        <v>1</v>
      </c>
      <c r="J291" s="14">
        <v>46179</v>
      </c>
      <c r="K291" s="14">
        <v>46179</v>
      </c>
      <c r="L291" t="s">
        <v>20</v>
      </c>
      <c r="M291" s="14">
        <v>46188</v>
      </c>
      <c r="N291" s="14">
        <v>46179</v>
      </c>
      <c r="O291" t="s">
        <v>20</v>
      </c>
      <c r="P291">
        <v>-165.65</v>
      </c>
      <c r="Q291">
        <f>VLOOKUP(G291,'[1]Erogati mag-giu 2026_791_old'!$A:$W,12,FALSE)</f>
        <v>-165.65</v>
      </c>
      <c r="R291">
        <f t="shared" si="19"/>
        <v>0</v>
      </c>
      <c r="S291">
        <v>-165.65</v>
      </c>
      <c r="T291">
        <f>VLOOKUP(G291,'[1]Erogati mag-giu 2026_791_old'!$A:$W,13,FALSE)</f>
        <v>-165.65</v>
      </c>
      <c r="U291">
        <f t="shared" si="20"/>
        <v>0</v>
      </c>
      <c r="V291">
        <v>-165.65</v>
      </c>
      <c r="W291">
        <f>VLOOKUP(G291,'[1]Erogati mag-giu 2026_791_old'!$A:$W,14,FALSE)</f>
        <v>-165.65</v>
      </c>
      <c r="X291">
        <f t="shared" si="21"/>
        <v>0</v>
      </c>
      <c r="Y291" t="s">
        <v>158</v>
      </c>
      <c r="Z291" t="str">
        <f>VLOOKUP(G291,'[2]Erogati mag-giu 2026_791_old'!$D:$T,11,FALSE)</f>
        <v>indiretto</v>
      </c>
      <c r="AA291" t="b">
        <v>1</v>
      </c>
      <c r="AF291" t="s">
        <v>20</v>
      </c>
      <c r="AG291" t="s">
        <v>20</v>
      </c>
    </row>
    <row r="292" spans="1:33">
      <c r="A292" s="13" t="s">
        <v>459</v>
      </c>
      <c r="B292" t="s">
        <v>1554</v>
      </c>
      <c r="C292" s="4">
        <v>202601306605329</v>
      </c>
      <c r="D292" s="4" t="b">
        <f t="shared" si="22"/>
        <v>1</v>
      </c>
      <c r="E292" t="s">
        <v>20</v>
      </c>
      <c r="F292" t="s">
        <v>21</v>
      </c>
      <c r="G292" t="s">
        <v>460</v>
      </c>
      <c r="H292" t="str">
        <f>VLOOKUP(C292,'[1]Erogati mag-giu 2026_791_old'!$B:$E,4,FALSE)</f>
        <v>C344133</v>
      </c>
      <c r="I292" t="b">
        <f t="shared" si="18"/>
        <v>1</v>
      </c>
      <c r="J292" s="14">
        <v>46179</v>
      </c>
      <c r="K292" s="14">
        <v>46179</v>
      </c>
      <c r="L292" t="s">
        <v>20</v>
      </c>
      <c r="M292" s="14">
        <v>46188</v>
      </c>
      <c r="N292" s="14">
        <v>46179</v>
      </c>
      <c r="O292" t="s">
        <v>20</v>
      </c>
      <c r="P292">
        <v>-23.97</v>
      </c>
      <c r="Q292">
        <f>VLOOKUP(G292,'[1]Erogati mag-giu 2026_791_old'!$A:$W,12,FALSE)</f>
        <v>-23.97</v>
      </c>
      <c r="R292">
        <f t="shared" si="19"/>
        <v>0</v>
      </c>
      <c r="S292">
        <v>-23.97</v>
      </c>
      <c r="T292">
        <f>VLOOKUP(G292,'[1]Erogati mag-giu 2026_791_old'!$A:$W,13,FALSE)</f>
        <v>-23.97</v>
      </c>
      <c r="U292">
        <f t="shared" si="20"/>
        <v>0</v>
      </c>
      <c r="V292">
        <v>-23.97</v>
      </c>
      <c r="W292">
        <f>VLOOKUP(G292,'[1]Erogati mag-giu 2026_791_old'!$A:$W,14,FALSE)</f>
        <v>-23.97</v>
      </c>
      <c r="X292">
        <f t="shared" si="21"/>
        <v>0</v>
      </c>
      <c r="Y292" t="s">
        <v>158</v>
      </c>
      <c r="Z292" t="str">
        <f>VLOOKUP(G292,'[2]Erogati mag-giu 2026_791_old'!$D:$T,11,FALSE)</f>
        <v>indiretto</v>
      </c>
      <c r="AA292" t="b">
        <v>1</v>
      </c>
      <c r="AF292" t="s">
        <v>20</v>
      </c>
      <c r="AG292" t="s">
        <v>20</v>
      </c>
    </row>
    <row r="293" spans="1:33">
      <c r="A293" s="13" t="s">
        <v>461</v>
      </c>
      <c r="B293" t="s">
        <v>1555</v>
      </c>
      <c r="C293" s="4">
        <v>202601306608099</v>
      </c>
      <c r="D293" s="4" t="b">
        <f t="shared" si="22"/>
        <v>1</v>
      </c>
      <c r="E293" t="s">
        <v>20</v>
      </c>
      <c r="F293" t="s">
        <v>21</v>
      </c>
      <c r="G293" t="s">
        <v>462</v>
      </c>
      <c r="H293" t="str">
        <f>VLOOKUP(C293,'[1]Erogati mag-giu 2026_791_old'!$B:$E,4,FALSE)</f>
        <v>C310622</v>
      </c>
      <c r="I293" t="b">
        <f t="shared" si="18"/>
        <v>1</v>
      </c>
      <c r="J293" s="14">
        <v>46179</v>
      </c>
      <c r="K293" s="14">
        <v>46179</v>
      </c>
      <c r="L293" t="s">
        <v>20</v>
      </c>
      <c r="M293" s="14">
        <v>46188</v>
      </c>
      <c r="N293" s="14">
        <v>46179</v>
      </c>
      <c r="O293" t="s">
        <v>20</v>
      </c>
      <c r="P293">
        <v>-165.65</v>
      </c>
      <c r="Q293">
        <f>VLOOKUP(G293,'[1]Erogati mag-giu 2026_791_old'!$A:$W,12,FALSE)</f>
        <v>-165.65</v>
      </c>
      <c r="R293">
        <f t="shared" si="19"/>
        <v>0</v>
      </c>
      <c r="S293">
        <v>-165.65</v>
      </c>
      <c r="T293">
        <f>VLOOKUP(G293,'[1]Erogati mag-giu 2026_791_old'!$A:$W,13,FALSE)</f>
        <v>-165.65</v>
      </c>
      <c r="U293">
        <f t="shared" si="20"/>
        <v>0</v>
      </c>
      <c r="V293">
        <v>-165.65</v>
      </c>
      <c r="W293">
        <f>VLOOKUP(G293,'[1]Erogati mag-giu 2026_791_old'!$A:$W,14,FALSE)</f>
        <v>-165.65</v>
      </c>
      <c r="X293">
        <f t="shared" si="21"/>
        <v>0</v>
      </c>
      <c r="Y293" t="s">
        <v>158</v>
      </c>
      <c r="Z293" t="str">
        <f>VLOOKUP(G293,'[2]Erogati mag-giu 2026_791_old'!$D:$T,11,FALSE)</f>
        <v>indiretto</v>
      </c>
      <c r="AA293" t="b">
        <v>1</v>
      </c>
      <c r="AF293" t="s">
        <v>20</v>
      </c>
      <c r="AG293" t="s">
        <v>20</v>
      </c>
    </row>
    <row r="294" spans="1:33">
      <c r="A294" s="13" t="s">
        <v>463</v>
      </c>
      <c r="B294" t="s">
        <v>1556</v>
      </c>
      <c r="C294" s="4">
        <v>202601306610709</v>
      </c>
      <c r="D294" s="4" t="b">
        <f t="shared" si="22"/>
        <v>1</v>
      </c>
      <c r="E294" t="s">
        <v>20</v>
      </c>
      <c r="F294" t="s">
        <v>21</v>
      </c>
      <c r="G294" t="s">
        <v>464</v>
      </c>
      <c r="H294" t="str">
        <f>VLOOKUP(C294,'[1]Erogati mag-giu 2026_791_old'!$B:$E,4,FALSE)</f>
        <v>C344266</v>
      </c>
      <c r="I294" t="b">
        <f t="shared" si="18"/>
        <v>1</v>
      </c>
      <c r="J294" s="14">
        <v>46179</v>
      </c>
      <c r="K294" s="14">
        <v>46179</v>
      </c>
      <c r="L294" t="s">
        <v>20</v>
      </c>
      <c r="M294" s="14">
        <v>46188</v>
      </c>
      <c r="N294" s="14">
        <v>46179</v>
      </c>
      <c r="O294" t="s">
        <v>20</v>
      </c>
      <c r="P294">
        <v>-119.27</v>
      </c>
      <c r="Q294">
        <f>VLOOKUP(G294,'[1]Erogati mag-giu 2026_791_old'!$A:$W,12,FALSE)</f>
        <v>-119.27</v>
      </c>
      <c r="R294">
        <f t="shared" si="19"/>
        <v>0</v>
      </c>
      <c r="S294">
        <v>-119.27</v>
      </c>
      <c r="T294">
        <f>VLOOKUP(G294,'[1]Erogati mag-giu 2026_791_old'!$A:$W,13,FALSE)</f>
        <v>-119.27</v>
      </c>
      <c r="U294">
        <f t="shared" si="20"/>
        <v>0</v>
      </c>
      <c r="V294">
        <v>-119.27</v>
      </c>
      <c r="W294">
        <f>VLOOKUP(G294,'[1]Erogati mag-giu 2026_791_old'!$A:$W,14,FALSE)</f>
        <v>-119.27</v>
      </c>
      <c r="X294">
        <f t="shared" si="21"/>
        <v>0</v>
      </c>
      <c r="Y294" t="s">
        <v>158</v>
      </c>
      <c r="Z294" t="str">
        <f>VLOOKUP(G294,'[2]Erogati mag-giu 2026_791_old'!$D:$T,11,FALSE)</f>
        <v>indiretto</v>
      </c>
      <c r="AA294" t="b">
        <v>1</v>
      </c>
      <c r="AF294" t="s">
        <v>20</v>
      </c>
      <c r="AG294" t="s">
        <v>20</v>
      </c>
    </row>
    <row r="295" spans="1:33">
      <c r="A295" s="13" t="s">
        <v>465</v>
      </c>
      <c r="B295" t="s">
        <v>1557</v>
      </c>
      <c r="C295" s="4">
        <v>202601306615550</v>
      </c>
      <c r="D295" s="4" t="b">
        <f t="shared" si="22"/>
        <v>1</v>
      </c>
      <c r="E295" t="s">
        <v>20</v>
      </c>
      <c r="F295" t="s">
        <v>21</v>
      </c>
      <c r="G295" t="s">
        <v>466</v>
      </c>
      <c r="H295" t="str">
        <f>VLOOKUP(C295,'[1]Erogati mag-giu 2026_791_old'!$B:$E,4,FALSE)</f>
        <v>C344169</v>
      </c>
      <c r="I295" t="b">
        <f t="shared" si="18"/>
        <v>1</v>
      </c>
      <c r="J295" s="14">
        <v>46179</v>
      </c>
      <c r="K295" s="14">
        <v>46179</v>
      </c>
      <c r="L295" t="s">
        <v>20</v>
      </c>
      <c r="M295" s="14">
        <v>46188</v>
      </c>
      <c r="N295" s="14">
        <v>46179</v>
      </c>
      <c r="O295" t="s">
        <v>20</v>
      </c>
      <c r="P295">
        <v>-52.52</v>
      </c>
      <c r="Q295">
        <f>VLOOKUP(G295,'[1]Erogati mag-giu 2026_791_old'!$A:$W,12,FALSE)</f>
        <v>-52.52</v>
      </c>
      <c r="R295">
        <f t="shared" si="19"/>
        <v>0</v>
      </c>
      <c r="S295">
        <v>-52.52</v>
      </c>
      <c r="T295">
        <f>VLOOKUP(G295,'[1]Erogati mag-giu 2026_791_old'!$A:$W,13,FALSE)</f>
        <v>-52.52</v>
      </c>
      <c r="U295">
        <f t="shared" si="20"/>
        <v>0</v>
      </c>
      <c r="V295">
        <v>-52.52</v>
      </c>
      <c r="W295">
        <f>VLOOKUP(G295,'[1]Erogati mag-giu 2026_791_old'!$A:$W,14,FALSE)</f>
        <v>-52.52</v>
      </c>
      <c r="X295">
        <f t="shared" si="21"/>
        <v>0</v>
      </c>
      <c r="Y295" t="s">
        <v>158</v>
      </c>
      <c r="Z295" t="str">
        <f>VLOOKUP(G295,'[2]Erogati mag-giu 2026_791_old'!$D:$T,11,FALSE)</f>
        <v>indiretto</v>
      </c>
      <c r="AA295" t="b">
        <v>1</v>
      </c>
      <c r="AF295" t="s">
        <v>20</v>
      </c>
      <c r="AG295" t="s">
        <v>20</v>
      </c>
    </row>
    <row r="296" spans="1:33">
      <c r="A296" s="13" t="s">
        <v>467</v>
      </c>
      <c r="B296" t="s">
        <v>1558</v>
      </c>
      <c r="C296" s="4">
        <v>202601306617380</v>
      </c>
      <c r="D296" s="4" t="b">
        <f t="shared" si="22"/>
        <v>1</v>
      </c>
      <c r="E296" t="s">
        <v>20</v>
      </c>
      <c r="F296" t="s">
        <v>21</v>
      </c>
      <c r="G296" t="s">
        <v>468</v>
      </c>
      <c r="H296" t="str">
        <f>VLOOKUP(C296,'[1]Erogati mag-giu 2026_791_old'!$B:$E,4,FALSE)</f>
        <v>C314617</v>
      </c>
      <c r="I296" t="b">
        <f t="shared" si="18"/>
        <v>1</v>
      </c>
      <c r="J296" s="14">
        <v>46179</v>
      </c>
      <c r="K296" s="14">
        <v>46179</v>
      </c>
      <c r="L296" t="s">
        <v>20</v>
      </c>
      <c r="M296" s="14">
        <v>46188</v>
      </c>
      <c r="N296" s="14">
        <v>46179</v>
      </c>
      <c r="O296" t="s">
        <v>20</v>
      </c>
      <c r="P296">
        <v>-66.260000000000005</v>
      </c>
      <c r="Q296">
        <f>VLOOKUP(G296,'[1]Erogati mag-giu 2026_791_old'!$A:$W,12,FALSE)</f>
        <v>-66.260000000000005</v>
      </c>
      <c r="R296">
        <f t="shared" si="19"/>
        <v>0</v>
      </c>
      <c r="S296">
        <v>-66.260000000000005</v>
      </c>
      <c r="T296">
        <f>VLOOKUP(G296,'[1]Erogati mag-giu 2026_791_old'!$A:$W,13,FALSE)</f>
        <v>-66.260000000000005</v>
      </c>
      <c r="U296">
        <f t="shared" si="20"/>
        <v>0</v>
      </c>
      <c r="V296">
        <v>-66.260000000000005</v>
      </c>
      <c r="W296">
        <f>VLOOKUP(G296,'[1]Erogati mag-giu 2026_791_old'!$A:$W,14,FALSE)</f>
        <v>-66.260000000000005</v>
      </c>
      <c r="X296">
        <f t="shared" si="21"/>
        <v>0</v>
      </c>
      <c r="Y296" t="s">
        <v>158</v>
      </c>
      <c r="Z296" t="str">
        <f>VLOOKUP(G296,'[2]Erogati mag-giu 2026_791_old'!$D:$T,11,FALSE)</f>
        <v>indiretto</v>
      </c>
      <c r="AA296" t="b">
        <v>1</v>
      </c>
      <c r="AF296" t="s">
        <v>20</v>
      </c>
      <c r="AG296" t="s">
        <v>20</v>
      </c>
    </row>
    <row r="297" spans="1:33">
      <c r="A297" s="13" t="s">
        <v>469</v>
      </c>
      <c r="B297" t="s">
        <v>1559</v>
      </c>
      <c r="C297" s="4">
        <v>202601306633731</v>
      </c>
      <c r="D297" s="4" t="b">
        <f t="shared" si="22"/>
        <v>1</v>
      </c>
      <c r="E297" t="s">
        <v>20</v>
      </c>
      <c r="F297" t="s">
        <v>21</v>
      </c>
      <c r="G297" t="s">
        <v>470</v>
      </c>
      <c r="H297" t="str">
        <f>VLOOKUP(C297,'[1]Erogati mag-giu 2026_791_old'!$B:$E,4,FALSE)</f>
        <v>C309193</v>
      </c>
      <c r="I297" t="b">
        <f t="shared" si="18"/>
        <v>1</v>
      </c>
      <c r="J297" s="14">
        <v>46179</v>
      </c>
      <c r="K297" s="14">
        <v>46179</v>
      </c>
      <c r="L297" t="s">
        <v>20</v>
      </c>
      <c r="M297" s="14">
        <v>46188</v>
      </c>
      <c r="N297" s="14">
        <v>46179</v>
      </c>
      <c r="O297" t="s">
        <v>20</v>
      </c>
      <c r="P297">
        <v>-99.39</v>
      </c>
      <c r="Q297">
        <f>VLOOKUP(G297,'[1]Erogati mag-giu 2026_791_old'!$A:$W,12,FALSE)</f>
        <v>-99.39</v>
      </c>
      <c r="R297">
        <f t="shared" si="19"/>
        <v>0</v>
      </c>
      <c r="S297">
        <v>-99.39</v>
      </c>
      <c r="T297">
        <f>VLOOKUP(G297,'[1]Erogati mag-giu 2026_791_old'!$A:$W,13,FALSE)</f>
        <v>-99.39</v>
      </c>
      <c r="U297">
        <f t="shared" si="20"/>
        <v>0</v>
      </c>
      <c r="V297">
        <v>-99.39</v>
      </c>
      <c r="W297">
        <f>VLOOKUP(G297,'[1]Erogati mag-giu 2026_791_old'!$A:$W,14,FALSE)</f>
        <v>-99.39</v>
      </c>
      <c r="X297">
        <f t="shared" si="21"/>
        <v>0</v>
      </c>
      <c r="Y297" t="s">
        <v>158</v>
      </c>
      <c r="Z297" t="str">
        <f>VLOOKUP(G297,'[2]Erogati mag-giu 2026_791_old'!$D:$T,11,FALSE)</f>
        <v>indiretto</v>
      </c>
      <c r="AA297" t="b">
        <v>1</v>
      </c>
      <c r="AF297" t="s">
        <v>20</v>
      </c>
      <c r="AG297" t="s">
        <v>20</v>
      </c>
    </row>
    <row r="298" spans="1:33">
      <c r="A298" s="13" t="s">
        <v>471</v>
      </c>
      <c r="B298" t="s">
        <v>1560</v>
      </c>
      <c r="C298" s="4">
        <v>202601306636839</v>
      </c>
      <c r="D298" s="4" t="b">
        <f t="shared" si="22"/>
        <v>1</v>
      </c>
      <c r="E298" t="s">
        <v>20</v>
      </c>
      <c r="F298" t="s">
        <v>21</v>
      </c>
      <c r="G298" t="s">
        <v>472</v>
      </c>
      <c r="H298" t="str">
        <f>VLOOKUP(C298,'[1]Erogati mag-giu 2026_791_old'!$B:$E,4,FALSE)</f>
        <v>C344106</v>
      </c>
      <c r="I298" t="b">
        <f t="shared" si="18"/>
        <v>1</v>
      </c>
      <c r="J298" s="14">
        <v>46179</v>
      </c>
      <c r="K298" s="14">
        <v>46179</v>
      </c>
      <c r="L298" t="s">
        <v>20</v>
      </c>
      <c r="M298" s="14">
        <v>46188</v>
      </c>
      <c r="N298" s="14">
        <v>46179</v>
      </c>
      <c r="O298" t="s">
        <v>20</v>
      </c>
      <c r="P298">
        <v>-132.52000000000001</v>
      </c>
      <c r="Q298">
        <f>VLOOKUP(G298,'[1]Erogati mag-giu 2026_791_old'!$A:$W,12,FALSE)</f>
        <v>-132.52000000000001</v>
      </c>
      <c r="R298">
        <f t="shared" si="19"/>
        <v>0</v>
      </c>
      <c r="S298">
        <v>-132.52000000000001</v>
      </c>
      <c r="T298">
        <f>VLOOKUP(G298,'[1]Erogati mag-giu 2026_791_old'!$A:$W,13,FALSE)</f>
        <v>-132.52000000000001</v>
      </c>
      <c r="U298">
        <f t="shared" si="20"/>
        <v>0</v>
      </c>
      <c r="V298">
        <v>-132.52000000000001</v>
      </c>
      <c r="W298">
        <f>VLOOKUP(G298,'[1]Erogati mag-giu 2026_791_old'!$A:$W,14,FALSE)</f>
        <v>-132.52000000000001</v>
      </c>
      <c r="X298">
        <f t="shared" si="21"/>
        <v>0</v>
      </c>
      <c r="Y298" t="s">
        <v>158</v>
      </c>
      <c r="Z298" t="str">
        <f>VLOOKUP(G298,'[2]Erogati mag-giu 2026_791_old'!$D:$T,11,FALSE)</f>
        <v>indiretto</v>
      </c>
      <c r="AA298" t="b">
        <v>1</v>
      </c>
      <c r="AF298" t="s">
        <v>20</v>
      </c>
      <c r="AG298" t="s">
        <v>20</v>
      </c>
    </row>
    <row r="299" spans="1:33">
      <c r="A299" s="13" t="s">
        <v>473</v>
      </c>
      <c r="B299" t="s">
        <v>1561</v>
      </c>
      <c r="C299" s="4">
        <v>202601306642579</v>
      </c>
      <c r="D299" s="4" t="b">
        <f t="shared" si="22"/>
        <v>1</v>
      </c>
      <c r="E299" t="s">
        <v>20</v>
      </c>
      <c r="F299" t="s">
        <v>21</v>
      </c>
      <c r="G299" t="s">
        <v>474</v>
      </c>
      <c r="H299" t="str">
        <f>VLOOKUP(C299,'[1]Erogati mag-giu 2026_791_old'!$B:$E,4,FALSE)</f>
        <v>C344123</v>
      </c>
      <c r="I299" t="b">
        <f t="shared" si="18"/>
        <v>1</v>
      </c>
      <c r="J299" s="14">
        <v>46179</v>
      </c>
      <c r="K299" s="14">
        <v>46179</v>
      </c>
      <c r="L299" t="s">
        <v>20</v>
      </c>
      <c r="M299" s="14">
        <v>46188</v>
      </c>
      <c r="N299" s="14">
        <v>46179</v>
      </c>
      <c r="O299" t="s">
        <v>20</v>
      </c>
      <c r="P299">
        <v>-33.130000000000003</v>
      </c>
      <c r="Q299">
        <f>VLOOKUP(G299,'[1]Erogati mag-giu 2026_791_old'!$A:$W,12,FALSE)</f>
        <v>-33.130000000000003</v>
      </c>
      <c r="R299">
        <f t="shared" si="19"/>
        <v>0</v>
      </c>
      <c r="S299">
        <v>-33.130000000000003</v>
      </c>
      <c r="T299">
        <f>VLOOKUP(G299,'[1]Erogati mag-giu 2026_791_old'!$A:$W,13,FALSE)</f>
        <v>-33.130000000000003</v>
      </c>
      <c r="U299">
        <f t="shared" si="20"/>
        <v>0</v>
      </c>
      <c r="V299">
        <v>-33.130000000000003</v>
      </c>
      <c r="W299">
        <f>VLOOKUP(G299,'[1]Erogati mag-giu 2026_791_old'!$A:$W,14,FALSE)</f>
        <v>-33.130000000000003</v>
      </c>
      <c r="X299">
        <f t="shared" si="21"/>
        <v>0</v>
      </c>
      <c r="Y299" t="s">
        <v>158</v>
      </c>
      <c r="Z299" t="str">
        <f>VLOOKUP(G299,'[2]Erogati mag-giu 2026_791_old'!$D:$T,11,FALSE)</f>
        <v>indiretto</v>
      </c>
      <c r="AA299" t="b">
        <v>1</v>
      </c>
      <c r="AF299" t="s">
        <v>20</v>
      </c>
      <c r="AG299" t="s">
        <v>20</v>
      </c>
    </row>
    <row r="300" spans="1:33">
      <c r="A300" s="13" t="s">
        <v>475</v>
      </c>
      <c r="B300" t="s">
        <v>1562</v>
      </c>
      <c r="C300" s="4">
        <v>202601306645421</v>
      </c>
      <c r="D300" s="4" t="b">
        <f t="shared" si="22"/>
        <v>1</v>
      </c>
      <c r="E300" t="s">
        <v>20</v>
      </c>
      <c r="F300" t="s">
        <v>21</v>
      </c>
      <c r="G300" t="s">
        <v>476</v>
      </c>
      <c r="H300" t="str">
        <f>VLOOKUP(C300,'[1]Erogati mag-giu 2026_791_old'!$B:$E,4,FALSE)</f>
        <v>C344124</v>
      </c>
      <c r="I300" t="b">
        <f t="shared" si="18"/>
        <v>1</v>
      </c>
      <c r="J300" s="14">
        <v>46179</v>
      </c>
      <c r="K300" s="14">
        <v>46179</v>
      </c>
      <c r="L300" t="s">
        <v>20</v>
      </c>
      <c r="M300" s="14">
        <v>46188</v>
      </c>
      <c r="N300" s="14">
        <v>46179</v>
      </c>
      <c r="O300" t="s">
        <v>20</v>
      </c>
      <c r="P300">
        <v>-99.39</v>
      </c>
      <c r="Q300">
        <f>VLOOKUP(G300,'[1]Erogati mag-giu 2026_791_old'!$A:$W,12,FALSE)</f>
        <v>-99.39</v>
      </c>
      <c r="R300">
        <f t="shared" si="19"/>
        <v>0</v>
      </c>
      <c r="S300">
        <v>-99.39</v>
      </c>
      <c r="T300">
        <f>VLOOKUP(G300,'[1]Erogati mag-giu 2026_791_old'!$A:$W,13,FALSE)</f>
        <v>-99.39</v>
      </c>
      <c r="U300">
        <f t="shared" si="20"/>
        <v>0</v>
      </c>
      <c r="V300">
        <v>-99.39</v>
      </c>
      <c r="W300">
        <f>VLOOKUP(G300,'[1]Erogati mag-giu 2026_791_old'!$A:$W,14,FALSE)</f>
        <v>-99.39</v>
      </c>
      <c r="X300">
        <f t="shared" si="21"/>
        <v>0</v>
      </c>
      <c r="Y300" t="s">
        <v>158</v>
      </c>
      <c r="Z300" t="str">
        <f>VLOOKUP(G300,'[2]Erogati mag-giu 2026_791_old'!$D:$T,11,FALSE)</f>
        <v>indiretto</v>
      </c>
      <c r="AA300" t="b">
        <v>1</v>
      </c>
      <c r="AF300" t="s">
        <v>20</v>
      </c>
      <c r="AG300" t="s">
        <v>20</v>
      </c>
    </row>
    <row r="301" spans="1:33">
      <c r="A301" s="13" t="s">
        <v>477</v>
      </c>
      <c r="B301" t="s">
        <v>1563</v>
      </c>
      <c r="C301" s="4">
        <v>202601306649136</v>
      </c>
      <c r="D301" s="4" t="b">
        <f t="shared" si="22"/>
        <v>1</v>
      </c>
      <c r="E301" t="s">
        <v>20</v>
      </c>
      <c r="F301" t="s">
        <v>21</v>
      </c>
      <c r="G301" t="s">
        <v>478</v>
      </c>
      <c r="H301" t="str">
        <f>VLOOKUP(C301,'[1]Erogati mag-giu 2026_791_old'!$B:$E,4,FALSE)</f>
        <v>C311509</v>
      </c>
      <c r="I301" t="b">
        <f t="shared" si="18"/>
        <v>1</v>
      </c>
      <c r="J301" s="14">
        <v>46179</v>
      </c>
      <c r="K301" s="14">
        <v>46179</v>
      </c>
      <c r="L301" t="s">
        <v>20</v>
      </c>
      <c r="M301" s="14">
        <v>46188</v>
      </c>
      <c r="N301" s="14">
        <v>46179</v>
      </c>
      <c r="O301" t="s">
        <v>20</v>
      </c>
      <c r="P301">
        <v>-198.78</v>
      </c>
      <c r="Q301">
        <f>VLOOKUP(G301,'[1]Erogati mag-giu 2026_791_old'!$A:$W,12,FALSE)</f>
        <v>-198.78</v>
      </c>
      <c r="R301">
        <f t="shared" si="19"/>
        <v>0</v>
      </c>
      <c r="S301">
        <v>-198.78</v>
      </c>
      <c r="T301">
        <f>VLOOKUP(G301,'[1]Erogati mag-giu 2026_791_old'!$A:$W,13,FALSE)</f>
        <v>-198.78</v>
      </c>
      <c r="U301">
        <f t="shared" si="20"/>
        <v>0</v>
      </c>
      <c r="V301">
        <v>-198.78</v>
      </c>
      <c r="W301">
        <f>VLOOKUP(G301,'[1]Erogati mag-giu 2026_791_old'!$A:$W,14,FALSE)</f>
        <v>-198.78</v>
      </c>
      <c r="X301">
        <f t="shared" si="21"/>
        <v>0</v>
      </c>
      <c r="Y301" t="s">
        <v>158</v>
      </c>
      <c r="Z301" t="str">
        <f>VLOOKUP(G301,'[2]Erogati mag-giu 2026_791_old'!$D:$T,11,FALSE)</f>
        <v>indiretto</v>
      </c>
      <c r="AA301" t="b">
        <v>1</v>
      </c>
      <c r="AF301" t="s">
        <v>20</v>
      </c>
      <c r="AG301" t="s">
        <v>20</v>
      </c>
    </row>
    <row r="302" spans="1:33">
      <c r="A302" s="13" t="s">
        <v>479</v>
      </c>
      <c r="B302" t="s">
        <v>1564</v>
      </c>
      <c r="C302" s="4">
        <v>202601306653008</v>
      </c>
      <c r="D302" s="4" t="b">
        <f t="shared" si="22"/>
        <v>1</v>
      </c>
      <c r="E302" t="s">
        <v>20</v>
      </c>
      <c r="F302" t="s">
        <v>21</v>
      </c>
      <c r="G302" t="s">
        <v>480</v>
      </c>
      <c r="H302" t="str">
        <f>VLOOKUP(C302,'[1]Erogati mag-giu 2026_791_old'!$B:$E,4,FALSE)</f>
        <v>C337695</v>
      </c>
      <c r="I302" t="b">
        <f t="shared" si="18"/>
        <v>1</v>
      </c>
      <c r="J302" s="14">
        <v>46179</v>
      </c>
      <c r="K302" s="14">
        <v>46179</v>
      </c>
      <c r="L302" t="s">
        <v>20</v>
      </c>
      <c r="M302" s="14">
        <v>46188</v>
      </c>
      <c r="N302" s="14">
        <v>46179</v>
      </c>
      <c r="O302" t="s">
        <v>20</v>
      </c>
      <c r="P302">
        <v>-227.69</v>
      </c>
      <c r="Q302">
        <f>VLOOKUP(G302,'[1]Erogati mag-giu 2026_791_old'!$A:$W,12,FALSE)</f>
        <v>-227.69</v>
      </c>
      <c r="R302">
        <f t="shared" si="19"/>
        <v>0</v>
      </c>
      <c r="S302">
        <v>-227.69</v>
      </c>
      <c r="T302">
        <f>VLOOKUP(G302,'[1]Erogati mag-giu 2026_791_old'!$A:$W,13,FALSE)</f>
        <v>-227.69</v>
      </c>
      <c r="U302">
        <f t="shared" si="20"/>
        <v>0</v>
      </c>
      <c r="V302">
        <v>-227.69</v>
      </c>
      <c r="W302">
        <f>VLOOKUP(G302,'[1]Erogati mag-giu 2026_791_old'!$A:$W,14,FALSE)</f>
        <v>-227.69</v>
      </c>
      <c r="X302">
        <f t="shared" si="21"/>
        <v>0</v>
      </c>
      <c r="Y302" t="s">
        <v>158</v>
      </c>
      <c r="Z302" t="str">
        <f>VLOOKUP(G302,'[2]Erogati mag-giu 2026_791_old'!$D:$T,11,FALSE)</f>
        <v>indiretto</v>
      </c>
      <c r="AA302" t="b">
        <v>1</v>
      </c>
      <c r="AF302" t="s">
        <v>20</v>
      </c>
      <c r="AG302" t="s">
        <v>20</v>
      </c>
    </row>
    <row r="303" spans="1:33">
      <c r="A303" s="13" t="s">
        <v>481</v>
      </c>
      <c r="B303" t="s">
        <v>1565</v>
      </c>
      <c r="C303" s="4">
        <v>202601306653383</v>
      </c>
      <c r="D303" s="4" t="b">
        <f t="shared" si="22"/>
        <v>1</v>
      </c>
      <c r="E303" t="s">
        <v>20</v>
      </c>
      <c r="F303" t="s">
        <v>21</v>
      </c>
      <c r="G303" t="s">
        <v>482</v>
      </c>
      <c r="H303" t="str">
        <f>VLOOKUP(C303,'[1]Erogati mag-giu 2026_791_old'!$B:$E,4,FALSE)</f>
        <v>C106550</v>
      </c>
      <c r="I303" t="b">
        <f t="shared" si="18"/>
        <v>1</v>
      </c>
      <c r="J303" s="14">
        <v>46179</v>
      </c>
      <c r="K303" s="14">
        <v>46179</v>
      </c>
      <c r="L303" t="s">
        <v>20</v>
      </c>
      <c r="M303" s="14">
        <v>46188</v>
      </c>
      <c r="N303" s="14">
        <v>46179</v>
      </c>
      <c r="O303" t="s">
        <v>20</v>
      </c>
      <c r="P303">
        <v>-89.45</v>
      </c>
      <c r="Q303">
        <f>VLOOKUP(G303,'[1]Erogati mag-giu 2026_791_old'!$A:$W,12,FALSE)</f>
        <v>-89.45</v>
      </c>
      <c r="R303">
        <f t="shared" si="19"/>
        <v>0</v>
      </c>
      <c r="S303">
        <v>-89.45</v>
      </c>
      <c r="T303">
        <f>VLOOKUP(G303,'[1]Erogati mag-giu 2026_791_old'!$A:$W,13,FALSE)</f>
        <v>-89.45</v>
      </c>
      <c r="U303">
        <f t="shared" si="20"/>
        <v>0</v>
      </c>
      <c r="V303">
        <v>-89.45</v>
      </c>
      <c r="W303">
        <f>VLOOKUP(G303,'[1]Erogati mag-giu 2026_791_old'!$A:$W,14,FALSE)</f>
        <v>-89.45</v>
      </c>
      <c r="X303">
        <f t="shared" si="21"/>
        <v>0</v>
      </c>
      <c r="Y303" t="s">
        <v>158</v>
      </c>
      <c r="Z303" t="str">
        <f>VLOOKUP(G303,'[2]Erogati mag-giu 2026_791_old'!$D:$T,11,FALSE)</f>
        <v>indiretto</v>
      </c>
      <c r="AA303" t="b">
        <v>1</v>
      </c>
      <c r="AF303" t="s">
        <v>20</v>
      </c>
      <c r="AG303" t="s">
        <v>20</v>
      </c>
    </row>
    <row r="304" spans="1:33">
      <c r="A304" s="13" t="s">
        <v>483</v>
      </c>
      <c r="B304" t="s">
        <v>1566</v>
      </c>
      <c r="C304" s="4">
        <v>202601306655616</v>
      </c>
      <c r="D304" s="4" t="b">
        <f t="shared" si="22"/>
        <v>1</v>
      </c>
      <c r="E304" t="s">
        <v>20</v>
      </c>
      <c r="F304" t="s">
        <v>21</v>
      </c>
      <c r="G304" t="s">
        <v>484</v>
      </c>
      <c r="H304" t="str">
        <f>VLOOKUP(C304,'[1]Erogati mag-giu 2026_791_old'!$B:$E,4,FALSE)</f>
        <v>C320087</v>
      </c>
      <c r="I304" t="b">
        <f t="shared" si="18"/>
        <v>1</v>
      </c>
      <c r="J304" s="14">
        <v>46179</v>
      </c>
      <c r="K304" s="14">
        <v>46179</v>
      </c>
      <c r="L304" t="s">
        <v>20</v>
      </c>
      <c r="M304" s="14">
        <v>46188</v>
      </c>
      <c r="N304" s="14">
        <v>46179</v>
      </c>
      <c r="O304" t="s">
        <v>20</v>
      </c>
      <c r="P304">
        <v>-123.1</v>
      </c>
      <c r="Q304">
        <f>VLOOKUP(G304,'[1]Erogati mag-giu 2026_791_old'!$A:$W,12,FALSE)</f>
        <v>-123.1</v>
      </c>
      <c r="R304">
        <f t="shared" si="19"/>
        <v>0</v>
      </c>
      <c r="S304">
        <v>-123.1</v>
      </c>
      <c r="T304">
        <f>VLOOKUP(G304,'[1]Erogati mag-giu 2026_791_old'!$A:$W,13,FALSE)</f>
        <v>-123.1</v>
      </c>
      <c r="U304">
        <f t="shared" si="20"/>
        <v>0</v>
      </c>
      <c r="V304">
        <v>-123.1</v>
      </c>
      <c r="W304">
        <f>VLOOKUP(G304,'[1]Erogati mag-giu 2026_791_old'!$A:$W,14,FALSE)</f>
        <v>-123.1</v>
      </c>
      <c r="X304">
        <f t="shared" si="21"/>
        <v>0</v>
      </c>
      <c r="Y304" t="s">
        <v>158</v>
      </c>
      <c r="Z304" t="str">
        <f>VLOOKUP(G304,'[2]Erogati mag-giu 2026_791_old'!$D:$T,11,FALSE)</f>
        <v>indiretto</v>
      </c>
      <c r="AA304" t="b">
        <v>1</v>
      </c>
      <c r="AF304" t="s">
        <v>20</v>
      </c>
      <c r="AG304" t="s">
        <v>20</v>
      </c>
    </row>
    <row r="305" spans="1:33">
      <c r="A305" s="13" t="s">
        <v>485</v>
      </c>
      <c r="B305" t="s">
        <v>1567</v>
      </c>
      <c r="C305" s="4">
        <v>202601306667781</v>
      </c>
      <c r="D305" s="4" t="b">
        <f t="shared" si="22"/>
        <v>1</v>
      </c>
      <c r="E305" t="s">
        <v>20</v>
      </c>
      <c r="F305" t="s">
        <v>21</v>
      </c>
      <c r="G305" t="s">
        <v>486</v>
      </c>
      <c r="H305" t="str">
        <f>VLOOKUP(C305,'[1]Erogati mag-giu 2026_791_old'!$B:$E,4,FALSE)</f>
        <v>C097948</v>
      </c>
      <c r="I305" t="b">
        <f t="shared" si="18"/>
        <v>1</v>
      </c>
      <c r="J305" s="14">
        <v>46179</v>
      </c>
      <c r="K305" s="14">
        <v>46179</v>
      </c>
      <c r="L305" t="s">
        <v>20</v>
      </c>
      <c r="M305" s="14">
        <v>46188</v>
      </c>
      <c r="N305" s="14">
        <v>46179</v>
      </c>
      <c r="O305" t="s">
        <v>20</v>
      </c>
      <c r="P305">
        <v>-23.97</v>
      </c>
      <c r="Q305">
        <f>VLOOKUP(G305,'[1]Erogati mag-giu 2026_791_old'!$A:$W,12,FALSE)</f>
        <v>-23.97</v>
      </c>
      <c r="R305">
        <f t="shared" si="19"/>
        <v>0</v>
      </c>
      <c r="S305">
        <v>-23.97</v>
      </c>
      <c r="T305">
        <f>VLOOKUP(G305,'[1]Erogati mag-giu 2026_791_old'!$A:$W,13,FALSE)</f>
        <v>-23.97</v>
      </c>
      <c r="U305">
        <f t="shared" si="20"/>
        <v>0</v>
      </c>
      <c r="V305">
        <v>-23.97</v>
      </c>
      <c r="W305">
        <f>VLOOKUP(G305,'[1]Erogati mag-giu 2026_791_old'!$A:$W,14,FALSE)</f>
        <v>-23.97</v>
      </c>
      <c r="X305">
        <f t="shared" si="21"/>
        <v>0</v>
      </c>
      <c r="Y305" t="s">
        <v>158</v>
      </c>
      <c r="Z305" t="str">
        <f>VLOOKUP(G305,'[2]Erogati mag-giu 2026_791_old'!$D:$T,11,FALSE)</f>
        <v>indiretto</v>
      </c>
      <c r="AA305" t="b">
        <v>1</v>
      </c>
      <c r="AF305" t="s">
        <v>20</v>
      </c>
      <c r="AG305" t="s">
        <v>20</v>
      </c>
    </row>
    <row r="306" spans="1:33">
      <c r="A306" s="13" t="s">
        <v>487</v>
      </c>
      <c r="B306" t="s">
        <v>1568</v>
      </c>
      <c r="C306" s="4">
        <v>202601306669949</v>
      </c>
      <c r="D306" s="4" t="b">
        <f t="shared" si="22"/>
        <v>1</v>
      </c>
      <c r="E306" t="s">
        <v>20</v>
      </c>
      <c r="F306" t="s">
        <v>21</v>
      </c>
      <c r="G306" t="s">
        <v>488</v>
      </c>
      <c r="H306" t="str">
        <f>VLOOKUP(C306,'[1]Erogati mag-giu 2026_791_old'!$B:$E,4,FALSE)</f>
        <v>C344122</v>
      </c>
      <c r="I306" t="b">
        <f t="shared" si="18"/>
        <v>1</v>
      </c>
      <c r="J306" s="14">
        <v>46179</v>
      </c>
      <c r="K306" s="14">
        <v>46179</v>
      </c>
      <c r="L306" t="s">
        <v>20</v>
      </c>
      <c r="M306" s="14">
        <v>46188</v>
      </c>
      <c r="N306" s="14">
        <v>46179</v>
      </c>
      <c r="O306" t="s">
        <v>20</v>
      </c>
      <c r="P306">
        <v>-132.52000000000001</v>
      </c>
      <c r="Q306">
        <f>VLOOKUP(G306,'[1]Erogati mag-giu 2026_791_old'!$A:$W,12,FALSE)</f>
        <v>-132.52000000000001</v>
      </c>
      <c r="R306">
        <f t="shared" si="19"/>
        <v>0</v>
      </c>
      <c r="S306">
        <v>-132.52000000000001</v>
      </c>
      <c r="T306">
        <f>VLOOKUP(G306,'[1]Erogati mag-giu 2026_791_old'!$A:$W,13,FALSE)</f>
        <v>-132.52000000000001</v>
      </c>
      <c r="U306">
        <f t="shared" si="20"/>
        <v>0</v>
      </c>
      <c r="V306">
        <v>-132.52000000000001</v>
      </c>
      <c r="W306">
        <f>VLOOKUP(G306,'[1]Erogati mag-giu 2026_791_old'!$A:$W,14,FALSE)</f>
        <v>-132.52000000000001</v>
      </c>
      <c r="X306">
        <f t="shared" si="21"/>
        <v>0</v>
      </c>
      <c r="Y306" t="s">
        <v>158</v>
      </c>
      <c r="Z306" t="str">
        <f>VLOOKUP(G306,'[2]Erogati mag-giu 2026_791_old'!$D:$T,11,FALSE)</f>
        <v>indiretto</v>
      </c>
      <c r="AA306" t="b">
        <v>1</v>
      </c>
      <c r="AF306" t="s">
        <v>20</v>
      </c>
      <c r="AG306" t="s">
        <v>20</v>
      </c>
    </row>
    <row r="307" spans="1:33">
      <c r="A307" s="13" t="s">
        <v>489</v>
      </c>
      <c r="B307" t="s">
        <v>1569</v>
      </c>
      <c r="C307" s="4">
        <v>202601306670025</v>
      </c>
      <c r="D307" s="4" t="b">
        <f t="shared" si="22"/>
        <v>1</v>
      </c>
      <c r="E307" t="s">
        <v>20</v>
      </c>
      <c r="F307" t="s">
        <v>21</v>
      </c>
      <c r="G307" t="s">
        <v>490</v>
      </c>
      <c r="H307" t="str">
        <f>VLOOKUP(C307,'[1]Erogati mag-giu 2026_791_old'!$B:$E,4,FALSE)</f>
        <v>C344253</v>
      </c>
      <c r="I307" t="b">
        <f t="shared" si="18"/>
        <v>1</v>
      </c>
      <c r="J307" s="14">
        <v>46179</v>
      </c>
      <c r="K307" s="14">
        <v>46179</v>
      </c>
      <c r="L307" t="s">
        <v>20</v>
      </c>
      <c r="M307" s="14">
        <v>46188</v>
      </c>
      <c r="N307" s="14">
        <v>46179</v>
      </c>
      <c r="O307" t="s">
        <v>20</v>
      </c>
      <c r="P307">
        <v>-26.26</v>
      </c>
      <c r="Q307">
        <f>VLOOKUP(G307,'[1]Erogati mag-giu 2026_791_old'!$A:$W,12,FALSE)</f>
        <v>-26.26</v>
      </c>
      <c r="R307">
        <f t="shared" si="19"/>
        <v>0</v>
      </c>
      <c r="S307">
        <v>-26.26</v>
      </c>
      <c r="T307">
        <f>VLOOKUP(G307,'[1]Erogati mag-giu 2026_791_old'!$A:$W,13,FALSE)</f>
        <v>-26.26</v>
      </c>
      <c r="U307">
        <f t="shared" si="20"/>
        <v>0</v>
      </c>
      <c r="V307">
        <v>-26.26</v>
      </c>
      <c r="W307">
        <f>VLOOKUP(G307,'[1]Erogati mag-giu 2026_791_old'!$A:$W,14,FALSE)</f>
        <v>-26.26</v>
      </c>
      <c r="X307">
        <f t="shared" si="21"/>
        <v>0</v>
      </c>
      <c r="Y307" t="s">
        <v>158</v>
      </c>
      <c r="Z307" t="str">
        <f>VLOOKUP(G307,'[2]Erogati mag-giu 2026_791_old'!$D:$T,11,FALSE)</f>
        <v>indiretto</v>
      </c>
      <c r="AA307" t="b">
        <v>1</v>
      </c>
      <c r="AF307" t="s">
        <v>20</v>
      </c>
      <c r="AG307" t="s">
        <v>20</v>
      </c>
    </row>
    <row r="308" spans="1:33">
      <c r="A308" s="13" t="s">
        <v>491</v>
      </c>
      <c r="B308" t="s">
        <v>1570</v>
      </c>
      <c r="C308" s="4">
        <v>202601306676393</v>
      </c>
      <c r="D308" s="4" t="b">
        <f t="shared" si="22"/>
        <v>1</v>
      </c>
      <c r="E308" t="s">
        <v>20</v>
      </c>
      <c r="F308" t="s">
        <v>21</v>
      </c>
      <c r="G308" t="s">
        <v>492</v>
      </c>
      <c r="H308" t="str">
        <f>VLOOKUP(C308,'[1]Erogati mag-giu 2026_791_old'!$B:$E,4,FALSE)</f>
        <v>C117744</v>
      </c>
      <c r="I308" t="b">
        <f t="shared" si="18"/>
        <v>1</v>
      </c>
      <c r="J308" s="14">
        <v>46179</v>
      </c>
      <c r="K308" s="14">
        <v>46179</v>
      </c>
      <c r="L308" t="s">
        <v>20</v>
      </c>
      <c r="M308" s="14">
        <v>46188</v>
      </c>
      <c r="N308" s="14">
        <v>46179</v>
      </c>
      <c r="O308" t="s">
        <v>20</v>
      </c>
      <c r="P308">
        <v>-231.91</v>
      </c>
      <c r="Q308">
        <f>VLOOKUP(G308,'[1]Erogati mag-giu 2026_791_old'!$A:$W,12,FALSE)</f>
        <v>-231.91</v>
      </c>
      <c r="R308">
        <f t="shared" si="19"/>
        <v>0</v>
      </c>
      <c r="S308">
        <v>-231.91</v>
      </c>
      <c r="T308">
        <f>VLOOKUP(G308,'[1]Erogati mag-giu 2026_791_old'!$A:$W,13,FALSE)</f>
        <v>-231.91</v>
      </c>
      <c r="U308">
        <f t="shared" si="20"/>
        <v>0</v>
      </c>
      <c r="V308">
        <v>-231.91</v>
      </c>
      <c r="W308">
        <f>VLOOKUP(G308,'[1]Erogati mag-giu 2026_791_old'!$A:$W,14,FALSE)</f>
        <v>-231.91</v>
      </c>
      <c r="X308">
        <f t="shared" si="21"/>
        <v>0</v>
      </c>
      <c r="Y308" t="s">
        <v>158</v>
      </c>
      <c r="Z308" t="str">
        <f>VLOOKUP(G308,'[2]Erogati mag-giu 2026_791_old'!$D:$T,11,FALSE)</f>
        <v>indiretto</v>
      </c>
      <c r="AA308" t="b">
        <v>1</v>
      </c>
      <c r="AF308" t="s">
        <v>20</v>
      </c>
      <c r="AG308" t="s">
        <v>20</v>
      </c>
    </row>
    <row r="309" spans="1:33">
      <c r="A309" s="13" t="s">
        <v>493</v>
      </c>
      <c r="B309" t="s">
        <v>1571</v>
      </c>
      <c r="C309" s="4">
        <v>202601306680807</v>
      </c>
      <c r="D309" s="4" t="b">
        <f t="shared" si="22"/>
        <v>1</v>
      </c>
      <c r="E309" t="s">
        <v>20</v>
      </c>
      <c r="F309" t="s">
        <v>21</v>
      </c>
      <c r="G309" t="s">
        <v>494</v>
      </c>
      <c r="H309" t="str">
        <f>VLOOKUP(C309,'[1]Erogati mag-giu 2026_791_old'!$B:$E,4,FALSE)</f>
        <v>C344180</v>
      </c>
      <c r="I309" t="b">
        <f t="shared" si="18"/>
        <v>1</v>
      </c>
      <c r="J309" s="14">
        <v>46179</v>
      </c>
      <c r="K309" s="14">
        <v>46179</v>
      </c>
      <c r="L309" t="s">
        <v>20</v>
      </c>
      <c r="M309" s="14">
        <v>46188</v>
      </c>
      <c r="N309" s="14">
        <v>46179</v>
      </c>
      <c r="O309" t="s">
        <v>20</v>
      </c>
      <c r="P309">
        <v>-23.97</v>
      </c>
      <c r="Q309">
        <f>VLOOKUP(G309,'[1]Erogati mag-giu 2026_791_old'!$A:$W,12,FALSE)</f>
        <v>-23.97</v>
      </c>
      <c r="R309">
        <f t="shared" si="19"/>
        <v>0</v>
      </c>
      <c r="S309">
        <v>-23.97</v>
      </c>
      <c r="T309">
        <f>VLOOKUP(G309,'[1]Erogati mag-giu 2026_791_old'!$A:$W,13,FALSE)</f>
        <v>-23.97</v>
      </c>
      <c r="U309">
        <f t="shared" si="20"/>
        <v>0</v>
      </c>
      <c r="V309">
        <v>-23.97</v>
      </c>
      <c r="W309">
        <f>VLOOKUP(G309,'[1]Erogati mag-giu 2026_791_old'!$A:$W,14,FALSE)</f>
        <v>-23.97</v>
      </c>
      <c r="X309">
        <f t="shared" si="21"/>
        <v>0</v>
      </c>
      <c r="Y309" t="s">
        <v>158</v>
      </c>
      <c r="Z309" t="str">
        <f>VLOOKUP(G309,'[2]Erogati mag-giu 2026_791_old'!$D:$T,11,FALSE)</f>
        <v>indiretto</v>
      </c>
      <c r="AA309" t="b">
        <v>1</v>
      </c>
      <c r="AF309" t="s">
        <v>20</v>
      </c>
      <c r="AG309" t="s">
        <v>20</v>
      </c>
    </row>
    <row r="310" spans="1:33">
      <c r="A310" s="13" t="s">
        <v>495</v>
      </c>
      <c r="B310" t="s">
        <v>1572</v>
      </c>
      <c r="C310" s="4">
        <v>202601306681622</v>
      </c>
      <c r="D310" s="4" t="b">
        <f t="shared" si="22"/>
        <v>1</v>
      </c>
      <c r="E310" t="s">
        <v>20</v>
      </c>
      <c r="F310" t="s">
        <v>21</v>
      </c>
      <c r="G310" t="s">
        <v>496</v>
      </c>
      <c r="H310" t="str">
        <f>VLOOKUP(C310,'[1]Erogati mag-giu 2026_791_old'!$B:$E,4,FALSE)</f>
        <v>C342903</v>
      </c>
      <c r="I310" t="b">
        <f t="shared" si="18"/>
        <v>1</v>
      </c>
      <c r="J310" s="14">
        <v>46179</v>
      </c>
      <c r="K310" s="14">
        <v>46179</v>
      </c>
      <c r="L310" t="s">
        <v>20</v>
      </c>
      <c r="M310" s="14">
        <v>46188</v>
      </c>
      <c r="N310" s="14">
        <v>46179</v>
      </c>
      <c r="O310" t="s">
        <v>20</v>
      </c>
      <c r="P310">
        <v>-161.85</v>
      </c>
      <c r="Q310">
        <f>VLOOKUP(G310,'[1]Erogati mag-giu 2026_791_old'!$A:$W,12,FALSE)</f>
        <v>-161.85</v>
      </c>
      <c r="R310">
        <f t="shared" si="19"/>
        <v>0</v>
      </c>
      <c r="S310">
        <v>-161.85</v>
      </c>
      <c r="T310">
        <f>VLOOKUP(G310,'[1]Erogati mag-giu 2026_791_old'!$A:$W,13,FALSE)</f>
        <v>-161.85</v>
      </c>
      <c r="U310">
        <f t="shared" si="20"/>
        <v>0</v>
      </c>
      <c r="V310">
        <v>-161.85</v>
      </c>
      <c r="W310">
        <f>VLOOKUP(G310,'[1]Erogati mag-giu 2026_791_old'!$A:$W,14,FALSE)</f>
        <v>-161.85</v>
      </c>
      <c r="X310">
        <f t="shared" si="21"/>
        <v>0</v>
      </c>
      <c r="Y310" t="s">
        <v>158</v>
      </c>
      <c r="Z310" t="str">
        <f>VLOOKUP(G310,'[2]Erogati mag-giu 2026_791_old'!$D:$T,11,FALSE)</f>
        <v>indiretto</v>
      </c>
      <c r="AA310" t="b">
        <v>1</v>
      </c>
      <c r="AF310" t="s">
        <v>20</v>
      </c>
      <c r="AG310" t="s">
        <v>20</v>
      </c>
    </row>
    <row r="311" spans="1:33">
      <c r="A311" s="13" t="s">
        <v>497</v>
      </c>
      <c r="B311" t="s">
        <v>1573</v>
      </c>
      <c r="C311" s="4">
        <v>202601306683653</v>
      </c>
      <c r="D311" s="4" t="b">
        <f t="shared" si="22"/>
        <v>1</v>
      </c>
      <c r="E311" t="s">
        <v>20</v>
      </c>
      <c r="F311" t="s">
        <v>21</v>
      </c>
      <c r="G311" t="s">
        <v>498</v>
      </c>
      <c r="H311" t="str">
        <f>VLOOKUP(C311,'[1]Erogati mag-giu 2026_791_old'!$B:$E,4,FALSE)</f>
        <v>C344107</v>
      </c>
      <c r="I311" t="b">
        <f t="shared" si="18"/>
        <v>1</v>
      </c>
      <c r="J311" s="14">
        <v>46179</v>
      </c>
      <c r="K311" s="14">
        <v>46179</v>
      </c>
      <c r="L311" t="s">
        <v>20</v>
      </c>
      <c r="M311" s="14">
        <v>46188</v>
      </c>
      <c r="N311" s="14">
        <v>46179</v>
      </c>
      <c r="O311" t="s">
        <v>20</v>
      </c>
      <c r="P311">
        <v>-33.130000000000003</v>
      </c>
      <c r="Q311">
        <f>VLOOKUP(G311,'[1]Erogati mag-giu 2026_791_old'!$A:$W,12,FALSE)</f>
        <v>-33.130000000000003</v>
      </c>
      <c r="R311">
        <f t="shared" si="19"/>
        <v>0</v>
      </c>
      <c r="S311">
        <v>-33.130000000000003</v>
      </c>
      <c r="T311">
        <f>VLOOKUP(G311,'[1]Erogati mag-giu 2026_791_old'!$A:$W,13,FALSE)</f>
        <v>-33.130000000000003</v>
      </c>
      <c r="U311">
        <f t="shared" si="20"/>
        <v>0</v>
      </c>
      <c r="V311">
        <v>-33.130000000000003</v>
      </c>
      <c r="W311">
        <f>VLOOKUP(G311,'[1]Erogati mag-giu 2026_791_old'!$A:$W,14,FALSE)</f>
        <v>-33.130000000000003</v>
      </c>
      <c r="X311">
        <f t="shared" si="21"/>
        <v>0</v>
      </c>
      <c r="Y311" t="s">
        <v>158</v>
      </c>
      <c r="Z311" t="str">
        <f>VLOOKUP(G311,'[2]Erogati mag-giu 2026_791_old'!$D:$T,11,FALSE)</f>
        <v>indiretto</v>
      </c>
      <c r="AA311" t="b">
        <v>1</v>
      </c>
      <c r="AF311" t="s">
        <v>20</v>
      </c>
      <c r="AG311" t="s">
        <v>20</v>
      </c>
    </row>
    <row r="312" spans="1:33">
      <c r="A312" s="13" t="s">
        <v>499</v>
      </c>
      <c r="B312" t="s">
        <v>1574</v>
      </c>
      <c r="C312" s="4">
        <v>202601306700140</v>
      </c>
      <c r="D312" s="4" t="b">
        <f t="shared" si="22"/>
        <v>1</v>
      </c>
      <c r="E312" t="s">
        <v>20</v>
      </c>
      <c r="F312" t="s">
        <v>21</v>
      </c>
      <c r="G312" t="s">
        <v>500</v>
      </c>
      <c r="H312" t="str">
        <f>VLOOKUP(C312,'[1]Erogati mag-giu 2026_791_old'!$B:$E,4,FALSE)</f>
        <v>C340449</v>
      </c>
      <c r="I312" t="b">
        <f t="shared" si="18"/>
        <v>1</v>
      </c>
      <c r="J312" s="14">
        <v>46179</v>
      </c>
      <c r="K312" s="14">
        <v>46179</v>
      </c>
      <c r="L312" t="s">
        <v>20</v>
      </c>
      <c r="M312" s="14">
        <v>46188</v>
      </c>
      <c r="N312" s="14">
        <v>46179</v>
      </c>
      <c r="O312" t="s">
        <v>20</v>
      </c>
      <c r="P312">
        <v>-132.52000000000001</v>
      </c>
      <c r="Q312">
        <f>VLOOKUP(G312,'[1]Erogati mag-giu 2026_791_old'!$A:$W,12,FALSE)</f>
        <v>-132.52000000000001</v>
      </c>
      <c r="R312">
        <f t="shared" si="19"/>
        <v>0</v>
      </c>
      <c r="S312">
        <v>-132.52000000000001</v>
      </c>
      <c r="T312">
        <f>VLOOKUP(G312,'[1]Erogati mag-giu 2026_791_old'!$A:$W,13,FALSE)</f>
        <v>-132.52000000000001</v>
      </c>
      <c r="U312">
        <f t="shared" si="20"/>
        <v>0</v>
      </c>
      <c r="V312">
        <v>-132.52000000000001</v>
      </c>
      <c r="W312">
        <f>VLOOKUP(G312,'[1]Erogati mag-giu 2026_791_old'!$A:$W,14,FALSE)</f>
        <v>-132.52000000000001</v>
      </c>
      <c r="X312">
        <f t="shared" si="21"/>
        <v>0</v>
      </c>
      <c r="Y312" t="s">
        <v>158</v>
      </c>
      <c r="Z312" t="str">
        <f>VLOOKUP(G312,'[2]Erogati mag-giu 2026_791_old'!$D:$T,11,FALSE)</f>
        <v>indiretto</v>
      </c>
      <c r="AA312" t="b">
        <v>1</v>
      </c>
      <c r="AF312" t="s">
        <v>20</v>
      </c>
      <c r="AG312" t="s">
        <v>20</v>
      </c>
    </row>
    <row r="313" spans="1:33">
      <c r="A313" s="13" t="s">
        <v>501</v>
      </c>
      <c r="B313" t="s">
        <v>1575</v>
      </c>
      <c r="C313" s="4">
        <v>202601306701815</v>
      </c>
      <c r="D313" s="4" t="b">
        <f t="shared" si="22"/>
        <v>1</v>
      </c>
      <c r="E313" t="s">
        <v>20</v>
      </c>
      <c r="F313" t="s">
        <v>21</v>
      </c>
      <c r="G313" t="s">
        <v>502</v>
      </c>
      <c r="H313" t="str">
        <f>VLOOKUP(C313,'[1]Erogati mag-giu 2026_791_old'!$B:$E,4,FALSE)</f>
        <v>C344158</v>
      </c>
      <c r="I313" t="b">
        <f t="shared" si="18"/>
        <v>1</v>
      </c>
      <c r="J313" s="14">
        <v>46179</v>
      </c>
      <c r="K313" s="14">
        <v>46179</v>
      </c>
      <c r="L313" t="s">
        <v>20</v>
      </c>
      <c r="M313" s="14">
        <v>46188</v>
      </c>
      <c r="N313" s="14">
        <v>46179</v>
      </c>
      <c r="O313" t="s">
        <v>20</v>
      </c>
      <c r="P313">
        <v>-66.260000000000005</v>
      </c>
      <c r="Q313">
        <f>VLOOKUP(G313,'[1]Erogati mag-giu 2026_791_old'!$A:$W,12,FALSE)</f>
        <v>-66.260000000000005</v>
      </c>
      <c r="R313">
        <f t="shared" si="19"/>
        <v>0</v>
      </c>
      <c r="S313">
        <v>-66.260000000000005</v>
      </c>
      <c r="T313">
        <f>VLOOKUP(G313,'[1]Erogati mag-giu 2026_791_old'!$A:$W,13,FALSE)</f>
        <v>-66.260000000000005</v>
      </c>
      <c r="U313">
        <f t="shared" si="20"/>
        <v>0</v>
      </c>
      <c r="V313">
        <v>-66.260000000000005</v>
      </c>
      <c r="W313">
        <f>VLOOKUP(G313,'[1]Erogati mag-giu 2026_791_old'!$A:$W,14,FALSE)</f>
        <v>-66.260000000000005</v>
      </c>
      <c r="X313">
        <f t="shared" si="21"/>
        <v>0</v>
      </c>
      <c r="Y313" t="s">
        <v>158</v>
      </c>
      <c r="Z313" t="str">
        <f>VLOOKUP(G313,'[2]Erogati mag-giu 2026_791_old'!$D:$T,11,FALSE)</f>
        <v>indiretto</v>
      </c>
      <c r="AA313" t="b">
        <v>1</v>
      </c>
      <c r="AF313" t="s">
        <v>20</v>
      </c>
      <c r="AG313" t="s">
        <v>20</v>
      </c>
    </row>
    <row r="314" spans="1:33">
      <c r="A314" s="13" t="s">
        <v>503</v>
      </c>
      <c r="B314" t="s">
        <v>1576</v>
      </c>
      <c r="C314" s="4">
        <v>202601306703078</v>
      </c>
      <c r="D314" s="4" t="b">
        <f t="shared" si="22"/>
        <v>1</v>
      </c>
      <c r="E314" t="s">
        <v>20</v>
      </c>
      <c r="F314" t="s">
        <v>21</v>
      </c>
      <c r="G314" t="s">
        <v>504</v>
      </c>
      <c r="H314" t="str">
        <f>VLOOKUP(C314,'[1]Erogati mag-giu 2026_791_old'!$B:$E,4,FALSE)</f>
        <v>C344120</v>
      </c>
      <c r="I314" t="b">
        <f t="shared" si="18"/>
        <v>1</v>
      </c>
      <c r="J314" s="14">
        <v>46179</v>
      </c>
      <c r="K314" s="14">
        <v>46179</v>
      </c>
      <c r="L314" t="s">
        <v>20</v>
      </c>
      <c r="M314" s="14">
        <v>46188</v>
      </c>
      <c r="N314" s="14">
        <v>46179</v>
      </c>
      <c r="O314" t="s">
        <v>20</v>
      </c>
      <c r="P314">
        <v>-26.26</v>
      </c>
      <c r="Q314">
        <f>VLOOKUP(G314,'[1]Erogati mag-giu 2026_791_old'!$A:$W,12,FALSE)</f>
        <v>-26.26</v>
      </c>
      <c r="R314">
        <f t="shared" si="19"/>
        <v>0</v>
      </c>
      <c r="S314">
        <v>-26.26</v>
      </c>
      <c r="T314">
        <f>VLOOKUP(G314,'[1]Erogati mag-giu 2026_791_old'!$A:$W,13,FALSE)</f>
        <v>-26.26</v>
      </c>
      <c r="U314">
        <f t="shared" si="20"/>
        <v>0</v>
      </c>
      <c r="V314">
        <v>-26.26</v>
      </c>
      <c r="W314">
        <f>VLOOKUP(G314,'[1]Erogati mag-giu 2026_791_old'!$A:$W,14,FALSE)</f>
        <v>-26.26</v>
      </c>
      <c r="X314">
        <f t="shared" si="21"/>
        <v>0</v>
      </c>
      <c r="Y314" t="s">
        <v>158</v>
      </c>
      <c r="Z314" t="str">
        <f>VLOOKUP(G314,'[2]Erogati mag-giu 2026_791_old'!$D:$T,11,FALSE)</f>
        <v>indiretto</v>
      </c>
      <c r="AA314" t="b">
        <v>1</v>
      </c>
      <c r="AF314" t="s">
        <v>20</v>
      </c>
      <c r="AG314" t="s">
        <v>20</v>
      </c>
    </row>
    <row r="315" spans="1:33">
      <c r="A315" s="13" t="s">
        <v>505</v>
      </c>
      <c r="B315" t="s">
        <v>1577</v>
      </c>
      <c r="C315" s="4">
        <v>202601306712111</v>
      </c>
      <c r="D315" s="4" t="b">
        <f t="shared" si="22"/>
        <v>1</v>
      </c>
      <c r="E315" t="s">
        <v>20</v>
      </c>
      <c r="F315" t="s">
        <v>21</v>
      </c>
      <c r="G315" t="s">
        <v>506</v>
      </c>
      <c r="H315" t="str">
        <f>VLOOKUP(C315,'[1]Erogati mag-giu 2026_791_old'!$B:$E,4,FALSE)</f>
        <v>C337553</v>
      </c>
      <c r="I315" t="b">
        <f t="shared" si="18"/>
        <v>1</v>
      </c>
      <c r="J315" s="14">
        <v>46179</v>
      </c>
      <c r="K315" s="14">
        <v>46179</v>
      </c>
      <c r="L315" t="s">
        <v>20</v>
      </c>
      <c r="M315" s="14">
        <v>46188</v>
      </c>
      <c r="N315" s="14">
        <v>46179</v>
      </c>
      <c r="O315" t="s">
        <v>20</v>
      </c>
      <c r="P315">
        <v>-198.78</v>
      </c>
      <c r="Q315">
        <f>VLOOKUP(G315,'[1]Erogati mag-giu 2026_791_old'!$A:$W,12,FALSE)</f>
        <v>-198.78</v>
      </c>
      <c r="R315">
        <f t="shared" si="19"/>
        <v>0</v>
      </c>
      <c r="S315">
        <v>-198.78</v>
      </c>
      <c r="T315">
        <f>VLOOKUP(G315,'[1]Erogati mag-giu 2026_791_old'!$A:$W,13,FALSE)</f>
        <v>-198.78</v>
      </c>
      <c r="U315">
        <f t="shared" si="20"/>
        <v>0</v>
      </c>
      <c r="V315">
        <v>-198.78</v>
      </c>
      <c r="W315">
        <f>VLOOKUP(G315,'[1]Erogati mag-giu 2026_791_old'!$A:$W,14,FALSE)</f>
        <v>-198.78</v>
      </c>
      <c r="X315">
        <f t="shared" si="21"/>
        <v>0</v>
      </c>
      <c r="Y315" t="s">
        <v>158</v>
      </c>
      <c r="Z315" t="str">
        <f>VLOOKUP(G315,'[2]Erogati mag-giu 2026_791_old'!$D:$T,11,FALSE)</f>
        <v>indiretto</v>
      </c>
      <c r="AA315" t="b">
        <v>1</v>
      </c>
      <c r="AF315" t="s">
        <v>20</v>
      </c>
      <c r="AG315" t="s">
        <v>20</v>
      </c>
    </row>
    <row r="316" spans="1:33">
      <c r="A316" s="13" t="s">
        <v>507</v>
      </c>
      <c r="B316" t="s">
        <v>1578</v>
      </c>
      <c r="C316" s="4">
        <v>202601306712989</v>
      </c>
      <c r="D316" s="4" t="b">
        <f t="shared" si="22"/>
        <v>1</v>
      </c>
      <c r="E316" t="s">
        <v>20</v>
      </c>
      <c r="F316" t="s">
        <v>21</v>
      </c>
      <c r="G316" t="s">
        <v>508</v>
      </c>
      <c r="H316" t="str">
        <f>VLOOKUP(C316,'[1]Erogati mag-giu 2026_791_old'!$B:$E,4,FALSE)</f>
        <v>C344309</v>
      </c>
      <c r="I316" t="b">
        <f t="shared" si="18"/>
        <v>1</v>
      </c>
      <c r="J316" s="14">
        <v>46179</v>
      </c>
      <c r="K316" s="14">
        <v>46179</v>
      </c>
      <c r="L316" t="s">
        <v>20</v>
      </c>
      <c r="M316" s="14">
        <v>46188</v>
      </c>
      <c r="N316" s="14">
        <v>46179</v>
      </c>
      <c r="O316" t="s">
        <v>20</v>
      </c>
      <c r="P316">
        <v>-33.130000000000003</v>
      </c>
      <c r="Q316">
        <f>VLOOKUP(G316,'[1]Erogati mag-giu 2026_791_old'!$A:$W,12,FALSE)</f>
        <v>-33.130000000000003</v>
      </c>
      <c r="R316">
        <f t="shared" si="19"/>
        <v>0</v>
      </c>
      <c r="S316">
        <v>-33.130000000000003</v>
      </c>
      <c r="T316">
        <f>VLOOKUP(G316,'[1]Erogati mag-giu 2026_791_old'!$A:$W,13,FALSE)</f>
        <v>-33.130000000000003</v>
      </c>
      <c r="U316">
        <f t="shared" si="20"/>
        <v>0</v>
      </c>
      <c r="V316">
        <v>-33.130000000000003</v>
      </c>
      <c r="W316">
        <f>VLOOKUP(G316,'[1]Erogati mag-giu 2026_791_old'!$A:$W,14,FALSE)</f>
        <v>-33.130000000000003</v>
      </c>
      <c r="X316">
        <f t="shared" si="21"/>
        <v>0</v>
      </c>
      <c r="Y316" t="s">
        <v>158</v>
      </c>
      <c r="Z316" t="str">
        <f>VLOOKUP(G316,'[2]Erogati mag-giu 2026_791_old'!$D:$T,11,FALSE)</f>
        <v>indiretto</v>
      </c>
      <c r="AA316" t="b">
        <v>1</v>
      </c>
      <c r="AF316" t="s">
        <v>20</v>
      </c>
      <c r="AG316" t="s">
        <v>20</v>
      </c>
    </row>
    <row r="317" spans="1:33">
      <c r="A317" s="13" t="s">
        <v>509</v>
      </c>
      <c r="B317" t="s">
        <v>1579</v>
      </c>
      <c r="C317" s="4">
        <v>202601306714973</v>
      </c>
      <c r="D317" s="4" t="b">
        <f t="shared" si="22"/>
        <v>1</v>
      </c>
      <c r="E317" t="s">
        <v>20</v>
      </c>
      <c r="F317" t="s">
        <v>21</v>
      </c>
      <c r="G317" t="s">
        <v>510</v>
      </c>
      <c r="H317" t="str">
        <f>VLOOKUP(C317,'[1]Erogati mag-giu 2026_791_old'!$B:$E,4,FALSE)</f>
        <v>C313553</v>
      </c>
      <c r="I317" t="b">
        <f t="shared" si="18"/>
        <v>1</v>
      </c>
      <c r="J317" s="14">
        <v>46179</v>
      </c>
      <c r="K317" s="14">
        <v>46179</v>
      </c>
      <c r="L317" t="s">
        <v>20</v>
      </c>
      <c r="M317" s="14">
        <v>46188</v>
      </c>
      <c r="N317" s="14">
        <v>46179</v>
      </c>
      <c r="O317" t="s">
        <v>20</v>
      </c>
      <c r="P317">
        <v>-154.63999999999999</v>
      </c>
      <c r="Q317">
        <f>VLOOKUP(G317,'[1]Erogati mag-giu 2026_791_old'!$A:$W,12,FALSE)</f>
        <v>-154.63999999999999</v>
      </c>
      <c r="R317">
        <f t="shared" si="19"/>
        <v>0</v>
      </c>
      <c r="S317">
        <v>-154.63999999999999</v>
      </c>
      <c r="T317">
        <f>VLOOKUP(G317,'[1]Erogati mag-giu 2026_791_old'!$A:$W,13,FALSE)</f>
        <v>-154.63999999999999</v>
      </c>
      <c r="U317">
        <f t="shared" si="20"/>
        <v>0</v>
      </c>
      <c r="V317">
        <v>-154.63999999999999</v>
      </c>
      <c r="W317">
        <f>VLOOKUP(G317,'[1]Erogati mag-giu 2026_791_old'!$A:$W,14,FALSE)</f>
        <v>-154.63999999999999</v>
      </c>
      <c r="X317">
        <f t="shared" si="21"/>
        <v>0</v>
      </c>
      <c r="Y317" t="s">
        <v>158</v>
      </c>
      <c r="Z317" t="str">
        <f>VLOOKUP(G317,'[2]Erogati mag-giu 2026_791_old'!$D:$T,11,FALSE)</f>
        <v>indiretto</v>
      </c>
      <c r="AA317" t="b">
        <v>1</v>
      </c>
      <c r="AF317" t="s">
        <v>20</v>
      </c>
      <c r="AG317" t="s">
        <v>20</v>
      </c>
    </row>
    <row r="318" spans="1:33">
      <c r="A318" s="13" t="s">
        <v>511</v>
      </c>
      <c r="B318" t="s">
        <v>1580</v>
      </c>
      <c r="C318" s="4">
        <v>202601306722820</v>
      </c>
      <c r="D318" s="4" t="b">
        <f t="shared" si="22"/>
        <v>1</v>
      </c>
      <c r="E318" t="s">
        <v>20</v>
      </c>
      <c r="F318" t="s">
        <v>21</v>
      </c>
      <c r="G318" t="s">
        <v>512</v>
      </c>
      <c r="H318" t="str">
        <f>VLOOKUP(C318,'[1]Erogati mag-giu 2026_791_old'!$B:$E,4,FALSE)</f>
        <v>C316556</v>
      </c>
      <c r="I318" t="b">
        <f t="shared" si="18"/>
        <v>1</v>
      </c>
      <c r="J318" s="14">
        <v>46179</v>
      </c>
      <c r="K318" s="14">
        <v>46179</v>
      </c>
      <c r="L318" t="s">
        <v>20</v>
      </c>
      <c r="M318" s="14">
        <v>46188</v>
      </c>
      <c r="N318" s="14">
        <v>46179</v>
      </c>
      <c r="O318" t="s">
        <v>20</v>
      </c>
      <c r="P318">
        <v>-66.260000000000005</v>
      </c>
      <c r="Q318">
        <f>VLOOKUP(G318,'[1]Erogati mag-giu 2026_791_old'!$A:$W,12,FALSE)</f>
        <v>-66.260000000000005</v>
      </c>
      <c r="R318">
        <f t="shared" si="19"/>
        <v>0</v>
      </c>
      <c r="S318">
        <v>-66.260000000000005</v>
      </c>
      <c r="T318">
        <f>VLOOKUP(G318,'[1]Erogati mag-giu 2026_791_old'!$A:$W,13,FALSE)</f>
        <v>-66.260000000000005</v>
      </c>
      <c r="U318">
        <f t="shared" si="20"/>
        <v>0</v>
      </c>
      <c r="V318">
        <v>-66.260000000000005</v>
      </c>
      <c r="W318">
        <f>VLOOKUP(G318,'[1]Erogati mag-giu 2026_791_old'!$A:$W,14,FALSE)</f>
        <v>-66.260000000000005</v>
      </c>
      <c r="X318">
        <f t="shared" si="21"/>
        <v>0</v>
      </c>
      <c r="Y318" t="s">
        <v>158</v>
      </c>
      <c r="Z318" t="str">
        <f>VLOOKUP(G318,'[2]Erogati mag-giu 2026_791_old'!$D:$T,11,FALSE)</f>
        <v>indiretto</v>
      </c>
      <c r="AA318" t="b">
        <v>1</v>
      </c>
      <c r="AF318" t="s">
        <v>20</v>
      </c>
      <c r="AG318" t="s">
        <v>20</v>
      </c>
    </row>
    <row r="319" spans="1:33">
      <c r="A319" s="13" t="s">
        <v>513</v>
      </c>
      <c r="B319" t="s">
        <v>1581</v>
      </c>
      <c r="C319" s="4">
        <v>202601306723430</v>
      </c>
      <c r="D319" s="4" t="b">
        <f t="shared" si="22"/>
        <v>1</v>
      </c>
      <c r="E319" t="s">
        <v>20</v>
      </c>
      <c r="F319" t="s">
        <v>21</v>
      </c>
      <c r="G319" t="s">
        <v>514</v>
      </c>
      <c r="H319" t="str">
        <f>VLOOKUP(C319,'[1]Erogati mag-giu 2026_791_old'!$B:$E,4,FALSE)</f>
        <v>C313419</v>
      </c>
      <c r="I319" t="b">
        <f t="shared" si="18"/>
        <v>1</v>
      </c>
      <c r="J319" s="14">
        <v>46179</v>
      </c>
      <c r="K319" s="14">
        <v>46179</v>
      </c>
      <c r="L319" t="s">
        <v>20</v>
      </c>
      <c r="M319" s="14">
        <v>46188</v>
      </c>
      <c r="N319" s="14">
        <v>46179</v>
      </c>
      <c r="O319" t="s">
        <v>20</v>
      </c>
      <c r="P319">
        <v>-66.260000000000005</v>
      </c>
      <c r="Q319">
        <f>VLOOKUP(G319,'[1]Erogati mag-giu 2026_791_old'!$A:$W,12,FALSE)</f>
        <v>-66.260000000000005</v>
      </c>
      <c r="R319">
        <f t="shared" si="19"/>
        <v>0</v>
      </c>
      <c r="S319">
        <v>-66.260000000000005</v>
      </c>
      <c r="T319">
        <f>VLOOKUP(G319,'[1]Erogati mag-giu 2026_791_old'!$A:$W,13,FALSE)</f>
        <v>-66.260000000000005</v>
      </c>
      <c r="U319">
        <f t="shared" si="20"/>
        <v>0</v>
      </c>
      <c r="V319">
        <v>-66.260000000000005</v>
      </c>
      <c r="W319">
        <f>VLOOKUP(G319,'[1]Erogati mag-giu 2026_791_old'!$A:$W,14,FALSE)</f>
        <v>-66.260000000000005</v>
      </c>
      <c r="X319">
        <f t="shared" si="21"/>
        <v>0</v>
      </c>
      <c r="Y319" t="s">
        <v>158</v>
      </c>
      <c r="Z319" t="str">
        <f>VLOOKUP(G319,'[2]Erogati mag-giu 2026_791_old'!$D:$T,11,FALSE)</f>
        <v>indiretto</v>
      </c>
      <c r="AA319" t="b">
        <v>1</v>
      </c>
      <c r="AF319" t="s">
        <v>20</v>
      </c>
      <c r="AG319" t="s">
        <v>20</v>
      </c>
    </row>
    <row r="320" spans="1:33">
      <c r="A320" s="13" t="s">
        <v>515</v>
      </c>
      <c r="B320" t="s">
        <v>1582</v>
      </c>
      <c r="C320" s="4">
        <v>202601306725753</v>
      </c>
      <c r="D320" s="4" t="b">
        <f t="shared" si="22"/>
        <v>1</v>
      </c>
      <c r="E320" t="s">
        <v>20</v>
      </c>
      <c r="F320" t="s">
        <v>21</v>
      </c>
      <c r="G320" t="s">
        <v>516</v>
      </c>
      <c r="H320" t="str">
        <f>VLOOKUP(C320,'[1]Erogati mag-giu 2026_791_old'!$B:$E,4,FALSE)</f>
        <v>C344217</v>
      </c>
      <c r="I320" t="b">
        <f t="shared" si="18"/>
        <v>1</v>
      </c>
      <c r="J320" s="14">
        <v>46179</v>
      </c>
      <c r="K320" s="14">
        <v>46179</v>
      </c>
      <c r="L320" t="s">
        <v>20</v>
      </c>
      <c r="M320" s="14">
        <v>46188</v>
      </c>
      <c r="N320" s="14">
        <v>46179</v>
      </c>
      <c r="O320" t="s">
        <v>20</v>
      </c>
      <c r="P320">
        <v>-131.29</v>
      </c>
      <c r="Q320">
        <f>VLOOKUP(G320,'[1]Erogati mag-giu 2026_791_old'!$A:$W,12,FALSE)</f>
        <v>-131.29</v>
      </c>
      <c r="R320">
        <f t="shared" si="19"/>
        <v>0</v>
      </c>
      <c r="S320">
        <v>-131.29</v>
      </c>
      <c r="T320">
        <f>VLOOKUP(G320,'[1]Erogati mag-giu 2026_791_old'!$A:$W,13,FALSE)</f>
        <v>-131.29</v>
      </c>
      <c r="U320">
        <f t="shared" si="20"/>
        <v>0</v>
      </c>
      <c r="V320">
        <v>-131.29</v>
      </c>
      <c r="W320">
        <f>VLOOKUP(G320,'[1]Erogati mag-giu 2026_791_old'!$A:$W,14,FALSE)</f>
        <v>-131.29</v>
      </c>
      <c r="X320">
        <f t="shared" si="21"/>
        <v>0</v>
      </c>
      <c r="Y320" t="s">
        <v>158</v>
      </c>
      <c r="Z320" t="str">
        <f>VLOOKUP(G320,'[2]Erogati mag-giu 2026_791_old'!$D:$T,11,FALSE)</f>
        <v>indiretto</v>
      </c>
      <c r="AA320" t="b">
        <v>1</v>
      </c>
      <c r="AF320" t="s">
        <v>20</v>
      </c>
      <c r="AG320" t="s">
        <v>20</v>
      </c>
    </row>
    <row r="321" spans="1:33">
      <c r="A321" s="13" t="s">
        <v>517</v>
      </c>
      <c r="B321" t="s">
        <v>1583</v>
      </c>
      <c r="C321" s="4">
        <v>202601306725834</v>
      </c>
      <c r="D321" s="4" t="b">
        <f t="shared" si="22"/>
        <v>1</v>
      </c>
      <c r="E321" t="s">
        <v>20</v>
      </c>
      <c r="F321" t="s">
        <v>21</v>
      </c>
      <c r="G321" t="s">
        <v>518</v>
      </c>
      <c r="H321" t="str">
        <f>VLOOKUP(C321,'[1]Erogati mag-giu 2026_791_old'!$B:$E,4,FALSE)</f>
        <v>C344250</v>
      </c>
      <c r="I321" t="b">
        <f t="shared" si="18"/>
        <v>1</v>
      </c>
      <c r="J321" s="14">
        <v>46179</v>
      </c>
      <c r="K321" s="14">
        <v>46179</v>
      </c>
      <c r="L321" t="s">
        <v>20</v>
      </c>
      <c r="M321" s="14">
        <v>46188</v>
      </c>
      <c r="N321" s="14">
        <v>46179</v>
      </c>
      <c r="O321" t="s">
        <v>20</v>
      </c>
      <c r="P321">
        <v>-33.130000000000003</v>
      </c>
      <c r="Q321">
        <f>VLOOKUP(G321,'[1]Erogati mag-giu 2026_791_old'!$A:$W,12,FALSE)</f>
        <v>-33.130000000000003</v>
      </c>
      <c r="R321">
        <f t="shared" si="19"/>
        <v>0</v>
      </c>
      <c r="S321">
        <v>-33.130000000000003</v>
      </c>
      <c r="T321">
        <f>VLOOKUP(G321,'[1]Erogati mag-giu 2026_791_old'!$A:$W,13,FALSE)</f>
        <v>-33.130000000000003</v>
      </c>
      <c r="U321">
        <f t="shared" si="20"/>
        <v>0</v>
      </c>
      <c r="V321">
        <v>-33.130000000000003</v>
      </c>
      <c r="W321">
        <f>VLOOKUP(G321,'[1]Erogati mag-giu 2026_791_old'!$A:$W,14,FALSE)</f>
        <v>-33.130000000000003</v>
      </c>
      <c r="X321">
        <f t="shared" si="21"/>
        <v>0</v>
      </c>
      <c r="Y321" t="s">
        <v>158</v>
      </c>
      <c r="Z321" t="str">
        <f>VLOOKUP(G321,'[2]Erogati mag-giu 2026_791_old'!$D:$T,11,FALSE)</f>
        <v>indiretto</v>
      </c>
      <c r="AA321" t="b">
        <v>1</v>
      </c>
      <c r="AF321" t="s">
        <v>20</v>
      </c>
      <c r="AG321" t="s">
        <v>20</v>
      </c>
    </row>
    <row r="322" spans="1:33">
      <c r="A322" s="13" t="s">
        <v>519</v>
      </c>
      <c r="B322" t="s">
        <v>1584</v>
      </c>
      <c r="C322" s="4">
        <v>202601306728897</v>
      </c>
      <c r="D322" s="4" t="b">
        <f t="shared" si="22"/>
        <v>1</v>
      </c>
      <c r="E322" t="s">
        <v>20</v>
      </c>
      <c r="F322" t="s">
        <v>21</v>
      </c>
      <c r="G322" t="s">
        <v>520</v>
      </c>
      <c r="H322" t="str">
        <f>VLOOKUP(C322,'[1]Erogati mag-giu 2026_791_old'!$B:$E,4,FALSE)</f>
        <v>C090909</v>
      </c>
      <c r="I322" t="b">
        <f t="shared" si="18"/>
        <v>1</v>
      </c>
      <c r="J322" s="14">
        <v>46179</v>
      </c>
      <c r="K322" s="14">
        <v>46179</v>
      </c>
      <c r="L322" t="s">
        <v>20</v>
      </c>
      <c r="M322" s="14">
        <v>46188</v>
      </c>
      <c r="N322" s="14">
        <v>46179</v>
      </c>
      <c r="O322" t="s">
        <v>20</v>
      </c>
      <c r="P322">
        <v>-178.91</v>
      </c>
      <c r="Q322">
        <f>VLOOKUP(G322,'[1]Erogati mag-giu 2026_791_old'!$A:$W,12,FALSE)</f>
        <v>-178.91</v>
      </c>
      <c r="R322">
        <f t="shared" si="19"/>
        <v>0</v>
      </c>
      <c r="S322">
        <v>-178.91</v>
      </c>
      <c r="T322">
        <f>VLOOKUP(G322,'[1]Erogati mag-giu 2026_791_old'!$A:$W,13,FALSE)</f>
        <v>-178.91</v>
      </c>
      <c r="U322">
        <f t="shared" si="20"/>
        <v>0</v>
      </c>
      <c r="V322">
        <v>-178.91</v>
      </c>
      <c r="W322">
        <f>VLOOKUP(G322,'[1]Erogati mag-giu 2026_791_old'!$A:$W,14,FALSE)</f>
        <v>-178.91</v>
      </c>
      <c r="X322">
        <f t="shared" si="21"/>
        <v>0</v>
      </c>
      <c r="Y322" t="s">
        <v>158</v>
      </c>
      <c r="Z322" t="str">
        <f>VLOOKUP(G322,'[2]Erogati mag-giu 2026_791_old'!$D:$T,11,FALSE)</f>
        <v>indiretto</v>
      </c>
      <c r="AA322" t="b">
        <v>1</v>
      </c>
      <c r="AF322" t="s">
        <v>20</v>
      </c>
      <c r="AG322" t="s">
        <v>20</v>
      </c>
    </row>
    <row r="323" spans="1:33">
      <c r="A323" s="13" t="s">
        <v>521</v>
      </c>
      <c r="B323" t="s">
        <v>1585</v>
      </c>
      <c r="C323" s="4">
        <v>202601306733943</v>
      </c>
      <c r="D323" s="4" t="b">
        <f t="shared" si="22"/>
        <v>1</v>
      </c>
      <c r="E323" t="s">
        <v>20</v>
      </c>
      <c r="F323" t="s">
        <v>21</v>
      </c>
      <c r="G323" t="s">
        <v>522</v>
      </c>
      <c r="H323" t="str">
        <f>VLOOKUP(C323,'[1]Erogati mag-giu 2026_791_old'!$B:$E,4,FALSE)</f>
        <v>C344179</v>
      </c>
      <c r="I323" t="b">
        <f t="shared" si="18"/>
        <v>1</v>
      </c>
      <c r="J323" s="14">
        <v>46179</v>
      </c>
      <c r="K323" s="14">
        <v>46179</v>
      </c>
      <c r="L323" t="s">
        <v>20</v>
      </c>
      <c r="M323" s="14">
        <v>46188</v>
      </c>
      <c r="N323" s="14">
        <v>46179</v>
      </c>
      <c r="O323" t="s">
        <v>20</v>
      </c>
      <c r="P323">
        <v>-26.26</v>
      </c>
      <c r="Q323">
        <f>VLOOKUP(G323,'[1]Erogati mag-giu 2026_791_old'!$A:$W,12,FALSE)</f>
        <v>-26.26</v>
      </c>
      <c r="R323">
        <f t="shared" si="19"/>
        <v>0</v>
      </c>
      <c r="S323">
        <v>-26.26</v>
      </c>
      <c r="T323">
        <f>VLOOKUP(G323,'[1]Erogati mag-giu 2026_791_old'!$A:$W,13,FALSE)</f>
        <v>-26.26</v>
      </c>
      <c r="U323">
        <f t="shared" si="20"/>
        <v>0</v>
      </c>
      <c r="V323">
        <v>-26.26</v>
      </c>
      <c r="W323">
        <f>VLOOKUP(G323,'[1]Erogati mag-giu 2026_791_old'!$A:$W,14,FALSE)</f>
        <v>-26.26</v>
      </c>
      <c r="X323">
        <f t="shared" si="21"/>
        <v>0</v>
      </c>
      <c r="Y323" t="s">
        <v>158</v>
      </c>
      <c r="Z323" t="str">
        <f>VLOOKUP(G323,'[2]Erogati mag-giu 2026_791_old'!$D:$T,11,FALSE)</f>
        <v>indiretto</v>
      </c>
      <c r="AA323" t="b">
        <v>1</v>
      </c>
      <c r="AF323" t="s">
        <v>20</v>
      </c>
      <c r="AG323" t="s">
        <v>20</v>
      </c>
    </row>
    <row r="324" spans="1:33">
      <c r="A324" s="13" t="s">
        <v>523</v>
      </c>
      <c r="B324" t="s">
        <v>1586</v>
      </c>
      <c r="C324" s="4">
        <v>202601306749932</v>
      </c>
      <c r="D324" s="4" t="b">
        <f t="shared" si="22"/>
        <v>1</v>
      </c>
      <c r="E324" t="s">
        <v>20</v>
      </c>
      <c r="F324" t="s">
        <v>21</v>
      </c>
      <c r="G324" t="s">
        <v>524</v>
      </c>
      <c r="H324" t="str">
        <f>VLOOKUP(C324,'[1]Erogati mag-giu 2026_791_old'!$B:$E,4,FALSE)</f>
        <v>C344157</v>
      </c>
      <c r="I324" t="b">
        <f t="shared" ref="I324:I387" si="23">EXACT(G324,H324)</f>
        <v>1</v>
      </c>
      <c r="J324" s="14">
        <v>46179</v>
      </c>
      <c r="K324" s="14">
        <v>46179</v>
      </c>
      <c r="L324" t="s">
        <v>20</v>
      </c>
      <c r="M324" s="14">
        <v>46188</v>
      </c>
      <c r="N324" s="14">
        <v>46179</v>
      </c>
      <c r="O324" t="s">
        <v>20</v>
      </c>
      <c r="P324">
        <v>-26.26</v>
      </c>
      <c r="Q324">
        <f>VLOOKUP(G324,'[1]Erogati mag-giu 2026_791_old'!$A:$W,12,FALSE)</f>
        <v>-26.26</v>
      </c>
      <c r="R324">
        <f t="shared" ref="R324:R387" si="24">P324-Q324</f>
        <v>0</v>
      </c>
      <c r="S324">
        <v>-26.26</v>
      </c>
      <c r="T324">
        <f>VLOOKUP(G324,'[1]Erogati mag-giu 2026_791_old'!$A:$W,13,FALSE)</f>
        <v>-26.26</v>
      </c>
      <c r="U324">
        <f t="shared" ref="U324:U387" si="25">S324-T324</f>
        <v>0</v>
      </c>
      <c r="V324">
        <v>-26.26</v>
      </c>
      <c r="W324">
        <f>VLOOKUP(G324,'[1]Erogati mag-giu 2026_791_old'!$A:$W,14,FALSE)</f>
        <v>-26.26</v>
      </c>
      <c r="X324">
        <f t="shared" ref="X324:X387" si="26">V324-W324</f>
        <v>0</v>
      </c>
      <c r="Y324" t="s">
        <v>158</v>
      </c>
      <c r="Z324" t="str">
        <f>VLOOKUP(G324,'[2]Erogati mag-giu 2026_791_old'!$D:$T,11,FALSE)</f>
        <v>indiretto</v>
      </c>
      <c r="AA324" t="b">
        <v>1</v>
      </c>
      <c r="AF324" t="s">
        <v>20</v>
      </c>
      <c r="AG324" t="s">
        <v>20</v>
      </c>
    </row>
    <row r="325" spans="1:33">
      <c r="A325" s="13" t="s">
        <v>525</v>
      </c>
      <c r="B325" t="s">
        <v>1587</v>
      </c>
      <c r="C325" s="4">
        <v>202601306754581</v>
      </c>
      <c r="D325" s="4" t="b">
        <f t="shared" si="22"/>
        <v>1</v>
      </c>
      <c r="E325" t="s">
        <v>20</v>
      </c>
      <c r="F325" t="s">
        <v>21</v>
      </c>
      <c r="G325" t="s">
        <v>526</v>
      </c>
      <c r="H325" t="str">
        <f>VLOOKUP(C325,'[1]Erogati mag-giu 2026_791_old'!$B:$E,4,FALSE)</f>
        <v>C320293</v>
      </c>
      <c r="I325" t="b">
        <f t="shared" si="23"/>
        <v>1</v>
      </c>
      <c r="J325" s="14">
        <v>46179</v>
      </c>
      <c r="K325" s="14">
        <v>46179</v>
      </c>
      <c r="L325" t="s">
        <v>20</v>
      </c>
      <c r="M325" s="14">
        <v>46188</v>
      </c>
      <c r="N325" s="14">
        <v>46179</v>
      </c>
      <c r="O325" t="s">
        <v>20</v>
      </c>
      <c r="P325">
        <v>-53.01</v>
      </c>
      <c r="Q325">
        <f>VLOOKUP(G325,'[1]Erogati mag-giu 2026_791_old'!$A:$W,12,FALSE)</f>
        <v>-53.01</v>
      </c>
      <c r="R325">
        <f t="shared" si="24"/>
        <v>0</v>
      </c>
      <c r="S325">
        <v>-53.01</v>
      </c>
      <c r="T325">
        <f>VLOOKUP(G325,'[1]Erogati mag-giu 2026_791_old'!$A:$W,13,FALSE)</f>
        <v>-53.01</v>
      </c>
      <c r="U325">
        <f t="shared" si="25"/>
        <v>0</v>
      </c>
      <c r="V325">
        <v>-53.01</v>
      </c>
      <c r="W325">
        <f>VLOOKUP(G325,'[1]Erogati mag-giu 2026_791_old'!$A:$W,14,FALSE)</f>
        <v>-53.01</v>
      </c>
      <c r="X325">
        <f t="shared" si="26"/>
        <v>0</v>
      </c>
      <c r="Y325" t="s">
        <v>158</v>
      </c>
      <c r="Z325" t="str">
        <f>VLOOKUP(G325,'[2]Erogati mag-giu 2026_791_old'!$D:$T,11,FALSE)</f>
        <v>indiretto</v>
      </c>
      <c r="AA325" t="b">
        <v>1</v>
      </c>
      <c r="AF325" t="s">
        <v>20</v>
      </c>
      <c r="AG325" t="s">
        <v>20</v>
      </c>
    </row>
    <row r="326" spans="1:33">
      <c r="A326" s="13" t="s">
        <v>527</v>
      </c>
      <c r="B326" t="s">
        <v>1588</v>
      </c>
      <c r="C326" s="4">
        <v>202601306754656</v>
      </c>
      <c r="D326" s="4" t="b">
        <f t="shared" si="22"/>
        <v>1</v>
      </c>
      <c r="E326" t="s">
        <v>20</v>
      </c>
      <c r="F326" t="s">
        <v>21</v>
      </c>
      <c r="G326" t="s">
        <v>528</v>
      </c>
      <c r="H326" t="str">
        <f>VLOOKUP(C326,'[1]Erogati mag-giu 2026_791_old'!$B:$E,4,FALSE)</f>
        <v>C313009</v>
      </c>
      <c r="I326" t="b">
        <f t="shared" si="23"/>
        <v>1</v>
      </c>
      <c r="J326" s="14">
        <v>46179</v>
      </c>
      <c r="K326" s="14">
        <v>46179</v>
      </c>
      <c r="L326" t="s">
        <v>20</v>
      </c>
      <c r="M326" s="14">
        <v>46188</v>
      </c>
      <c r="N326" s="14">
        <v>46179</v>
      </c>
      <c r="O326" t="s">
        <v>20</v>
      </c>
      <c r="P326">
        <v>-154.63999999999999</v>
      </c>
      <c r="Q326">
        <f>VLOOKUP(G326,'[1]Erogati mag-giu 2026_791_old'!$A:$W,12,FALSE)</f>
        <v>-154.63999999999999</v>
      </c>
      <c r="R326">
        <f t="shared" si="24"/>
        <v>0</v>
      </c>
      <c r="S326">
        <v>-154.63999999999999</v>
      </c>
      <c r="T326">
        <f>VLOOKUP(G326,'[1]Erogati mag-giu 2026_791_old'!$A:$W,13,FALSE)</f>
        <v>-154.63999999999999</v>
      </c>
      <c r="U326">
        <f t="shared" si="25"/>
        <v>0</v>
      </c>
      <c r="V326">
        <v>-154.63999999999999</v>
      </c>
      <c r="W326">
        <f>VLOOKUP(G326,'[1]Erogati mag-giu 2026_791_old'!$A:$W,14,FALSE)</f>
        <v>-154.63999999999999</v>
      </c>
      <c r="X326">
        <f t="shared" si="26"/>
        <v>0</v>
      </c>
      <c r="Y326" t="s">
        <v>158</v>
      </c>
      <c r="Z326" t="str">
        <f>VLOOKUP(G326,'[2]Erogati mag-giu 2026_791_old'!$D:$T,11,FALSE)</f>
        <v>indiretto</v>
      </c>
      <c r="AA326" t="b">
        <v>1</v>
      </c>
      <c r="AF326" t="s">
        <v>20</v>
      </c>
      <c r="AG326" t="s">
        <v>20</v>
      </c>
    </row>
    <row r="327" spans="1:33">
      <c r="A327" s="13" t="s">
        <v>529</v>
      </c>
      <c r="B327" t="s">
        <v>1589</v>
      </c>
      <c r="C327" s="4">
        <v>202601306755184</v>
      </c>
      <c r="D327" s="4" t="b">
        <f t="shared" si="22"/>
        <v>1</v>
      </c>
      <c r="E327" t="s">
        <v>20</v>
      </c>
      <c r="F327" t="s">
        <v>21</v>
      </c>
      <c r="G327" t="s">
        <v>530</v>
      </c>
      <c r="H327" t="str">
        <f>VLOOKUP(C327,'[1]Erogati mag-giu 2026_791_old'!$B:$E,4,FALSE)</f>
        <v>C344249</v>
      </c>
      <c r="I327" t="b">
        <f t="shared" si="23"/>
        <v>1</v>
      </c>
      <c r="J327" s="14">
        <v>46179</v>
      </c>
      <c r="K327" s="14">
        <v>46179</v>
      </c>
      <c r="L327" t="s">
        <v>20</v>
      </c>
      <c r="M327" s="14">
        <v>46188</v>
      </c>
      <c r="N327" s="14">
        <v>46179</v>
      </c>
      <c r="O327" t="s">
        <v>20</v>
      </c>
      <c r="P327">
        <v>-66.260000000000005</v>
      </c>
      <c r="Q327">
        <f>VLOOKUP(G327,'[1]Erogati mag-giu 2026_791_old'!$A:$W,12,FALSE)</f>
        <v>-66.260000000000005</v>
      </c>
      <c r="R327">
        <f t="shared" si="24"/>
        <v>0</v>
      </c>
      <c r="S327">
        <v>-66.260000000000005</v>
      </c>
      <c r="T327">
        <f>VLOOKUP(G327,'[1]Erogati mag-giu 2026_791_old'!$A:$W,13,FALSE)</f>
        <v>-66.260000000000005</v>
      </c>
      <c r="U327">
        <f t="shared" si="25"/>
        <v>0</v>
      </c>
      <c r="V327">
        <v>-66.260000000000005</v>
      </c>
      <c r="W327">
        <f>VLOOKUP(G327,'[1]Erogati mag-giu 2026_791_old'!$A:$W,14,FALSE)</f>
        <v>-66.260000000000005</v>
      </c>
      <c r="X327">
        <f t="shared" si="26"/>
        <v>0</v>
      </c>
      <c r="Y327" t="s">
        <v>158</v>
      </c>
      <c r="Z327" t="str">
        <f>VLOOKUP(G327,'[2]Erogati mag-giu 2026_791_old'!$D:$T,11,FALSE)</f>
        <v>indiretto</v>
      </c>
      <c r="AA327" t="b">
        <v>1</v>
      </c>
      <c r="AF327" t="s">
        <v>20</v>
      </c>
      <c r="AG327" t="s">
        <v>20</v>
      </c>
    </row>
    <row r="328" spans="1:33">
      <c r="A328" s="13" t="s">
        <v>531</v>
      </c>
      <c r="B328" t="s">
        <v>1590</v>
      </c>
      <c r="C328" s="4">
        <v>202601306756417</v>
      </c>
      <c r="D328" s="4" t="b">
        <f t="shared" si="22"/>
        <v>1</v>
      </c>
      <c r="E328" t="s">
        <v>20</v>
      </c>
      <c r="F328" t="s">
        <v>21</v>
      </c>
      <c r="G328" t="s">
        <v>532</v>
      </c>
      <c r="H328" t="str">
        <f>VLOOKUP(C328,'[1]Erogati mag-giu 2026_791_old'!$B:$E,4,FALSE)</f>
        <v>C121014</v>
      </c>
      <c r="I328" t="b">
        <f t="shared" si="23"/>
        <v>1</v>
      </c>
      <c r="J328" s="14">
        <v>46179</v>
      </c>
      <c r="K328" s="14">
        <v>46179</v>
      </c>
      <c r="L328" t="s">
        <v>20</v>
      </c>
      <c r="M328" s="14">
        <v>46188</v>
      </c>
      <c r="N328" s="14">
        <v>46179</v>
      </c>
      <c r="O328" t="s">
        <v>20</v>
      </c>
      <c r="P328">
        <v>-198.78</v>
      </c>
      <c r="Q328">
        <f>VLOOKUP(G328,'[1]Erogati mag-giu 2026_791_old'!$A:$W,12,FALSE)</f>
        <v>-198.78</v>
      </c>
      <c r="R328">
        <f t="shared" si="24"/>
        <v>0</v>
      </c>
      <c r="S328">
        <v>-198.78</v>
      </c>
      <c r="T328">
        <f>VLOOKUP(G328,'[1]Erogati mag-giu 2026_791_old'!$A:$W,13,FALSE)</f>
        <v>-198.78</v>
      </c>
      <c r="U328">
        <f t="shared" si="25"/>
        <v>0</v>
      </c>
      <c r="V328">
        <v>-198.78</v>
      </c>
      <c r="W328">
        <f>VLOOKUP(G328,'[1]Erogati mag-giu 2026_791_old'!$A:$W,14,FALSE)</f>
        <v>-198.78</v>
      </c>
      <c r="X328">
        <f t="shared" si="26"/>
        <v>0</v>
      </c>
      <c r="Y328" t="s">
        <v>158</v>
      </c>
      <c r="Z328" t="str">
        <f>VLOOKUP(G328,'[2]Erogati mag-giu 2026_791_old'!$D:$T,11,FALSE)</f>
        <v>indiretto</v>
      </c>
      <c r="AA328" t="b">
        <v>1</v>
      </c>
      <c r="AF328" t="s">
        <v>20</v>
      </c>
      <c r="AG328" t="s">
        <v>20</v>
      </c>
    </row>
    <row r="329" spans="1:33">
      <c r="A329" s="13" t="s">
        <v>533</v>
      </c>
      <c r="B329" t="s">
        <v>1591</v>
      </c>
      <c r="C329" s="4">
        <v>202601306756824</v>
      </c>
      <c r="D329" s="4" t="b">
        <f t="shared" ref="D329:D392" si="27">EXACT(B329,C329)</f>
        <v>1</v>
      </c>
      <c r="E329" t="s">
        <v>20</v>
      </c>
      <c r="F329" t="s">
        <v>21</v>
      </c>
      <c r="G329" t="s">
        <v>534</v>
      </c>
      <c r="H329" t="str">
        <f>VLOOKUP(C329,'[1]Erogati mag-giu 2026_791_old'!$B:$E,4,FALSE)</f>
        <v>C342277</v>
      </c>
      <c r="I329" t="b">
        <f t="shared" si="23"/>
        <v>1</v>
      </c>
      <c r="J329" s="14">
        <v>46179</v>
      </c>
      <c r="K329" s="14">
        <v>46179</v>
      </c>
      <c r="L329" t="s">
        <v>20</v>
      </c>
      <c r="M329" s="14">
        <v>46188</v>
      </c>
      <c r="N329" s="14">
        <v>46179</v>
      </c>
      <c r="O329" t="s">
        <v>20</v>
      </c>
      <c r="P329">
        <v>-105.03</v>
      </c>
      <c r="Q329">
        <f>VLOOKUP(G329,'[1]Erogati mag-giu 2026_791_old'!$A:$W,12,FALSE)</f>
        <v>-105.03</v>
      </c>
      <c r="R329">
        <f t="shared" si="24"/>
        <v>0</v>
      </c>
      <c r="S329">
        <v>-105.03</v>
      </c>
      <c r="T329">
        <f>VLOOKUP(G329,'[1]Erogati mag-giu 2026_791_old'!$A:$W,13,FALSE)</f>
        <v>-105.03</v>
      </c>
      <c r="U329">
        <f t="shared" si="25"/>
        <v>0</v>
      </c>
      <c r="V329">
        <v>-105.03</v>
      </c>
      <c r="W329">
        <f>VLOOKUP(G329,'[1]Erogati mag-giu 2026_791_old'!$A:$W,14,FALSE)</f>
        <v>-105.03</v>
      </c>
      <c r="X329">
        <f t="shared" si="26"/>
        <v>0</v>
      </c>
      <c r="Y329" t="s">
        <v>158</v>
      </c>
      <c r="Z329" t="str">
        <f>VLOOKUP(G329,'[2]Erogati mag-giu 2026_791_old'!$D:$T,11,FALSE)</f>
        <v>indiretto</v>
      </c>
      <c r="AA329" t="b">
        <v>1</v>
      </c>
      <c r="AF329" t="s">
        <v>20</v>
      </c>
      <c r="AG329" t="s">
        <v>20</v>
      </c>
    </row>
    <row r="330" spans="1:33">
      <c r="A330" s="13" t="s">
        <v>535</v>
      </c>
      <c r="B330" t="s">
        <v>1592</v>
      </c>
      <c r="C330" s="4">
        <v>202601306762754</v>
      </c>
      <c r="D330" s="4" t="b">
        <f t="shared" si="27"/>
        <v>1</v>
      </c>
      <c r="E330" t="s">
        <v>20</v>
      </c>
      <c r="F330" t="s">
        <v>21</v>
      </c>
      <c r="G330" t="s">
        <v>536</v>
      </c>
      <c r="H330" t="str">
        <f>VLOOKUP(C330,'[1]Erogati mag-giu 2026_791_old'!$B:$E,4,FALSE)</f>
        <v>C344308</v>
      </c>
      <c r="I330" t="b">
        <f t="shared" si="23"/>
        <v>1</v>
      </c>
      <c r="J330" s="14">
        <v>46179</v>
      </c>
      <c r="K330" s="14">
        <v>46179</v>
      </c>
      <c r="L330" t="s">
        <v>20</v>
      </c>
      <c r="M330" s="14">
        <v>46188</v>
      </c>
      <c r="N330" s="14">
        <v>46179</v>
      </c>
      <c r="O330" t="s">
        <v>20</v>
      </c>
      <c r="P330">
        <v>-131.29</v>
      </c>
      <c r="Q330">
        <f>VLOOKUP(G330,'[1]Erogati mag-giu 2026_791_old'!$A:$W,12,FALSE)</f>
        <v>-131.29</v>
      </c>
      <c r="R330">
        <f t="shared" si="24"/>
        <v>0</v>
      </c>
      <c r="S330">
        <v>-131.29</v>
      </c>
      <c r="T330">
        <f>VLOOKUP(G330,'[1]Erogati mag-giu 2026_791_old'!$A:$W,13,FALSE)</f>
        <v>-131.29</v>
      </c>
      <c r="U330">
        <f t="shared" si="25"/>
        <v>0</v>
      </c>
      <c r="V330">
        <v>-131.29</v>
      </c>
      <c r="W330">
        <f>VLOOKUP(G330,'[1]Erogati mag-giu 2026_791_old'!$A:$W,14,FALSE)</f>
        <v>-131.29</v>
      </c>
      <c r="X330">
        <f t="shared" si="26"/>
        <v>0</v>
      </c>
      <c r="Y330" t="s">
        <v>158</v>
      </c>
      <c r="Z330" t="str">
        <f>VLOOKUP(G330,'[2]Erogati mag-giu 2026_791_old'!$D:$T,11,FALSE)</f>
        <v>indiretto</v>
      </c>
      <c r="AA330" t="b">
        <v>1</v>
      </c>
      <c r="AF330" t="s">
        <v>20</v>
      </c>
      <c r="AG330" t="s">
        <v>20</v>
      </c>
    </row>
    <row r="331" spans="1:33">
      <c r="A331" s="13" t="s">
        <v>537</v>
      </c>
      <c r="B331" t="s">
        <v>1593</v>
      </c>
      <c r="C331" s="4">
        <v>202601306763052</v>
      </c>
      <c r="D331" s="4" t="b">
        <f t="shared" si="27"/>
        <v>1</v>
      </c>
      <c r="E331" t="s">
        <v>20</v>
      </c>
      <c r="F331" t="s">
        <v>21</v>
      </c>
      <c r="G331" t="s">
        <v>538</v>
      </c>
      <c r="H331" t="str">
        <f>VLOOKUP(C331,'[1]Erogati mag-giu 2026_791_old'!$B:$E,4,FALSE)</f>
        <v>C309987</v>
      </c>
      <c r="I331" t="b">
        <f t="shared" si="23"/>
        <v>1</v>
      </c>
      <c r="J331" s="14">
        <v>46179</v>
      </c>
      <c r="K331" s="14">
        <v>46179</v>
      </c>
      <c r="L331" t="s">
        <v>20</v>
      </c>
      <c r="M331" s="14">
        <v>46188</v>
      </c>
      <c r="N331" s="14">
        <v>46179</v>
      </c>
      <c r="O331" t="s">
        <v>20</v>
      </c>
      <c r="P331">
        <v>-54.48</v>
      </c>
      <c r="Q331">
        <f>VLOOKUP(G331,'[1]Erogati mag-giu 2026_791_old'!$A:$W,12,FALSE)</f>
        <v>-54.48</v>
      </c>
      <c r="R331">
        <f t="shared" si="24"/>
        <v>0</v>
      </c>
      <c r="S331">
        <v>-54.48</v>
      </c>
      <c r="T331">
        <f>VLOOKUP(G331,'[1]Erogati mag-giu 2026_791_old'!$A:$W,13,FALSE)</f>
        <v>-54.48</v>
      </c>
      <c r="U331">
        <f t="shared" si="25"/>
        <v>0</v>
      </c>
      <c r="V331">
        <v>-54.48</v>
      </c>
      <c r="W331">
        <f>VLOOKUP(G331,'[1]Erogati mag-giu 2026_791_old'!$A:$W,14,FALSE)</f>
        <v>-54.48</v>
      </c>
      <c r="X331">
        <f t="shared" si="26"/>
        <v>0</v>
      </c>
      <c r="Y331" t="s">
        <v>158</v>
      </c>
      <c r="Z331" t="str">
        <f>VLOOKUP(G331,'[2]Erogati mag-giu 2026_791_old'!$D:$T,11,FALSE)</f>
        <v>indiretto</v>
      </c>
      <c r="AA331" t="b">
        <v>1</v>
      </c>
      <c r="AF331" t="s">
        <v>20</v>
      </c>
      <c r="AG331" t="s">
        <v>20</v>
      </c>
    </row>
    <row r="332" spans="1:33">
      <c r="A332" s="13" t="s">
        <v>539</v>
      </c>
      <c r="B332" t="s">
        <v>1594</v>
      </c>
      <c r="C332" s="4">
        <v>202601306763088</v>
      </c>
      <c r="D332" s="4" t="b">
        <f t="shared" si="27"/>
        <v>1</v>
      </c>
      <c r="E332" t="s">
        <v>20</v>
      </c>
      <c r="F332" t="s">
        <v>21</v>
      </c>
      <c r="G332" t="s">
        <v>540</v>
      </c>
      <c r="H332" t="str">
        <f>VLOOKUP(C332,'[1]Erogati mag-giu 2026_791_old'!$B:$E,4,FALSE)</f>
        <v>C319981</v>
      </c>
      <c r="I332" t="b">
        <f t="shared" si="23"/>
        <v>1</v>
      </c>
      <c r="J332" s="14">
        <v>46179</v>
      </c>
      <c r="K332" s="14">
        <v>46179</v>
      </c>
      <c r="L332" t="s">
        <v>20</v>
      </c>
      <c r="M332" s="14">
        <v>46188</v>
      </c>
      <c r="N332" s="14">
        <v>46179</v>
      </c>
      <c r="O332" t="s">
        <v>20</v>
      </c>
      <c r="P332">
        <v>-33.130000000000003</v>
      </c>
      <c r="Q332">
        <f>VLOOKUP(G332,'[1]Erogati mag-giu 2026_791_old'!$A:$W,12,FALSE)</f>
        <v>-33.130000000000003</v>
      </c>
      <c r="R332">
        <f t="shared" si="24"/>
        <v>0</v>
      </c>
      <c r="S332">
        <v>-33.130000000000003</v>
      </c>
      <c r="T332">
        <f>VLOOKUP(G332,'[1]Erogati mag-giu 2026_791_old'!$A:$W,13,FALSE)</f>
        <v>-33.130000000000003</v>
      </c>
      <c r="U332">
        <f t="shared" si="25"/>
        <v>0</v>
      </c>
      <c r="V332">
        <v>-33.130000000000003</v>
      </c>
      <c r="W332">
        <f>VLOOKUP(G332,'[1]Erogati mag-giu 2026_791_old'!$A:$W,14,FALSE)</f>
        <v>-33.130000000000003</v>
      </c>
      <c r="X332">
        <f t="shared" si="26"/>
        <v>0</v>
      </c>
      <c r="Y332" t="s">
        <v>158</v>
      </c>
      <c r="Z332" t="str">
        <f>VLOOKUP(G332,'[2]Erogati mag-giu 2026_791_old'!$D:$T,11,FALSE)</f>
        <v>indiretto</v>
      </c>
      <c r="AA332" t="b">
        <v>1</v>
      </c>
      <c r="AF332" t="s">
        <v>20</v>
      </c>
      <c r="AG332" t="s">
        <v>20</v>
      </c>
    </row>
    <row r="333" spans="1:33">
      <c r="A333" s="13" t="s">
        <v>541</v>
      </c>
      <c r="B333" t="s">
        <v>1595</v>
      </c>
      <c r="C333" s="4">
        <v>202601306763110</v>
      </c>
      <c r="D333" s="4" t="b">
        <f t="shared" si="27"/>
        <v>1</v>
      </c>
      <c r="E333" t="s">
        <v>20</v>
      </c>
      <c r="F333" t="s">
        <v>21</v>
      </c>
      <c r="G333" t="s">
        <v>542</v>
      </c>
      <c r="H333" t="str">
        <f>VLOOKUP(C333,'[1]Erogati mag-giu 2026_791_old'!$B:$E,4,FALSE)</f>
        <v>C344197</v>
      </c>
      <c r="I333" t="b">
        <f t="shared" si="23"/>
        <v>1</v>
      </c>
      <c r="J333" s="14">
        <v>46179</v>
      </c>
      <c r="K333" s="14">
        <v>46179</v>
      </c>
      <c r="L333" t="s">
        <v>20</v>
      </c>
      <c r="M333" s="14">
        <v>46188</v>
      </c>
      <c r="N333" s="14">
        <v>46179</v>
      </c>
      <c r="O333" t="s">
        <v>20</v>
      </c>
      <c r="P333">
        <v>-231.96</v>
      </c>
      <c r="Q333">
        <f>VLOOKUP(G333,'[1]Erogati mag-giu 2026_791_old'!$A:$W,12,FALSE)</f>
        <v>-231.96</v>
      </c>
      <c r="R333">
        <f t="shared" si="24"/>
        <v>0</v>
      </c>
      <c r="S333">
        <v>-231.96</v>
      </c>
      <c r="T333">
        <f>VLOOKUP(G333,'[1]Erogati mag-giu 2026_791_old'!$A:$W,13,FALSE)</f>
        <v>-231.96</v>
      </c>
      <c r="U333">
        <f t="shared" si="25"/>
        <v>0</v>
      </c>
      <c r="V333">
        <v>-231.96</v>
      </c>
      <c r="W333">
        <f>VLOOKUP(G333,'[1]Erogati mag-giu 2026_791_old'!$A:$W,14,FALSE)</f>
        <v>-231.96</v>
      </c>
      <c r="X333">
        <f t="shared" si="26"/>
        <v>0</v>
      </c>
      <c r="Y333" t="s">
        <v>158</v>
      </c>
      <c r="Z333" t="str">
        <f>VLOOKUP(G333,'[2]Erogati mag-giu 2026_791_old'!$D:$T,11,FALSE)</f>
        <v>indiretto</v>
      </c>
      <c r="AA333" t="b">
        <v>1</v>
      </c>
      <c r="AF333" t="s">
        <v>20</v>
      </c>
      <c r="AG333" t="s">
        <v>20</v>
      </c>
    </row>
    <row r="334" spans="1:33">
      <c r="A334" s="13" t="s">
        <v>543</v>
      </c>
      <c r="B334" t="s">
        <v>1596</v>
      </c>
      <c r="C334" s="4">
        <v>202601306770214</v>
      </c>
      <c r="D334" s="4" t="b">
        <f t="shared" si="27"/>
        <v>1</v>
      </c>
      <c r="E334" t="s">
        <v>20</v>
      </c>
      <c r="F334" t="s">
        <v>21</v>
      </c>
      <c r="G334" t="s">
        <v>544</v>
      </c>
      <c r="H334" t="str">
        <f>VLOOKUP(C334,'[1]Erogati mag-giu 2026_791_old'!$B:$E,4,FALSE)</f>
        <v>C311536</v>
      </c>
      <c r="I334" t="b">
        <f t="shared" si="23"/>
        <v>1</v>
      </c>
      <c r="J334" s="14">
        <v>46179</v>
      </c>
      <c r="K334" s="14">
        <v>46179</v>
      </c>
      <c r="L334" t="s">
        <v>20</v>
      </c>
      <c r="M334" s="14">
        <v>46188</v>
      </c>
      <c r="N334" s="14">
        <v>46179</v>
      </c>
      <c r="O334" t="s">
        <v>20</v>
      </c>
      <c r="P334">
        <v>-33.130000000000003</v>
      </c>
      <c r="Q334">
        <f>VLOOKUP(G334,'[1]Erogati mag-giu 2026_791_old'!$A:$W,12,FALSE)</f>
        <v>-33.130000000000003</v>
      </c>
      <c r="R334">
        <f t="shared" si="24"/>
        <v>0</v>
      </c>
      <c r="S334">
        <v>-33.130000000000003</v>
      </c>
      <c r="T334">
        <f>VLOOKUP(G334,'[1]Erogati mag-giu 2026_791_old'!$A:$W,13,FALSE)</f>
        <v>-33.130000000000003</v>
      </c>
      <c r="U334">
        <f t="shared" si="25"/>
        <v>0</v>
      </c>
      <c r="V334">
        <v>-33.130000000000003</v>
      </c>
      <c r="W334">
        <f>VLOOKUP(G334,'[1]Erogati mag-giu 2026_791_old'!$A:$W,14,FALSE)</f>
        <v>-33.130000000000003</v>
      </c>
      <c r="X334">
        <f t="shared" si="26"/>
        <v>0</v>
      </c>
      <c r="Y334" t="s">
        <v>158</v>
      </c>
      <c r="Z334" t="str">
        <f>VLOOKUP(G334,'[2]Erogati mag-giu 2026_791_old'!$D:$T,11,FALSE)</f>
        <v>indiretto</v>
      </c>
      <c r="AA334" t="b">
        <v>1</v>
      </c>
      <c r="AF334" t="s">
        <v>20</v>
      </c>
      <c r="AG334" t="s">
        <v>20</v>
      </c>
    </row>
    <row r="335" spans="1:33">
      <c r="A335" s="13" t="s">
        <v>545</v>
      </c>
      <c r="B335" t="s">
        <v>1597</v>
      </c>
      <c r="C335" s="4">
        <v>202601306772014</v>
      </c>
      <c r="D335" s="4" t="b">
        <f t="shared" si="27"/>
        <v>1</v>
      </c>
      <c r="E335" t="s">
        <v>20</v>
      </c>
      <c r="F335" t="s">
        <v>21</v>
      </c>
      <c r="G335" t="s">
        <v>546</v>
      </c>
      <c r="H335" t="str">
        <f>VLOOKUP(C335,'[1]Erogati mag-giu 2026_791_old'!$B:$E,4,FALSE)</f>
        <v>C344347</v>
      </c>
      <c r="I335" t="b">
        <f t="shared" si="23"/>
        <v>1</v>
      </c>
      <c r="J335" s="14">
        <v>46179</v>
      </c>
      <c r="K335" s="14">
        <v>46179</v>
      </c>
      <c r="L335" t="s">
        <v>20</v>
      </c>
      <c r="M335" s="14">
        <v>46188</v>
      </c>
      <c r="N335" s="14">
        <v>46179</v>
      </c>
      <c r="O335" t="s">
        <v>20</v>
      </c>
      <c r="P335">
        <v>-59.86</v>
      </c>
      <c r="Q335">
        <f>VLOOKUP(G335,'[1]Erogati mag-giu 2026_791_old'!$A:$W,12,FALSE)</f>
        <v>-59.86</v>
      </c>
      <c r="R335">
        <f t="shared" si="24"/>
        <v>0</v>
      </c>
      <c r="S335">
        <v>-59.86</v>
      </c>
      <c r="T335">
        <f>VLOOKUP(G335,'[1]Erogati mag-giu 2026_791_old'!$A:$W,13,FALSE)</f>
        <v>-59.86</v>
      </c>
      <c r="U335">
        <f t="shared" si="25"/>
        <v>0</v>
      </c>
      <c r="V335">
        <v>-59.86</v>
      </c>
      <c r="W335">
        <f>VLOOKUP(G335,'[1]Erogati mag-giu 2026_791_old'!$A:$W,14,FALSE)</f>
        <v>-59.86</v>
      </c>
      <c r="X335">
        <f t="shared" si="26"/>
        <v>0</v>
      </c>
      <c r="Y335" t="s">
        <v>158</v>
      </c>
      <c r="Z335" t="str">
        <f>VLOOKUP(G335,'[2]Erogati mag-giu 2026_791_old'!$D:$T,11,FALSE)</f>
        <v>indiretto</v>
      </c>
      <c r="AA335" t="b">
        <v>1</v>
      </c>
      <c r="AF335" t="s">
        <v>20</v>
      </c>
      <c r="AG335" t="s">
        <v>20</v>
      </c>
    </row>
    <row r="336" spans="1:33">
      <c r="A336" s="13" t="s">
        <v>547</v>
      </c>
      <c r="B336" t="s">
        <v>1598</v>
      </c>
      <c r="C336" s="4">
        <v>202601306777816</v>
      </c>
      <c r="D336" s="4" t="b">
        <f t="shared" si="27"/>
        <v>1</v>
      </c>
      <c r="E336" t="s">
        <v>20</v>
      </c>
      <c r="F336" t="s">
        <v>21</v>
      </c>
      <c r="G336" t="s">
        <v>548</v>
      </c>
      <c r="H336" t="str">
        <f>VLOOKUP(C336,'[1]Erogati mag-giu 2026_791_old'!$B:$E,4,FALSE)</f>
        <v>C344224</v>
      </c>
      <c r="I336" t="b">
        <f t="shared" si="23"/>
        <v>1</v>
      </c>
      <c r="J336" s="14">
        <v>46179</v>
      </c>
      <c r="K336" s="14">
        <v>46179</v>
      </c>
      <c r="L336" t="s">
        <v>20</v>
      </c>
      <c r="M336" s="14">
        <v>46188</v>
      </c>
      <c r="N336" s="14">
        <v>46179</v>
      </c>
      <c r="O336" t="s">
        <v>20</v>
      </c>
      <c r="P336">
        <v>-99.39</v>
      </c>
      <c r="Q336">
        <f>VLOOKUP(G336,'[1]Erogati mag-giu 2026_791_old'!$A:$W,12,FALSE)</f>
        <v>-99.39</v>
      </c>
      <c r="R336">
        <f t="shared" si="24"/>
        <v>0</v>
      </c>
      <c r="S336">
        <v>-99.39</v>
      </c>
      <c r="T336">
        <f>VLOOKUP(G336,'[1]Erogati mag-giu 2026_791_old'!$A:$W,13,FALSE)</f>
        <v>-99.39</v>
      </c>
      <c r="U336">
        <f t="shared" si="25"/>
        <v>0</v>
      </c>
      <c r="V336">
        <v>-99.39</v>
      </c>
      <c r="W336">
        <f>VLOOKUP(G336,'[1]Erogati mag-giu 2026_791_old'!$A:$W,14,FALSE)</f>
        <v>-99.39</v>
      </c>
      <c r="X336">
        <f t="shared" si="26"/>
        <v>0</v>
      </c>
      <c r="Y336" t="s">
        <v>158</v>
      </c>
      <c r="Z336" t="str">
        <f>VLOOKUP(G336,'[2]Erogati mag-giu 2026_791_old'!$D:$T,11,FALSE)</f>
        <v>indiretto</v>
      </c>
      <c r="AA336" t="b">
        <v>1</v>
      </c>
      <c r="AF336" t="s">
        <v>20</v>
      </c>
      <c r="AG336" t="s">
        <v>20</v>
      </c>
    </row>
    <row r="337" spans="1:33">
      <c r="A337" s="13" t="s">
        <v>549</v>
      </c>
      <c r="B337" t="s">
        <v>1599</v>
      </c>
      <c r="C337" s="4">
        <v>202601306793846</v>
      </c>
      <c r="D337" s="4" t="b">
        <f t="shared" si="27"/>
        <v>1</v>
      </c>
      <c r="E337" t="s">
        <v>20</v>
      </c>
      <c r="F337" t="s">
        <v>21</v>
      </c>
      <c r="G337" t="s">
        <v>550</v>
      </c>
      <c r="H337" t="str">
        <f>VLOOKUP(C337,'[1]Erogati mag-giu 2026_791_old'!$B:$E,4,FALSE)</f>
        <v>C344104</v>
      </c>
      <c r="I337" t="b">
        <f t="shared" si="23"/>
        <v>1</v>
      </c>
      <c r="J337" s="14">
        <v>46179</v>
      </c>
      <c r="K337" s="14">
        <v>46179</v>
      </c>
      <c r="L337" t="s">
        <v>20</v>
      </c>
      <c r="M337" s="14">
        <v>46188</v>
      </c>
      <c r="N337" s="14">
        <v>46179</v>
      </c>
      <c r="O337" t="s">
        <v>20</v>
      </c>
      <c r="P337">
        <v>-52.52</v>
      </c>
      <c r="Q337">
        <f>VLOOKUP(G337,'[1]Erogati mag-giu 2026_791_old'!$A:$W,12,FALSE)</f>
        <v>-52.52</v>
      </c>
      <c r="R337">
        <f t="shared" si="24"/>
        <v>0</v>
      </c>
      <c r="S337">
        <v>-52.52</v>
      </c>
      <c r="T337">
        <f>VLOOKUP(G337,'[1]Erogati mag-giu 2026_791_old'!$A:$W,13,FALSE)</f>
        <v>-52.52</v>
      </c>
      <c r="U337">
        <f t="shared" si="25"/>
        <v>0</v>
      </c>
      <c r="V337">
        <v>-52.52</v>
      </c>
      <c r="W337">
        <f>VLOOKUP(G337,'[1]Erogati mag-giu 2026_791_old'!$A:$W,14,FALSE)</f>
        <v>-52.52</v>
      </c>
      <c r="X337">
        <f t="shared" si="26"/>
        <v>0</v>
      </c>
      <c r="Y337" t="s">
        <v>158</v>
      </c>
      <c r="Z337" t="str">
        <f>VLOOKUP(G337,'[2]Erogati mag-giu 2026_791_old'!$D:$T,11,FALSE)</f>
        <v>indiretto</v>
      </c>
      <c r="AA337" t="b">
        <v>1</v>
      </c>
      <c r="AF337" t="s">
        <v>20</v>
      </c>
      <c r="AG337" t="s">
        <v>20</v>
      </c>
    </row>
    <row r="338" spans="1:33">
      <c r="A338" s="13" t="s">
        <v>551</v>
      </c>
      <c r="B338" t="s">
        <v>1600</v>
      </c>
      <c r="C338" s="4">
        <v>202601306798088</v>
      </c>
      <c r="D338" s="4" t="b">
        <f t="shared" si="27"/>
        <v>1</v>
      </c>
      <c r="E338" t="s">
        <v>20</v>
      </c>
      <c r="F338" t="s">
        <v>21</v>
      </c>
      <c r="G338" t="s">
        <v>552</v>
      </c>
      <c r="H338" t="str">
        <f>VLOOKUP(C338,'[1]Erogati mag-giu 2026_791_old'!$B:$E,4,FALSE)</f>
        <v>C307157</v>
      </c>
      <c r="I338" t="b">
        <f t="shared" si="23"/>
        <v>1</v>
      </c>
      <c r="J338" s="14">
        <v>46179</v>
      </c>
      <c r="K338" s="14">
        <v>46179</v>
      </c>
      <c r="L338" t="s">
        <v>20</v>
      </c>
      <c r="M338" s="14">
        <v>46188</v>
      </c>
      <c r="N338" s="14">
        <v>46179</v>
      </c>
      <c r="O338" t="s">
        <v>20</v>
      </c>
      <c r="P338">
        <v>-71.900000000000006</v>
      </c>
      <c r="Q338">
        <f>VLOOKUP(G338,'[1]Erogati mag-giu 2026_791_old'!$A:$W,12,FALSE)</f>
        <v>-71.900000000000006</v>
      </c>
      <c r="R338">
        <f t="shared" si="24"/>
        <v>0</v>
      </c>
      <c r="S338">
        <v>-71.900000000000006</v>
      </c>
      <c r="T338">
        <f>VLOOKUP(G338,'[1]Erogati mag-giu 2026_791_old'!$A:$W,13,FALSE)</f>
        <v>-71.900000000000006</v>
      </c>
      <c r="U338">
        <f t="shared" si="25"/>
        <v>0</v>
      </c>
      <c r="V338">
        <v>-71.900000000000006</v>
      </c>
      <c r="W338">
        <f>VLOOKUP(G338,'[1]Erogati mag-giu 2026_791_old'!$A:$W,14,FALSE)</f>
        <v>-71.900000000000006</v>
      </c>
      <c r="X338">
        <f t="shared" si="26"/>
        <v>0</v>
      </c>
      <c r="Y338" t="s">
        <v>158</v>
      </c>
      <c r="Z338" t="str">
        <f>VLOOKUP(G338,'[2]Erogati mag-giu 2026_791_old'!$D:$T,11,FALSE)</f>
        <v>indiretto</v>
      </c>
      <c r="AA338" t="b">
        <v>1</v>
      </c>
      <c r="AF338" t="s">
        <v>20</v>
      </c>
      <c r="AG338" t="s">
        <v>20</v>
      </c>
    </row>
    <row r="339" spans="1:33">
      <c r="A339" s="13" t="s">
        <v>553</v>
      </c>
      <c r="B339" t="s">
        <v>1601</v>
      </c>
      <c r="C339" s="4">
        <v>202601306803281</v>
      </c>
      <c r="D339" s="4" t="b">
        <f t="shared" si="27"/>
        <v>1</v>
      </c>
      <c r="E339" t="s">
        <v>20</v>
      </c>
      <c r="F339" t="s">
        <v>21</v>
      </c>
      <c r="G339" t="s">
        <v>554</v>
      </c>
      <c r="H339" t="str">
        <f>VLOOKUP(C339,'[1]Erogati mag-giu 2026_791_old'!$B:$E,4,FALSE)</f>
        <v>C315995</v>
      </c>
      <c r="I339" t="b">
        <f t="shared" si="23"/>
        <v>1</v>
      </c>
      <c r="J339" s="14">
        <v>46179</v>
      </c>
      <c r="K339" s="14">
        <v>46179</v>
      </c>
      <c r="L339" t="s">
        <v>20</v>
      </c>
      <c r="M339" s="14">
        <v>46188</v>
      </c>
      <c r="N339" s="14">
        <v>46179</v>
      </c>
      <c r="O339" t="s">
        <v>20</v>
      </c>
      <c r="P339">
        <v>-64.739999999999995</v>
      </c>
      <c r="Q339">
        <f>VLOOKUP(G339,'[1]Erogati mag-giu 2026_791_old'!$A:$W,12,FALSE)</f>
        <v>-64.739999999999995</v>
      </c>
      <c r="R339">
        <f t="shared" si="24"/>
        <v>0</v>
      </c>
      <c r="S339">
        <v>-64.739999999999995</v>
      </c>
      <c r="T339">
        <f>VLOOKUP(G339,'[1]Erogati mag-giu 2026_791_old'!$A:$W,13,FALSE)</f>
        <v>-64.739999999999995</v>
      </c>
      <c r="U339">
        <f t="shared" si="25"/>
        <v>0</v>
      </c>
      <c r="V339">
        <v>-64.739999999999995</v>
      </c>
      <c r="W339">
        <f>VLOOKUP(G339,'[1]Erogati mag-giu 2026_791_old'!$A:$W,14,FALSE)</f>
        <v>-64.739999999999995</v>
      </c>
      <c r="X339">
        <f t="shared" si="26"/>
        <v>0</v>
      </c>
      <c r="Y339" t="s">
        <v>158</v>
      </c>
      <c r="Z339" t="str">
        <f>VLOOKUP(G339,'[2]Erogati mag-giu 2026_791_old'!$D:$T,11,FALSE)</f>
        <v>indiretto</v>
      </c>
      <c r="AA339" t="b">
        <v>1</v>
      </c>
      <c r="AF339" t="s">
        <v>20</v>
      </c>
      <c r="AG339" t="s">
        <v>20</v>
      </c>
    </row>
    <row r="340" spans="1:33">
      <c r="A340" s="13" t="s">
        <v>555</v>
      </c>
      <c r="B340" t="s">
        <v>1602</v>
      </c>
      <c r="C340" s="4">
        <v>202601306806592</v>
      </c>
      <c r="D340" s="4" t="b">
        <f t="shared" si="27"/>
        <v>1</v>
      </c>
      <c r="E340" t="s">
        <v>20</v>
      </c>
      <c r="F340" t="s">
        <v>21</v>
      </c>
      <c r="G340" t="s">
        <v>556</v>
      </c>
      <c r="H340" t="str">
        <f>VLOOKUP(C340,'[1]Erogati mag-giu 2026_791_old'!$B:$E,4,FALSE)</f>
        <v>C313852</v>
      </c>
      <c r="I340" t="b">
        <f t="shared" si="23"/>
        <v>1</v>
      </c>
      <c r="J340" s="14">
        <v>46179</v>
      </c>
      <c r="K340" s="14">
        <v>46179</v>
      </c>
      <c r="L340" t="s">
        <v>20</v>
      </c>
      <c r="M340" s="14">
        <v>46188</v>
      </c>
      <c r="N340" s="14">
        <v>46179</v>
      </c>
      <c r="O340" t="s">
        <v>20</v>
      </c>
      <c r="P340">
        <v>-132.52000000000001</v>
      </c>
      <c r="Q340">
        <f>VLOOKUP(G340,'[1]Erogati mag-giu 2026_791_old'!$A:$W,12,FALSE)</f>
        <v>-132.52000000000001</v>
      </c>
      <c r="R340">
        <f t="shared" si="24"/>
        <v>0</v>
      </c>
      <c r="S340">
        <v>-132.52000000000001</v>
      </c>
      <c r="T340">
        <f>VLOOKUP(G340,'[1]Erogati mag-giu 2026_791_old'!$A:$W,13,FALSE)</f>
        <v>-132.52000000000001</v>
      </c>
      <c r="U340">
        <f t="shared" si="25"/>
        <v>0</v>
      </c>
      <c r="V340">
        <v>-132.52000000000001</v>
      </c>
      <c r="W340">
        <f>VLOOKUP(G340,'[1]Erogati mag-giu 2026_791_old'!$A:$W,14,FALSE)</f>
        <v>-132.52000000000001</v>
      </c>
      <c r="X340">
        <f t="shared" si="26"/>
        <v>0</v>
      </c>
      <c r="Y340" t="s">
        <v>158</v>
      </c>
      <c r="Z340" t="str">
        <f>VLOOKUP(G340,'[2]Erogati mag-giu 2026_791_old'!$D:$T,11,FALSE)</f>
        <v>indiretto</v>
      </c>
      <c r="AA340" t="b">
        <v>1</v>
      </c>
      <c r="AF340" t="s">
        <v>20</v>
      </c>
      <c r="AG340" t="s">
        <v>20</v>
      </c>
    </row>
    <row r="341" spans="1:33">
      <c r="A341" s="13" t="s">
        <v>557</v>
      </c>
      <c r="B341" t="s">
        <v>1603</v>
      </c>
      <c r="C341" s="4">
        <v>202601306808193</v>
      </c>
      <c r="D341" s="4" t="b">
        <f t="shared" si="27"/>
        <v>1</v>
      </c>
      <c r="E341" t="s">
        <v>20</v>
      </c>
      <c r="F341" t="s">
        <v>21</v>
      </c>
      <c r="G341" t="s">
        <v>558</v>
      </c>
      <c r="H341" t="str">
        <f>VLOOKUP(C341,'[1]Erogati mag-giu 2026_791_old'!$B:$E,4,FALSE)</f>
        <v>C128693</v>
      </c>
      <c r="I341" t="b">
        <f t="shared" si="23"/>
        <v>1</v>
      </c>
      <c r="J341" s="14">
        <v>46179</v>
      </c>
      <c r="K341" s="14">
        <v>46179</v>
      </c>
      <c r="L341" t="s">
        <v>20</v>
      </c>
      <c r="M341" s="14">
        <v>46188</v>
      </c>
      <c r="N341" s="14">
        <v>46179</v>
      </c>
      <c r="O341" t="s">
        <v>20</v>
      </c>
      <c r="P341">
        <v>-119.84</v>
      </c>
      <c r="Q341">
        <f>VLOOKUP(G341,'[1]Erogati mag-giu 2026_791_old'!$A:$W,12,FALSE)</f>
        <v>-119.84</v>
      </c>
      <c r="R341">
        <f t="shared" si="24"/>
        <v>0</v>
      </c>
      <c r="S341">
        <v>-119.84</v>
      </c>
      <c r="T341">
        <f>VLOOKUP(G341,'[1]Erogati mag-giu 2026_791_old'!$A:$W,13,FALSE)</f>
        <v>-119.84</v>
      </c>
      <c r="U341">
        <f t="shared" si="25"/>
        <v>0</v>
      </c>
      <c r="V341">
        <v>-119.84</v>
      </c>
      <c r="W341">
        <f>VLOOKUP(G341,'[1]Erogati mag-giu 2026_791_old'!$A:$W,14,FALSE)</f>
        <v>-119.84</v>
      </c>
      <c r="X341">
        <f t="shared" si="26"/>
        <v>0</v>
      </c>
      <c r="Y341" t="s">
        <v>158</v>
      </c>
      <c r="Z341" t="str">
        <f>VLOOKUP(G341,'[2]Erogati mag-giu 2026_791_old'!$D:$T,11,FALSE)</f>
        <v>indiretto</v>
      </c>
      <c r="AA341" t="b">
        <v>1</v>
      </c>
      <c r="AF341" t="s">
        <v>20</v>
      </c>
      <c r="AG341" t="s">
        <v>20</v>
      </c>
    </row>
    <row r="342" spans="1:33">
      <c r="A342" s="13" t="s">
        <v>559</v>
      </c>
      <c r="B342" t="s">
        <v>1604</v>
      </c>
      <c r="C342" s="4">
        <v>202601306813042</v>
      </c>
      <c r="D342" s="4" t="b">
        <f t="shared" si="27"/>
        <v>1</v>
      </c>
      <c r="E342" t="s">
        <v>20</v>
      </c>
      <c r="F342" t="s">
        <v>21</v>
      </c>
      <c r="G342" t="s">
        <v>560</v>
      </c>
      <c r="H342" t="str">
        <f>VLOOKUP(C342,'[1]Erogati mag-giu 2026_791_old'!$B:$E,4,FALSE)</f>
        <v>C319990</v>
      </c>
      <c r="I342" t="b">
        <f t="shared" si="23"/>
        <v>1</v>
      </c>
      <c r="J342" s="14">
        <v>46179</v>
      </c>
      <c r="K342" s="14">
        <v>46179</v>
      </c>
      <c r="L342" t="s">
        <v>20</v>
      </c>
      <c r="M342" s="14">
        <v>46188</v>
      </c>
      <c r="N342" s="14">
        <v>46179</v>
      </c>
      <c r="O342" t="s">
        <v>20</v>
      </c>
      <c r="P342">
        <v>-99.39</v>
      </c>
      <c r="Q342">
        <f>VLOOKUP(G342,'[1]Erogati mag-giu 2026_791_old'!$A:$W,12,FALSE)</f>
        <v>-99.39</v>
      </c>
      <c r="R342">
        <f t="shared" si="24"/>
        <v>0</v>
      </c>
      <c r="S342">
        <v>-99.39</v>
      </c>
      <c r="T342">
        <f>VLOOKUP(G342,'[1]Erogati mag-giu 2026_791_old'!$A:$W,13,FALSE)</f>
        <v>-99.39</v>
      </c>
      <c r="U342">
        <f t="shared" si="25"/>
        <v>0</v>
      </c>
      <c r="V342">
        <v>-99.39</v>
      </c>
      <c r="W342">
        <f>VLOOKUP(G342,'[1]Erogati mag-giu 2026_791_old'!$A:$W,14,FALSE)</f>
        <v>-99.39</v>
      </c>
      <c r="X342">
        <f t="shared" si="26"/>
        <v>0</v>
      </c>
      <c r="Y342" t="s">
        <v>158</v>
      </c>
      <c r="Z342" t="str">
        <f>VLOOKUP(G342,'[2]Erogati mag-giu 2026_791_old'!$D:$T,11,FALSE)</f>
        <v>indiretto</v>
      </c>
      <c r="AA342" t="b">
        <v>1</v>
      </c>
      <c r="AF342" t="s">
        <v>20</v>
      </c>
      <c r="AG342" t="s">
        <v>20</v>
      </c>
    </row>
    <row r="343" spans="1:33">
      <c r="A343" s="13" t="s">
        <v>561</v>
      </c>
      <c r="B343" t="s">
        <v>1605</v>
      </c>
      <c r="C343" s="4">
        <v>202601306815633</v>
      </c>
      <c r="D343" s="4" t="b">
        <f t="shared" si="27"/>
        <v>1</v>
      </c>
      <c r="E343" t="s">
        <v>20</v>
      </c>
      <c r="F343" t="s">
        <v>21</v>
      </c>
      <c r="G343" t="s">
        <v>562</v>
      </c>
      <c r="H343" t="str">
        <f>VLOOKUP(C343,'[1]Erogati mag-giu 2026_791_old'!$B:$E,4,FALSE)</f>
        <v>C313872</v>
      </c>
      <c r="I343" t="b">
        <f t="shared" si="23"/>
        <v>1</v>
      </c>
      <c r="J343" s="14">
        <v>46179</v>
      </c>
      <c r="K343" s="14">
        <v>46179</v>
      </c>
      <c r="L343" t="s">
        <v>20</v>
      </c>
      <c r="M343" s="14">
        <v>46188</v>
      </c>
      <c r="N343" s="14">
        <v>46179</v>
      </c>
      <c r="O343" t="s">
        <v>20</v>
      </c>
      <c r="P343">
        <v>-47.94</v>
      </c>
      <c r="Q343">
        <f>VLOOKUP(G343,'[1]Erogati mag-giu 2026_791_old'!$A:$W,12,FALSE)</f>
        <v>-47.94</v>
      </c>
      <c r="R343">
        <f t="shared" si="24"/>
        <v>0</v>
      </c>
      <c r="S343">
        <v>-47.94</v>
      </c>
      <c r="T343">
        <f>VLOOKUP(G343,'[1]Erogati mag-giu 2026_791_old'!$A:$W,13,FALSE)</f>
        <v>-47.94</v>
      </c>
      <c r="U343">
        <f t="shared" si="25"/>
        <v>0</v>
      </c>
      <c r="V343">
        <v>-47.94</v>
      </c>
      <c r="W343">
        <f>VLOOKUP(G343,'[1]Erogati mag-giu 2026_791_old'!$A:$W,14,FALSE)</f>
        <v>-47.94</v>
      </c>
      <c r="X343">
        <f t="shared" si="26"/>
        <v>0</v>
      </c>
      <c r="Y343" t="s">
        <v>158</v>
      </c>
      <c r="Z343" t="str">
        <f>VLOOKUP(G343,'[2]Erogati mag-giu 2026_791_old'!$D:$T,11,FALSE)</f>
        <v>indiretto</v>
      </c>
      <c r="AA343" t="b">
        <v>1</v>
      </c>
      <c r="AF343" t="s">
        <v>20</v>
      </c>
      <c r="AG343" t="s">
        <v>20</v>
      </c>
    </row>
    <row r="344" spans="1:33">
      <c r="A344" s="13" t="s">
        <v>563</v>
      </c>
      <c r="B344" t="s">
        <v>1606</v>
      </c>
      <c r="C344" s="4">
        <v>202601306822300</v>
      </c>
      <c r="D344" s="4" t="b">
        <f t="shared" si="27"/>
        <v>1</v>
      </c>
      <c r="E344" t="s">
        <v>20</v>
      </c>
      <c r="F344" t="s">
        <v>21</v>
      </c>
      <c r="G344" t="s">
        <v>564</v>
      </c>
      <c r="H344" t="str">
        <f>VLOOKUP(C344,'[1]Erogati mag-giu 2026_791_old'!$B:$E,4,FALSE)</f>
        <v>C311511</v>
      </c>
      <c r="I344" t="b">
        <f t="shared" si="23"/>
        <v>1</v>
      </c>
      <c r="J344" s="14">
        <v>46179</v>
      </c>
      <c r="K344" s="14">
        <v>46179</v>
      </c>
      <c r="L344" t="s">
        <v>20</v>
      </c>
      <c r="M344" s="14">
        <v>46188</v>
      </c>
      <c r="N344" s="14">
        <v>46179</v>
      </c>
      <c r="O344" t="s">
        <v>20</v>
      </c>
      <c r="P344">
        <v>-33.130000000000003</v>
      </c>
      <c r="Q344">
        <f>VLOOKUP(G344,'[1]Erogati mag-giu 2026_791_old'!$A:$W,12,FALSE)</f>
        <v>-33.130000000000003</v>
      </c>
      <c r="R344">
        <f t="shared" si="24"/>
        <v>0</v>
      </c>
      <c r="S344">
        <v>-33.130000000000003</v>
      </c>
      <c r="T344">
        <f>VLOOKUP(G344,'[1]Erogati mag-giu 2026_791_old'!$A:$W,13,FALSE)</f>
        <v>-33.130000000000003</v>
      </c>
      <c r="U344">
        <f t="shared" si="25"/>
        <v>0</v>
      </c>
      <c r="V344">
        <v>-33.130000000000003</v>
      </c>
      <c r="W344">
        <f>VLOOKUP(G344,'[1]Erogati mag-giu 2026_791_old'!$A:$W,14,FALSE)</f>
        <v>-33.130000000000003</v>
      </c>
      <c r="X344">
        <f t="shared" si="26"/>
        <v>0</v>
      </c>
      <c r="Y344" t="s">
        <v>158</v>
      </c>
      <c r="Z344" t="str">
        <f>VLOOKUP(G344,'[2]Erogati mag-giu 2026_791_old'!$D:$T,11,FALSE)</f>
        <v>indiretto</v>
      </c>
      <c r="AA344" t="b">
        <v>1</v>
      </c>
      <c r="AF344" t="s">
        <v>20</v>
      </c>
      <c r="AG344" t="s">
        <v>20</v>
      </c>
    </row>
    <row r="345" spans="1:33">
      <c r="A345" s="13" t="s">
        <v>565</v>
      </c>
      <c r="B345" t="s">
        <v>1607</v>
      </c>
      <c r="C345" s="4">
        <v>202601306828837</v>
      </c>
      <c r="D345" s="4" t="b">
        <f t="shared" si="27"/>
        <v>1</v>
      </c>
      <c r="E345" t="s">
        <v>20</v>
      </c>
      <c r="F345" t="s">
        <v>21</v>
      </c>
      <c r="G345" t="s">
        <v>566</v>
      </c>
      <c r="H345" t="str">
        <f>VLOOKUP(C345,'[1]Erogati mag-giu 2026_791_old'!$B:$E,4,FALSE)</f>
        <v>C320310</v>
      </c>
      <c r="I345" t="b">
        <f t="shared" si="23"/>
        <v>1</v>
      </c>
      <c r="J345" s="14">
        <v>46179</v>
      </c>
      <c r="K345" s="14">
        <v>46179</v>
      </c>
      <c r="L345" t="s">
        <v>20</v>
      </c>
      <c r="M345" s="14">
        <v>46188</v>
      </c>
      <c r="N345" s="14">
        <v>46179</v>
      </c>
      <c r="O345" t="s">
        <v>20</v>
      </c>
      <c r="P345">
        <v>-165.65</v>
      </c>
      <c r="Q345">
        <f>VLOOKUP(G345,'[1]Erogati mag-giu 2026_791_old'!$A:$W,12,FALSE)</f>
        <v>-165.65</v>
      </c>
      <c r="R345">
        <f t="shared" si="24"/>
        <v>0</v>
      </c>
      <c r="S345">
        <v>-165.65</v>
      </c>
      <c r="T345">
        <f>VLOOKUP(G345,'[1]Erogati mag-giu 2026_791_old'!$A:$W,13,FALSE)</f>
        <v>-165.65</v>
      </c>
      <c r="U345">
        <f t="shared" si="25"/>
        <v>0</v>
      </c>
      <c r="V345">
        <v>-165.65</v>
      </c>
      <c r="W345">
        <f>VLOOKUP(G345,'[1]Erogati mag-giu 2026_791_old'!$A:$W,14,FALSE)</f>
        <v>-165.65</v>
      </c>
      <c r="X345">
        <f t="shared" si="26"/>
        <v>0</v>
      </c>
      <c r="Y345" t="s">
        <v>158</v>
      </c>
      <c r="Z345" t="str">
        <f>VLOOKUP(G345,'[2]Erogati mag-giu 2026_791_old'!$D:$T,11,FALSE)</f>
        <v>indiretto</v>
      </c>
      <c r="AA345" t="b">
        <v>1</v>
      </c>
      <c r="AF345" t="s">
        <v>20</v>
      </c>
      <c r="AG345" t="s">
        <v>20</v>
      </c>
    </row>
    <row r="346" spans="1:33">
      <c r="A346" s="13" t="s">
        <v>567</v>
      </c>
      <c r="B346" t="s">
        <v>1608</v>
      </c>
      <c r="C346" s="4">
        <v>202601306838187</v>
      </c>
      <c r="D346" s="4" t="b">
        <f t="shared" si="27"/>
        <v>1</v>
      </c>
      <c r="E346" t="s">
        <v>20</v>
      </c>
      <c r="F346" t="s">
        <v>21</v>
      </c>
      <c r="G346" t="s">
        <v>568</v>
      </c>
      <c r="H346" t="str">
        <f>VLOOKUP(C346,'[1]Erogati mag-giu 2026_791_old'!$B:$E,4,FALSE)</f>
        <v>C344283</v>
      </c>
      <c r="I346" t="b">
        <f t="shared" si="23"/>
        <v>1</v>
      </c>
      <c r="J346" s="14">
        <v>46179</v>
      </c>
      <c r="K346" s="14">
        <v>46179</v>
      </c>
      <c r="L346" t="s">
        <v>20</v>
      </c>
      <c r="M346" s="14">
        <v>46188</v>
      </c>
      <c r="N346" s="14">
        <v>46179</v>
      </c>
      <c r="O346" t="s">
        <v>20</v>
      </c>
      <c r="P346">
        <v>-33.130000000000003</v>
      </c>
      <c r="Q346">
        <f>VLOOKUP(G346,'[1]Erogati mag-giu 2026_791_old'!$A:$W,12,FALSE)</f>
        <v>-33.130000000000003</v>
      </c>
      <c r="R346">
        <f t="shared" si="24"/>
        <v>0</v>
      </c>
      <c r="S346">
        <v>-33.130000000000003</v>
      </c>
      <c r="T346">
        <f>VLOOKUP(G346,'[1]Erogati mag-giu 2026_791_old'!$A:$W,13,FALSE)</f>
        <v>-33.130000000000003</v>
      </c>
      <c r="U346">
        <f t="shared" si="25"/>
        <v>0</v>
      </c>
      <c r="V346">
        <v>-33.130000000000003</v>
      </c>
      <c r="W346">
        <f>VLOOKUP(G346,'[1]Erogati mag-giu 2026_791_old'!$A:$W,14,FALSE)</f>
        <v>-33.130000000000003</v>
      </c>
      <c r="X346">
        <f t="shared" si="26"/>
        <v>0</v>
      </c>
      <c r="Y346" t="s">
        <v>158</v>
      </c>
      <c r="Z346" t="str">
        <f>VLOOKUP(G346,'[2]Erogati mag-giu 2026_791_old'!$D:$T,11,FALSE)</f>
        <v>indiretto</v>
      </c>
      <c r="AA346" t="b">
        <v>1</v>
      </c>
      <c r="AF346" t="s">
        <v>20</v>
      </c>
      <c r="AG346" t="s">
        <v>20</v>
      </c>
    </row>
    <row r="347" spans="1:33">
      <c r="A347" s="13" t="s">
        <v>569</v>
      </c>
      <c r="B347" t="s">
        <v>1609</v>
      </c>
      <c r="C347" s="4">
        <v>202601306841574</v>
      </c>
      <c r="D347" s="4" t="b">
        <f t="shared" si="27"/>
        <v>1</v>
      </c>
      <c r="E347" t="s">
        <v>20</v>
      </c>
      <c r="F347" t="s">
        <v>21</v>
      </c>
      <c r="G347" t="s">
        <v>570</v>
      </c>
      <c r="H347" t="str">
        <f>VLOOKUP(C347,'[1]Erogati mag-giu 2026_791_old'!$B:$E,4,FALSE)</f>
        <v>C307468</v>
      </c>
      <c r="I347" t="b">
        <f t="shared" si="23"/>
        <v>1</v>
      </c>
      <c r="J347" s="14">
        <v>46179</v>
      </c>
      <c r="K347" s="14">
        <v>46179</v>
      </c>
      <c r="L347" t="s">
        <v>20</v>
      </c>
      <c r="M347" s="14">
        <v>46188</v>
      </c>
      <c r="N347" s="14">
        <v>46179</v>
      </c>
      <c r="O347" t="s">
        <v>20</v>
      </c>
      <c r="P347">
        <v>-38.659999999999997</v>
      </c>
      <c r="Q347">
        <f>VLOOKUP(G347,'[1]Erogati mag-giu 2026_791_old'!$A:$W,12,FALSE)</f>
        <v>-38.659999999999997</v>
      </c>
      <c r="R347">
        <f t="shared" si="24"/>
        <v>0</v>
      </c>
      <c r="S347">
        <v>-38.659999999999997</v>
      </c>
      <c r="T347">
        <f>VLOOKUP(G347,'[1]Erogati mag-giu 2026_791_old'!$A:$W,13,FALSE)</f>
        <v>-38.659999999999997</v>
      </c>
      <c r="U347">
        <f t="shared" si="25"/>
        <v>0</v>
      </c>
      <c r="V347">
        <v>-38.659999999999997</v>
      </c>
      <c r="W347">
        <f>VLOOKUP(G347,'[1]Erogati mag-giu 2026_791_old'!$A:$W,14,FALSE)</f>
        <v>-38.659999999999997</v>
      </c>
      <c r="X347">
        <f t="shared" si="26"/>
        <v>0</v>
      </c>
      <c r="Y347" t="s">
        <v>158</v>
      </c>
      <c r="Z347" t="str">
        <f>VLOOKUP(G347,'[2]Erogati mag-giu 2026_791_old'!$D:$T,11,FALSE)</f>
        <v>indiretto</v>
      </c>
      <c r="AA347" t="b">
        <v>1</v>
      </c>
      <c r="AF347" t="s">
        <v>20</v>
      </c>
      <c r="AG347" t="s">
        <v>20</v>
      </c>
    </row>
    <row r="348" spans="1:33">
      <c r="A348" s="13" t="s">
        <v>571</v>
      </c>
      <c r="B348" t="s">
        <v>1610</v>
      </c>
      <c r="C348" s="4">
        <v>202601306845790</v>
      </c>
      <c r="D348" s="4" t="b">
        <f t="shared" si="27"/>
        <v>1</v>
      </c>
      <c r="E348" t="s">
        <v>20</v>
      </c>
      <c r="F348" t="s">
        <v>21</v>
      </c>
      <c r="G348" t="s">
        <v>572</v>
      </c>
      <c r="H348" t="str">
        <f>VLOOKUP(C348,'[1]Erogati mag-giu 2026_791_old'!$B:$E,4,FALSE)</f>
        <v>C344144</v>
      </c>
      <c r="I348" t="b">
        <f t="shared" si="23"/>
        <v>1</v>
      </c>
      <c r="J348" s="14">
        <v>46179</v>
      </c>
      <c r="K348" s="14">
        <v>46179</v>
      </c>
      <c r="L348" t="s">
        <v>20</v>
      </c>
      <c r="M348" s="14">
        <v>46188</v>
      </c>
      <c r="N348" s="14">
        <v>46179</v>
      </c>
      <c r="O348" t="s">
        <v>20</v>
      </c>
      <c r="P348">
        <v>-231.91</v>
      </c>
      <c r="Q348">
        <f>VLOOKUP(G348,'[1]Erogati mag-giu 2026_791_old'!$A:$W,12,FALSE)</f>
        <v>-231.91</v>
      </c>
      <c r="R348">
        <f t="shared" si="24"/>
        <v>0</v>
      </c>
      <c r="S348">
        <v>-231.91</v>
      </c>
      <c r="T348">
        <f>VLOOKUP(G348,'[1]Erogati mag-giu 2026_791_old'!$A:$W,13,FALSE)</f>
        <v>-231.91</v>
      </c>
      <c r="U348">
        <f t="shared" si="25"/>
        <v>0</v>
      </c>
      <c r="V348">
        <v>-231.91</v>
      </c>
      <c r="W348">
        <f>VLOOKUP(G348,'[1]Erogati mag-giu 2026_791_old'!$A:$W,14,FALSE)</f>
        <v>-231.91</v>
      </c>
      <c r="X348">
        <f t="shared" si="26"/>
        <v>0</v>
      </c>
      <c r="Y348" t="s">
        <v>158</v>
      </c>
      <c r="Z348" t="str">
        <f>VLOOKUP(G348,'[2]Erogati mag-giu 2026_791_old'!$D:$T,11,FALSE)</f>
        <v>indiretto</v>
      </c>
      <c r="AA348" t="b">
        <v>1</v>
      </c>
      <c r="AF348" t="s">
        <v>20</v>
      </c>
      <c r="AG348" t="s">
        <v>20</v>
      </c>
    </row>
    <row r="349" spans="1:33">
      <c r="A349" s="13" t="s">
        <v>573</v>
      </c>
      <c r="B349" t="s">
        <v>1611</v>
      </c>
      <c r="C349" s="4">
        <v>202601306878293</v>
      </c>
      <c r="D349" s="4" t="b">
        <f t="shared" si="27"/>
        <v>1</v>
      </c>
      <c r="E349" t="s">
        <v>20</v>
      </c>
      <c r="F349" t="s">
        <v>21</v>
      </c>
      <c r="G349" t="s">
        <v>574</v>
      </c>
      <c r="H349" t="str">
        <f>VLOOKUP(C349,'[1]Erogati mag-giu 2026_791_old'!$B:$E,4,FALSE)</f>
        <v>C344245</v>
      </c>
      <c r="I349" t="b">
        <f t="shared" si="23"/>
        <v>1</v>
      </c>
      <c r="J349" s="14">
        <v>46179</v>
      </c>
      <c r="K349" s="14">
        <v>46179</v>
      </c>
      <c r="L349" t="s">
        <v>20</v>
      </c>
      <c r="M349" s="14">
        <v>46188</v>
      </c>
      <c r="N349" s="14">
        <v>46179</v>
      </c>
      <c r="O349" t="s">
        <v>20</v>
      </c>
      <c r="P349">
        <v>-165.65</v>
      </c>
      <c r="Q349">
        <f>VLOOKUP(G349,'[1]Erogati mag-giu 2026_791_old'!$A:$W,12,FALSE)</f>
        <v>-165.65</v>
      </c>
      <c r="R349">
        <f t="shared" si="24"/>
        <v>0</v>
      </c>
      <c r="S349">
        <v>-165.65</v>
      </c>
      <c r="T349">
        <f>VLOOKUP(G349,'[1]Erogati mag-giu 2026_791_old'!$A:$W,13,FALSE)</f>
        <v>-165.65</v>
      </c>
      <c r="U349">
        <f t="shared" si="25"/>
        <v>0</v>
      </c>
      <c r="V349">
        <v>-165.65</v>
      </c>
      <c r="W349">
        <f>VLOOKUP(G349,'[1]Erogati mag-giu 2026_791_old'!$A:$W,14,FALSE)</f>
        <v>-165.65</v>
      </c>
      <c r="X349">
        <f t="shared" si="26"/>
        <v>0</v>
      </c>
      <c r="Y349" t="s">
        <v>158</v>
      </c>
      <c r="Z349" t="str">
        <f>VLOOKUP(G349,'[2]Erogati mag-giu 2026_791_old'!$D:$T,11,FALSE)</f>
        <v>indiretto</v>
      </c>
      <c r="AA349" t="b">
        <v>1</v>
      </c>
      <c r="AF349" t="s">
        <v>20</v>
      </c>
      <c r="AG349" t="s">
        <v>20</v>
      </c>
    </row>
    <row r="350" spans="1:33">
      <c r="A350" s="13" t="s">
        <v>575</v>
      </c>
      <c r="B350" t="s">
        <v>1612</v>
      </c>
      <c r="C350" s="4">
        <v>202601306881336</v>
      </c>
      <c r="D350" s="4" t="b">
        <f t="shared" si="27"/>
        <v>1</v>
      </c>
      <c r="E350" t="s">
        <v>20</v>
      </c>
      <c r="F350" t="s">
        <v>21</v>
      </c>
      <c r="G350" t="s">
        <v>576</v>
      </c>
      <c r="H350" t="str">
        <f>VLOOKUP(C350,'[1]Erogati mag-giu 2026_791_old'!$B:$E,4,FALSE)</f>
        <v>C117784</v>
      </c>
      <c r="I350" t="b">
        <f t="shared" si="23"/>
        <v>1</v>
      </c>
      <c r="J350" s="14">
        <v>46179</v>
      </c>
      <c r="K350" s="14">
        <v>46179</v>
      </c>
      <c r="L350" t="s">
        <v>20</v>
      </c>
      <c r="M350" s="14">
        <v>46188</v>
      </c>
      <c r="N350" s="14">
        <v>46179</v>
      </c>
      <c r="O350" t="s">
        <v>20</v>
      </c>
      <c r="P350">
        <v>-165.65</v>
      </c>
      <c r="Q350">
        <f>VLOOKUP(G350,'[1]Erogati mag-giu 2026_791_old'!$A:$W,12,FALSE)</f>
        <v>-165.65</v>
      </c>
      <c r="R350">
        <f t="shared" si="24"/>
        <v>0</v>
      </c>
      <c r="S350">
        <v>-165.65</v>
      </c>
      <c r="T350">
        <f>VLOOKUP(G350,'[1]Erogati mag-giu 2026_791_old'!$A:$W,13,FALSE)</f>
        <v>-165.65</v>
      </c>
      <c r="U350">
        <f t="shared" si="25"/>
        <v>0</v>
      </c>
      <c r="V350">
        <v>-165.65</v>
      </c>
      <c r="W350">
        <f>VLOOKUP(G350,'[1]Erogati mag-giu 2026_791_old'!$A:$W,14,FALSE)</f>
        <v>-165.65</v>
      </c>
      <c r="X350">
        <f t="shared" si="26"/>
        <v>0</v>
      </c>
      <c r="Y350" t="s">
        <v>158</v>
      </c>
      <c r="Z350" t="str">
        <f>VLOOKUP(G350,'[2]Erogati mag-giu 2026_791_old'!$D:$T,11,FALSE)</f>
        <v>indiretto</v>
      </c>
      <c r="AA350" t="b">
        <v>1</v>
      </c>
      <c r="AF350" t="s">
        <v>20</v>
      </c>
      <c r="AG350" t="s">
        <v>20</v>
      </c>
    </row>
    <row r="351" spans="1:33">
      <c r="A351" s="13" t="s">
        <v>577</v>
      </c>
      <c r="B351" t="s">
        <v>1613</v>
      </c>
      <c r="C351" s="4">
        <v>202601306893734</v>
      </c>
      <c r="D351" s="4" t="b">
        <f t="shared" si="27"/>
        <v>1</v>
      </c>
      <c r="E351" t="s">
        <v>20</v>
      </c>
      <c r="F351" t="s">
        <v>21</v>
      </c>
      <c r="G351" t="s">
        <v>578</v>
      </c>
      <c r="H351" t="str">
        <f>VLOOKUP(C351,'[1]Erogati mag-giu 2026_791_old'!$B:$E,4,FALSE)</f>
        <v>C344195</v>
      </c>
      <c r="I351" t="b">
        <f t="shared" si="23"/>
        <v>1</v>
      </c>
      <c r="J351" s="14">
        <v>46179</v>
      </c>
      <c r="K351" s="14">
        <v>46179</v>
      </c>
      <c r="L351" t="s">
        <v>20</v>
      </c>
      <c r="M351" s="14">
        <v>46188</v>
      </c>
      <c r="N351" s="14">
        <v>46179</v>
      </c>
      <c r="O351" t="s">
        <v>20</v>
      </c>
      <c r="P351">
        <v>-131.29</v>
      </c>
      <c r="Q351">
        <f>VLOOKUP(G351,'[1]Erogati mag-giu 2026_791_old'!$A:$W,12,FALSE)</f>
        <v>-131.29</v>
      </c>
      <c r="R351">
        <f t="shared" si="24"/>
        <v>0</v>
      </c>
      <c r="S351">
        <v>-131.29</v>
      </c>
      <c r="T351">
        <f>VLOOKUP(G351,'[1]Erogati mag-giu 2026_791_old'!$A:$W,13,FALSE)</f>
        <v>-131.29</v>
      </c>
      <c r="U351">
        <f t="shared" si="25"/>
        <v>0</v>
      </c>
      <c r="V351">
        <v>-131.29</v>
      </c>
      <c r="W351">
        <f>VLOOKUP(G351,'[1]Erogati mag-giu 2026_791_old'!$A:$W,14,FALSE)</f>
        <v>-131.29</v>
      </c>
      <c r="X351">
        <f t="shared" si="26"/>
        <v>0</v>
      </c>
      <c r="Y351" t="s">
        <v>158</v>
      </c>
      <c r="Z351" t="str">
        <f>VLOOKUP(G351,'[2]Erogati mag-giu 2026_791_old'!$D:$T,11,FALSE)</f>
        <v>indiretto</v>
      </c>
      <c r="AA351" t="b">
        <v>1</v>
      </c>
      <c r="AF351" t="s">
        <v>20</v>
      </c>
      <c r="AG351" t="s">
        <v>20</v>
      </c>
    </row>
    <row r="352" spans="1:33">
      <c r="A352" s="13" t="s">
        <v>579</v>
      </c>
      <c r="B352" t="s">
        <v>1614</v>
      </c>
      <c r="C352" s="4">
        <v>202601306897143</v>
      </c>
      <c r="D352" s="4" t="b">
        <f t="shared" si="27"/>
        <v>1</v>
      </c>
      <c r="E352" t="s">
        <v>20</v>
      </c>
      <c r="F352" t="s">
        <v>21</v>
      </c>
      <c r="G352" t="s">
        <v>580</v>
      </c>
      <c r="H352" t="str">
        <f>VLOOKUP(C352,'[1]Erogati mag-giu 2026_791_old'!$B:$E,4,FALSE)</f>
        <v>C309505</v>
      </c>
      <c r="I352" t="b">
        <f t="shared" si="23"/>
        <v>1</v>
      </c>
      <c r="J352" s="14">
        <v>46179</v>
      </c>
      <c r="K352" s="14">
        <v>46179</v>
      </c>
      <c r="L352" t="s">
        <v>20</v>
      </c>
      <c r="M352" s="14">
        <v>46188</v>
      </c>
      <c r="N352" s="14">
        <v>46179</v>
      </c>
      <c r="O352" t="s">
        <v>20</v>
      </c>
      <c r="P352">
        <v>-37.950000000000003</v>
      </c>
      <c r="Q352">
        <f>VLOOKUP(G352,'[1]Erogati mag-giu 2026_791_old'!$A:$W,12,FALSE)</f>
        <v>-37.950000000000003</v>
      </c>
      <c r="R352">
        <f t="shared" si="24"/>
        <v>0</v>
      </c>
      <c r="S352">
        <v>-37.950000000000003</v>
      </c>
      <c r="T352">
        <f>VLOOKUP(G352,'[1]Erogati mag-giu 2026_791_old'!$A:$W,13,FALSE)</f>
        <v>-37.950000000000003</v>
      </c>
      <c r="U352">
        <f t="shared" si="25"/>
        <v>0</v>
      </c>
      <c r="V352">
        <v>-37.950000000000003</v>
      </c>
      <c r="W352">
        <f>VLOOKUP(G352,'[1]Erogati mag-giu 2026_791_old'!$A:$W,14,FALSE)</f>
        <v>-37.950000000000003</v>
      </c>
      <c r="X352">
        <f t="shared" si="26"/>
        <v>0</v>
      </c>
      <c r="Y352" t="s">
        <v>158</v>
      </c>
      <c r="Z352" t="str">
        <f>VLOOKUP(G352,'[2]Erogati mag-giu 2026_791_old'!$D:$T,11,FALSE)</f>
        <v>indiretto</v>
      </c>
      <c r="AA352" t="b">
        <v>1</v>
      </c>
      <c r="AF352" t="s">
        <v>20</v>
      </c>
      <c r="AG352" t="s">
        <v>20</v>
      </c>
    </row>
    <row r="353" spans="1:33">
      <c r="A353" s="13" t="s">
        <v>581</v>
      </c>
      <c r="B353" t="s">
        <v>1615</v>
      </c>
      <c r="C353" s="4">
        <v>202601306897526</v>
      </c>
      <c r="D353" s="4" t="b">
        <f t="shared" si="27"/>
        <v>1</v>
      </c>
      <c r="E353" t="s">
        <v>20</v>
      </c>
      <c r="F353" t="s">
        <v>21</v>
      </c>
      <c r="G353" t="s">
        <v>582</v>
      </c>
      <c r="H353" t="str">
        <f>VLOOKUP(C353,'[1]Erogati mag-giu 2026_791_old'!$B:$E,4,FALSE)</f>
        <v>C311065</v>
      </c>
      <c r="I353" t="b">
        <f t="shared" si="23"/>
        <v>1</v>
      </c>
      <c r="J353" s="14">
        <v>46179</v>
      </c>
      <c r="K353" s="14">
        <v>46179</v>
      </c>
      <c r="L353" t="s">
        <v>20</v>
      </c>
      <c r="M353" s="14">
        <v>46188</v>
      </c>
      <c r="N353" s="14">
        <v>46179</v>
      </c>
      <c r="O353" t="s">
        <v>20</v>
      </c>
      <c r="P353">
        <v>-165.65</v>
      </c>
      <c r="Q353">
        <f>VLOOKUP(G353,'[1]Erogati mag-giu 2026_791_old'!$A:$W,12,FALSE)</f>
        <v>-165.65</v>
      </c>
      <c r="R353">
        <f t="shared" si="24"/>
        <v>0</v>
      </c>
      <c r="S353">
        <v>-165.65</v>
      </c>
      <c r="T353">
        <f>VLOOKUP(G353,'[1]Erogati mag-giu 2026_791_old'!$A:$W,13,FALSE)</f>
        <v>-165.65</v>
      </c>
      <c r="U353">
        <f t="shared" si="25"/>
        <v>0</v>
      </c>
      <c r="V353">
        <v>-165.65</v>
      </c>
      <c r="W353">
        <f>VLOOKUP(G353,'[1]Erogati mag-giu 2026_791_old'!$A:$W,14,FALSE)</f>
        <v>-165.65</v>
      </c>
      <c r="X353">
        <f t="shared" si="26"/>
        <v>0</v>
      </c>
      <c r="Y353" t="s">
        <v>158</v>
      </c>
      <c r="Z353" t="str">
        <f>VLOOKUP(G353,'[2]Erogati mag-giu 2026_791_old'!$D:$T,11,FALSE)</f>
        <v>indiretto</v>
      </c>
      <c r="AA353" t="b">
        <v>1</v>
      </c>
      <c r="AF353" t="s">
        <v>20</v>
      </c>
      <c r="AG353" t="s">
        <v>20</v>
      </c>
    </row>
    <row r="354" spans="1:33">
      <c r="A354" s="13" t="s">
        <v>583</v>
      </c>
      <c r="B354" t="s">
        <v>1616</v>
      </c>
      <c r="C354" s="4">
        <v>202601306900548</v>
      </c>
      <c r="D354" s="4" t="b">
        <f t="shared" si="27"/>
        <v>1</v>
      </c>
      <c r="E354" t="s">
        <v>20</v>
      </c>
      <c r="F354" t="s">
        <v>21</v>
      </c>
      <c r="G354" t="s">
        <v>584</v>
      </c>
      <c r="H354" t="str">
        <f>VLOOKUP(C354,'[1]Erogati mag-giu 2026_791_old'!$B:$E,4,FALSE)</f>
        <v>C314452</v>
      </c>
      <c r="I354" t="b">
        <f t="shared" si="23"/>
        <v>1</v>
      </c>
      <c r="J354" s="14">
        <v>46179</v>
      </c>
      <c r="K354" s="14">
        <v>46179</v>
      </c>
      <c r="L354" t="s">
        <v>20</v>
      </c>
      <c r="M354" s="14">
        <v>46188</v>
      </c>
      <c r="N354" s="14">
        <v>46179</v>
      </c>
      <c r="O354" t="s">
        <v>20</v>
      </c>
      <c r="P354">
        <v>-132.52000000000001</v>
      </c>
      <c r="Q354">
        <f>VLOOKUP(G354,'[1]Erogati mag-giu 2026_791_old'!$A:$W,12,FALSE)</f>
        <v>-132.52000000000001</v>
      </c>
      <c r="R354">
        <f t="shared" si="24"/>
        <v>0</v>
      </c>
      <c r="S354">
        <v>-132.52000000000001</v>
      </c>
      <c r="T354">
        <f>VLOOKUP(G354,'[1]Erogati mag-giu 2026_791_old'!$A:$W,13,FALSE)</f>
        <v>-132.52000000000001</v>
      </c>
      <c r="U354">
        <f t="shared" si="25"/>
        <v>0</v>
      </c>
      <c r="V354">
        <v>-132.52000000000001</v>
      </c>
      <c r="W354">
        <f>VLOOKUP(G354,'[1]Erogati mag-giu 2026_791_old'!$A:$W,14,FALSE)</f>
        <v>-132.52000000000001</v>
      </c>
      <c r="X354">
        <f t="shared" si="26"/>
        <v>0</v>
      </c>
      <c r="Y354" t="s">
        <v>158</v>
      </c>
      <c r="Z354" t="str">
        <f>VLOOKUP(G354,'[2]Erogati mag-giu 2026_791_old'!$D:$T,11,FALSE)</f>
        <v>indiretto</v>
      </c>
      <c r="AA354" t="b">
        <v>1</v>
      </c>
      <c r="AF354" t="s">
        <v>20</v>
      </c>
      <c r="AG354" t="s">
        <v>20</v>
      </c>
    </row>
    <row r="355" spans="1:33">
      <c r="A355" s="13" t="s">
        <v>585</v>
      </c>
      <c r="B355" t="s">
        <v>1617</v>
      </c>
      <c r="C355" s="4">
        <v>202601306903745</v>
      </c>
      <c r="D355" s="4" t="b">
        <f t="shared" si="27"/>
        <v>1</v>
      </c>
      <c r="E355" t="s">
        <v>20</v>
      </c>
      <c r="F355" t="s">
        <v>21</v>
      </c>
      <c r="G355" t="s">
        <v>586</v>
      </c>
      <c r="H355" t="str">
        <f>VLOOKUP(C355,'[1]Erogati mag-giu 2026_791_old'!$B:$E,4,FALSE)</f>
        <v>C344263</v>
      </c>
      <c r="I355" t="b">
        <f t="shared" si="23"/>
        <v>1</v>
      </c>
      <c r="J355" s="14">
        <v>46179</v>
      </c>
      <c r="K355" s="14">
        <v>46179</v>
      </c>
      <c r="L355" t="s">
        <v>20</v>
      </c>
      <c r="M355" s="14">
        <v>46188</v>
      </c>
      <c r="N355" s="14">
        <v>46179</v>
      </c>
      <c r="O355" t="s">
        <v>20</v>
      </c>
      <c r="P355">
        <v>-23.97</v>
      </c>
      <c r="Q355">
        <f>VLOOKUP(G355,'[1]Erogati mag-giu 2026_791_old'!$A:$W,12,FALSE)</f>
        <v>-23.97</v>
      </c>
      <c r="R355">
        <f t="shared" si="24"/>
        <v>0</v>
      </c>
      <c r="S355">
        <v>-23.97</v>
      </c>
      <c r="T355">
        <f>VLOOKUP(G355,'[1]Erogati mag-giu 2026_791_old'!$A:$W,13,FALSE)</f>
        <v>-23.97</v>
      </c>
      <c r="U355">
        <f t="shared" si="25"/>
        <v>0</v>
      </c>
      <c r="V355">
        <v>-23.97</v>
      </c>
      <c r="W355">
        <f>VLOOKUP(G355,'[1]Erogati mag-giu 2026_791_old'!$A:$W,14,FALSE)</f>
        <v>-23.97</v>
      </c>
      <c r="X355">
        <f t="shared" si="26"/>
        <v>0</v>
      </c>
      <c r="Y355" t="s">
        <v>158</v>
      </c>
      <c r="Z355" t="str">
        <f>VLOOKUP(G355,'[2]Erogati mag-giu 2026_791_old'!$D:$T,11,FALSE)</f>
        <v>indiretto</v>
      </c>
      <c r="AA355" t="b">
        <v>1</v>
      </c>
      <c r="AF355" t="s">
        <v>20</v>
      </c>
      <c r="AG355" t="s">
        <v>20</v>
      </c>
    </row>
    <row r="356" spans="1:33">
      <c r="A356" s="13" t="s">
        <v>587</v>
      </c>
      <c r="B356" t="s">
        <v>1618</v>
      </c>
      <c r="C356" s="4">
        <v>202601306908313</v>
      </c>
      <c r="D356" s="4" t="b">
        <f t="shared" si="27"/>
        <v>1</v>
      </c>
      <c r="E356" t="s">
        <v>20</v>
      </c>
      <c r="F356" t="s">
        <v>21</v>
      </c>
      <c r="G356" t="s">
        <v>588</v>
      </c>
      <c r="H356" t="str">
        <f>VLOOKUP(C356,'[1]Erogati mag-giu 2026_791_old'!$B:$E,4,FALSE)</f>
        <v>C344159</v>
      </c>
      <c r="I356" t="b">
        <f t="shared" si="23"/>
        <v>1</v>
      </c>
      <c r="J356" s="14">
        <v>46179</v>
      </c>
      <c r="K356" s="14">
        <v>46179</v>
      </c>
      <c r="L356" t="s">
        <v>20</v>
      </c>
      <c r="M356" s="14">
        <v>46188</v>
      </c>
      <c r="N356" s="14">
        <v>46179</v>
      </c>
      <c r="O356" t="s">
        <v>20</v>
      </c>
      <c r="P356">
        <v>-66.260000000000005</v>
      </c>
      <c r="Q356">
        <f>VLOOKUP(G356,'[1]Erogati mag-giu 2026_791_old'!$A:$W,12,FALSE)</f>
        <v>-66.260000000000005</v>
      </c>
      <c r="R356">
        <f t="shared" si="24"/>
        <v>0</v>
      </c>
      <c r="S356">
        <v>-66.260000000000005</v>
      </c>
      <c r="T356">
        <f>VLOOKUP(G356,'[1]Erogati mag-giu 2026_791_old'!$A:$W,13,FALSE)</f>
        <v>-66.260000000000005</v>
      </c>
      <c r="U356">
        <f t="shared" si="25"/>
        <v>0</v>
      </c>
      <c r="V356">
        <v>-66.260000000000005</v>
      </c>
      <c r="W356">
        <f>VLOOKUP(G356,'[1]Erogati mag-giu 2026_791_old'!$A:$W,14,FALSE)</f>
        <v>-66.260000000000005</v>
      </c>
      <c r="X356">
        <f t="shared" si="26"/>
        <v>0</v>
      </c>
      <c r="Y356" t="s">
        <v>158</v>
      </c>
      <c r="Z356" t="str">
        <f>VLOOKUP(G356,'[2]Erogati mag-giu 2026_791_old'!$D:$T,11,FALSE)</f>
        <v>indiretto</v>
      </c>
      <c r="AA356" t="b">
        <v>1</v>
      </c>
      <c r="AF356" t="s">
        <v>20</v>
      </c>
      <c r="AG356" t="s">
        <v>20</v>
      </c>
    </row>
    <row r="357" spans="1:33">
      <c r="A357" s="13" t="s">
        <v>589</v>
      </c>
      <c r="B357" t="s">
        <v>1619</v>
      </c>
      <c r="C357" s="4">
        <v>202601306911462</v>
      </c>
      <c r="D357" s="4" t="b">
        <f t="shared" si="27"/>
        <v>1</v>
      </c>
      <c r="E357" t="s">
        <v>20</v>
      </c>
      <c r="F357" t="s">
        <v>21</v>
      </c>
      <c r="G357" t="s">
        <v>590</v>
      </c>
      <c r="H357" t="str">
        <f>VLOOKUP(C357,'[1]Erogati mag-giu 2026_791_old'!$B:$E,4,FALSE)</f>
        <v>C009367</v>
      </c>
      <c r="I357" t="b">
        <f t="shared" si="23"/>
        <v>1</v>
      </c>
      <c r="J357" s="14">
        <v>46179</v>
      </c>
      <c r="K357" s="14">
        <v>46179</v>
      </c>
      <c r="L357" t="s">
        <v>20</v>
      </c>
      <c r="M357" s="14">
        <v>46188</v>
      </c>
      <c r="N357" s="14">
        <v>46179</v>
      </c>
      <c r="O357" t="s">
        <v>20</v>
      </c>
      <c r="P357">
        <v>-165.65</v>
      </c>
      <c r="Q357">
        <f>VLOOKUP(G357,'[1]Erogati mag-giu 2026_791_old'!$A:$W,12,FALSE)</f>
        <v>-165.65</v>
      </c>
      <c r="R357">
        <f t="shared" si="24"/>
        <v>0</v>
      </c>
      <c r="S357">
        <v>-165.65</v>
      </c>
      <c r="T357">
        <f>VLOOKUP(G357,'[1]Erogati mag-giu 2026_791_old'!$A:$W,13,FALSE)</f>
        <v>-165.65</v>
      </c>
      <c r="U357">
        <f t="shared" si="25"/>
        <v>0</v>
      </c>
      <c r="V357">
        <v>-165.65</v>
      </c>
      <c r="W357">
        <f>VLOOKUP(G357,'[1]Erogati mag-giu 2026_791_old'!$A:$W,14,FALSE)</f>
        <v>-165.65</v>
      </c>
      <c r="X357">
        <f t="shared" si="26"/>
        <v>0</v>
      </c>
      <c r="Y357" t="s">
        <v>158</v>
      </c>
      <c r="Z357" t="str">
        <f>VLOOKUP(G357,'[2]Erogati mag-giu 2026_791_old'!$D:$T,11,FALSE)</f>
        <v>indiretto</v>
      </c>
      <c r="AA357" t="b">
        <v>1</v>
      </c>
      <c r="AF357" t="s">
        <v>20</v>
      </c>
      <c r="AG357" t="s">
        <v>20</v>
      </c>
    </row>
    <row r="358" spans="1:33">
      <c r="A358" s="13" t="s">
        <v>591</v>
      </c>
      <c r="B358" t="s">
        <v>1620</v>
      </c>
      <c r="C358" s="4">
        <v>202601306912260</v>
      </c>
      <c r="D358" s="4" t="b">
        <f t="shared" si="27"/>
        <v>1</v>
      </c>
      <c r="E358" t="s">
        <v>20</v>
      </c>
      <c r="F358" t="s">
        <v>21</v>
      </c>
      <c r="G358" t="s">
        <v>592</v>
      </c>
      <c r="H358" t="str">
        <f>VLOOKUP(C358,'[1]Erogati mag-giu 2026_791_old'!$B:$E,4,FALSE)</f>
        <v>C344128</v>
      </c>
      <c r="I358" t="b">
        <f t="shared" si="23"/>
        <v>1</v>
      </c>
      <c r="J358" s="14">
        <v>46179</v>
      </c>
      <c r="K358" s="14">
        <v>46179</v>
      </c>
      <c r="L358" t="s">
        <v>20</v>
      </c>
      <c r="M358" s="14">
        <v>46188</v>
      </c>
      <c r="N358" s="14">
        <v>46179</v>
      </c>
      <c r="O358" t="s">
        <v>20</v>
      </c>
      <c r="P358">
        <v>-72.64</v>
      </c>
      <c r="Q358">
        <f>VLOOKUP(G358,'[1]Erogati mag-giu 2026_791_old'!$A:$W,12,FALSE)</f>
        <v>-72.64</v>
      </c>
      <c r="R358">
        <f t="shared" si="24"/>
        <v>0</v>
      </c>
      <c r="S358">
        <v>-72.64</v>
      </c>
      <c r="T358">
        <f>VLOOKUP(G358,'[1]Erogati mag-giu 2026_791_old'!$A:$W,13,FALSE)</f>
        <v>-72.64</v>
      </c>
      <c r="U358">
        <f t="shared" si="25"/>
        <v>0</v>
      </c>
      <c r="V358">
        <v>-72.64</v>
      </c>
      <c r="W358">
        <f>VLOOKUP(G358,'[1]Erogati mag-giu 2026_791_old'!$A:$W,14,FALSE)</f>
        <v>-72.64</v>
      </c>
      <c r="X358">
        <f t="shared" si="26"/>
        <v>0</v>
      </c>
      <c r="Y358" t="s">
        <v>158</v>
      </c>
      <c r="Z358" t="str">
        <f>VLOOKUP(G358,'[2]Erogati mag-giu 2026_791_old'!$D:$T,11,FALSE)</f>
        <v>indiretto</v>
      </c>
      <c r="AA358" t="b">
        <v>1</v>
      </c>
      <c r="AF358" t="s">
        <v>20</v>
      </c>
      <c r="AG358" t="s">
        <v>20</v>
      </c>
    </row>
    <row r="359" spans="1:33">
      <c r="A359" s="13" t="s">
        <v>593</v>
      </c>
      <c r="B359" t="s">
        <v>1621</v>
      </c>
      <c r="C359" s="4">
        <v>202601306912469</v>
      </c>
      <c r="D359" s="4" t="b">
        <f t="shared" si="27"/>
        <v>1</v>
      </c>
      <c r="E359" t="s">
        <v>20</v>
      </c>
      <c r="F359" t="s">
        <v>21</v>
      </c>
      <c r="G359" t="s">
        <v>594</v>
      </c>
      <c r="H359" t="str">
        <f>VLOOKUP(C359,'[1]Erogati mag-giu 2026_791_old'!$B:$E,4,FALSE)</f>
        <v>C310804</v>
      </c>
      <c r="I359" t="b">
        <f t="shared" si="23"/>
        <v>1</v>
      </c>
      <c r="J359" s="14">
        <v>46179</v>
      </c>
      <c r="K359" s="14">
        <v>46179</v>
      </c>
      <c r="L359" t="s">
        <v>20</v>
      </c>
      <c r="M359" s="14">
        <v>46188</v>
      </c>
      <c r="N359" s="14">
        <v>46179</v>
      </c>
      <c r="O359" t="s">
        <v>20</v>
      </c>
      <c r="P359">
        <v>-198.78</v>
      </c>
      <c r="Q359">
        <f>VLOOKUP(G359,'[1]Erogati mag-giu 2026_791_old'!$A:$W,12,FALSE)</f>
        <v>-198.78</v>
      </c>
      <c r="R359">
        <f t="shared" si="24"/>
        <v>0</v>
      </c>
      <c r="S359">
        <v>-198.78</v>
      </c>
      <c r="T359">
        <f>VLOOKUP(G359,'[1]Erogati mag-giu 2026_791_old'!$A:$W,13,FALSE)</f>
        <v>-198.78</v>
      </c>
      <c r="U359">
        <f t="shared" si="25"/>
        <v>0</v>
      </c>
      <c r="V359">
        <v>-198.78</v>
      </c>
      <c r="W359">
        <f>VLOOKUP(G359,'[1]Erogati mag-giu 2026_791_old'!$A:$W,14,FALSE)</f>
        <v>-198.78</v>
      </c>
      <c r="X359">
        <f t="shared" si="26"/>
        <v>0</v>
      </c>
      <c r="Y359" t="s">
        <v>158</v>
      </c>
      <c r="Z359" t="str">
        <f>VLOOKUP(G359,'[2]Erogati mag-giu 2026_791_old'!$D:$T,11,FALSE)</f>
        <v>indiretto</v>
      </c>
      <c r="AA359" t="b">
        <v>1</v>
      </c>
      <c r="AF359" t="s">
        <v>20</v>
      </c>
      <c r="AG359" t="s">
        <v>20</v>
      </c>
    </row>
    <row r="360" spans="1:33">
      <c r="A360" s="13" t="s">
        <v>595</v>
      </c>
      <c r="B360" t="s">
        <v>1622</v>
      </c>
      <c r="C360" s="4">
        <v>202601306913971</v>
      </c>
      <c r="D360" s="4" t="b">
        <f t="shared" si="27"/>
        <v>1</v>
      </c>
      <c r="E360" t="s">
        <v>20</v>
      </c>
      <c r="F360" t="s">
        <v>21</v>
      </c>
      <c r="G360" t="s">
        <v>596</v>
      </c>
      <c r="H360" t="str">
        <f>VLOOKUP(C360,'[1]Erogati mag-giu 2026_791_old'!$B:$E,4,FALSE)</f>
        <v>C344203</v>
      </c>
      <c r="I360" t="b">
        <f t="shared" si="23"/>
        <v>1</v>
      </c>
      <c r="J360" s="14">
        <v>46179</v>
      </c>
      <c r="K360" s="14">
        <v>46179</v>
      </c>
      <c r="L360" t="s">
        <v>20</v>
      </c>
      <c r="M360" s="14">
        <v>46188</v>
      </c>
      <c r="N360" s="14">
        <v>46179</v>
      </c>
      <c r="O360" t="s">
        <v>20</v>
      </c>
      <c r="P360">
        <v>-38.659999999999997</v>
      </c>
      <c r="Q360">
        <f>VLOOKUP(G360,'[1]Erogati mag-giu 2026_791_old'!$A:$W,12,FALSE)</f>
        <v>-38.659999999999997</v>
      </c>
      <c r="R360">
        <f t="shared" si="24"/>
        <v>0</v>
      </c>
      <c r="S360">
        <v>-38.659999999999997</v>
      </c>
      <c r="T360">
        <f>VLOOKUP(G360,'[1]Erogati mag-giu 2026_791_old'!$A:$W,13,FALSE)</f>
        <v>-38.659999999999997</v>
      </c>
      <c r="U360">
        <f t="shared" si="25"/>
        <v>0</v>
      </c>
      <c r="V360">
        <v>-38.659999999999997</v>
      </c>
      <c r="W360">
        <f>VLOOKUP(G360,'[1]Erogati mag-giu 2026_791_old'!$A:$W,14,FALSE)</f>
        <v>-38.659999999999997</v>
      </c>
      <c r="X360">
        <f t="shared" si="26"/>
        <v>0</v>
      </c>
      <c r="Y360" t="s">
        <v>158</v>
      </c>
      <c r="Z360" t="str">
        <f>VLOOKUP(G360,'[2]Erogati mag-giu 2026_791_old'!$D:$T,11,FALSE)</f>
        <v>indiretto</v>
      </c>
      <c r="AA360" t="b">
        <v>1</v>
      </c>
      <c r="AF360" t="s">
        <v>20</v>
      </c>
      <c r="AG360" t="s">
        <v>20</v>
      </c>
    </row>
    <row r="361" spans="1:33">
      <c r="A361" s="13" t="s">
        <v>597</v>
      </c>
      <c r="B361" t="s">
        <v>1623</v>
      </c>
      <c r="C361" s="4">
        <v>202601306929223</v>
      </c>
      <c r="D361" s="4" t="b">
        <f t="shared" si="27"/>
        <v>1</v>
      </c>
      <c r="E361" t="s">
        <v>20</v>
      </c>
      <c r="F361" t="s">
        <v>21</v>
      </c>
      <c r="G361" t="s">
        <v>598</v>
      </c>
      <c r="H361" t="str">
        <f>VLOOKUP(C361,'[1]Erogati mag-giu 2026_791_old'!$B:$E,4,FALSE)</f>
        <v>C344214</v>
      </c>
      <c r="I361" t="b">
        <f t="shared" si="23"/>
        <v>1</v>
      </c>
      <c r="J361" s="14">
        <v>46179</v>
      </c>
      <c r="K361" s="14">
        <v>46179</v>
      </c>
      <c r="L361" t="s">
        <v>20</v>
      </c>
      <c r="M361" s="14">
        <v>46188</v>
      </c>
      <c r="N361" s="14">
        <v>46179</v>
      </c>
      <c r="O361" t="s">
        <v>20</v>
      </c>
      <c r="P361">
        <v>-33.130000000000003</v>
      </c>
      <c r="Q361">
        <f>VLOOKUP(G361,'[1]Erogati mag-giu 2026_791_old'!$A:$W,12,FALSE)</f>
        <v>-33.130000000000003</v>
      </c>
      <c r="R361">
        <f t="shared" si="24"/>
        <v>0</v>
      </c>
      <c r="S361">
        <v>-33.130000000000003</v>
      </c>
      <c r="T361">
        <f>VLOOKUP(G361,'[1]Erogati mag-giu 2026_791_old'!$A:$W,13,FALSE)</f>
        <v>-33.130000000000003</v>
      </c>
      <c r="U361">
        <f t="shared" si="25"/>
        <v>0</v>
      </c>
      <c r="V361">
        <v>-33.130000000000003</v>
      </c>
      <c r="W361">
        <f>VLOOKUP(G361,'[1]Erogati mag-giu 2026_791_old'!$A:$W,14,FALSE)</f>
        <v>-33.130000000000003</v>
      </c>
      <c r="X361">
        <f t="shared" si="26"/>
        <v>0</v>
      </c>
      <c r="Y361" t="s">
        <v>158</v>
      </c>
      <c r="Z361" t="str">
        <f>VLOOKUP(G361,'[2]Erogati mag-giu 2026_791_old'!$D:$T,11,FALSE)</f>
        <v>indiretto</v>
      </c>
      <c r="AA361" t="b">
        <v>1</v>
      </c>
      <c r="AF361" t="s">
        <v>20</v>
      </c>
      <c r="AG361" t="s">
        <v>20</v>
      </c>
    </row>
    <row r="362" spans="1:33">
      <c r="A362" s="13" t="s">
        <v>599</v>
      </c>
      <c r="B362" t="s">
        <v>1624</v>
      </c>
      <c r="C362" s="4">
        <v>202601306929822</v>
      </c>
      <c r="D362" s="4" t="b">
        <f t="shared" si="27"/>
        <v>1</v>
      </c>
      <c r="E362" t="s">
        <v>20</v>
      </c>
      <c r="F362" t="s">
        <v>21</v>
      </c>
      <c r="G362" t="s">
        <v>600</v>
      </c>
      <c r="H362" t="str">
        <f>VLOOKUP(C362,'[1]Erogati mag-giu 2026_791_old'!$B:$E,4,FALSE)</f>
        <v>C337608</v>
      </c>
      <c r="I362" t="b">
        <f t="shared" si="23"/>
        <v>1</v>
      </c>
      <c r="J362" s="14">
        <v>46179</v>
      </c>
      <c r="K362" s="14">
        <v>46179</v>
      </c>
      <c r="L362" t="s">
        <v>20</v>
      </c>
      <c r="M362" s="14">
        <v>46188</v>
      </c>
      <c r="N362" s="14">
        <v>46179</v>
      </c>
      <c r="O362" t="s">
        <v>20</v>
      </c>
      <c r="P362">
        <v>-99.39</v>
      </c>
      <c r="Q362">
        <f>VLOOKUP(G362,'[1]Erogati mag-giu 2026_791_old'!$A:$W,12,FALSE)</f>
        <v>-99.39</v>
      </c>
      <c r="R362">
        <f t="shared" si="24"/>
        <v>0</v>
      </c>
      <c r="S362">
        <v>-99.39</v>
      </c>
      <c r="T362">
        <f>VLOOKUP(G362,'[1]Erogati mag-giu 2026_791_old'!$A:$W,13,FALSE)</f>
        <v>-99.39</v>
      </c>
      <c r="U362">
        <f t="shared" si="25"/>
        <v>0</v>
      </c>
      <c r="V362">
        <v>-99.39</v>
      </c>
      <c r="W362">
        <f>VLOOKUP(G362,'[1]Erogati mag-giu 2026_791_old'!$A:$W,14,FALSE)</f>
        <v>-99.39</v>
      </c>
      <c r="X362">
        <f t="shared" si="26"/>
        <v>0</v>
      </c>
      <c r="Y362" t="s">
        <v>158</v>
      </c>
      <c r="Z362" t="str">
        <f>VLOOKUP(G362,'[2]Erogati mag-giu 2026_791_old'!$D:$T,11,FALSE)</f>
        <v>indiretto</v>
      </c>
      <c r="AA362" t="b">
        <v>1</v>
      </c>
      <c r="AF362" t="s">
        <v>20</v>
      </c>
      <c r="AG362" t="s">
        <v>20</v>
      </c>
    </row>
    <row r="363" spans="1:33">
      <c r="A363" s="13" t="s">
        <v>601</v>
      </c>
      <c r="B363" t="s">
        <v>1625</v>
      </c>
      <c r="C363" s="4">
        <v>202601306933128</v>
      </c>
      <c r="D363" s="4" t="b">
        <f t="shared" si="27"/>
        <v>1</v>
      </c>
      <c r="E363" t="s">
        <v>20</v>
      </c>
      <c r="F363" t="s">
        <v>21</v>
      </c>
      <c r="G363" t="s">
        <v>602</v>
      </c>
      <c r="H363" t="str">
        <f>VLOOKUP(C363,'[1]Erogati mag-giu 2026_791_old'!$B:$E,4,FALSE)</f>
        <v>C312189</v>
      </c>
      <c r="I363" t="b">
        <f t="shared" si="23"/>
        <v>1</v>
      </c>
      <c r="J363" s="14">
        <v>46179</v>
      </c>
      <c r="K363" s="14">
        <v>46179</v>
      </c>
      <c r="L363" t="s">
        <v>20</v>
      </c>
      <c r="M363" s="14">
        <v>46188</v>
      </c>
      <c r="N363" s="14">
        <v>46179</v>
      </c>
      <c r="O363" t="s">
        <v>20</v>
      </c>
      <c r="P363">
        <v>-132.52000000000001</v>
      </c>
      <c r="Q363">
        <f>VLOOKUP(G363,'[1]Erogati mag-giu 2026_791_old'!$A:$W,12,FALSE)</f>
        <v>-132.52000000000001</v>
      </c>
      <c r="R363">
        <f t="shared" si="24"/>
        <v>0</v>
      </c>
      <c r="S363">
        <v>-132.52000000000001</v>
      </c>
      <c r="T363">
        <f>VLOOKUP(G363,'[1]Erogati mag-giu 2026_791_old'!$A:$W,13,FALSE)</f>
        <v>-132.52000000000001</v>
      </c>
      <c r="U363">
        <f t="shared" si="25"/>
        <v>0</v>
      </c>
      <c r="V363">
        <v>-132.52000000000001</v>
      </c>
      <c r="W363">
        <f>VLOOKUP(G363,'[1]Erogati mag-giu 2026_791_old'!$A:$W,14,FALSE)</f>
        <v>-132.52000000000001</v>
      </c>
      <c r="X363">
        <f t="shared" si="26"/>
        <v>0</v>
      </c>
      <c r="Y363" t="s">
        <v>158</v>
      </c>
      <c r="Z363" t="str">
        <f>VLOOKUP(G363,'[2]Erogati mag-giu 2026_791_old'!$D:$T,11,FALSE)</f>
        <v>indiretto</v>
      </c>
      <c r="AA363" t="b">
        <v>1</v>
      </c>
      <c r="AF363" t="s">
        <v>20</v>
      </c>
      <c r="AG363" t="s">
        <v>20</v>
      </c>
    </row>
    <row r="364" spans="1:33">
      <c r="A364" s="13" t="s">
        <v>603</v>
      </c>
      <c r="B364" t="s">
        <v>1626</v>
      </c>
      <c r="C364" s="4">
        <v>202601306934757</v>
      </c>
      <c r="D364" s="4" t="b">
        <f t="shared" si="27"/>
        <v>1</v>
      </c>
      <c r="E364" t="s">
        <v>20</v>
      </c>
      <c r="F364" t="s">
        <v>21</v>
      </c>
      <c r="G364" t="s">
        <v>604</v>
      </c>
      <c r="H364" t="str">
        <f>VLOOKUP(C364,'[1]Erogati mag-giu 2026_791_old'!$B:$E,4,FALSE)</f>
        <v>C337682</v>
      </c>
      <c r="I364" t="b">
        <f t="shared" si="23"/>
        <v>1</v>
      </c>
      <c r="J364" s="14">
        <v>46179</v>
      </c>
      <c r="K364" s="14">
        <v>46179</v>
      </c>
      <c r="L364" t="s">
        <v>20</v>
      </c>
      <c r="M364" s="14">
        <v>46188</v>
      </c>
      <c r="N364" s="14">
        <v>46179</v>
      </c>
      <c r="O364" t="s">
        <v>20</v>
      </c>
      <c r="P364">
        <v>-165.65</v>
      </c>
      <c r="Q364">
        <f>VLOOKUP(G364,'[1]Erogati mag-giu 2026_791_old'!$A:$W,12,FALSE)</f>
        <v>-165.65</v>
      </c>
      <c r="R364">
        <f t="shared" si="24"/>
        <v>0</v>
      </c>
      <c r="S364">
        <v>-165.65</v>
      </c>
      <c r="T364">
        <f>VLOOKUP(G364,'[1]Erogati mag-giu 2026_791_old'!$A:$W,13,FALSE)</f>
        <v>-165.65</v>
      </c>
      <c r="U364">
        <f t="shared" si="25"/>
        <v>0</v>
      </c>
      <c r="V364">
        <v>-165.65</v>
      </c>
      <c r="W364">
        <f>VLOOKUP(G364,'[1]Erogati mag-giu 2026_791_old'!$A:$W,14,FALSE)</f>
        <v>-165.65</v>
      </c>
      <c r="X364">
        <f t="shared" si="26"/>
        <v>0</v>
      </c>
      <c r="Y364" t="s">
        <v>158</v>
      </c>
      <c r="Z364" t="str">
        <f>VLOOKUP(G364,'[2]Erogati mag-giu 2026_791_old'!$D:$T,11,FALSE)</f>
        <v>indiretto</v>
      </c>
      <c r="AA364" t="b">
        <v>1</v>
      </c>
      <c r="AF364" t="s">
        <v>20</v>
      </c>
      <c r="AG364" t="s">
        <v>20</v>
      </c>
    </row>
    <row r="365" spans="1:33">
      <c r="A365" s="13" t="s">
        <v>605</v>
      </c>
      <c r="B365" t="s">
        <v>1627</v>
      </c>
      <c r="C365" s="4">
        <v>202601306941451</v>
      </c>
      <c r="D365" s="4" t="b">
        <f t="shared" si="27"/>
        <v>1</v>
      </c>
      <c r="E365" t="s">
        <v>20</v>
      </c>
      <c r="F365" t="s">
        <v>21</v>
      </c>
      <c r="G365" t="s">
        <v>606</v>
      </c>
      <c r="H365" t="str">
        <f>VLOOKUP(C365,'[1]Erogati mag-giu 2026_791_old'!$B:$E,4,FALSE)</f>
        <v>C344302</v>
      </c>
      <c r="I365" t="b">
        <f t="shared" si="23"/>
        <v>1</v>
      </c>
      <c r="J365" s="14">
        <v>46179</v>
      </c>
      <c r="K365" s="14">
        <v>46179</v>
      </c>
      <c r="L365" t="s">
        <v>20</v>
      </c>
      <c r="M365" s="14">
        <v>46188</v>
      </c>
      <c r="N365" s="14">
        <v>46179</v>
      </c>
      <c r="O365" t="s">
        <v>20</v>
      </c>
      <c r="P365">
        <v>-86.33</v>
      </c>
      <c r="Q365">
        <f>VLOOKUP(G365,'[1]Erogati mag-giu 2026_791_old'!$A:$W,12,FALSE)</f>
        <v>-86.33</v>
      </c>
      <c r="R365">
        <f t="shared" si="24"/>
        <v>0</v>
      </c>
      <c r="S365">
        <v>-86.33</v>
      </c>
      <c r="T365">
        <f>VLOOKUP(G365,'[1]Erogati mag-giu 2026_791_old'!$A:$W,13,FALSE)</f>
        <v>-86.33</v>
      </c>
      <c r="U365">
        <f t="shared" si="25"/>
        <v>0</v>
      </c>
      <c r="V365">
        <v>-86.33</v>
      </c>
      <c r="W365">
        <f>VLOOKUP(G365,'[1]Erogati mag-giu 2026_791_old'!$A:$W,14,FALSE)</f>
        <v>-86.33</v>
      </c>
      <c r="X365">
        <f t="shared" si="26"/>
        <v>0</v>
      </c>
      <c r="Y365" t="s">
        <v>158</v>
      </c>
      <c r="Z365" t="str">
        <f>VLOOKUP(G365,'[2]Erogati mag-giu 2026_791_old'!$D:$T,11,FALSE)</f>
        <v>indiretto</v>
      </c>
      <c r="AA365" t="b">
        <v>1</v>
      </c>
      <c r="AF365" t="s">
        <v>20</v>
      </c>
      <c r="AG365" t="s">
        <v>20</v>
      </c>
    </row>
    <row r="366" spans="1:33">
      <c r="A366" s="13" t="s">
        <v>607</v>
      </c>
      <c r="B366" t="s">
        <v>1628</v>
      </c>
      <c r="C366" s="4">
        <v>202601306949732</v>
      </c>
      <c r="D366" s="4" t="b">
        <f t="shared" si="27"/>
        <v>1</v>
      </c>
      <c r="E366" t="s">
        <v>20</v>
      </c>
      <c r="F366" t="s">
        <v>21</v>
      </c>
      <c r="G366" t="s">
        <v>608</v>
      </c>
      <c r="H366" t="str">
        <f>VLOOKUP(C366,'[1]Erogati mag-giu 2026_791_old'!$B:$E,4,FALSE)</f>
        <v>C344129</v>
      </c>
      <c r="I366" t="b">
        <f t="shared" si="23"/>
        <v>1</v>
      </c>
      <c r="J366" s="14">
        <v>46179</v>
      </c>
      <c r="K366" s="14">
        <v>46179</v>
      </c>
      <c r="L366" t="s">
        <v>20</v>
      </c>
      <c r="M366" s="14">
        <v>46188</v>
      </c>
      <c r="N366" s="14">
        <v>46179</v>
      </c>
      <c r="O366" t="s">
        <v>20</v>
      </c>
      <c r="P366">
        <v>-89.45</v>
      </c>
      <c r="Q366">
        <f>VLOOKUP(G366,'[1]Erogati mag-giu 2026_791_old'!$A:$W,12,FALSE)</f>
        <v>-89.45</v>
      </c>
      <c r="R366">
        <f t="shared" si="24"/>
        <v>0</v>
      </c>
      <c r="S366">
        <v>-89.45</v>
      </c>
      <c r="T366">
        <f>VLOOKUP(G366,'[1]Erogati mag-giu 2026_791_old'!$A:$W,13,FALSE)</f>
        <v>-89.45</v>
      </c>
      <c r="U366">
        <f t="shared" si="25"/>
        <v>0</v>
      </c>
      <c r="V366">
        <v>-89.45</v>
      </c>
      <c r="W366">
        <f>VLOOKUP(G366,'[1]Erogati mag-giu 2026_791_old'!$A:$W,14,FALSE)</f>
        <v>-89.45</v>
      </c>
      <c r="X366">
        <f t="shared" si="26"/>
        <v>0</v>
      </c>
      <c r="Y366" t="s">
        <v>158</v>
      </c>
      <c r="Z366" t="str">
        <f>VLOOKUP(G366,'[2]Erogati mag-giu 2026_791_old'!$D:$T,11,FALSE)</f>
        <v>indiretto</v>
      </c>
      <c r="AA366" t="b">
        <v>1</v>
      </c>
      <c r="AF366" t="s">
        <v>20</v>
      </c>
      <c r="AG366" t="s">
        <v>20</v>
      </c>
    </row>
    <row r="367" spans="1:33">
      <c r="A367" s="13" t="s">
        <v>609</v>
      </c>
      <c r="B367" t="s">
        <v>1629</v>
      </c>
      <c r="C367" s="4">
        <v>202601306950838</v>
      </c>
      <c r="D367" s="4" t="b">
        <f t="shared" si="27"/>
        <v>1</v>
      </c>
      <c r="E367" t="s">
        <v>20</v>
      </c>
      <c r="F367" t="s">
        <v>21</v>
      </c>
      <c r="G367" t="s">
        <v>610</v>
      </c>
      <c r="H367" t="str">
        <f>VLOOKUP(C367,'[1]Erogati mag-giu 2026_791_old'!$B:$E,4,FALSE)</f>
        <v>C312142</v>
      </c>
      <c r="I367" t="b">
        <f t="shared" si="23"/>
        <v>1</v>
      </c>
      <c r="J367" s="14">
        <v>46179</v>
      </c>
      <c r="K367" s="14">
        <v>46179</v>
      </c>
      <c r="L367" t="s">
        <v>20</v>
      </c>
      <c r="M367" s="14">
        <v>46188</v>
      </c>
      <c r="N367" s="14">
        <v>46179</v>
      </c>
      <c r="O367" t="s">
        <v>20</v>
      </c>
      <c r="P367">
        <v>-165.65</v>
      </c>
      <c r="Q367">
        <f>VLOOKUP(G367,'[1]Erogati mag-giu 2026_791_old'!$A:$W,12,FALSE)</f>
        <v>-165.65</v>
      </c>
      <c r="R367">
        <f t="shared" si="24"/>
        <v>0</v>
      </c>
      <c r="S367">
        <v>-165.65</v>
      </c>
      <c r="T367">
        <f>VLOOKUP(G367,'[1]Erogati mag-giu 2026_791_old'!$A:$W,13,FALSE)</f>
        <v>-165.65</v>
      </c>
      <c r="U367">
        <f t="shared" si="25"/>
        <v>0</v>
      </c>
      <c r="V367">
        <v>-165.65</v>
      </c>
      <c r="W367">
        <f>VLOOKUP(G367,'[1]Erogati mag-giu 2026_791_old'!$A:$W,14,FALSE)</f>
        <v>-165.65</v>
      </c>
      <c r="X367">
        <f t="shared" si="26"/>
        <v>0</v>
      </c>
      <c r="Y367" t="s">
        <v>158</v>
      </c>
      <c r="Z367" t="str">
        <f>VLOOKUP(G367,'[2]Erogati mag-giu 2026_791_old'!$D:$T,11,FALSE)</f>
        <v>indiretto</v>
      </c>
      <c r="AA367" t="b">
        <v>1</v>
      </c>
      <c r="AF367" t="s">
        <v>20</v>
      </c>
      <c r="AG367" t="s">
        <v>20</v>
      </c>
    </row>
    <row r="368" spans="1:33">
      <c r="A368" s="13" t="s">
        <v>611</v>
      </c>
      <c r="B368" t="s">
        <v>1630</v>
      </c>
      <c r="C368" s="4">
        <v>202601306955951</v>
      </c>
      <c r="D368" s="4" t="b">
        <f t="shared" si="27"/>
        <v>1</v>
      </c>
      <c r="E368" t="s">
        <v>20</v>
      </c>
      <c r="F368" t="s">
        <v>21</v>
      </c>
      <c r="G368" t="s">
        <v>612</v>
      </c>
      <c r="H368" t="str">
        <f>VLOOKUP(C368,'[1]Erogati mag-giu 2026_791_old'!$B:$E,4,FALSE)</f>
        <v>C309635</v>
      </c>
      <c r="I368" t="b">
        <f t="shared" si="23"/>
        <v>1</v>
      </c>
      <c r="J368" s="14">
        <v>46179</v>
      </c>
      <c r="K368" s="14">
        <v>46179</v>
      </c>
      <c r="L368" t="s">
        <v>20</v>
      </c>
      <c r="M368" s="14">
        <v>46188</v>
      </c>
      <c r="N368" s="14">
        <v>46179</v>
      </c>
      <c r="O368" t="s">
        <v>20</v>
      </c>
      <c r="P368">
        <v>-33.130000000000003</v>
      </c>
      <c r="Q368">
        <f>VLOOKUP(G368,'[1]Erogati mag-giu 2026_791_old'!$A:$W,12,FALSE)</f>
        <v>-33.130000000000003</v>
      </c>
      <c r="R368">
        <f t="shared" si="24"/>
        <v>0</v>
      </c>
      <c r="S368">
        <v>-33.130000000000003</v>
      </c>
      <c r="T368">
        <f>VLOOKUP(G368,'[1]Erogati mag-giu 2026_791_old'!$A:$W,13,FALSE)</f>
        <v>-33.130000000000003</v>
      </c>
      <c r="U368">
        <f t="shared" si="25"/>
        <v>0</v>
      </c>
      <c r="V368">
        <v>-33.130000000000003</v>
      </c>
      <c r="W368">
        <f>VLOOKUP(G368,'[1]Erogati mag-giu 2026_791_old'!$A:$W,14,FALSE)</f>
        <v>-33.130000000000003</v>
      </c>
      <c r="X368">
        <f t="shared" si="26"/>
        <v>0</v>
      </c>
      <c r="Y368" t="s">
        <v>158</v>
      </c>
      <c r="Z368" t="str">
        <f>VLOOKUP(G368,'[2]Erogati mag-giu 2026_791_old'!$D:$T,11,FALSE)</f>
        <v>indiretto</v>
      </c>
      <c r="AA368" t="b">
        <v>1</v>
      </c>
      <c r="AF368" t="s">
        <v>20</v>
      </c>
      <c r="AG368" t="s">
        <v>20</v>
      </c>
    </row>
    <row r="369" spans="1:33">
      <c r="A369" s="13" t="s">
        <v>613</v>
      </c>
      <c r="B369" t="s">
        <v>1631</v>
      </c>
      <c r="C369" s="4">
        <v>202601306967858</v>
      </c>
      <c r="D369" s="4" t="b">
        <f t="shared" si="27"/>
        <v>1</v>
      </c>
      <c r="E369" t="s">
        <v>20</v>
      </c>
      <c r="F369" t="s">
        <v>21</v>
      </c>
      <c r="G369" t="s">
        <v>614</v>
      </c>
      <c r="H369" t="str">
        <f>VLOOKUP(C369,'[1]Erogati mag-giu 2026_791_old'!$B:$E,4,FALSE)</f>
        <v>C315061</v>
      </c>
      <c r="I369" t="b">
        <f t="shared" si="23"/>
        <v>1</v>
      </c>
      <c r="J369" s="14">
        <v>46179</v>
      </c>
      <c r="K369" s="14">
        <v>46179</v>
      </c>
      <c r="L369" t="s">
        <v>20</v>
      </c>
      <c r="M369" s="14">
        <v>46188</v>
      </c>
      <c r="N369" s="14">
        <v>46179</v>
      </c>
      <c r="O369" t="s">
        <v>20</v>
      </c>
      <c r="P369">
        <v>-165.65</v>
      </c>
      <c r="Q369">
        <f>VLOOKUP(G369,'[1]Erogati mag-giu 2026_791_old'!$A:$W,12,FALSE)</f>
        <v>-165.65</v>
      </c>
      <c r="R369">
        <f t="shared" si="24"/>
        <v>0</v>
      </c>
      <c r="S369">
        <v>-165.65</v>
      </c>
      <c r="T369">
        <f>VLOOKUP(G369,'[1]Erogati mag-giu 2026_791_old'!$A:$W,13,FALSE)</f>
        <v>-165.65</v>
      </c>
      <c r="U369">
        <f t="shared" si="25"/>
        <v>0</v>
      </c>
      <c r="V369">
        <v>-165.65</v>
      </c>
      <c r="W369">
        <f>VLOOKUP(G369,'[1]Erogati mag-giu 2026_791_old'!$A:$W,14,FALSE)</f>
        <v>-165.65</v>
      </c>
      <c r="X369">
        <f t="shared" si="26"/>
        <v>0</v>
      </c>
      <c r="Y369" t="s">
        <v>158</v>
      </c>
      <c r="Z369" t="str">
        <f>VLOOKUP(G369,'[2]Erogati mag-giu 2026_791_old'!$D:$T,11,FALSE)</f>
        <v>indiretto</v>
      </c>
      <c r="AA369" t="b">
        <v>1</v>
      </c>
      <c r="AF369" t="s">
        <v>20</v>
      </c>
      <c r="AG369" t="s">
        <v>20</v>
      </c>
    </row>
    <row r="370" spans="1:33">
      <c r="A370" s="13" t="s">
        <v>615</v>
      </c>
      <c r="B370" t="s">
        <v>1632</v>
      </c>
      <c r="C370" s="4">
        <v>202601306967864</v>
      </c>
      <c r="D370" s="4" t="b">
        <f t="shared" si="27"/>
        <v>1</v>
      </c>
      <c r="E370" t="s">
        <v>20</v>
      </c>
      <c r="F370" t="s">
        <v>21</v>
      </c>
      <c r="G370" t="s">
        <v>616</v>
      </c>
      <c r="H370" t="str">
        <f>VLOOKUP(C370,'[1]Erogati mag-giu 2026_791_old'!$B:$E,4,FALSE)</f>
        <v>C311263</v>
      </c>
      <c r="I370" t="b">
        <f t="shared" si="23"/>
        <v>1</v>
      </c>
      <c r="J370" s="14">
        <v>46179</v>
      </c>
      <c r="K370" s="14">
        <v>46179</v>
      </c>
      <c r="L370" t="s">
        <v>20</v>
      </c>
      <c r="M370" s="14">
        <v>46188</v>
      </c>
      <c r="N370" s="14">
        <v>46179</v>
      </c>
      <c r="O370" t="s">
        <v>20</v>
      </c>
      <c r="P370">
        <v>-18.16</v>
      </c>
      <c r="Q370">
        <f>VLOOKUP(G370,'[1]Erogati mag-giu 2026_791_old'!$A:$W,12,FALSE)</f>
        <v>-18.16</v>
      </c>
      <c r="R370">
        <f t="shared" si="24"/>
        <v>0</v>
      </c>
      <c r="S370">
        <v>-18.16</v>
      </c>
      <c r="T370">
        <f>VLOOKUP(G370,'[1]Erogati mag-giu 2026_791_old'!$A:$W,13,FALSE)</f>
        <v>-18.16</v>
      </c>
      <c r="U370">
        <f t="shared" si="25"/>
        <v>0</v>
      </c>
      <c r="V370">
        <v>-18.16</v>
      </c>
      <c r="W370">
        <f>VLOOKUP(G370,'[1]Erogati mag-giu 2026_791_old'!$A:$W,14,FALSE)</f>
        <v>-18.16</v>
      </c>
      <c r="X370">
        <f t="shared" si="26"/>
        <v>0</v>
      </c>
      <c r="Y370" t="s">
        <v>158</v>
      </c>
      <c r="Z370" t="str">
        <f>VLOOKUP(G370,'[2]Erogati mag-giu 2026_791_old'!$D:$T,11,FALSE)</f>
        <v>indiretto</v>
      </c>
      <c r="AA370" t="b">
        <v>1</v>
      </c>
      <c r="AF370" t="s">
        <v>20</v>
      </c>
      <c r="AG370" t="s">
        <v>20</v>
      </c>
    </row>
    <row r="371" spans="1:33">
      <c r="A371" s="13" t="s">
        <v>617</v>
      </c>
      <c r="B371" t="s">
        <v>1633</v>
      </c>
      <c r="C371" s="4">
        <v>202601306969431</v>
      </c>
      <c r="D371" s="4" t="b">
        <f t="shared" si="27"/>
        <v>1</v>
      </c>
      <c r="E371" t="s">
        <v>20</v>
      </c>
      <c r="F371" t="s">
        <v>21</v>
      </c>
      <c r="G371" t="s">
        <v>618</v>
      </c>
      <c r="H371" t="str">
        <f>VLOOKUP(C371,'[1]Erogati mag-giu 2026_791_old'!$B:$E,4,FALSE)</f>
        <v>C301000</v>
      </c>
      <c r="I371" t="b">
        <f t="shared" si="23"/>
        <v>1</v>
      </c>
      <c r="J371" s="14">
        <v>46179</v>
      </c>
      <c r="K371" s="14">
        <v>46179</v>
      </c>
      <c r="L371" t="s">
        <v>20</v>
      </c>
      <c r="M371" s="14">
        <v>46188</v>
      </c>
      <c r="N371" s="14">
        <v>46179</v>
      </c>
      <c r="O371" t="s">
        <v>20</v>
      </c>
      <c r="P371">
        <v>-95.87</v>
      </c>
      <c r="Q371">
        <f>VLOOKUP(G371,'[1]Erogati mag-giu 2026_791_old'!$A:$W,12,FALSE)</f>
        <v>-95.87</v>
      </c>
      <c r="R371">
        <f t="shared" si="24"/>
        <v>0</v>
      </c>
      <c r="S371">
        <v>-95.87</v>
      </c>
      <c r="T371">
        <f>VLOOKUP(G371,'[1]Erogati mag-giu 2026_791_old'!$A:$W,13,FALSE)</f>
        <v>-95.87</v>
      </c>
      <c r="U371">
        <f t="shared" si="25"/>
        <v>0</v>
      </c>
      <c r="V371">
        <v>-95.87</v>
      </c>
      <c r="W371">
        <f>VLOOKUP(G371,'[1]Erogati mag-giu 2026_791_old'!$A:$W,14,FALSE)</f>
        <v>-95.87</v>
      </c>
      <c r="X371">
        <f t="shared" si="26"/>
        <v>0</v>
      </c>
      <c r="Y371" t="s">
        <v>158</v>
      </c>
      <c r="Z371" t="str">
        <f>VLOOKUP(G371,'[2]Erogati mag-giu 2026_791_old'!$D:$T,11,FALSE)</f>
        <v>indiretto</v>
      </c>
      <c r="AA371" t="b">
        <v>1</v>
      </c>
      <c r="AF371" t="s">
        <v>20</v>
      </c>
      <c r="AG371" t="s">
        <v>20</v>
      </c>
    </row>
    <row r="372" spans="1:33">
      <c r="A372" s="13" t="s">
        <v>619</v>
      </c>
      <c r="B372" t="s">
        <v>1634</v>
      </c>
      <c r="C372" s="4">
        <v>202601306978224</v>
      </c>
      <c r="D372" s="4" t="b">
        <f t="shared" si="27"/>
        <v>1</v>
      </c>
      <c r="E372" t="s">
        <v>20</v>
      </c>
      <c r="F372" t="s">
        <v>21</v>
      </c>
      <c r="G372" t="s">
        <v>620</v>
      </c>
      <c r="H372" t="str">
        <f>VLOOKUP(C372,'[1]Erogati mag-giu 2026_791_old'!$B:$E,4,FALSE)</f>
        <v>C320294</v>
      </c>
      <c r="I372" t="b">
        <f t="shared" si="23"/>
        <v>1</v>
      </c>
      <c r="J372" s="14">
        <v>46179</v>
      </c>
      <c r="K372" s="14">
        <v>46179</v>
      </c>
      <c r="L372" t="s">
        <v>20</v>
      </c>
      <c r="M372" s="14">
        <v>46188</v>
      </c>
      <c r="N372" s="14">
        <v>46179</v>
      </c>
      <c r="O372" t="s">
        <v>20</v>
      </c>
      <c r="P372">
        <v>-132.52000000000001</v>
      </c>
      <c r="Q372">
        <f>VLOOKUP(G372,'[1]Erogati mag-giu 2026_791_old'!$A:$W,12,FALSE)</f>
        <v>-132.52000000000001</v>
      </c>
      <c r="R372">
        <f t="shared" si="24"/>
        <v>0</v>
      </c>
      <c r="S372">
        <v>-132.52000000000001</v>
      </c>
      <c r="T372">
        <f>VLOOKUP(G372,'[1]Erogati mag-giu 2026_791_old'!$A:$W,13,FALSE)</f>
        <v>-132.52000000000001</v>
      </c>
      <c r="U372">
        <f t="shared" si="25"/>
        <v>0</v>
      </c>
      <c r="V372">
        <v>-132.52000000000001</v>
      </c>
      <c r="W372">
        <f>VLOOKUP(G372,'[1]Erogati mag-giu 2026_791_old'!$A:$W,14,FALSE)</f>
        <v>-132.52000000000001</v>
      </c>
      <c r="X372">
        <f t="shared" si="26"/>
        <v>0</v>
      </c>
      <c r="Y372" t="s">
        <v>158</v>
      </c>
      <c r="Z372" t="str">
        <f>VLOOKUP(G372,'[2]Erogati mag-giu 2026_791_old'!$D:$T,11,FALSE)</f>
        <v>indiretto</v>
      </c>
      <c r="AA372" t="b">
        <v>1</v>
      </c>
      <c r="AF372" t="s">
        <v>20</v>
      </c>
      <c r="AG372" t="s">
        <v>20</v>
      </c>
    </row>
    <row r="373" spans="1:33">
      <c r="A373" s="13" t="s">
        <v>621</v>
      </c>
      <c r="B373" t="s">
        <v>1635</v>
      </c>
      <c r="C373" s="4">
        <v>202601306978337</v>
      </c>
      <c r="D373" s="4" t="b">
        <f t="shared" si="27"/>
        <v>1</v>
      </c>
      <c r="E373" t="s">
        <v>20</v>
      </c>
      <c r="F373" t="s">
        <v>21</v>
      </c>
      <c r="G373" t="s">
        <v>622</v>
      </c>
      <c r="H373" t="str">
        <f>VLOOKUP(C373,'[1]Erogati mag-giu 2026_791_old'!$B:$E,4,FALSE)</f>
        <v>C312230</v>
      </c>
      <c r="I373" t="b">
        <f t="shared" si="23"/>
        <v>1</v>
      </c>
      <c r="J373" s="14">
        <v>46179</v>
      </c>
      <c r="K373" s="14">
        <v>46179</v>
      </c>
      <c r="L373" t="s">
        <v>20</v>
      </c>
      <c r="M373" s="14">
        <v>46188</v>
      </c>
      <c r="N373" s="14">
        <v>46179</v>
      </c>
      <c r="O373" t="s">
        <v>20</v>
      </c>
      <c r="P373">
        <v>-66.260000000000005</v>
      </c>
      <c r="Q373">
        <f>VLOOKUP(G373,'[1]Erogati mag-giu 2026_791_old'!$A:$W,12,FALSE)</f>
        <v>-66.260000000000005</v>
      </c>
      <c r="R373">
        <f t="shared" si="24"/>
        <v>0</v>
      </c>
      <c r="S373">
        <v>-66.260000000000005</v>
      </c>
      <c r="T373">
        <f>VLOOKUP(G373,'[1]Erogati mag-giu 2026_791_old'!$A:$W,13,FALSE)</f>
        <v>-66.260000000000005</v>
      </c>
      <c r="U373">
        <f t="shared" si="25"/>
        <v>0</v>
      </c>
      <c r="V373">
        <v>-66.260000000000005</v>
      </c>
      <c r="W373">
        <f>VLOOKUP(G373,'[1]Erogati mag-giu 2026_791_old'!$A:$W,14,FALSE)</f>
        <v>-66.260000000000005</v>
      </c>
      <c r="X373">
        <f t="shared" si="26"/>
        <v>0</v>
      </c>
      <c r="Y373" t="s">
        <v>158</v>
      </c>
      <c r="Z373" t="str">
        <f>VLOOKUP(G373,'[2]Erogati mag-giu 2026_791_old'!$D:$T,11,FALSE)</f>
        <v>indiretto</v>
      </c>
      <c r="AA373" t="b">
        <v>1</v>
      </c>
      <c r="AF373" t="s">
        <v>20</v>
      </c>
      <c r="AG373" t="s">
        <v>20</v>
      </c>
    </row>
    <row r="374" spans="1:33">
      <c r="A374" s="13" t="s">
        <v>623</v>
      </c>
      <c r="B374" t="s">
        <v>1636</v>
      </c>
      <c r="C374" s="4">
        <v>202601306978395</v>
      </c>
      <c r="D374" s="4" t="b">
        <f t="shared" si="27"/>
        <v>1</v>
      </c>
      <c r="E374" t="s">
        <v>20</v>
      </c>
      <c r="F374" t="s">
        <v>21</v>
      </c>
      <c r="G374" t="s">
        <v>624</v>
      </c>
      <c r="H374" t="str">
        <f>VLOOKUP(C374,'[1]Erogati mag-giu 2026_791_old'!$B:$E,4,FALSE)</f>
        <v>C300414</v>
      </c>
      <c r="I374" t="b">
        <f t="shared" si="23"/>
        <v>1</v>
      </c>
      <c r="J374" s="14">
        <v>46179</v>
      </c>
      <c r="K374" s="14">
        <v>46179</v>
      </c>
      <c r="L374" t="s">
        <v>20</v>
      </c>
      <c r="M374" s="14">
        <v>46188</v>
      </c>
      <c r="N374" s="14">
        <v>46179</v>
      </c>
      <c r="O374" t="s">
        <v>20</v>
      </c>
      <c r="P374">
        <v>-33.130000000000003</v>
      </c>
      <c r="Q374">
        <f>VLOOKUP(G374,'[1]Erogati mag-giu 2026_791_old'!$A:$W,12,FALSE)</f>
        <v>-33.130000000000003</v>
      </c>
      <c r="R374">
        <f t="shared" si="24"/>
        <v>0</v>
      </c>
      <c r="S374">
        <v>-33.130000000000003</v>
      </c>
      <c r="T374">
        <f>VLOOKUP(G374,'[1]Erogati mag-giu 2026_791_old'!$A:$W,13,FALSE)</f>
        <v>-33.130000000000003</v>
      </c>
      <c r="U374">
        <f t="shared" si="25"/>
        <v>0</v>
      </c>
      <c r="V374">
        <v>-33.130000000000003</v>
      </c>
      <c r="W374">
        <f>VLOOKUP(G374,'[1]Erogati mag-giu 2026_791_old'!$A:$W,14,FALSE)</f>
        <v>-33.130000000000003</v>
      </c>
      <c r="X374">
        <f t="shared" si="26"/>
        <v>0</v>
      </c>
      <c r="Y374" t="s">
        <v>158</v>
      </c>
      <c r="Z374" t="str">
        <f>VLOOKUP(G374,'[2]Erogati mag-giu 2026_791_old'!$D:$T,11,FALSE)</f>
        <v>indiretto</v>
      </c>
      <c r="AA374" t="b">
        <v>1</v>
      </c>
      <c r="AF374" t="s">
        <v>20</v>
      </c>
      <c r="AG374" t="s">
        <v>20</v>
      </c>
    </row>
    <row r="375" spans="1:33">
      <c r="A375" s="13" t="s">
        <v>625</v>
      </c>
      <c r="B375" t="s">
        <v>1637</v>
      </c>
      <c r="C375" s="4">
        <v>202601306979682</v>
      </c>
      <c r="D375" s="4" t="b">
        <f t="shared" si="27"/>
        <v>1</v>
      </c>
      <c r="E375" t="s">
        <v>20</v>
      </c>
      <c r="F375" t="s">
        <v>21</v>
      </c>
      <c r="G375" t="s">
        <v>626</v>
      </c>
      <c r="H375" t="str">
        <f>VLOOKUP(C375,'[1]Erogati mag-giu 2026_791_old'!$B:$E,4,FALSE)</f>
        <v>C344257</v>
      </c>
      <c r="I375" t="b">
        <f t="shared" si="23"/>
        <v>1</v>
      </c>
      <c r="J375" s="14">
        <v>46179</v>
      </c>
      <c r="K375" s="14">
        <v>46179</v>
      </c>
      <c r="L375" t="s">
        <v>20</v>
      </c>
      <c r="M375" s="14">
        <v>46188</v>
      </c>
      <c r="N375" s="14">
        <v>46179</v>
      </c>
      <c r="O375" t="s">
        <v>20</v>
      </c>
      <c r="P375">
        <v>-131.29</v>
      </c>
      <c r="Q375">
        <f>VLOOKUP(G375,'[1]Erogati mag-giu 2026_791_old'!$A:$W,12,FALSE)</f>
        <v>-131.29</v>
      </c>
      <c r="R375">
        <f t="shared" si="24"/>
        <v>0</v>
      </c>
      <c r="S375">
        <v>-131.29</v>
      </c>
      <c r="T375">
        <f>VLOOKUP(G375,'[1]Erogati mag-giu 2026_791_old'!$A:$W,13,FALSE)</f>
        <v>-131.29</v>
      </c>
      <c r="U375">
        <f t="shared" si="25"/>
        <v>0</v>
      </c>
      <c r="V375">
        <v>-131.29</v>
      </c>
      <c r="W375">
        <f>VLOOKUP(G375,'[1]Erogati mag-giu 2026_791_old'!$A:$W,14,FALSE)</f>
        <v>-131.29</v>
      </c>
      <c r="X375">
        <f t="shared" si="26"/>
        <v>0</v>
      </c>
      <c r="Y375" t="s">
        <v>158</v>
      </c>
      <c r="Z375" t="str">
        <f>VLOOKUP(G375,'[2]Erogati mag-giu 2026_791_old'!$D:$T,11,FALSE)</f>
        <v>indiretto</v>
      </c>
      <c r="AA375" t="b">
        <v>1</v>
      </c>
      <c r="AF375" t="s">
        <v>20</v>
      </c>
      <c r="AG375" t="s">
        <v>20</v>
      </c>
    </row>
    <row r="376" spans="1:33">
      <c r="A376" s="13" t="s">
        <v>627</v>
      </c>
      <c r="B376" t="s">
        <v>1638</v>
      </c>
      <c r="C376" s="4">
        <v>202601306981856</v>
      </c>
      <c r="D376" s="4" t="b">
        <f t="shared" si="27"/>
        <v>1</v>
      </c>
      <c r="E376" t="s">
        <v>20</v>
      </c>
      <c r="F376" t="s">
        <v>21</v>
      </c>
      <c r="G376" t="s">
        <v>628</v>
      </c>
      <c r="H376" t="str">
        <f>VLOOKUP(C376,'[1]Erogati mag-giu 2026_791_old'!$B:$E,4,FALSE)</f>
        <v>C344259</v>
      </c>
      <c r="I376" t="b">
        <f t="shared" si="23"/>
        <v>1</v>
      </c>
      <c r="J376" s="14">
        <v>46179</v>
      </c>
      <c r="K376" s="14">
        <v>46179</v>
      </c>
      <c r="L376" t="s">
        <v>20</v>
      </c>
      <c r="M376" s="14">
        <v>46188</v>
      </c>
      <c r="N376" s="14">
        <v>46179</v>
      </c>
      <c r="O376" t="s">
        <v>20</v>
      </c>
      <c r="P376">
        <v>-33.130000000000003</v>
      </c>
      <c r="Q376">
        <f>VLOOKUP(G376,'[1]Erogati mag-giu 2026_791_old'!$A:$W,12,FALSE)</f>
        <v>-33.130000000000003</v>
      </c>
      <c r="R376">
        <f t="shared" si="24"/>
        <v>0</v>
      </c>
      <c r="S376">
        <v>-33.130000000000003</v>
      </c>
      <c r="T376">
        <f>VLOOKUP(G376,'[1]Erogati mag-giu 2026_791_old'!$A:$W,13,FALSE)</f>
        <v>-33.130000000000003</v>
      </c>
      <c r="U376">
        <f t="shared" si="25"/>
        <v>0</v>
      </c>
      <c r="V376">
        <v>-33.130000000000003</v>
      </c>
      <c r="W376">
        <f>VLOOKUP(G376,'[1]Erogati mag-giu 2026_791_old'!$A:$W,14,FALSE)</f>
        <v>-33.130000000000003</v>
      </c>
      <c r="X376">
        <f t="shared" si="26"/>
        <v>0</v>
      </c>
      <c r="Y376" t="s">
        <v>158</v>
      </c>
      <c r="Z376" t="str">
        <f>VLOOKUP(G376,'[2]Erogati mag-giu 2026_791_old'!$D:$T,11,FALSE)</f>
        <v>indiretto</v>
      </c>
      <c r="AA376" t="b">
        <v>1</v>
      </c>
      <c r="AF376" t="s">
        <v>20</v>
      </c>
      <c r="AG376" t="s">
        <v>20</v>
      </c>
    </row>
    <row r="377" spans="1:33">
      <c r="A377" s="13" t="s">
        <v>629</v>
      </c>
      <c r="B377" t="s">
        <v>1639</v>
      </c>
      <c r="C377" s="4">
        <v>202601306987171</v>
      </c>
      <c r="D377" s="4" t="b">
        <f t="shared" si="27"/>
        <v>1</v>
      </c>
      <c r="E377" t="s">
        <v>20</v>
      </c>
      <c r="F377" t="s">
        <v>21</v>
      </c>
      <c r="G377" t="s">
        <v>630</v>
      </c>
      <c r="H377" t="str">
        <f>VLOOKUP(C377,'[1]Erogati mag-giu 2026_791_old'!$B:$E,4,FALSE)</f>
        <v>C344278</v>
      </c>
      <c r="I377" t="b">
        <f t="shared" si="23"/>
        <v>1</v>
      </c>
      <c r="J377" s="14">
        <v>46179</v>
      </c>
      <c r="K377" s="14">
        <v>46179</v>
      </c>
      <c r="L377" t="s">
        <v>20</v>
      </c>
      <c r="M377" s="14">
        <v>46188</v>
      </c>
      <c r="N377" s="14">
        <v>46179</v>
      </c>
      <c r="O377" t="s">
        <v>20</v>
      </c>
      <c r="P377">
        <v>-99.39</v>
      </c>
      <c r="Q377">
        <f>VLOOKUP(G377,'[1]Erogati mag-giu 2026_791_old'!$A:$W,12,FALSE)</f>
        <v>-99.39</v>
      </c>
      <c r="R377">
        <f t="shared" si="24"/>
        <v>0</v>
      </c>
      <c r="S377">
        <v>-99.39</v>
      </c>
      <c r="T377">
        <f>VLOOKUP(G377,'[1]Erogati mag-giu 2026_791_old'!$A:$W,13,FALSE)</f>
        <v>-99.39</v>
      </c>
      <c r="U377">
        <f t="shared" si="25"/>
        <v>0</v>
      </c>
      <c r="V377">
        <v>-99.39</v>
      </c>
      <c r="W377">
        <f>VLOOKUP(G377,'[1]Erogati mag-giu 2026_791_old'!$A:$W,14,FALSE)</f>
        <v>-99.39</v>
      </c>
      <c r="X377">
        <f t="shared" si="26"/>
        <v>0</v>
      </c>
      <c r="Y377" t="s">
        <v>158</v>
      </c>
      <c r="Z377" t="str">
        <f>VLOOKUP(G377,'[2]Erogati mag-giu 2026_791_old'!$D:$T,11,FALSE)</f>
        <v>indiretto</v>
      </c>
      <c r="AA377" t="b">
        <v>1</v>
      </c>
      <c r="AF377" t="s">
        <v>20</v>
      </c>
      <c r="AG377" t="s">
        <v>20</v>
      </c>
    </row>
    <row r="378" spans="1:33">
      <c r="A378" s="13" t="s">
        <v>631</v>
      </c>
      <c r="B378" t="s">
        <v>1640</v>
      </c>
      <c r="C378" s="4">
        <v>202601306988050</v>
      </c>
      <c r="D378" s="4" t="b">
        <f t="shared" si="27"/>
        <v>1</v>
      </c>
      <c r="E378" t="s">
        <v>20</v>
      </c>
      <c r="F378" t="s">
        <v>21</v>
      </c>
      <c r="G378" t="s">
        <v>632</v>
      </c>
      <c r="H378" t="str">
        <f>VLOOKUP(C378,'[1]Erogati mag-giu 2026_791_old'!$B:$E,4,FALSE)</f>
        <v>C314038</v>
      </c>
      <c r="I378" t="b">
        <f t="shared" si="23"/>
        <v>1</v>
      </c>
      <c r="J378" s="14">
        <v>46179</v>
      </c>
      <c r="K378" s="14">
        <v>46179</v>
      </c>
      <c r="L378" t="s">
        <v>20</v>
      </c>
      <c r="M378" s="14">
        <v>46188</v>
      </c>
      <c r="N378" s="14">
        <v>46179</v>
      </c>
      <c r="O378" t="s">
        <v>20</v>
      </c>
      <c r="P378">
        <v>-23.97</v>
      </c>
      <c r="Q378">
        <f>VLOOKUP(G378,'[1]Erogati mag-giu 2026_791_old'!$A:$W,12,FALSE)</f>
        <v>-23.97</v>
      </c>
      <c r="R378">
        <f t="shared" si="24"/>
        <v>0</v>
      </c>
      <c r="S378">
        <v>-23.97</v>
      </c>
      <c r="T378">
        <f>VLOOKUP(G378,'[1]Erogati mag-giu 2026_791_old'!$A:$W,13,FALSE)</f>
        <v>-23.97</v>
      </c>
      <c r="U378">
        <f t="shared" si="25"/>
        <v>0</v>
      </c>
      <c r="V378">
        <v>-23.97</v>
      </c>
      <c r="W378">
        <f>VLOOKUP(G378,'[1]Erogati mag-giu 2026_791_old'!$A:$W,14,FALSE)</f>
        <v>-23.97</v>
      </c>
      <c r="X378">
        <f t="shared" si="26"/>
        <v>0</v>
      </c>
      <c r="Y378" t="s">
        <v>158</v>
      </c>
      <c r="Z378" t="str">
        <f>VLOOKUP(G378,'[2]Erogati mag-giu 2026_791_old'!$D:$T,11,FALSE)</f>
        <v>indiretto</v>
      </c>
      <c r="AA378" t="b">
        <v>1</v>
      </c>
      <c r="AF378" t="s">
        <v>20</v>
      </c>
      <c r="AG378" t="s">
        <v>20</v>
      </c>
    </row>
    <row r="379" spans="1:33">
      <c r="A379" s="13" t="s">
        <v>633</v>
      </c>
      <c r="B379" t="s">
        <v>1641</v>
      </c>
      <c r="C379" s="4">
        <v>202601306990324</v>
      </c>
      <c r="D379" s="4" t="b">
        <f t="shared" si="27"/>
        <v>1</v>
      </c>
      <c r="E379" t="s">
        <v>20</v>
      </c>
      <c r="F379" t="s">
        <v>21</v>
      </c>
      <c r="G379" t="s">
        <v>634</v>
      </c>
      <c r="H379" t="str">
        <f>VLOOKUP(C379,'[1]Erogati mag-giu 2026_791_old'!$B:$E,4,FALSE)</f>
        <v>C344171</v>
      </c>
      <c r="I379" t="b">
        <f t="shared" si="23"/>
        <v>1</v>
      </c>
      <c r="J379" s="14">
        <v>46179</v>
      </c>
      <c r="K379" s="14">
        <v>46179</v>
      </c>
      <c r="L379" t="s">
        <v>20</v>
      </c>
      <c r="M379" s="14">
        <v>46188</v>
      </c>
      <c r="N379" s="14">
        <v>46179</v>
      </c>
      <c r="O379" t="s">
        <v>20</v>
      </c>
      <c r="P379">
        <v>-99.39</v>
      </c>
      <c r="Q379">
        <f>VLOOKUP(G379,'[1]Erogati mag-giu 2026_791_old'!$A:$W,12,FALSE)</f>
        <v>-99.39</v>
      </c>
      <c r="R379">
        <f t="shared" si="24"/>
        <v>0</v>
      </c>
      <c r="S379">
        <v>-99.39</v>
      </c>
      <c r="T379">
        <f>VLOOKUP(G379,'[1]Erogati mag-giu 2026_791_old'!$A:$W,13,FALSE)</f>
        <v>-99.39</v>
      </c>
      <c r="U379">
        <f t="shared" si="25"/>
        <v>0</v>
      </c>
      <c r="V379">
        <v>-99.39</v>
      </c>
      <c r="W379">
        <f>VLOOKUP(G379,'[1]Erogati mag-giu 2026_791_old'!$A:$W,14,FALSE)</f>
        <v>-99.39</v>
      </c>
      <c r="X379">
        <f t="shared" si="26"/>
        <v>0</v>
      </c>
      <c r="Y379" t="s">
        <v>158</v>
      </c>
      <c r="Z379" t="str">
        <f>VLOOKUP(G379,'[2]Erogati mag-giu 2026_791_old'!$D:$T,11,FALSE)</f>
        <v>indiretto</v>
      </c>
      <c r="AA379" t="b">
        <v>1</v>
      </c>
      <c r="AF379" t="s">
        <v>20</v>
      </c>
      <c r="AG379" t="s">
        <v>20</v>
      </c>
    </row>
    <row r="380" spans="1:33">
      <c r="A380" s="13" t="s">
        <v>635</v>
      </c>
      <c r="B380" t="s">
        <v>1642</v>
      </c>
      <c r="C380" s="4">
        <v>202601306990741</v>
      </c>
      <c r="D380" s="4" t="b">
        <f t="shared" si="27"/>
        <v>1</v>
      </c>
      <c r="E380" t="s">
        <v>20</v>
      </c>
      <c r="F380" t="s">
        <v>21</v>
      </c>
      <c r="G380" t="s">
        <v>636</v>
      </c>
      <c r="H380" t="str">
        <f>VLOOKUP(C380,'[1]Erogati mag-giu 2026_791_old'!$B:$E,4,FALSE)</f>
        <v>C319974</v>
      </c>
      <c r="I380" t="b">
        <f t="shared" si="23"/>
        <v>1</v>
      </c>
      <c r="J380" s="14">
        <v>46179</v>
      </c>
      <c r="K380" s="14">
        <v>46179</v>
      </c>
      <c r="L380" t="s">
        <v>20</v>
      </c>
      <c r="M380" s="14">
        <v>46188</v>
      </c>
      <c r="N380" s="14">
        <v>46179</v>
      </c>
      <c r="O380" t="s">
        <v>20</v>
      </c>
      <c r="P380">
        <v>-66.260000000000005</v>
      </c>
      <c r="Q380">
        <f>VLOOKUP(G380,'[1]Erogati mag-giu 2026_791_old'!$A:$W,12,FALSE)</f>
        <v>-66.260000000000005</v>
      </c>
      <c r="R380">
        <f t="shared" si="24"/>
        <v>0</v>
      </c>
      <c r="S380">
        <v>-66.260000000000005</v>
      </c>
      <c r="T380">
        <f>VLOOKUP(G380,'[1]Erogati mag-giu 2026_791_old'!$A:$W,13,FALSE)</f>
        <v>-66.260000000000005</v>
      </c>
      <c r="U380">
        <f t="shared" si="25"/>
        <v>0</v>
      </c>
      <c r="V380">
        <v>-66.260000000000005</v>
      </c>
      <c r="W380">
        <f>VLOOKUP(G380,'[1]Erogati mag-giu 2026_791_old'!$A:$W,14,FALSE)</f>
        <v>-66.260000000000005</v>
      </c>
      <c r="X380">
        <f t="shared" si="26"/>
        <v>0</v>
      </c>
      <c r="Y380" t="s">
        <v>158</v>
      </c>
      <c r="Z380" t="str">
        <f>VLOOKUP(G380,'[2]Erogati mag-giu 2026_791_old'!$D:$T,11,FALSE)</f>
        <v>indiretto</v>
      </c>
      <c r="AA380" t="b">
        <v>1</v>
      </c>
      <c r="AF380" t="s">
        <v>20</v>
      </c>
      <c r="AG380" t="s">
        <v>20</v>
      </c>
    </row>
    <row r="381" spans="1:33">
      <c r="A381" s="13" t="s">
        <v>637</v>
      </c>
      <c r="B381" t="s">
        <v>1643</v>
      </c>
      <c r="C381" s="4">
        <v>202601307000688</v>
      </c>
      <c r="D381" s="4" t="b">
        <f t="shared" si="27"/>
        <v>1</v>
      </c>
      <c r="E381" t="s">
        <v>20</v>
      </c>
      <c r="F381" t="s">
        <v>21</v>
      </c>
      <c r="G381" t="s">
        <v>638</v>
      </c>
      <c r="H381" t="str">
        <f>VLOOKUP(C381,'[1]Erogati mag-giu 2026_791_old'!$B:$E,4,FALSE)</f>
        <v>C344258</v>
      </c>
      <c r="I381" t="b">
        <f t="shared" si="23"/>
        <v>1</v>
      </c>
      <c r="J381" s="14">
        <v>46179</v>
      </c>
      <c r="K381" s="14">
        <v>46179</v>
      </c>
      <c r="L381" t="s">
        <v>20</v>
      </c>
      <c r="M381" s="14">
        <v>46188</v>
      </c>
      <c r="N381" s="14">
        <v>46179</v>
      </c>
      <c r="O381" t="s">
        <v>20</v>
      </c>
      <c r="P381">
        <v>-132.52000000000001</v>
      </c>
      <c r="Q381">
        <f>VLOOKUP(G381,'[1]Erogati mag-giu 2026_791_old'!$A:$W,12,FALSE)</f>
        <v>-132.52000000000001</v>
      </c>
      <c r="R381">
        <f t="shared" si="24"/>
        <v>0</v>
      </c>
      <c r="S381">
        <v>-132.52000000000001</v>
      </c>
      <c r="T381">
        <f>VLOOKUP(G381,'[1]Erogati mag-giu 2026_791_old'!$A:$W,13,FALSE)</f>
        <v>-132.52000000000001</v>
      </c>
      <c r="U381">
        <f t="shared" si="25"/>
        <v>0</v>
      </c>
      <c r="V381">
        <v>-132.52000000000001</v>
      </c>
      <c r="W381">
        <f>VLOOKUP(G381,'[1]Erogati mag-giu 2026_791_old'!$A:$W,14,FALSE)</f>
        <v>-132.52000000000001</v>
      </c>
      <c r="X381">
        <f t="shared" si="26"/>
        <v>0</v>
      </c>
      <c r="Y381" t="s">
        <v>158</v>
      </c>
      <c r="Z381" t="str">
        <f>VLOOKUP(G381,'[2]Erogati mag-giu 2026_791_old'!$D:$T,11,FALSE)</f>
        <v>indiretto</v>
      </c>
      <c r="AA381" t="b">
        <v>1</v>
      </c>
      <c r="AF381" t="s">
        <v>20</v>
      </c>
      <c r="AG381" t="s">
        <v>20</v>
      </c>
    </row>
    <row r="382" spans="1:33">
      <c r="A382" s="13" t="s">
        <v>639</v>
      </c>
      <c r="B382" t="s">
        <v>1644</v>
      </c>
      <c r="C382" s="4">
        <v>202601307004463</v>
      </c>
      <c r="D382" s="4" t="b">
        <f t="shared" si="27"/>
        <v>1</v>
      </c>
      <c r="E382" t="s">
        <v>20</v>
      </c>
      <c r="F382" t="s">
        <v>21</v>
      </c>
      <c r="G382" t="s">
        <v>640</v>
      </c>
      <c r="H382" t="str">
        <f>VLOOKUP(C382,'[1]Erogati mag-giu 2026_791_old'!$B:$E,4,FALSE)</f>
        <v>C337721</v>
      </c>
      <c r="I382" t="b">
        <f t="shared" si="23"/>
        <v>1</v>
      </c>
      <c r="J382" s="14">
        <v>46179</v>
      </c>
      <c r="K382" s="14">
        <v>46179</v>
      </c>
      <c r="L382" t="s">
        <v>20</v>
      </c>
      <c r="M382" s="14">
        <v>46188</v>
      </c>
      <c r="N382" s="14">
        <v>46179</v>
      </c>
      <c r="O382" t="s">
        <v>20</v>
      </c>
      <c r="P382">
        <v>-99.39</v>
      </c>
      <c r="Q382">
        <f>VLOOKUP(G382,'[1]Erogati mag-giu 2026_791_old'!$A:$W,12,FALSE)</f>
        <v>-99.39</v>
      </c>
      <c r="R382">
        <f t="shared" si="24"/>
        <v>0</v>
      </c>
      <c r="S382">
        <v>-99.39</v>
      </c>
      <c r="T382">
        <f>VLOOKUP(G382,'[1]Erogati mag-giu 2026_791_old'!$A:$W,13,FALSE)</f>
        <v>-99.39</v>
      </c>
      <c r="U382">
        <f t="shared" si="25"/>
        <v>0</v>
      </c>
      <c r="V382">
        <v>-99.39</v>
      </c>
      <c r="W382">
        <f>VLOOKUP(G382,'[1]Erogati mag-giu 2026_791_old'!$A:$W,14,FALSE)</f>
        <v>-99.39</v>
      </c>
      <c r="X382">
        <f t="shared" si="26"/>
        <v>0</v>
      </c>
      <c r="Y382" t="s">
        <v>158</v>
      </c>
      <c r="Z382" t="str">
        <f>VLOOKUP(G382,'[2]Erogati mag-giu 2026_791_old'!$D:$T,11,FALSE)</f>
        <v>indiretto</v>
      </c>
      <c r="AA382" t="b">
        <v>1</v>
      </c>
      <c r="AF382" t="s">
        <v>20</v>
      </c>
      <c r="AG382" t="s">
        <v>20</v>
      </c>
    </row>
    <row r="383" spans="1:33">
      <c r="A383" s="13" t="s">
        <v>641</v>
      </c>
      <c r="B383" t="s">
        <v>1645</v>
      </c>
      <c r="C383" s="4">
        <v>202601307004486</v>
      </c>
      <c r="D383" s="4" t="b">
        <f t="shared" si="27"/>
        <v>1</v>
      </c>
      <c r="E383" t="s">
        <v>20</v>
      </c>
      <c r="F383" t="s">
        <v>21</v>
      </c>
      <c r="G383" t="s">
        <v>642</v>
      </c>
      <c r="H383" t="str">
        <f>VLOOKUP(C383,'[1]Erogati mag-giu 2026_791_old'!$B:$E,4,FALSE)</f>
        <v>C337549</v>
      </c>
      <c r="I383" t="b">
        <f t="shared" si="23"/>
        <v>1</v>
      </c>
      <c r="J383" s="14">
        <v>46179</v>
      </c>
      <c r="K383" s="14">
        <v>46179</v>
      </c>
      <c r="L383" t="s">
        <v>20</v>
      </c>
      <c r="M383" s="14">
        <v>46188</v>
      </c>
      <c r="N383" s="14">
        <v>46179</v>
      </c>
      <c r="O383" t="s">
        <v>20</v>
      </c>
      <c r="P383">
        <v>-33.130000000000003</v>
      </c>
      <c r="Q383">
        <f>VLOOKUP(G383,'[1]Erogati mag-giu 2026_791_old'!$A:$W,12,FALSE)</f>
        <v>-33.130000000000003</v>
      </c>
      <c r="R383">
        <f t="shared" si="24"/>
        <v>0</v>
      </c>
      <c r="S383">
        <v>-33.130000000000003</v>
      </c>
      <c r="T383">
        <f>VLOOKUP(G383,'[1]Erogati mag-giu 2026_791_old'!$A:$W,13,FALSE)</f>
        <v>-33.130000000000003</v>
      </c>
      <c r="U383">
        <f t="shared" si="25"/>
        <v>0</v>
      </c>
      <c r="V383">
        <v>-33.130000000000003</v>
      </c>
      <c r="W383">
        <f>VLOOKUP(G383,'[1]Erogati mag-giu 2026_791_old'!$A:$W,14,FALSE)</f>
        <v>-33.130000000000003</v>
      </c>
      <c r="X383">
        <f t="shared" si="26"/>
        <v>0</v>
      </c>
      <c r="Y383" t="s">
        <v>158</v>
      </c>
      <c r="Z383" t="str">
        <f>VLOOKUP(G383,'[2]Erogati mag-giu 2026_791_old'!$D:$T,11,FALSE)</f>
        <v>indiretto</v>
      </c>
      <c r="AA383" t="b">
        <v>1</v>
      </c>
      <c r="AF383" t="s">
        <v>20</v>
      </c>
      <c r="AG383" t="s">
        <v>20</v>
      </c>
    </row>
    <row r="384" spans="1:33">
      <c r="A384" s="13" t="s">
        <v>643</v>
      </c>
      <c r="B384" t="s">
        <v>1646</v>
      </c>
      <c r="C384" s="4">
        <v>202601307007159</v>
      </c>
      <c r="D384" s="4" t="b">
        <f t="shared" si="27"/>
        <v>1</v>
      </c>
      <c r="E384" t="s">
        <v>20</v>
      </c>
      <c r="F384" t="s">
        <v>21</v>
      </c>
      <c r="G384" t="s">
        <v>644</v>
      </c>
      <c r="H384" t="str">
        <f>VLOOKUP(C384,'[1]Erogati mag-giu 2026_791_old'!$B:$E,4,FALSE)</f>
        <v>C344228</v>
      </c>
      <c r="I384" t="b">
        <f t="shared" si="23"/>
        <v>1</v>
      </c>
      <c r="J384" s="14">
        <v>46179</v>
      </c>
      <c r="K384" s="14">
        <v>46179</v>
      </c>
      <c r="L384" t="s">
        <v>20</v>
      </c>
      <c r="M384" s="14">
        <v>46188</v>
      </c>
      <c r="N384" s="14">
        <v>46179</v>
      </c>
      <c r="O384" t="s">
        <v>20</v>
      </c>
      <c r="P384">
        <v>-131.29</v>
      </c>
      <c r="Q384">
        <f>VLOOKUP(G384,'[1]Erogati mag-giu 2026_791_old'!$A:$W,12,FALSE)</f>
        <v>-131.29</v>
      </c>
      <c r="R384">
        <f t="shared" si="24"/>
        <v>0</v>
      </c>
      <c r="S384">
        <v>-131.29</v>
      </c>
      <c r="T384">
        <f>VLOOKUP(G384,'[1]Erogati mag-giu 2026_791_old'!$A:$W,13,FALSE)</f>
        <v>-131.29</v>
      </c>
      <c r="U384">
        <f t="shared" si="25"/>
        <v>0</v>
      </c>
      <c r="V384">
        <v>-131.29</v>
      </c>
      <c r="W384">
        <f>VLOOKUP(G384,'[1]Erogati mag-giu 2026_791_old'!$A:$W,14,FALSE)</f>
        <v>-131.29</v>
      </c>
      <c r="X384">
        <f t="shared" si="26"/>
        <v>0</v>
      </c>
      <c r="Y384" t="s">
        <v>158</v>
      </c>
      <c r="Z384" t="str">
        <f>VLOOKUP(G384,'[2]Erogati mag-giu 2026_791_old'!$D:$T,11,FALSE)</f>
        <v>indiretto</v>
      </c>
      <c r="AA384" t="b">
        <v>1</v>
      </c>
      <c r="AF384" t="s">
        <v>20</v>
      </c>
      <c r="AG384" t="s">
        <v>20</v>
      </c>
    </row>
    <row r="385" spans="1:33">
      <c r="A385" s="13" t="s">
        <v>645</v>
      </c>
      <c r="B385" t="s">
        <v>1647</v>
      </c>
      <c r="C385" s="4">
        <v>202601307010526</v>
      </c>
      <c r="D385" s="4" t="b">
        <f t="shared" si="27"/>
        <v>1</v>
      </c>
      <c r="E385" t="s">
        <v>20</v>
      </c>
      <c r="F385" t="s">
        <v>21</v>
      </c>
      <c r="G385" t="s">
        <v>646</v>
      </c>
      <c r="H385" t="str">
        <f>VLOOKUP(C385,'[1]Erogati mag-giu 2026_791_old'!$B:$E,4,FALSE)</f>
        <v>C344208</v>
      </c>
      <c r="I385" t="b">
        <f t="shared" si="23"/>
        <v>1</v>
      </c>
      <c r="J385" s="14">
        <v>46179</v>
      </c>
      <c r="K385" s="14">
        <v>46179</v>
      </c>
      <c r="L385" t="s">
        <v>20</v>
      </c>
      <c r="M385" s="14">
        <v>46188</v>
      </c>
      <c r="N385" s="14">
        <v>46179</v>
      </c>
      <c r="O385" t="s">
        <v>20</v>
      </c>
      <c r="P385">
        <v>-165.65</v>
      </c>
      <c r="Q385">
        <f>VLOOKUP(G385,'[1]Erogati mag-giu 2026_791_old'!$A:$W,12,FALSE)</f>
        <v>-165.65</v>
      </c>
      <c r="R385">
        <f t="shared" si="24"/>
        <v>0</v>
      </c>
      <c r="S385">
        <v>-165.65</v>
      </c>
      <c r="T385">
        <f>VLOOKUP(G385,'[1]Erogati mag-giu 2026_791_old'!$A:$W,13,FALSE)</f>
        <v>-165.65</v>
      </c>
      <c r="U385">
        <f t="shared" si="25"/>
        <v>0</v>
      </c>
      <c r="V385">
        <v>-165.65</v>
      </c>
      <c r="W385">
        <f>VLOOKUP(G385,'[1]Erogati mag-giu 2026_791_old'!$A:$W,14,FALSE)</f>
        <v>-165.65</v>
      </c>
      <c r="X385">
        <f t="shared" si="26"/>
        <v>0</v>
      </c>
      <c r="Y385" t="s">
        <v>158</v>
      </c>
      <c r="Z385" t="str">
        <f>VLOOKUP(G385,'[2]Erogati mag-giu 2026_791_old'!$D:$T,11,FALSE)</f>
        <v>indiretto</v>
      </c>
      <c r="AA385" t="b">
        <v>1</v>
      </c>
      <c r="AF385" t="s">
        <v>20</v>
      </c>
      <c r="AG385" t="s">
        <v>20</v>
      </c>
    </row>
    <row r="386" spans="1:33">
      <c r="A386" s="13" t="s">
        <v>647</v>
      </c>
      <c r="B386" t="s">
        <v>1648</v>
      </c>
      <c r="C386" s="4">
        <v>202601307012725</v>
      </c>
      <c r="D386" s="4" t="b">
        <f t="shared" si="27"/>
        <v>1</v>
      </c>
      <c r="E386" t="s">
        <v>20</v>
      </c>
      <c r="F386" t="s">
        <v>21</v>
      </c>
      <c r="G386" t="s">
        <v>648</v>
      </c>
      <c r="H386" t="str">
        <f>VLOOKUP(C386,'[1]Erogati mag-giu 2026_791_old'!$B:$E,4,FALSE)</f>
        <v>C344132</v>
      </c>
      <c r="I386" t="b">
        <f t="shared" si="23"/>
        <v>1</v>
      </c>
      <c r="J386" s="14">
        <v>46179</v>
      </c>
      <c r="K386" s="14">
        <v>46179</v>
      </c>
      <c r="L386" t="s">
        <v>20</v>
      </c>
      <c r="M386" s="14">
        <v>46188</v>
      </c>
      <c r="N386" s="14">
        <v>46179</v>
      </c>
      <c r="O386" t="s">
        <v>20</v>
      </c>
      <c r="P386">
        <v>-36.32</v>
      </c>
      <c r="Q386">
        <f>VLOOKUP(G386,'[1]Erogati mag-giu 2026_791_old'!$A:$W,12,FALSE)</f>
        <v>-36.32</v>
      </c>
      <c r="R386">
        <f t="shared" si="24"/>
        <v>0</v>
      </c>
      <c r="S386">
        <v>-36.32</v>
      </c>
      <c r="T386">
        <f>VLOOKUP(G386,'[1]Erogati mag-giu 2026_791_old'!$A:$W,13,FALSE)</f>
        <v>-36.32</v>
      </c>
      <c r="U386">
        <f t="shared" si="25"/>
        <v>0</v>
      </c>
      <c r="V386">
        <v>-36.32</v>
      </c>
      <c r="W386">
        <f>VLOOKUP(G386,'[1]Erogati mag-giu 2026_791_old'!$A:$W,14,FALSE)</f>
        <v>-36.32</v>
      </c>
      <c r="X386">
        <f t="shared" si="26"/>
        <v>0</v>
      </c>
      <c r="Y386" t="s">
        <v>158</v>
      </c>
      <c r="Z386" t="str">
        <f>VLOOKUP(G386,'[2]Erogati mag-giu 2026_791_old'!$D:$T,11,FALSE)</f>
        <v>indiretto</v>
      </c>
      <c r="AA386" t="b">
        <v>1</v>
      </c>
      <c r="AF386" t="s">
        <v>20</v>
      </c>
      <c r="AG386" t="s">
        <v>20</v>
      </c>
    </row>
    <row r="387" spans="1:33">
      <c r="A387" s="13" t="s">
        <v>649</v>
      </c>
      <c r="B387" t="s">
        <v>1649</v>
      </c>
      <c r="C387" s="4">
        <v>202601307012873</v>
      </c>
      <c r="D387" s="4" t="b">
        <f t="shared" si="27"/>
        <v>1</v>
      </c>
      <c r="E387" t="s">
        <v>20</v>
      </c>
      <c r="F387" t="s">
        <v>21</v>
      </c>
      <c r="G387" t="s">
        <v>650</v>
      </c>
      <c r="H387" t="str">
        <f>VLOOKUP(C387,'[1]Erogati mag-giu 2026_791_old'!$B:$E,4,FALSE)</f>
        <v>C337670</v>
      </c>
      <c r="I387" t="b">
        <f t="shared" si="23"/>
        <v>1</v>
      </c>
      <c r="J387" s="14">
        <v>46179</v>
      </c>
      <c r="K387" s="14">
        <v>46179</v>
      </c>
      <c r="L387" t="s">
        <v>20</v>
      </c>
      <c r="M387" s="14">
        <v>46188</v>
      </c>
      <c r="N387" s="14">
        <v>46179</v>
      </c>
      <c r="O387" t="s">
        <v>20</v>
      </c>
      <c r="P387">
        <v>-38.659999999999997</v>
      </c>
      <c r="Q387">
        <f>VLOOKUP(G387,'[1]Erogati mag-giu 2026_791_old'!$A:$W,12,FALSE)</f>
        <v>-38.659999999999997</v>
      </c>
      <c r="R387">
        <f t="shared" si="24"/>
        <v>0</v>
      </c>
      <c r="S387">
        <v>-38.659999999999997</v>
      </c>
      <c r="T387">
        <f>VLOOKUP(G387,'[1]Erogati mag-giu 2026_791_old'!$A:$W,13,FALSE)</f>
        <v>-38.659999999999997</v>
      </c>
      <c r="U387">
        <f t="shared" si="25"/>
        <v>0</v>
      </c>
      <c r="V387">
        <v>-38.659999999999997</v>
      </c>
      <c r="W387">
        <f>VLOOKUP(G387,'[1]Erogati mag-giu 2026_791_old'!$A:$W,14,FALSE)</f>
        <v>-38.659999999999997</v>
      </c>
      <c r="X387">
        <f t="shared" si="26"/>
        <v>0</v>
      </c>
      <c r="Y387" t="s">
        <v>158</v>
      </c>
      <c r="Z387" t="str">
        <f>VLOOKUP(G387,'[2]Erogati mag-giu 2026_791_old'!$D:$T,11,FALSE)</f>
        <v>indiretto</v>
      </c>
      <c r="AA387" t="b">
        <v>1</v>
      </c>
      <c r="AF387" t="s">
        <v>20</v>
      </c>
      <c r="AG387" t="s">
        <v>20</v>
      </c>
    </row>
    <row r="388" spans="1:33">
      <c r="A388" s="13" t="s">
        <v>651</v>
      </c>
      <c r="B388" t="s">
        <v>1650</v>
      </c>
      <c r="C388" s="4">
        <v>202601307015552</v>
      </c>
      <c r="D388" s="4" t="b">
        <f t="shared" si="27"/>
        <v>1</v>
      </c>
      <c r="E388" t="s">
        <v>20</v>
      </c>
      <c r="F388" t="s">
        <v>21</v>
      </c>
      <c r="G388" t="s">
        <v>652</v>
      </c>
      <c r="H388" t="str">
        <f>VLOOKUP(C388,'[1]Erogati mag-giu 2026_791_old'!$B:$E,4,FALSE)</f>
        <v>C317783</v>
      </c>
      <c r="I388" t="b">
        <f t="shared" ref="I388:I451" si="28">EXACT(G388,H388)</f>
        <v>1</v>
      </c>
      <c r="J388" s="14">
        <v>46179</v>
      </c>
      <c r="K388" s="14">
        <v>46179</v>
      </c>
      <c r="L388" t="s">
        <v>20</v>
      </c>
      <c r="M388" s="14">
        <v>46188</v>
      </c>
      <c r="N388" s="14">
        <v>46179</v>
      </c>
      <c r="O388" t="s">
        <v>20</v>
      </c>
      <c r="P388">
        <v>-73.86</v>
      </c>
      <c r="Q388">
        <f>VLOOKUP(G388,'[1]Erogati mag-giu 2026_791_old'!$A:$W,12,FALSE)</f>
        <v>-73.86</v>
      </c>
      <c r="R388">
        <f t="shared" ref="R388:R451" si="29">P388-Q388</f>
        <v>0</v>
      </c>
      <c r="S388">
        <v>-73.86</v>
      </c>
      <c r="T388">
        <f>VLOOKUP(G388,'[1]Erogati mag-giu 2026_791_old'!$A:$W,13,FALSE)</f>
        <v>-73.86</v>
      </c>
      <c r="U388">
        <f t="shared" ref="U388:U451" si="30">S388-T388</f>
        <v>0</v>
      </c>
      <c r="V388">
        <v>-73.86</v>
      </c>
      <c r="W388">
        <f>VLOOKUP(G388,'[1]Erogati mag-giu 2026_791_old'!$A:$W,14,FALSE)</f>
        <v>-73.86</v>
      </c>
      <c r="X388">
        <f t="shared" ref="X388:X451" si="31">V388-W388</f>
        <v>0</v>
      </c>
      <c r="Y388" t="s">
        <v>158</v>
      </c>
      <c r="Z388" t="str">
        <f>VLOOKUP(G388,'[2]Erogati mag-giu 2026_791_old'!$D:$T,11,FALSE)</f>
        <v>indiretto</v>
      </c>
      <c r="AA388" t="b">
        <v>1</v>
      </c>
      <c r="AF388" t="s">
        <v>20</v>
      </c>
      <c r="AG388" t="s">
        <v>20</v>
      </c>
    </row>
    <row r="389" spans="1:33">
      <c r="A389" s="13" t="s">
        <v>653</v>
      </c>
      <c r="B389" t="s">
        <v>1651</v>
      </c>
      <c r="C389" s="4">
        <v>202601307020727</v>
      </c>
      <c r="D389" s="4" t="b">
        <f t="shared" si="27"/>
        <v>1</v>
      </c>
      <c r="E389" t="s">
        <v>20</v>
      </c>
      <c r="F389" t="s">
        <v>21</v>
      </c>
      <c r="G389" t="s">
        <v>654</v>
      </c>
      <c r="H389" t="str">
        <f>VLOOKUP(C389,'[1]Erogati mag-giu 2026_791_old'!$B:$E,4,FALSE)</f>
        <v>C309637</v>
      </c>
      <c r="I389" t="b">
        <f t="shared" si="28"/>
        <v>1</v>
      </c>
      <c r="J389" s="14">
        <v>46179</v>
      </c>
      <c r="K389" s="14">
        <v>46179</v>
      </c>
      <c r="L389" t="s">
        <v>20</v>
      </c>
      <c r="M389" s="14">
        <v>46188</v>
      </c>
      <c r="N389" s="14">
        <v>46179</v>
      </c>
      <c r="O389" t="s">
        <v>20</v>
      </c>
      <c r="P389">
        <v>-99.39</v>
      </c>
      <c r="Q389">
        <f>VLOOKUP(G389,'[1]Erogati mag-giu 2026_791_old'!$A:$W,12,FALSE)</f>
        <v>-99.39</v>
      </c>
      <c r="R389">
        <f t="shared" si="29"/>
        <v>0</v>
      </c>
      <c r="S389">
        <v>-99.39</v>
      </c>
      <c r="T389">
        <f>VLOOKUP(G389,'[1]Erogati mag-giu 2026_791_old'!$A:$W,13,FALSE)</f>
        <v>-99.39</v>
      </c>
      <c r="U389">
        <f t="shared" si="30"/>
        <v>0</v>
      </c>
      <c r="V389">
        <v>-99.39</v>
      </c>
      <c r="W389">
        <f>VLOOKUP(G389,'[1]Erogati mag-giu 2026_791_old'!$A:$W,14,FALSE)</f>
        <v>-99.39</v>
      </c>
      <c r="X389">
        <f t="shared" si="31"/>
        <v>0</v>
      </c>
      <c r="Y389" t="s">
        <v>158</v>
      </c>
      <c r="Z389" t="str">
        <f>VLOOKUP(G389,'[2]Erogati mag-giu 2026_791_old'!$D:$T,11,FALSE)</f>
        <v>indiretto</v>
      </c>
      <c r="AA389" t="b">
        <v>1</v>
      </c>
      <c r="AF389" t="s">
        <v>20</v>
      </c>
      <c r="AG389" t="s">
        <v>20</v>
      </c>
    </row>
    <row r="390" spans="1:33">
      <c r="A390" s="13" t="s">
        <v>655</v>
      </c>
      <c r="B390" t="s">
        <v>1652</v>
      </c>
      <c r="C390" s="4">
        <v>202601307029416</v>
      </c>
      <c r="D390" s="4" t="b">
        <f t="shared" si="27"/>
        <v>1</v>
      </c>
      <c r="E390" t="s">
        <v>20</v>
      </c>
      <c r="F390" t="s">
        <v>21</v>
      </c>
      <c r="G390" t="s">
        <v>656</v>
      </c>
      <c r="H390" t="str">
        <f>VLOOKUP(C390,'[1]Erogati mag-giu 2026_791_old'!$B:$E,4,FALSE)</f>
        <v>C314210</v>
      </c>
      <c r="I390" t="b">
        <f t="shared" si="28"/>
        <v>1</v>
      </c>
      <c r="J390" s="14">
        <v>46179</v>
      </c>
      <c r="K390" s="14">
        <v>46179</v>
      </c>
      <c r="L390" t="s">
        <v>20</v>
      </c>
      <c r="M390" s="14">
        <v>46188</v>
      </c>
      <c r="N390" s="14">
        <v>46179</v>
      </c>
      <c r="O390" t="s">
        <v>20</v>
      </c>
      <c r="P390">
        <v>-29.82</v>
      </c>
      <c r="Q390">
        <f>VLOOKUP(G390,'[1]Erogati mag-giu 2026_791_old'!$A:$W,12,FALSE)</f>
        <v>-29.82</v>
      </c>
      <c r="R390">
        <f t="shared" si="29"/>
        <v>0</v>
      </c>
      <c r="S390">
        <v>-29.82</v>
      </c>
      <c r="T390">
        <f>VLOOKUP(G390,'[1]Erogati mag-giu 2026_791_old'!$A:$W,13,FALSE)</f>
        <v>-29.82</v>
      </c>
      <c r="U390">
        <f t="shared" si="30"/>
        <v>0</v>
      </c>
      <c r="V390">
        <v>-29.82</v>
      </c>
      <c r="W390">
        <f>VLOOKUP(G390,'[1]Erogati mag-giu 2026_791_old'!$A:$W,14,FALSE)</f>
        <v>-29.82</v>
      </c>
      <c r="X390">
        <f t="shared" si="31"/>
        <v>0</v>
      </c>
      <c r="Y390" t="s">
        <v>158</v>
      </c>
      <c r="Z390" t="str">
        <f>VLOOKUP(G390,'[2]Erogati mag-giu 2026_791_old'!$D:$T,11,FALSE)</f>
        <v>indiretto</v>
      </c>
      <c r="AA390" t="b">
        <v>1</v>
      </c>
      <c r="AF390" t="s">
        <v>20</v>
      </c>
      <c r="AG390" t="s">
        <v>20</v>
      </c>
    </row>
    <row r="391" spans="1:33">
      <c r="A391" s="13" t="s">
        <v>657</v>
      </c>
      <c r="B391" t="s">
        <v>1653</v>
      </c>
      <c r="C391" s="4">
        <v>202601307030258</v>
      </c>
      <c r="D391" s="4" t="b">
        <f t="shared" si="27"/>
        <v>1</v>
      </c>
      <c r="E391" t="s">
        <v>20</v>
      </c>
      <c r="F391" t="s">
        <v>21</v>
      </c>
      <c r="G391" t="s">
        <v>658</v>
      </c>
      <c r="H391" t="str">
        <f>VLOOKUP(C391,'[1]Erogati mag-giu 2026_791_old'!$B:$E,4,FALSE)</f>
        <v>C344277</v>
      </c>
      <c r="I391" t="b">
        <f t="shared" si="28"/>
        <v>1</v>
      </c>
      <c r="J391" s="14">
        <v>46179</v>
      </c>
      <c r="K391" s="14">
        <v>46179</v>
      </c>
      <c r="L391" t="s">
        <v>20</v>
      </c>
      <c r="M391" s="14">
        <v>46188</v>
      </c>
      <c r="N391" s="14">
        <v>46179</v>
      </c>
      <c r="O391" t="s">
        <v>20</v>
      </c>
      <c r="P391">
        <v>-33.130000000000003</v>
      </c>
      <c r="Q391">
        <f>VLOOKUP(G391,'[1]Erogati mag-giu 2026_791_old'!$A:$W,12,FALSE)</f>
        <v>-33.130000000000003</v>
      </c>
      <c r="R391">
        <f t="shared" si="29"/>
        <v>0</v>
      </c>
      <c r="S391">
        <v>-33.130000000000003</v>
      </c>
      <c r="T391">
        <f>VLOOKUP(G391,'[1]Erogati mag-giu 2026_791_old'!$A:$W,13,FALSE)</f>
        <v>-33.130000000000003</v>
      </c>
      <c r="U391">
        <f t="shared" si="30"/>
        <v>0</v>
      </c>
      <c r="V391">
        <v>-33.130000000000003</v>
      </c>
      <c r="W391">
        <f>VLOOKUP(G391,'[1]Erogati mag-giu 2026_791_old'!$A:$W,14,FALSE)</f>
        <v>-33.130000000000003</v>
      </c>
      <c r="X391">
        <f t="shared" si="31"/>
        <v>0</v>
      </c>
      <c r="Y391" t="s">
        <v>158</v>
      </c>
      <c r="Z391" t="str">
        <f>VLOOKUP(G391,'[2]Erogati mag-giu 2026_791_old'!$D:$T,11,FALSE)</f>
        <v>indiretto</v>
      </c>
      <c r="AA391" t="b">
        <v>1</v>
      </c>
      <c r="AF391" t="s">
        <v>20</v>
      </c>
      <c r="AG391" t="s">
        <v>20</v>
      </c>
    </row>
    <row r="392" spans="1:33">
      <c r="A392" s="13" t="s">
        <v>659</v>
      </c>
      <c r="B392" t="s">
        <v>1654</v>
      </c>
      <c r="C392" s="4">
        <v>202601307043734</v>
      </c>
      <c r="D392" s="4" t="b">
        <f t="shared" si="27"/>
        <v>1</v>
      </c>
      <c r="E392" t="s">
        <v>20</v>
      </c>
      <c r="F392" t="s">
        <v>21</v>
      </c>
      <c r="G392" t="s">
        <v>660</v>
      </c>
      <c r="H392" t="str">
        <f>VLOOKUP(C392,'[1]Erogati mag-giu 2026_791_old'!$B:$E,4,FALSE)</f>
        <v>C320282</v>
      </c>
      <c r="I392" t="b">
        <f t="shared" si="28"/>
        <v>1</v>
      </c>
      <c r="J392" s="14">
        <v>46179</v>
      </c>
      <c r="K392" s="14">
        <v>46179</v>
      </c>
      <c r="L392" t="s">
        <v>20</v>
      </c>
      <c r="M392" s="14">
        <v>46188</v>
      </c>
      <c r="N392" s="14">
        <v>46179</v>
      </c>
      <c r="O392" t="s">
        <v>20</v>
      </c>
      <c r="P392">
        <v>-66.260000000000005</v>
      </c>
      <c r="Q392">
        <f>VLOOKUP(G392,'[1]Erogati mag-giu 2026_791_old'!$A:$W,12,FALSE)</f>
        <v>-66.260000000000005</v>
      </c>
      <c r="R392">
        <f t="shared" si="29"/>
        <v>0</v>
      </c>
      <c r="S392">
        <v>-66.260000000000005</v>
      </c>
      <c r="T392">
        <f>VLOOKUP(G392,'[1]Erogati mag-giu 2026_791_old'!$A:$W,13,FALSE)</f>
        <v>-66.260000000000005</v>
      </c>
      <c r="U392">
        <f t="shared" si="30"/>
        <v>0</v>
      </c>
      <c r="V392">
        <v>-66.260000000000005</v>
      </c>
      <c r="W392">
        <f>VLOOKUP(G392,'[1]Erogati mag-giu 2026_791_old'!$A:$W,14,FALSE)</f>
        <v>-66.260000000000005</v>
      </c>
      <c r="X392">
        <f t="shared" si="31"/>
        <v>0</v>
      </c>
      <c r="Y392" t="s">
        <v>158</v>
      </c>
      <c r="Z392" t="str">
        <f>VLOOKUP(G392,'[2]Erogati mag-giu 2026_791_old'!$D:$T,11,FALSE)</f>
        <v>indiretto</v>
      </c>
      <c r="AA392" t="b">
        <v>1</v>
      </c>
      <c r="AF392" t="s">
        <v>20</v>
      </c>
      <c r="AG392" t="s">
        <v>20</v>
      </c>
    </row>
    <row r="393" spans="1:33">
      <c r="A393" s="13" t="s">
        <v>661</v>
      </c>
      <c r="B393" t="s">
        <v>1655</v>
      </c>
      <c r="C393" s="4">
        <v>202601307053058</v>
      </c>
      <c r="D393" s="4" t="b">
        <f t="shared" ref="D393:D456" si="32">EXACT(B393,C393)</f>
        <v>1</v>
      </c>
      <c r="E393" t="s">
        <v>20</v>
      </c>
      <c r="F393" t="s">
        <v>21</v>
      </c>
      <c r="G393" t="s">
        <v>662</v>
      </c>
      <c r="H393" t="str">
        <f>VLOOKUP(C393,'[1]Erogati mag-giu 2026_791_old'!$B:$E,4,FALSE)</f>
        <v>C337545</v>
      </c>
      <c r="I393" t="b">
        <f t="shared" si="28"/>
        <v>1</v>
      </c>
      <c r="J393" s="14">
        <v>46179</v>
      </c>
      <c r="K393" s="14">
        <v>46179</v>
      </c>
      <c r="L393" t="s">
        <v>20</v>
      </c>
      <c r="M393" s="14">
        <v>46188</v>
      </c>
      <c r="N393" s="14">
        <v>46179</v>
      </c>
      <c r="O393" t="s">
        <v>20</v>
      </c>
      <c r="P393">
        <v>-33.130000000000003</v>
      </c>
      <c r="Q393">
        <f>VLOOKUP(G393,'[1]Erogati mag-giu 2026_791_old'!$A:$W,12,FALSE)</f>
        <v>-33.130000000000003</v>
      </c>
      <c r="R393">
        <f t="shared" si="29"/>
        <v>0</v>
      </c>
      <c r="S393">
        <v>-33.130000000000003</v>
      </c>
      <c r="T393">
        <f>VLOOKUP(G393,'[1]Erogati mag-giu 2026_791_old'!$A:$W,13,FALSE)</f>
        <v>-33.130000000000003</v>
      </c>
      <c r="U393">
        <f t="shared" si="30"/>
        <v>0</v>
      </c>
      <c r="V393">
        <v>-33.130000000000003</v>
      </c>
      <c r="W393">
        <f>VLOOKUP(G393,'[1]Erogati mag-giu 2026_791_old'!$A:$W,14,FALSE)</f>
        <v>-33.130000000000003</v>
      </c>
      <c r="X393">
        <f t="shared" si="31"/>
        <v>0</v>
      </c>
      <c r="Y393" t="s">
        <v>158</v>
      </c>
      <c r="Z393" t="str">
        <f>VLOOKUP(G393,'[2]Erogati mag-giu 2026_791_old'!$D:$T,11,FALSE)</f>
        <v>indiretto</v>
      </c>
      <c r="AA393" t="b">
        <v>1</v>
      </c>
      <c r="AF393" t="s">
        <v>20</v>
      </c>
      <c r="AG393" t="s">
        <v>20</v>
      </c>
    </row>
    <row r="394" spans="1:33">
      <c r="A394" s="13" t="s">
        <v>663</v>
      </c>
      <c r="B394" t="s">
        <v>1656</v>
      </c>
      <c r="C394" s="4">
        <v>202601307053652</v>
      </c>
      <c r="D394" s="4" t="b">
        <f t="shared" si="32"/>
        <v>1</v>
      </c>
      <c r="E394" t="s">
        <v>20</v>
      </c>
      <c r="F394" t="s">
        <v>21</v>
      </c>
      <c r="G394" t="s">
        <v>664</v>
      </c>
      <c r="H394" t="str">
        <f>VLOOKUP(C394,'[1]Erogati mag-giu 2026_791_old'!$B:$E,4,FALSE)</f>
        <v>C344172</v>
      </c>
      <c r="I394" t="b">
        <f t="shared" si="28"/>
        <v>1</v>
      </c>
      <c r="J394" s="14">
        <v>46179</v>
      </c>
      <c r="K394" s="14">
        <v>46179</v>
      </c>
      <c r="L394" t="s">
        <v>20</v>
      </c>
      <c r="M394" s="14">
        <v>46188</v>
      </c>
      <c r="N394" s="14">
        <v>46179</v>
      </c>
      <c r="O394" t="s">
        <v>20</v>
      </c>
      <c r="P394">
        <v>-165.65</v>
      </c>
      <c r="Q394">
        <f>VLOOKUP(G394,'[1]Erogati mag-giu 2026_791_old'!$A:$W,12,FALSE)</f>
        <v>-165.65</v>
      </c>
      <c r="R394">
        <f t="shared" si="29"/>
        <v>0</v>
      </c>
      <c r="S394">
        <v>-165.65</v>
      </c>
      <c r="T394">
        <f>VLOOKUP(G394,'[1]Erogati mag-giu 2026_791_old'!$A:$W,13,FALSE)</f>
        <v>-165.65</v>
      </c>
      <c r="U394">
        <f t="shared" si="30"/>
        <v>0</v>
      </c>
      <c r="V394">
        <v>-165.65</v>
      </c>
      <c r="W394">
        <f>VLOOKUP(G394,'[1]Erogati mag-giu 2026_791_old'!$A:$W,14,FALSE)</f>
        <v>-165.65</v>
      </c>
      <c r="X394">
        <f t="shared" si="31"/>
        <v>0</v>
      </c>
      <c r="Y394" t="s">
        <v>158</v>
      </c>
      <c r="Z394" t="str">
        <f>VLOOKUP(G394,'[2]Erogati mag-giu 2026_791_old'!$D:$T,11,FALSE)</f>
        <v>indiretto</v>
      </c>
      <c r="AA394" t="b">
        <v>1</v>
      </c>
      <c r="AF394" t="s">
        <v>20</v>
      </c>
      <c r="AG394" t="s">
        <v>20</v>
      </c>
    </row>
    <row r="395" spans="1:33">
      <c r="A395" s="13" t="s">
        <v>665</v>
      </c>
      <c r="B395" t="s">
        <v>1657</v>
      </c>
      <c r="C395" s="4">
        <v>202601307055194</v>
      </c>
      <c r="D395" s="4" t="b">
        <f t="shared" si="32"/>
        <v>1</v>
      </c>
      <c r="E395" t="s">
        <v>20</v>
      </c>
      <c r="F395" t="s">
        <v>21</v>
      </c>
      <c r="G395" t="s">
        <v>666</v>
      </c>
      <c r="H395" t="str">
        <f>VLOOKUP(C395,'[1]Erogati mag-giu 2026_791_old'!$B:$E,4,FALSE)</f>
        <v>C337528</v>
      </c>
      <c r="I395" t="b">
        <f t="shared" si="28"/>
        <v>1</v>
      </c>
      <c r="J395" s="14">
        <v>46179</v>
      </c>
      <c r="K395" s="14">
        <v>46179</v>
      </c>
      <c r="L395" t="s">
        <v>20</v>
      </c>
      <c r="M395" s="14">
        <v>46188</v>
      </c>
      <c r="N395" s="14">
        <v>46179</v>
      </c>
      <c r="O395" t="s">
        <v>20</v>
      </c>
      <c r="P395">
        <v>-132.52000000000001</v>
      </c>
      <c r="Q395">
        <f>VLOOKUP(G395,'[1]Erogati mag-giu 2026_791_old'!$A:$W,12,FALSE)</f>
        <v>-132.52000000000001</v>
      </c>
      <c r="R395">
        <f t="shared" si="29"/>
        <v>0</v>
      </c>
      <c r="S395">
        <v>-132.52000000000001</v>
      </c>
      <c r="T395">
        <f>VLOOKUP(G395,'[1]Erogati mag-giu 2026_791_old'!$A:$W,13,FALSE)</f>
        <v>-132.52000000000001</v>
      </c>
      <c r="U395">
        <f t="shared" si="30"/>
        <v>0</v>
      </c>
      <c r="V395">
        <v>-132.52000000000001</v>
      </c>
      <c r="W395">
        <f>VLOOKUP(G395,'[1]Erogati mag-giu 2026_791_old'!$A:$W,14,FALSE)</f>
        <v>-132.52000000000001</v>
      </c>
      <c r="X395">
        <f t="shared" si="31"/>
        <v>0</v>
      </c>
      <c r="Y395" t="s">
        <v>158</v>
      </c>
      <c r="Z395" t="str">
        <f>VLOOKUP(G395,'[2]Erogati mag-giu 2026_791_old'!$D:$T,11,FALSE)</f>
        <v>indiretto</v>
      </c>
      <c r="AA395" t="b">
        <v>1</v>
      </c>
      <c r="AF395" t="s">
        <v>20</v>
      </c>
      <c r="AG395" t="s">
        <v>20</v>
      </c>
    </row>
    <row r="396" spans="1:33">
      <c r="A396" s="13" t="s">
        <v>667</v>
      </c>
      <c r="B396" t="s">
        <v>1658</v>
      </c>
      <c r="C396" s="4">
        <v>202601307057958</v>
      </c>
      <c r="D396" s="4" t="b">
        <f t="shared" si="32"/>
        <v>1</v>
      </c>
      <c r="E396" t="s">
        <v>20</v>
      </c>
      <c r="F396" t="s">
        <v>21</v>
      </c>
      <c r="G396" t="s">
        <v>668</v>
      </c>
      <c r="H396" t="str">
        <f>VLOOKUP(C396,'[1]Erogati mag-giu 2026_791_old'!$B:$E,4,FALSE)</f>
        <v>C344220</v>
      </c>
      <c r="I396" t="b">
        <f t="shared" si="28"/>
        <v>1</v>
      </c>
      <c r="J396" s="14">
        <v>46179</v>
      </c>
      <c r="K396" s="14">
        <v>46179</v>
      </c>
      <c r="L396" t="s">
        <v>20</v>
      </c>
      <c r="M396" s="14">
        <v>46188</v>
      </c>
      <c r="N396" s="14">
        <v>46179</v>
      </c>
      <c r="O396" t="s">
        <v>20</v>
      </c>
      <c r="P396">
        <v>-78.78</v>
      </c>
      <c r="Q396">
        <f>VLOOKUP(G396,'[1]Erogati mag-giu 2026_791_old'!$A:$W,12,FALSE)</f>
        <v>-78.78</v>
      </c>
      <c r="R396">
        <f t="shared" si="29"/>
        <v>0</v>
      </c>
      <c r="S396">
        <v>-78.78</v>
      </c>
      <c r="T396">
        <f>VLOOKUP(G396,'[1]Erogati mag-giu 2026_791_old'!$A:$W,13,FALSE)</f>
        <v>-78.78</v>
      </c>
      <c r="U396">
        <f t="shared" si="30"/>
        <v>0</v>
      </c>
      <c r="V396">
        <v>-78.78</v>
      </c>
      <c r="W396">
        <f>VLOOKUP(G396,'[1]Erogati mag-giu 2026_791_old'!$A:$W,14,FALSE)</f>
        <v>-78.78</v>
      </c>
      <c r="X396">
        <f t="shared" si="31"/>
        <v>0</v>
      </c>
      <c r="Y396" t="s">
        <v>158</v>
      </c>
      <c r="Z396" t="str">
        <f>VLOOKUP(G396,'[2]Erogati mag-giu 2026_791_old'!$D:$T,11,FALSE)</f>
        <v>indiretto</v>
      </c>
      <c r="AA396" t="b">
        <v>1</v>
      </c>
      <c r="AF396" t="s">
        <v>20</v>
      </c>
      <c r="AG396" t="s">
        <v>20</v>
      </c>
    </row>
    <row r="397" spans="1:33">
      <c r="A397" s="13" t="s">
        <v>669</v>
      </c>
      <c r="B397" t="s">
        <v>1659</v>
      </c>
      <c r="C397" s="4">
        <v>202601307058010</v>
      </c>
      <c r="D397" s="4" t="b">
        <f t="shared" si="32"/>
        <v>1</v>
      </c>
      <c r="E397" t="s">
        <v>20</v>
      </c>
      <c r="F397" t="s">
        <v>21</v>
      </c>
      <c r="G397" t="s">
        <v>670</v>
      </c>
      <c r="H397" t="str">
        <f>VLOOKUP(C397,'[1]Erogati mag-giu 2026_791_old'!$B:$E,4,FALSE)</f>
        <v>C317779</v>
      </c>
      <c r="I397" t="b">
        <f t="shared" si="28"/>
        <v>1</v>
      </c>
      <c r="J397" s="14">
        <v>46179</v>
      </c>
      <c r="K397" s="14">
        <v>46179</v>
      </c>
      <c r="L397" t="s">
        <v>20</v>
      </c>
      <c r="M397" s="14">
        <v>46188</v>
      </c>
      <c r="N397" s="14">
        <v>46179</v>
      </c>
      <c r="O397" t="s">
        <v>20</v>
      </c>
      <c r="P397">
        <v>-165.65</v>
      </c>
      <c r="Q397">
        <f>VLOOKUP(G397,'[1]Erogati mag-giu 2026_791_old'!$A:$W,12,FALSE)</f>
        <v>-165.65</v>
      </c>
      <c r="R397">
        <f t="shared" si="29"/>
        <v>0</v>
      </c>
      <c r="S397">
        <v>-165.65</v>
      </c>
      <c r="T397">
        <f>VLOOKUP(G397,'[1]Erogati mag-giu 2026_791_old'!$A:$W,13,FALSE)</f>
        <v>-165.65</v>
      </c>
      <c r="U397">
        <f t="shared" si="30"/>
        <v>0</v>
      </c>
      <c r="V397">
        <v>-165.65</v>
      </c>
      <c r="W397">
        <f>VLOOKUP(G397,'[1]Erogati mag-giu 2026_791_old'!$A:$W,14,FALSE)</f>
        <v>-165.65</v>
      </c>
      <c r="X397">
        <f t="shared" si="31"/>
        <v>0</v>
      </c>
      <c r="Y397" t="s">
        <v>158</v>
      </c>
      <c r="Z397" t="str">
        <f>VLOOKUP(G397,'[2]Erogati mag-giu 2026_791_old'!$D:$T,11,FALSE)</f>
        <v>indiretto</v>
      </c>
      <c r="AA397" t="b">
        <v>1</v>
      </c>
      <c r="AF397" t="s">
        <v>20</v>
      </c>
      <c r="AG397" t="s">
        <v>20</v>
      </c>
    </row>
    <row r="398" spans="1:33">
      <c r="A398" s="13" t="s">
        <v>671</v>
      </c>
      <c r="B398" t="s">
        <v>1660</v>
      </c>
      <c r="C398" s="4">
        <v>202601307065338</v>
      </c>
      <c r="D398" s="4" t="b">
        <f t="shared" si="32"/>
        <v>1</v>
      </c>
      <c r="E398" t="s">
        <v>20</v>
      </c>
      <c r="F398" t="s">
        <v>21</v>
      </c>
      <c r="G398" t="s">
        <v>672</v>
      </c>
      <c r="H398" t="str">
        <f>VLOOKUP(C398,'[1]Erogati mag-giu 2026_791_old'!$B:$E,4,FALSE)</f>
        <v>C320322</v>
      </c>
      <c r="I398" t="b">
        <f t="shared" si="28"/>
        <v>1</v>
      </c>
      <c r="J398" s="14">
        <v>46179</v>
      </c>
      <c r="K398" s="14">
        <v>46179</v>
      </c>
      <c r="L398" t="s">
        <v>20</v>
      </c>
      <c r="M398" s="14">
        <v>46188</v>
      </c>
      <c r="N398" s="14">
        <v>46179</v>
      </c>
      <c r="O398" t="s">
        <v>20</v>
      </c>
      <c r="P398">
        <v>-33.130000000000003</v>
      </c>
      <c r="Q398">
        <f>VLOOKUP(G398,'[1]Erogati mag-giu 2026_791_old'!$A:$W,12,FALSE)</f>
        <v>-33.130000000000003</v>
      </c>
      <c r="R398">
        <f t="shared" si="29"/>
        <v>0</v>
      </c>
      <c r="S398">
        <v>-33.130000000000003</v>
      </c>
      <c r="T398">
        <f>VLOOKUP(G398,'[1]Erogati mag-giu 2026_791_old'!$A:$W,13,FALSE)</f>
        <v>-33.130000000000003</v>
      </c>
      <c r="U398">
        <f t="shared" si="30"/>
        <v>0</v>
      </c>
      <c r="V398">
        <v>-33.130000000000003</v>
      </c>
      <c r="W398">
        <f>VLOOKUP(G398,'[1]Erogati mag-giu 2026_791_old'!$A:$W,14,FALSE)</f>
        <v>-33.130000000000003</v>
      </c>
      <c r="X398">
        <f t="shared" si="31"/>
        <v>0</v>
      </c>
      <c r="Y398" t="s">
        <v>158</v>
      </c>
      <c r="Z398" t="str">
        <f>VLOOKUP(G398,'[2]Erogati mag-giu 2026_791_old'!$D:$T,11,FALSE)</f>
        <v>indiretto</v>
      </c>
      <c r="AA398" t="b">
        <v>1</v>
      </c>
      <c r="AF398" t="s">
        <v>20</v>
      </c>
      <c r="AG398" t="s">
        <v>20</v>
      </c>
    </row>
    <row r="399" spans="1:33">
      <c r="A399" s="13" t="s">
        <v>673</v>
      </c>
      <c r="B399" t="s">
        <v>1661</v>
      </c>
      <c r="C399" s="4">
        <v>202601307068265</v>
      </c>
      <c r="D399" s="4" t="b">
        <f t="shared" si="32"/>
        <v>1</v>
      </c>
      <c r="E399" t="s">
        <v>20</v>
      </c>
      <c r="F399" t="s">
        <v>21</v>
      </c>
      <c r="G399" t="s">
        <v>674</v>
      </c>
      <c r="H399" t="str">
        <f>VLOOKUP(C399,'[1]Erogati mag-giu 2026_791_old'!$B:$E,4,FALSE)</f>
        <v>C344279</v>
      </c>
      <c r="I399" t="b">
        <f t="shared" si="28"/>
        <v>1</v>
      </c>
      <c r="J399" s="14">
        <v>46179</v>
      </c>
      <c r="K399" s="14">
        <v>46179</v>
      </c>
      <c r="L399" t="s">
        <v>20</v>
      </c>
      <c r="M399" s="14">
        <v>46188</v>
      </c>
      <c r="N399" s="14">
        <v>46179</v>
      </c>
      <c r="O399" t="s">
        <v>20</v>
      </c>
      <c r="P399">
        <v>-13.29</v>
      </c>
      <c r="Q399">
        <f>VLOOKUP(G399,'[1]Erogati mag-giu 2026_791_old'!$A:$W,12,FALSE)</f>
        <v>-13.29</v>
      </c>
      <c r="R399">
        <f t="shared" si="29"/>
        <v>0</v>
      </c>
      <c r="S399">
        <v>-13.29</v>
      </c>
      <c r="T399">
        <f>VLOOKUP(G399,'[1]Erogati mag-giu 2026_791_old'!$A:$W,13,FALSE)</f>
        <v>-13.29</v>
      </c>
      <c r="U399">
        <f t="shared" si="30"/>
        <v>0</v>
      </c>
      <c r="V399">
        <v>-13.29</v>
      </c>
      <c r="W399">
        <f>VLOOKUP(G399,'[1]Erogati mag-giu 2026_791_old'!$A:$W,14,FALSE)</f>
        <v>-13.29</v>
      </c>
      <c r="X399">
        <f t="shared" si="31"/>
        <v>0</v>
      </c>
      <c r="Y399" t="s">
        <v>158</v>
      </c>
      <c r="Z399" t="str">
        <f>VLOOKUP(G399,'[2]Erogati mag-giu 2026_791_old'!$D:$T,11,FALSE)</f>
        <v>indiretto</v>
      </c>
      <c r="AA399" t="b">
        <v>1</v>
      </c>
      <c r="AF399" t="s">
        <v>20</v>
      </c>
      <c r="AG399" t="s">
        <v>20</v>
      </c>
    </row>
    <row r="400" spans="1:33">
      <c r="A400" s="13" t="s">
        <v>675</v>
      </c>
      <c r="B400" t="s">
        <v>1662</v>
      </c>
      <c r="C400" s="4">
        <v>202601307073600</v>
      </c>
      <c r="D400" s="4" t="b">
        <f t="shared" si="32"/>
        <v>1</v>
      </c>
      <c r="E400" t="s">
        <v>20</v>
      </c>
      <c r="F400" t="s">
        <v>21</v>
      </c>
      <c r="G400" t="s">
        <v>676</v>
      </c>
      <c r="H400" t="str">
        <f>VLOOKUP(C400,'[1]Erogati mag-giu 2026_791_old'!$B:$E,4,FALSE)</f>
        <v>C344261</v>
      </c>
      <c r="I400" t="b">
        <f t="shared" si="28"/>
        <v>1</v>
      </c>
      <c r="J400" s="14">
        <v>46179</v>
      </c>
      <c r="K400" s="14">
        <v>46179</v>
      </c>
      <c r="L400" t="s">
        <v>20</v>
      </c>
      <c r="M400" s="14">
        <v>46188</v>
      </c>
      <c r="N400" s="14">
        <v>46179</v>
      </c>
      <c r="O400" t="s">
        <v>20</v>
      </c>
      <c r="P400">
        <v>-73.86</v>
      </c>
      <c r="Q400">
        <f>VLOOKUP(G400,'[1]Erogati mag-giu 2026_791_old'!$A:$W,12,FALSE)</f>
        <v>-73.86</v>
      </c>
      <c r="R400">
        <f t="shared" si="29"/>
        <v>0</v>
      </c>
      <c r="S400">
        <v>-73.86</v>
      </c>
      <c r="T400">
        <f>VLOOKUP(G400,'[1]Erogati mag-giu 2026_791_old'!$A:$W,13,FALSE)</f>
        <v>-73.86</v>
      </c>
      <c r="U400">
        <f t="shared" si="30"/>
        <v>0</v>
      </c>
      <c r="V400">
        <v>-73.86</v>
      </c>
      <c r="W400">
        <f>VLOOKUP(G400,'[1]Erogati mag-giu 2026_791_old'!$A:$W,14,FALSE)</f>
        <v>-73.86</v>
      </c>
      <c r="X400">
        <f t="shared" si="31"/>
        <v>0</v>
      </c>
      <c r="Y400" t="s">
        <v>158</v>
      </c>
      <c r="Z400" t="str">
        <f>VLOOKUP(G400,'[2]Erogati mag-giu 2026_791_old'!$D:$T,11,FALSE)</f>
        <v>indiretto</v>
      </c>
      <c r="AA400" t="b">
        <v>1</v>
      </c>
      <c r="AF400" t="s">
        <v>20</v>
      </c>
      <c r="AG400" t="s">
        <v>20</v>
      </c>
    </row>
    <row r="401" spans="1:33">
      <c r="A401" s="13" t="s">
        <v>677</v>
      </c>
      <c r="B401" t="s">
        <v>1663</v>
      </c>
      <c r="C401" s="4">
        <v>202601307075584</v>
      </c>
      <c r="D401" s="4" t="b">
        <f t="shared" si="32"/>
        <v>1</v>
      </c>
      <c r="E401" t="s">
        <v>20</v>
      </c>
      <c r="F401" t="s">
        <v>21</v>
      </c>
      <c r="G401" t="s">
        <v>678</v>
      </c>
      <c r="H401" t="str">
        <f>VLOOKUP(C401,'[1]Erogati mag-giu 2026_791_old'!$B:$E,4,FALSE)</f>
        <v>C344272</v>
      </c>
      <c r="I401" t="b">
        <f t="shared" si="28"/>
        <v>1</v>
      </c>
      <c r="J401" s="14">
        <v>46179</v>
      </c>
      <c r="K401" s="14">
        <v>46179</v>
      </c>
      <c r="L401" t="s">
        <v>20</v>
      </c>
      <c r="M401" s="14">
        <v>46188</v>
      </c>
      <c r="N401" s="14">
        <v>46179</v>
      </c>
      <c r="O401" t="s">
        <v>20</v>
      </c>
      <c r="P401">
        <v>-52.52</v>
      </c>
      <c r="Q401">
        <f>VLOOKUP(G401,'[1]Erogati mag-giu 2026_791_old'!$A:$W,12,FALSE)</f>
        <v>-52.52</v>
      </c>
      <c r="R401">
        <f t="shared" si="29"/>
        <v>0</v>
      </c>
      <c r="S401">
        <v>-52.52</v>
      </c>
      <c r="T401">
        <f>VLOOKUP(G401,'[1]Erogati mag-giu 2026_791_old'!$A:$W,13,FALSE)</f>
        <v>-52.52</v>
      </c>
      <c r="U401">
        <f t="shared" si="30"/>
        <v>0</v>
      </c>
      <c r="V401">
        <v>-52.52</v>
      </c>
      <c r="W401">
        <f>VLOOKUP(G401,'[1]Erogati mag-giu 2026_791_old'!$A:$W,14,FALSE)</f>
        <v>-52.52</v>
      </c>
      <c r="X401">
        <f t="shared" si="31"/>
        <v>0</v>
      </c>
      <c r="Y401" t="s">
        <v>158</v>
      </c>
      <c r="Z401" t="str">
        <f>VLOOKUP(G401,'[2]Erogati mag-giu 2026_791_old'!$D:$T,11,FALSE)</f>
        <v>indiretto</v>
      </c>
      <c r="AA401" t="b">
        <v>1</v>
      </c>
      <c r="AF401" t="s">
        <v>20</v>
      </c>
      <c r="AG401" t="s">
        <v>20</v>
      </c>
    </row>
    <row r="402" spans="1:33">
      <c r="A402" s="13" t="s">
        <v>679</v>
      </c>
      <c r="B402" t="s">
        <v>1664</v>
      </c>
      <c r="C402" s="4">
        <v>202601307077091</v>
      </c>
      <c r="D402" s="4" t="b">
        <f t="shared" si="32"/>
        <v>1</v>
      </c>
      <c r="E402" t="s">
        <v>20</v>
      </c>
      <c r="F402" t="s">
        <v>21</v>
      </c>
      <c r="G402" t="s">
        <v>680</v>
      </c>
      <c r="H402" t="str">
        <f>VLOOKUP(C402,'[1]Erogati mag-giu 2026_791_old'!$B:$E,4,FALSE)</f>
        <v>C344174</v>
      </c>
      <c r="I402" t="b">
        <f t="shared" si="28"/>
        <v>1</v>
      </c>
      <c r="J402" s="14">
        <v>46179</v>
      </c>
      <c r="K402" s="14">
        <v>46179</v>
      </c>
      <c r="L402" t="s">
        <v>20</v>
      </c>
      <c r="M402" s="14">
        <v>46188</v>
      </c>
      <c r="N402" s="14">
        <v>46179</v>
      </c>
      <c r="O402" t="s">
        <v>20</v>
      </c>
      <c r="P402">
        <v>-66.260000000000005</v>
      </c>
      <c r="Q402">
        <f>VLOOKUP(G402,'[1]Erogati mag-giu 2026_791_old'!$A:$W,12,FALSE)</f>
        <v>-66.260000000000005</v>
      </c>
      <c r="R402">
        <f t="shared" si="29"/>
        <v>0</v>
      </c>
      <c r="S402">
        <v>-66.260000000000005</v>
      </c>
      <c r="T402">
        <f>VLOOKUP(G402,'[1]Erogati mag-giu 2026_791_old'!$A:$W,13,FALSE)</f>
        <v>-66.260000000000005</v>
      </c>
      <c r="U402">
        <f t="shared" si="30"/>
        <v>0</v>
      </c>
      <c r="V402">
        <v>-66.260000000000005</v>
      </c>
      <c r="W402">
        <f>VLOOKUP(G402,'[1]Erogati mag-giu 2026_791_old'!$A:$W,14,FALSE)</f>
        <v>-66.260000000000005</v>
      </c>
      <c r="X402">
        <f t="shared" si="31"/>
        <v>0</v>
      </c>
      <c r="Y402" t="s">
        <v>158</v>
      </c>
      <c r="Z402" t="str">
        <f>VLOOKUP(G402,'[2]Erogati mag-giu 2026_791_old'!$D:$T,11,FALSE)</f>
        <v>indiretto</v>
      </c>
      <c r="AA402" t="b">
        <v>1</v>
      </c>
      <c r="AF402" t="s">
        <v>20</v>
      </c>
      <c r="AG402" t="s">
        <v>20</v>
      </c>
    </row>
    <row r="403" spans="1:33">
      <c r="A403" s="13" t="s">
        <v>681</v>
      </c>
      <c r="B403" t="s">
        <v>1665</v>
      </c>
      <c r="C403" s="4">
        <v>202601307079883</v>
      </c>
      <c r="D403" s="4" t="b">
        <f t="shared" si="32"/>
        <v>1</v>
      </c>
      <c r="E403" t="s">
        <v>20</v>
      </c>
      <c r="F403" t="s">
        <v>21</v>
      </c>
      <c r="G403" t="s">
        <v>682</v>
      </c>
      <c r="H403" t="str">
        <f>VLOOKUP(C403,'[1]Erogati mag-giu 2026_791_old'!$B:$E,4,FALSE)</f>
        <v>C312889</v>
      </c>
      <c r="I403" t="b">
        <f t="shared" si="28"/>
        <v>1</v>
      </c>
      <c r="J403" s="14">
        <v>46179</v>
      </c>
      <c r="K403" s="14">
        <v>46179</v>
      </c>
      <c r="L403" t="s">
        <v>20</v>
      </c>
      <c r="M403" s="14">
        <v>46188</v>
      </c>
      <c r="N403" s="14">
        <v>46179</v>
      </c>
      <c r="O403" t="s">
        <v>20</v>
      </c>
      <c r="P403">
        <v>-66.260000000000005</v>
      </c>
      <c r="Q403">
        <f>VLOOKUP(G403,'[1]Erogati mag-giu 2026_791_old'!$A:$W,12,FALSE)</f>
        <v>-66.260000000000005</v>
      </c>
      <c r="R403">
        <f t="shared" si="29"/>
        <v>0</v>
      </c>
      <c r="S403">
        <v>-66.260000000000005</v>
      </c>
      <c r="T403">
        <f>VLOOKUP(G403,'[1]Erogati mag-giu 2026_791_old'!$A:$W,13,FALSE)</f>
        <v>-66.260000000000005</v>
      </c>
      <c r="U403">
        <f t="shared" si="30"/>
        <v>0</v>
      </c>
      <c r="V403">
        <v>-66.260000000000005</v>
      </c>
      <c r="W403">
        <f>VLOOKUP(G403,'[1]Erogati mag-giu 2026_791_old'!$A:$W,14,FALSE)</f>
        <v>-66.260000000000005</v>
      </c>
      <c r="X403">
        <f t="shared" si="31"/>
        <v>0</v>
      </c>
      <c r="Y403" t="s">
        <v>158</v>
      </c>
      <c r="Z403" t="str">
        <f>VLOOKUP(G403,'[2]Erogati mag-giu 2026_791_old'!$D:$T,11,FALSE)</f>
        <v>indiretto</v>
      </c>
      <c r="AA403" t="b">
        <v>1</v>
      </c>
      <c r="AF403" t="s">
        <v>20</v>
      </c>
      <c r="AG403" t="s">
        <v>20</v>
      </c>
    </row>
    <row r="404" spans="1:33">
      <c r="A404" s="13" t="s">
        <v>683</v>
      </c>
      <c r="B404" t="s">
        <v>1666</v>
      </c>
      <c r="C404" s="4">
        <v>202601307081654</v>
      </c>
      <c r="D404" s="4" t="b">
        <f t="shared" si="32"/>
        <v>1</v>
      </c>
      <c r="E404" t="s">
        <v>20</v>
      </c>
      <c r="F404" t="s">
        <v>21</v>
      </c>
      <c r="G404" t="s">
        <v>684</v>
      </c>
      <c r="H404" t="str">
        <f>VLOOKUP(C404,'[1]Erogati mag-giu 2026_791_old'!$B:$E,4,FALSE)</f>
        <v>C344260</v>
      </c>
      <c r="I404" t="b">
        <f t="shared" si="28"/>
        <v>1</v>
      </c>
      <c r="J404" s="14">
        <v>46179</v>
      </c>
      <c r="K404" s="14">
        <v>46179</v>
      </c>
      <c r="L404" t="s">
        <v>20</v>
      </c>
      <c r="M404" s="14">
        <v>46188</v>
      </c>
      <c r="N404" s="14">
        <v>46179</v>
      </c>
      <c r="O404" t="s">
        <v>20</v>
      </c>
      <c r="P404">
        <v>-115.98</v>
      </c>
      <c r="Q404">
        <f>VLOOKUP(G404,'[1]Erogati mag-giu 2026_791_old'!$A:$W,12,FALSE)</f>
        <v>-115.98</v>
      </c>
      <c r="R404">
        <f t="shared" si="29"/>
        <v>0</v>
      </c>
      <c r="S404">
        <v>-115.98</v>
      </c>
      <c r="T404">
        <f>VLOOKUP(G404,'[1]Erogati mag-giu 2026_791_old'!$A:$W,13,FALSE)</f>
        <v>-115.98</v>
      </c>
      <c r="U404">
        <f t="shared" si="30"/>
        <v>0</v>
      </c>
      <c r="V404">
        <v>-115.98</v>
      </c>
      <c r="W404">
        <f>VLOOKUP(G404,'[1]Erogati mag-giu 2026_791_old'!$A:$W,14,FALSE)</f>
        <v>-115.98</v>
      </c>
      <c r="X404">
        <f t="shared" si="31"/>
        <v>0</v>
      </c>
      <c r="Y404" t="s">
        <v>158</v>
      </c>
      <c r="Z404" t="str">
        <f>VLOOKUP(G404,'[2]Erogati mag-giu 2026_791_old'!$D:$T,11,FALSE)</f>
        <v>indiretto</v>
      </c>
      <c r="AA404" t="b">
        <v>1</v>
      </c>
      <c r="AF404" t="s">
        <v>20</v>
      </c>
      <c r="AG404" t="s">
        <v>20</v>
      </c>
    </row>
    <row r="405" spans="1:33">
      <c r="A405" s="13" t="s">
        <v>685</v>
      </c>
      <c r="B405" t="s">
        <v>1667</v>
      </c>
      <c r="C405" s="4">
        <v>202601307081674</v>
      </c>
      <c r="D405" s="4" t="b">
        <f t="shared" si="32"/>
        <v>1</v>
      </c>
      <c r="E405" t="s">
        <v>20</v>
      </c>
      <c r="F405" t="s">
        <v>21</v>
      </c>
      <c r="G405" t="s">
        <v>686</v>
      </c>
      <c r="H405" t="str">
        <f>VLOOKUP(C405,'[1]Erogati mag-giu 2026_791_old'!$B:$E,4,FALSE)</f>
        <v>C313061</v>
      </c>
      <c r="I405" t="b">
        <f t="shared" si="28"/>
        <v>1</v>
      </c>
      <c r="J405" s="14">
        <v>46179</v>
      </c>
      <c r="K405" s="14">
        <v>46179</v>
      </c>
      <c r="L405" t="s">
        <v>20</v>
      </c>
      <c r="M405" s="14">
        <v>46188</v>
      </c>
      <c r="N405" s="14">
        <v>46179</v>
      </c>
      <c r="O405" t="s">
        <v>20</v>
      </c>
      <c r="P405">
        <v>-123.1</v>
      </c>
      <c r="Q405">
        <f>VLOOKUP(G405,'[1]Erogati mag-giu 2026_791_old'!$A:$W,12,FALSE)</f>
        <v>-123.1</v>
      </c>
      <c r="R405">
        <f t="shared" si="29"/>
        <v>0</v>
      </c>
      <c r="S405">
        <v>-123.1</v>
      </c>
      <c r="T405">
        <f>VLOOKUP(G405,'[1]Erogati mag-giu 2026_791_old'!$A:$W,13,FALSE)</f>
        <v>-123.1</v>
      </c>
      <c r="U405">
        <f t="shared" si="30"/>
        <v>0</v>
      </c>
      <c r="V405">
        <v>-123.1</v>
      </c>
      <c r="W405">
        <f>VLOOKUP(G405,'[1]Erogati mag-giu 2026_791_old'!$A:$W,14,FALSE)</f>
        <v>-123.1</v>
      </c>
      <c r="X405">
        <f t="shared" si="31"/>
        <v>0</v>
      </c>
      <c r="Y405" t="s">
        <v>158</v>
      </c>
      <c r="Z405" t="str">
        <f>VLOOKUP(G405,'[2]Erogati mag-giu 2026_791_old'!$D:$T,11,FALSE)</f>
        <v>indiretto</v>
      </c>
      <c r="AA405" t="b">
        <v>1</v>
      </c>
      <c r="AF405" t="s">
        <v>20</v>
      </c>
      <c r="AG405" t="s">
        <v>20</v>
      </c>
    </row>
    <row r="406" spans="1:33">
      <c r="A406" s="13" t="s">
        <v>687</v>
      </c>
      <c r="B406" t="s">
        <v>1668</v>
      </c>
      <c r="C406" s="4">
        <v>202601307089267</v>
      </c>
      <c r="D406" s="4" t="b">
        <f t="shared" si="32"/>
        <v>1</v>
      </c>
      <c r="E406" t="s">
        <v>20</v>
      </c>
      <c r="F406" t="s">
        <v>21</v>
      </c>
      <c r="G406" t="s">
        <v>688</v>
      </c>
      <c r="H406" t="str">
        <f>VLOOKUP(C406,'[1]Erogati mag-giu 2026_791_old'!$B:$E,4,FALSE)</f>
        <v>C344280</v>
      </c>
      <c r="I406" t="b">
        <f t="shared" si="28"/>
        <v>1</v>
      </c>
      <c r="J406" s="14">
        <v>46179</v>
      </c>
      <c r="K406" s="14">
        <v>46179</v>
      </c>
      <c r="L406" t="s">
        <v>20</v>
      </c>
      <c r="M406" s="14">
        <v>46188</v>
      </c>
      <c r="N406" s="14">
        <v>46179</v>
      </c>
      <c r="O406" t="s">
        <v>20</v>
      </c>
      <c r="P406">
        <v>-66.260000000000005</v>
      </c>
      <c r="Q406">
        <f>VLOOKUP(G406,'[1]Erogati mag-giu 2026_791_old'!$A:$W,12,FALSE)</f>
        <v>-66.260000000000005</v>
      </c>
      <c r="R406">
        <f t="shared" si="29"/>
        <v>0</v>
      </c>
      <c r="S406">
        <v>-66.260000000000005</v>
      </c>
      <c r="T406">
        <f>VLOOKUP(G406,'[1]Erogati mag-giu 2026_791_old'!$A:$W,13,FALSE)</f>
        <v>-66.260000000000005</v>
      </c>
      <c r="U406">
        <f t="shared" si="30"/>
        <v>0</v>
      </c>
      <c r="V406">
        <v>-66.260000000000005</v>
      </c>
      <c r="W406">
        <f>VLOOKUP(G406,'[1]Erogati mag-giu 2026_791_old'!$A:$W,14,FALSE)</f>
        <v>-66.260000000000005</v>
      </c>
      <c r="X406">
        <f t="shared" si="31"/>
        <v>0</v>
      </c>
      <c r="Y406" t="s">
        <v>158</v>
      </c>
      <c r="Z406" t="str">
        <f>VLOOKUP(G406,'[2]Erogati mag-giu 2026_791_old'!$D:$T,11,FALSE)</f>
        <v>indiretto</v>
      </c>
      <c r="AA406" t="b">
        <v>1</v>
      </c>
      <c r="AF406" t="s">
        <v>20</v>
      </c>
      <c r="AG406" t="s">
        <v>20</v>
      </c>
    </row>
    <row r="407" spans="1:33">
      <c r="A407" s="13" t="s">
        <v>689</v>
      </c>
      <c r="B407" t="s">
        <v>1669</v>
      </c>
      <c r="C407" s="4">
        <v>202601307091316</v>
      </c>
      <c r="D407" s="4" t="b">
        <f t="shared" si="32"/>
        <v>1</v>
      </c>
      <c r="E407" t="s">
        <v>20</v>
      </c>
      <c r="F407" t="s">
        <v>21</v>
      </c>
      <c r="G407" t="s">
        <v>690</v>
      </c>
      <c r="H407" t="str">
        <f>VLOOKUP(C407,'[1]Erogati mag-giu 2026_791_old'!$B:$E,4,FALSE)</f>
        <v>C310090</v>
      </c>
      <c r="I407" t="b">
        <f t="shared" si="28"/>
        <v>1</v>
      </c>
      <c r="J407" s="14">
        <v>46179</v>
      </c>
      <c r="K407" s="14">
        <v>46179</v>
      </c>
      <c r="L407" t="s">
        <v>20</v>
      </c>
      <c r="M407" s="14">
        <v>46188</v>
      </c>
      <c r="N407" s="14">
        <v>46179</v>
      </c>
      <c r="O407" t="s">
        <v>20</v>
      </c>
      <c r="P407">
        <v>-66.260000000000005</v>
      </c>
      <c r="Q407">
        <f>VLOOKUP(G407,'[1]Erogati mag-giu 2026_791_old'!$A:$W,12,FALSE)</f>
        <v>-66.260000000000005</v>
      </c>
      <c r="R407">
        <f t="shared" si="29"/>
        <v>0</v>
      </c>
      <c r="S407">
        <v>-66.260000000000005</v>
      </c>
      <c r="T407">
        <f>VLOOKUP(G407,'[1]Erogati mag-giu 2026_791_old'!$A:$W,13,FALSE)</f>
        <v>-66.260000000000005</v>
      </c>
      <c r="U407">
        <f t="shared" si="30"/>
        <v>0</v>
      </c>
      <c r="V407">
        <v>-66.260000000000005</v>
      </c>
      <c r="W407">
        <f>VLOOKUP(G407,'[1]Erogati mag-giu 2026_791_old'!$A:$W,14,FALSE)</f>
        <v>-66.260000000000005</v>
      </c>
      <c r="X407">
        <f t="shared" si="31"/>
        <v>0</v>
      </c>
      <c r="Y407" t="s">
        <v>158</v>
      </c>
      <c r="Z407" t="str">
        <f>VLOOKUP(G407,'[2]Erogati mag-giu 2026_791_old'!$D:$T,11,FALSE)</f>
        <v>indiretto</v>
      </c>
      <c r="AA407" t="b">
        <v>1</v>
      </c>
      <c r="AF407" t="s">
        <v>20</v>
      </c>
      <c r="AG407" t="s">
        <v>20</v>
      </c>
    </row>
    <row r="408" spans="1:33">
      <c r="A408" s="13" t="s">
        <v>691</v>
      </c>
      <c r="B408" t="s">
        <v>1670</v>
      </c>
      <c r="C408" s="4">
        <v>202601307097605</v>
      </c>
      <c r="D408" s="4" t="b">
        <f t="shared" si="32"/>
        <v>1</v>
      </c>
      <c r="E408" t="s">
        <v>20</v>
      </c>
      <c r="F408" t="s">
        <v>21</v>
      </c>
      <c r="G408" t="s">
        <v>692</v>
      </c>
      <c r="H408" t="str">
        <f>VLOOKUP(C408,'[1]Erogati mag-giu 2026_791_old'!$B:$E,4,FALSE)</f>
        <v>C320317</v>
      </c>
      <c r="I408" t="b">
        <f t="shared" si="28"/>
        <v>1</v>
      </c>
      <c r="J408" s="14">
        <v>46179</v>
      </c>
      <c r="K408" s="14">
        <v>46179</v>
      </c>
      <c r="L408" t="s">
        <v>20</v>
      </c>
      <c r="M408" s="14">
        <v>46188</v>
      </c>
      <c r="N408" s="14">
        <v>46179</v>
      </c>
      <c r="O408" t="s">
        <v>20</v>
      </c>
      <c r="P408">
        <v>-23.97</v>
      </c>
      <c r="Q408">
        <f>VLOOKUP(G408,'[1]Erogati mag-giu 2026_791_old'!$A:$W,12,FALSE)</f>
        <v>-23.97</v>
      </c>
      <c r="R408">
        <f t="shared" si="29"/>
        <v>0</v>
      </c>
      <c r="S408">
        <v>-23.97</v>
      </c>
      <c r="T408">
        <f>VLOOKUP(G408,'[1]Erogati mag-giu 2026_791_old'!$A:$W,13,FALSE)</f>
        <v>-23.97</v>
      </c>
      <c r="U408">
        <f t="shared" si="30"/>
        <v>0</v>
      </c>
      <c r="V408">
        <v>-23.97</v>
      </c>
      <c r="W408">
        <f>VLOOKUP(G408,'[1]Erogati mag-giu 2026_791_old'!$A:$W,14,FALSE)</f>
        <v>-23.97</v>
      </c>
      <c r="X408">
        <f t="shared" si="31"/>
        <v>0</v>
      </c>
      <c r="Y408" t="s">
        <v>158</v>
      </c>
      <c r="Z408" t="str">
        <f>VLOOKUP(G408,'[2]Erogati mag-giu 2026_791_old'!$D:$T,11,FALSE)</f>
        <v>indiretto</v>
      </c>
      <c r="AA408" t="b">
        <v>1</v>
      </c>
      <c r="AF408" t="s">
        <v>20</v>
      </c>
      <c r="AG408" t="s">
        <v>20</v>
      </c>
    </row>
    <row r="409" spans="1:33">
      <c r="A409" s="13" t="s">
        <v>693</v>
      </c>
      <c r="B409" t="s">
        <v>1671</v>
      </c>
      <c r="C409" s="4">
        <v>202601307100742</v>
      </c>
      <c r="D409" s="4" t="b">
        <f t="shared" si="32"/>
        <v>1</v>
      </c>
      <c r="E409" t="s">
        <v>20</v>
      </c>
      <c r="F409" t="s">
        <v>21</v>
      </c>
      <c r="G409" t="s">
        <v>694</v>
      </c>
      <c r="H409" t="str">
        <f>VLOOKUP(C409,'[1]Erogati mag-giu 2026_791_old'!$B:$E,4,FALSE)</f>
        <v>C344173</v>
      </c>
      <c r="I409" t="b">
        <f t="shared" si="28"/>
        <v>1</v>
      </c>
      <c r="J409" s="14">
        <v>46179</v>
      </c>
      <c r="K409" s="14">
        <v>46179</v>
      </c>
      <c r="L409" t="s">
        <v>20</v>
      </c>
      <c r="M409" s="14">
        <v>46188</v>
      </c>
      <c r="N409" s="14">
        <v>46179</v>
      </c>
      <c r="O409" t="s">
        <v>20</v>
      </c>
      <c r="P409">
        <v>-76.58</v>
      </c>
      <c r="Q409">
        <f>VLOOKUP(G409,'[1]Erogati mag-giu 2026_791_old'!$A:$W,12,FALSE)</f>
        <v>-76.58</v>
      </c>
      <c r="R409">
        <f t="shared" si="29"/>
        <v>0</v>
      </c>
      <c r="S409">
        <v>-76.58</v>
      </c>
      <c r="T409">
        <f>VLOOKUP(G409,'[1]Erogati mag-giu 2026_791_old'!$A:$W,13,FALSE)</f>
        <v>-76.58</v>
      </c>
      <c r="U409">
        <f t="shared" si="30"/>
        <v>0</v>
      </c>
      <c r="V409">
        <v>-76.58</v>
      </c>
      <c r="W409">
        <f>VLOOKUP(G409,'[1]Erogati mag-giu 2026_791_old'!$A:$W,14,FALSE)</f>
        <v>-76.58</v>
      </c>
      <c r="X409">
        <f t="shared" si="31"/>
        <v>0</v>
      </c>
      <c r="Y409" t="s">
        <v>158</v>
      </c>
      <c r="Z409" t="str">
        <f>VLOOKUP(G409,'[2]Erogati mag-giu 2026_791_old'!$D:$T,11,FALSE)</f>
        <v>indiretto</v>
      </c>
      <c r="AA409" t="b">
        <v>1</v>
      </c>
      <c r="AF409" t="s">
        <v>20</v>
      </c>
      <c r="AG409" t="s">
        <v>20</v>
      </c>
    </row>
    <row r="410" spans="1:33">
      <c r="A410" s="13" t="s">
        <v>695</v>
      </c>
      <c r="B410" t="s">
        <v>1672</v>
      </c>
      <c r="C410" s="4">
        <v>202601307110939</v>
      </c>
      <c r="D410" s="4" t="b">
        <f t="shared" si="32"/>
        <v>1</v>
      </c>
      <c r="E410" t="s">
        <v>20</v>
      </c>
      <c r="F410" t="s">
        <v>21</v>
      </c>
      <c r="G410" t="s">
        <v>696</v>
      </c>
      <c r="H410" t="str">
        <f>VLOOKUP(C410,'[1]Erogati mag-giu 2026_791_old'!$B:$E,4,FALSE)</f>
        <v>C344230</v>
      </c>
      <c r="I410" t="b">
        <f t="shared" si="28"/>
        <v>1</v>
      </c>
      <c r="J410" s="14">
        <v>46179</v>
      </c>
      <c r="K410" s="14">
        <v>46179</v>
      </c>
      <c r="L410" t="s">
        <v>20</v>
      </c>
      <c r="M410" s="14">
        <v>46188</v>
      </c>
      <c r="N410" s="14">
        <v>46179</v>
      </c>
      <c r="O410" t="s">
        <v>20</v>
      </c>
      <c r="P410">
        <v>-26.26</v>
      </c>
      <c r="Q410">
        <f>VLOOKUP(G410,'[1]Erogati mag-giu 2026_791_old'!$A:$W,12,FALSE)</f>
        <v>-26.26</v>
      </c>
      <c r="R410">
        <f t="shared" si="29"/>
        <v>0</v>
      </c>
      <c r="S410">
        <v>-26.26</v>
      </c>
      <c r="T410">
        <f>VLOOKUP(G410,'[1]Erogati mag-giu 2026_791_old'!$A:$W,13,FALSE)</f>
        <v>-26.26</v>
      </c>
      <c r="U410">
        <f t="shared" si="30"/>
        <v>0</v>
      </c>
      <c r="V410">
        <v>-26.26</v>
      </c>
      <c r="W410">
        <f>VLOOKUP(G410,'[1]Erogati mag-giu 2026_791_old'!$A:$W,14,FALSE)</f>
        <v>-26.26</v>
      </c>
      <c r="X410">
        <f t="shared" si="31"/>
        <v>0</v>
      </c>
      <c r="Y410" t="s">
        <v>158</v>
      </c>
      <c r="Z410" t="str">
        <f>VLOOKUP(G410,'[2]Erogati mag-giu 2026_791_old'!$D:$T,11,FALSE)</f>
        <v>indiretto</v>
      </c>
      <c r="AA410" t="b">
        <v>1</v>
      </c>
      <c r="AF410" t="s">
        <v>20</v>
      </c>
      <c r="AG410" t="s">
        <v>20</v>
      </c>
    </row>
    <row r="411" spans="1:33">
      <c r="A411" s="13" t="s">
        <v>697</v>
      </c>
      <c r="B411" t="s">
        <v>1673</v>
      </c>
      <c r="C411" s="4">
        <v>202601307113896</v>
      </c>
      <c r="D411" s="4" t="b">
        <f t="shared" si="32"/>
        <v>1</v>
      </c>
      <c r="E411" t="s">
        <v>20</v>
      </c>
      <c r="F411" t="s">
        <v>21</v>
      </c>
      <c r="G411" t="s">
        <v>698</v>
      </c>
      <c r="H411" t="str">
        <f>VLOOKUP(C411,'[1]Erogati mag-giu 2026_791_old'!$B:$E,4,FALSE)</f>
        <v>C344221</v>
      </c>
      <c r="I411" t="b">
        <f t="shared" si="28"/>
        <v>1</v>
      </c>
      <c r="J411" s="14">
        <v>46179</v>
      </c>
      <c r="K411" s="14">
        <v>46179</v>
      </c>
      <c r="L411" t="s">
        <v>20</v>
      </c>
      <c r="M411" s="14">
        <v>46188</v>
      </c>
      <c r="N411" s="14">
        <v>46179</v>
      </c>
      <c r="O411" t="s">
        <v>20</v>
      </c>
      <c r="P411">
        <v>-33.130000000000003</v>
      </c>
      <c r="Q411">
        <f>VLOOKUP(G411,'[1]Erogati mag-giu 2026_791_old'!$A:$W,12,FALSE)</f>
        <v>-33.130000000000003</v>
      </c>
      <c r="R411">
        <f t="shared" si="29"/>
        <v>0</v>
      </c>
      <c r="S411">
        <v>-33.130000000000003</v>
      </c>
      <c r="T411">
        <f>VLOOKUP(G411,'[1]Erogati mag-giu 2026_791_old'!$A:$W,13,FALSE)</f>
        <v>-33.130000000000003</v>
      </c>
      <c r="U411">
        <f t="shared" si="30"/>
        <v>0</v>
      </c>
      <c r="V411">
        <v>-33.130000000000003</v>
      </c>
      <c r="W411">
        <f>VLOOKUP(G411,'[1]Erogati mag-giu 2026_791_old'!$A:$W,14,FALSE)</f>
        <v>-33.130000000000003</v>
      </c>
      <c r="X411">
        <f t="shared" si="31"/>
        <v>0</v>
      </c>
      <c r="Y411" t="s">
        <v>158</v>
      </c>
      <c r="Z411" t="str">
        <f>VLOOKUP(G411,'[2]Erogati mag-giu 2026_791_old'!$D:$T,11,FALSE)</f>
        <v>indiretto</v>
      </c>
      <c r="AA411" t="b">
        <v>1</v>
      </c>
      <c r="AF411" t="s">
        <v>20</v>
      </c>
      <c r="AG411" t="s">
        <v>20</v>
      </c>
    </row>
    <row r="412" spans="1:33">
      <c r="A412" s="13" t="s">
        <v>699</v>
      </c>
      <c r="B412" t="s">
        <v>1674</v>
      </c>
      <c r="C412" s="4">
        <v>202601307115344</v>
      </c>
      <c r="D412" s="4" t="b">
        <f t="shared" si="32"/>
        <v>1</v>
      </c>
      <c r="E412" t="s">
        <v>20</v>
      </c>
      <c r="F412" t="s">
        <v>21</v>
      </c>
      <c r="G412" t="s">
        <v>700</v>
      </c>
      <c r="H412" t="str">
        <f>VLOOKUP(C412,'[1]Erogati mag-giu 2026_791_old'!$B:$E,4,FALSE)</f>
        <v>C344222</v>
      </c>
      <c r="I412" t="b">
        <f t="shared" si="28"/>
        <v>1</v>
      </c>
      <c r="J412" s="14">
        <v>46179</v>
      </c>
      <c r="K412" s="14">
        <v>46179</v>
      </c>
      <c r="L412" t="s">
        <v>20</v>
      </c>
      <c r="M412" s="14">
        <v>46188</v>
      </c>
      <c r="N412" s="14">
        <v>46179</v>
      </c>
      <c r="O412" t="s">
        <v>20</v>
      </c>
      <c r="P412">
        <v>-151.79</v>
      </c>
      <c r="Q412">
        <f>VLOOKUP(G412,'[1]Erogati mag-giu 2026_791_old'!$A:$W,12,FALSE)</f>
        <v>-151.79</v>
      </c>
      <c r="R412">
        <f t="shared" si="29"/>
        <v>0</v>
      </c>
      <c r="S412">
        <v>-151.79</v>
      </c>
      <c r="T412">
        <f>VLOOKUP(G412,'[1]Erogati mag-giu 2026_791_old'!$A:$W,13,FALSE)</f>
        <v>-151.79</v>
      </c>
      <c r="U412">
        <f t="shared" si="30"/>
        <v>0</v>
      </c>
      <c r="V412">
        <v>-151.79</v>
      </c>
      <c r="W412">
        <f>VLOOKUP(G412,'[1]Erogati mag-giu 2026_791_old'!$A:$W,14,FALSE)</f>
        <v>-151.79</v>
      </c>
      <c r="X412">
        <f t="shared" si="31"/>
        <v>0</v>
      </c>
      <c r="Y412" t="s">
        <v>158</v>
      </c>
      <c r="Z412" t="str">
        <f>VLOOKUP(G412,'[2]Erogati mag-giu 2026_791_old'!$D:$T,11,FALSE)</f>
        <v>indiretto</v>
      </c>
      <c r="AA412" t="b">
        <v>1</v>
      </c>
      <c r="AF412" t="s">
        <v>20</v>
      </c>
      <c r="AG412" t="s">
        <v>20</v>
      </c>
    </row>
    <row r="413" spans="1:33">
      <c r="A413" s="13" t="s">
        <v>701</v>
      </c>
      <c r="B413" t="s">
        <v>1675</v>
      </c>
      <c r="C413" s="4">
        <v>202601307122859</v>
      </c>
      <c r="D413" s="4" t="b">
        <f t="shared" si="32"/>
        <v>1</v>
      </c>
      <c r="E413" t="s">
        <v>20</v>
      </c>
      <c r="F413" t="s">
        <v>21</v>
      </c>
      <c r="G413" t="s">
        <v>702</v>
      </c>
      <c r="H413" t="str">
        <f>VLOOKUP(C413,'[1]Erogati mag-giu 2026_791_old'!$B:$E,4,FALSE)</f>
        <v>C311085</v>
      </c>
      <c r="I413" t="b">
        <f t="shared" si="28"/>
        <v>1</v>
      </c>
      <c r="J413" s="14">
        <v>46179</v>
      </c>
      <c r="K413" s="14">
        <v>46179</v>
      </c>
      <c r="L413" t="s">
        <v>20</v>
      </c>
      <c r="M413" s="14">
        <v>46188</v>
      </c>
      <c r="N413" s="14">
        <v>46179</v>
      </c>
      <c r="O413" t="s">
        <v>20</v>
      </c>
      <c r="P413">
        <v>-66.260000000000005</v>
      </c>
      <c r="Q413">
        <f>VLOOKUP(G413,'[1]Erogati mag-giu 2026_791_old'!$A:$W,12,FALSE)</f>
        <v>-66.260000000000005</v>
      </c>
      <c r="R413">
        <f t="shared" si="29"/>
        <v>0</v>
      </c>
      <c r="S413">
        <v>-66.260000000000005</v>
      </c>
      <c r="T413">
        <f>VLOOKUP(G413,'[1]Erogati mag-giu 2026_791_old'!$A:$W,13,FALSE)</f>
        <v>-66.260000000000005</v>
      </c>
      <c r="U413">
        <f t="shared" si="30"/>
        <v>0</v>
      </c>
      <c r="V413">
        <v>-66.260000000000005</v>
      </c>
      <c r="W413">
        <f>VLOOKUP(G413,'[1]Erogati mag-giu 2026_791_old'!$A:$W,14,FALSE)</f>
        <v>-66.260000000000005</v>
      </c>
      <c r="X413">
        <f t="shared" si="31"/>
        <v>0</v>
      </c>
      <c r="Y413" t="s">
        <v>158</v>
      </c>
      <c r="Z413" t="str">
        <f>VLOOKUP(G413,'[2]Erogati mag-giu 2026_791_old'!$D:$T,11,FALSE)</f>
        <v>indiretto</v>
      </c>
      <c r="AA413" t="b">
        <v>1</v>
      </c>
      <c r="AF413" t="s">
        <v>20</v>
      </c>
      <c r="AG413" t="s">
        <v>20</v>
      </c>
    </row>
    <row r="414" spans="1:33">
      <c r="A414" s="13" t="s">
        <v>703</v>
      </c>
      <c r="B414" t="s">
        <v>1676</v>
      </c>
      <c r="C414" s="4">
        <v>202601307127619</v>
      </c>
      <c r="D414" s="4" t="b">
        <f t="shared" si="32"/>
        <v>1</v>
      </c>
      <c r="E414" t="s">
        <v>20</v>
      </c>
      <c r="F414" t="s">
        <v>21</v>
      </c>
      <c r="G414" t="s">
        <v>704</v>
      </c>
      <c r="H414" t="str">
        <f>VLOOKUP(C414,'[1]Erogati mag-giu 2026_791_old'!$B:$E,4,FALSE)</f>
        <v>C320296</v>
      </c>
      <c r="I414" t="b">
        <f t="shared" si="28"/>
        <v>1</v>
      </c>
      <c r="J414" s="14">
        <v>46179</v>
      </c>
      <c r="K414" s="14">
        <v>46179</v>
      </c>
      <c r="L414" t="s">
        <v>20</v>
      </c>
      <c r="M414" s="14">
        <v>46188</v>
      </c>
      <c r="N414" s="14">
        <v>46179</v>
      </c>
      <c r="O414" t="s">
        <v>20</v>
      </c>
      <c r="P414">
        <v>-198.78</v>
      </c>
      <c r="Q414">
        <f>VLOOKUP(G414,'[1]Erogati mag-giu 2026_791_old'!$A:$W,12,FALSE)</f>
        <v>-198.78</v>
      </c>
      <c r="R414">
        <f t="shared" si="29"/>
        <v>0</v>
      </c>
      <c r="S414">
        <v>-198.78</v>
      </c>
      <c r="T414">
        <f>VLOOKUP(G414,'[1]Erogati mag-giu 2026_791_old'!$A:$W,13,FALSE)</f>
        <v>-198.78</v>
      </c>
      <c r="U414">
        <f t="shared" si="30"/>
        <v>0</v>
      </c>
      <c r="V414">
        <v>-198.78</v>
      </c>
      <c r="W414">
        <f>VLOOKUP(G414,'[1]Erogati mag-giu 2026_791_old'!$A:$W,14,FALSE)</f>
        <v>-198.78</v>
      </c>
      <c r="X414">
        <f t="shared" si="31"/>
        <v>0</v>
      </c>
      <c r="Y414" t="s">
        <v>158</v>
      </c>
      <c r="Z414" t="str">
        <f>VLOOKUP(G414,'[2]Erogati mag-giu 2026_791_old'!$D:$T,11,FALSE)</f>
        <v>indiretto</v>
      </c>
      <c r="AA414" t="b">
        <v>1</v>
      </c>
      <c r="AF414" t="s">
        <v>20</v>
      </c>
      <c r="AG414" t="s">
        <v>20</v>
      </c>
    </row>
    <row r="415" spans="1:33">
      <c r="A415" s="13" t="s">
        <v>705</v>
      </c>
      <c r="B415" t="s">
        <v>1677</v>
      </c>
      <c r="C415" s="4">
        <v>202601307127623</v>
      </c>
      <c r="D415" s="4" t="b">
        <f t="shared" si="32"/>
        <v>1</v>
      </c>
      <c r="E415" t="s">
        <v>20</v>
      </c>
      <c r="F415" t="s">
        <v>21</v>
      </c>
      <c r="G415" t="s">
        <v>706</v>
      </c>
      <c r="H415" t="str">
        <f>VLOOKUP(C415,'[1]Erogati mag-giu 2026_791_old'!$B:$E,4,FALSE)</f>
        <v>C344229</v>
      </c>
      <c r="I415" t="b">
        <f t="shared" si="28"/>
        <v>1</v>
      </c>
      <c r="J415" s="14">
        <v>46179</v>
      </c>
      <c r="K415" s="14">
        <v>46179</v>
      </c>
      <c r="L415" t="s">
        <v>20</v>
      </c>
      <c r="M415" s="14">
        <v>46188</v>
      </c>
      <c r="N415" s="14">
        <v>46179</v>
      </c>
      <c r="O415" t="s">
        <v>20</v>
      </c>
      <c r="P415">
        <v>-33.130000000000003</v>
      </c>
      <c r="Q415">
        <f>VLOOKUP(G415,'[1]Erogati mag-giu 2026_791_old'!$A:$W,12,FALSE)</f>
        <v>-33.130000000000003</v>
      </c>
      <c r="R415">
        <f t="shared" si="29"/>
        <v>0</v>
      </c>
      <c r="S415">
        <v>-33.130000000000003</v>
      </c>
      <c r="T415">
        <f>VLOOKUP(G415,'[1]Erogati mag-giu 2026_791_old'!$A:$W,13,FALSE)</f>
        <v>-33.130000000000003</v>
      </c>
      <c r="U415">
        <f t="shared" si="30"/>
        <v>0</v>
      </c>
      <c r="V415">
        <v>-33.130000000000003</v>
      </c>
      <c r="W415">
        <f>VLOOKUP(G415,'[1]Erogati mag-giu 2026_791_old'!$A:$W,14,FALSE)</f>
        <v>-33.130000000000003</v>
      </c>
      <c r="X415">
        <f t="shared" si="31"/>
        <v>0</v>
      </c>
      <c r="Y415" t="s">
        <v>158</v>
      </c>
      <c r="Z415" t="str">
        <f>VLOOKUP(G415,'[2]Erogati mag-giu 2026_791_old'!$D:$T,11,FALSE)</f>
        <v>indiretto</v>
      </c>
      <c r="AA415" t="b">
        <v>1</v>
      </c>
      <c r="AF415" t="s">
        <v>20</v>
      </c>
      <c r="AG415" t="s">
        <v>20</v>
      </c>
    </row>
    <row r="416" spans="1:33">
      <c r="A416" s="13" t="s">
        <v>707</v>
      </c>
      <c r="B416" t="s">
        <v>1678</v>
      </c>
      <c r="C416" s="4">
        <v>202601307132586</v>
      </c>
      <c r="D416" s="4" t="b">
        <f t="shared" si="32"/>
        <v>1</v>
      </c>
      <c r="E416" t="s">
        <v>20</v>
      </c>
      <c r="F416" t="s">
        <v>21</v>
      </c>
      <c r="G416" t="s">
        <v>708</v>
      </c>
      <c r="H416" t="str">
        <f>VLOOKUP(C416,'[1]Erogati mag-giu 2026_791_old'!$B:$E,4,FALSE)</f>
        <v>C344307</v>
      </c>
      <c r="I416" t="b">
        <f t="shared" si="28"/>
        <v>1</v>
      </c>
      <c r="J416" s="14">
        <v>46179</v>
      </c>
      <c r="K416" s="14">
        <v>46179</v>
      </c>
      <c r="L416" t="s">
        <v>20</v>
      </c>
      <c r="M416" s="14">
        <v>46188</v>
      </c>
      <c r="N416" s="14">
        <v>46179</v>
      </c>
      <c r="O416" t="s">
        <v>20</v>
      </c>
      <c r="P416">
        <v>-33.130000000000003</v>
      </c>
      <c r="Q416">
        <f>VLOOKUP(G416,'[1]Erogati mag-giu 2026_791_old'!$A:$W,12,FALSE)</f>
        <v>-33.130000000000003</v>
      </c>
      <c r="R416">
        <f t="shared" si="29"/>
        <v>0</v>
      </c>
      <c r="S416">
        <v>-33.130000000000003</v>
      </c>
      <c r="T416">
        <f>VLOOKUP(G416,'[1]Erogati mag-giu 2026_791_old'!$A:$W,13,FALSE)</f>
        <v>-33.130000000000003</v>
      </c>
      <c r="U416">
        <f t="shared" si="30"/>
        <v>0</v>
      </c>
      <c r="V416">
        <v>-33.130000000000003</v>
      </c>
      <c r="W416">
        <f>VLOOKUP(G416,'[1]Erogati mag-giu 2026_791_old'!$A:$W,14,FALSE)</f>
        <v>-33.130000000000003</v>
      </c>
      <c r="X416">
        <f t="shared" si="31"/>
        <v>0</v>
      </c>
      <c r="Y416" t="s">
        <v>158</v>
      </c>
      <c r="Z416" t="str">
        <f>VLOOKUP(G416,'[2]Erogati mag-giu 2026_791_old'!$D:$T,11,FALSE)</f>
        <v>indiretto</v>
      </c>
      <c r="AA416" t="b">
        <v>1</v>
      </c>
      <c r="AF416" t="s">
        <v>20</v>
      </c>
      <c r="AG416" t="s">
        <v>20</v>
      </c>
    </row>
    <row r="417" spans="1:33">
      <c r="A417" s="13" t="s">
        <v>709</v>
      </c>
      <c r="B417" t="s">
        <v>1679</v>
      </c>
      <c r="C417" s="4">
        <v>202601307143785</v>
      </c>
      <c r="D417" s="4" t="b">
        <f t="shared" si="32"/>
        <v>1</v>
      </c>
      <c r="E417" t="s">
        <v>20</v>
      </c>
      <c r="F417" t="s">
        <v>21</v>
      </c>
      <c r="G417" t="s">
        <v>710</v>
      </c>
      <c r="H417" t="str">
        <f>VLOOKUP(C417,'[1]Erogati mag-giu 2026_791_old'!$B:$E,4,FALSE)</f>
        <v>C320041</v>
      </c>
      <c r="I417" t="b">
        <f t="shared" si="28"/>
        <v>1</v>
      </c>
      <c r="J417" s="14">
        <v>46179</v>
      </c>
      <c r="K417" s="14">
        <v>46179</v>
      </c>
      <c r="L417" t="s">
        <v>20</v>
      </c>
      <c r="M417" s="14">
        <v>46188</v>
      </c>
      <c r="N417" s="14">
        <v>46179</v>
      </c>
      <c r="O417" t="s">
        <v>20</v>
      </c>
      <c r="P417">
        <v>-33.130000000000003</v>
      </c>
      <c r="Q417">
        <f>VLOOKUP(G417,'[1]Erogati mag-giu 2026_791_old'!$A:$W,12,FALSE)</f>
        <v>-33.130000000000003</v>
      </c>
      <c r="R417">
        <f t="shared" si="29"/>
        <v>0</v>
      </c>
      <c r="S417">
        <v>-33.130000000000003</v>
      </c>
      <c r="T417">
        <f>VLOOKUP(G417,'[1]Erogati mag-giu 2026_791_old'!$A:$W,13,FALSE)</f>
        <v>-33.130000000000003</v>
      </c>
      <c r="U417">
        <f t="shared" si="30"/>
        <v>0</v>
      </c>
      <c r="V417">
        <v>-33.130000000000003</v>
      </c>
      <c r="W417">
        <f>VLOOKUP(G417,'[1]Erogati mag-giu 2026_791_old'!$A:$W,14,FALSE)</f>
        <v>-33.130000000000003</v>
      </c>
      <c r="X417">
        <f t="shared" si="31"/>
        <v>0</v>
      </c>
      <c r="Y417" t="s">
        <v>158</v>
      </c>
      <c r="Z417" t="str">
        <f>VLOOKUP(G417,'[2]Erogati mag-giu 2026_791_old'!$D:$T,11,FALSE)</f>
        <v>indiretto</v>
      </c>
      <c r="AA417" t="b">
        <v>1</v>
      </c>
      <c r="AF417" t="s">
        <v>20</v>
      </c>
      <c r="AG417" t="s">
        <v>20</v>
      </c>
    </row>
    <row r="418" spans="1:33">
      <c r="A418" s="13" t="s">
        <v>711</v>
      </c>
      <c r="B418" t="s">
        <v>1680</v>
      </c>
      <c r="C418" s="4">
        <v>202601307150862</v>
      </c>
      <c r="D418" s="4" t="b">
        <f t="shared" si="32"/>
        <v>1</v>
      </c>
      <c r="E418" t="s">
        <v>20</v>
      </c>
      <c r="F418" t="s">
        <v>21</v>
      </c>
      <c r="G418" t="s">
        <v>712</v>
      </c>
      <c r="H418" t="str">
        <f>VLOOKUP(C418,'[1]Erogati mag-giu 2026_791_old'!$B:$E,4,FALSE)</f>
        <v>C319970</v>
      </c>
      <c r="I418" t="b">
        <f t="shared" si="28"/>
        <v>1</v>
      </c>
      <c r="J418" s="14">
        <v>46179</v>
      </c>
      <c r="K418" s="14">
        <v>46179</v>
      </c>
      <c r="L418" t="s">
        <v>20</v>
      </c>
      <c r="M418" s="14">
        <v>46188</v>
      </c>
      <c r="N418" s="14">
        <v>46179</v>
      </c>
      <c r="O418" t="s">
        <v>20</v>
      </c>
      <c r="P418">
        <v>-99.39</v>
      </c>
      <c r="Q418">
        <f>VLOOKUP(G418,'[1]Erogati mag-giu 2026_791_old'!$A:$W,12,FALSE)</f>
        <v>-99.39</v>
      </c>
      <c r="R418">
        <f t="shared" si="29"/>
        <v>0</v>
      </c>
      <c r="S418">
        <v>-99.39</v>
      </c>
      <c r="T418">
        <f>VLOOKUP(G418,'[1]Erogati mag-giu 2026_791_old'!$A:$W,13,FALSE)</f>
        <v>-99.39</v>
      </c>
      <c r="U418">
        <f t="shared" si="30"/>
        <v>0</v>
      </c>
      <c r="V418">
        <v>-99.39</v>
      </c>
      <c r="W418">
        <f>VLOOKUP(G418,'[1]Erogati mag-giu 2026_791_old'!$A:$W,14,FALSE)</f>
        <v>-99.39</v>
      </c>
      <c r="X418">
        <f t="shared" si="31"/>
        <v>0</v>
      </c>
      <c r="Y418" t="s">
        <v>158</v>
      </c>
      <c r="Z418" t="str">
        <f>VLOOKUP(G418,'[2]Erogati mag-giu 2026_791_old'!$D:$T,11,FALSE)</f>
        <v>indiretto</v>
      </c>
      <c r="AA418" t="b">
        <v>1</v>
      </c>
      <c r="AF418" t="s">
        <v>20</v>
      </c>
      <c r="AG418" t="s">
        <v>20</v>
      </c>
    </row>
    <row r="419" spans="1:33">
      <c r="A419" s="13" t="s">
        <v>713</v>
      </c>
      <c r="B419" t="s">
        <v>1681</v>
      </c>
      <c r="C419" s="4">
        <v>202601307151277</v>
      </c>
      <c r="D419" s="4" t="b">
        <f t="shared" si="32"/>
        <v>1</v>
      </c>
      <c r="E419" t="s">
        <v>20</v>
      </c>
      <c r="F419" t="s">
        <v>21</v>
      </c>
      <c r="G419" t="s">
        <v>714</v>
      </c>
      <c r="H419" t="str">
        <f>VLOOKUP(C419,'[1]Erogati mag-giu 2026_791_old'!$B:$E,4,FALSE)</f>
        <v>C344305</v>
      </c>
      <c r="I419" t="b">
        <f t="shared" si="28"/>
        <v>1</v>
      </c>
      <c r="J419" s="14">
        <v>46179</v>
      </c>
      <c r="K419" s="14">
        <v>46179</v>
      </c>
      <c r="L419" t="s">
        <v>20</v>
      </c>
      <c r="M419" s="14">
        <v>46188</v>
      </c>
      <c r="N419" s="14">
        <v>46179</v>
      </c>
      <c r="O419" t="s">
        <v>20</v>
      </c>
      <c r="P419">
        <v>-105.33</v>
      </c>
      <c r="Q419">
        <f>VLOOKUP(G419,'[1]Erogati mag-giu 2026_791_old'!$A:$W,12,FALSE)</f>
        <v>-105.33</v>
      </c>
      <c r="R419">
        <f t="shared" si="29"/>
        <v>0</v>
      </c>
      <c r="S419">
        <v>-105.33</v>
      </c>
      <c r="T419">
        <f>VLOOKUP(G419,'[1]Erogati mag-giu 2026_791_old'!$A:$W,13,FALSE)</f>
        <v>-105.33</v>
      </c>
      <c r="U419">
        <f t="shared" si="30"/>
        <v>0</v>
      </c>
      <c r="V419">
        <v>-105.33</v>
      </c>
      <c r="W419">
        <f>VLOOKUP(G419,'[1]Erogati mag-giu 2026_791_old'!$A:$W,14,FALSE)</f>
        <v>-105.33</v>
      </c>
      <c r="X419">
        <f t="shared" si="31"/>
        <v>0</v>
      </c>
      <c r="Y419" t="s">
        <v>158</v>
      </c>
      <c r="Z419" t="str">
        <f>VLOOKUP(G419,'[2]Erogati mag-giu 2026_791_old'!$D:$T,11,FALSE)</f>
        <v>indiretto</v>
      </c>
      <c r="AA419" t="b">
        <v>1</v>
      </c>
      <c r="AF419" t="s">
        <v>20</v>
      </c>
      <c r="AG419" t="s">
        <v>20</v>
      </c>
    </row>
    <row r="420" spans="1:33">
      <c r="A420" s="13" t="s">
        <v>715</v>
      </c>
      <c r="B420" t="s">
        <v>1682</v>
      </c>
      <c r="C420" s="4">
        <v>202601307157949</v>
      </c>
      <c r="D420" s="4" t="b">
        <f t="shared" si="32"/>
        <v>1</v>
      </c>
      <c r="E420" t="s">
        <v>20</v>
      </c>
      <c r="F420" t="s">
        <v>21</v>
      </c>
      <c r="G420" t="s">
        <v>716</v>
      </c>
      <c r="H420" t="str">
        <f>VLOOKUP(C420,'[1]Erogati mag-giu 2026_791_old'!$B:$E,4,FALSE)</f>
        <v>C119725</v>
      </c>
      <c r="I420" t="b">
        <f t="shared" si="28"/>
        <v>1</v>
      </c>
      <c r="J420" s="14">
        <v>46179</v>
      </c>
      <c r="K420" s="14">
        <v>46179</v>
      </c>
      <c r="L420" t="s">
        <v>20</v>
      </c>
      <c r="M420" s="14">
        <v>46188</v>
      </c>
      <c r="N420" s="14">
        <v>46179</v>
      </c>
      <c r="O420" t="s">
        <v>20</v>
      </c>
      <c r="P420">
        <v>-33.130000000000003</v>
      </c>
      <c r="Q420">
        <f>VLOOKUP(G420,'[1]Erogati mag-giu 2026_791_old'!$A:$W,12,FALSE)</f>
        <v>-33.130000000000003</v>
      </c>
      <c r="R420">
        <f t="shared" si="29"/>
        <v>0</v>
      </c>
      <c r="S420">
        <v>-33.130000000000003</v>
      </c>
      <c r="T420">
        <f>VLOOKUP(G420,'[1]Erogati mag-giu 2026_791_old'!$A:$W,13,FALSE)</f>
        <v>-33.130000000000003</v>
      </c>
      <c r="U420">
        <f t="shared" si="30"/>
        <v>0</v>
      </c>
      <c r="V420">
        <v>-33.130000000000003</v>
      </c>
      <c r="W420">
        <f>VLOOKUP(G420,'[1]Erogati mag-giu 2026_791_old'!$A:$W,14,FALSE)</f>
        <v>-33.130000000000003</v>
      </c>
      <c r="X420">
        <f t="shared" si="31"/>
        <v>0</v>
      </c>
      <c r="Y420" t="s">
        <v>158</v>
      </c>
      <c r="Z420" t="str">
        <f>VLOOKUP(G420,'[2]Erogati mag-giu 2026_791_old'!$D:$T,11,FALSE)</f>
        <v>indiretto</v>
      </c>
      <c r="AA420" t="b">
        <v>1</v>
      </c>
      <c r="AF420" t="s">
        <v>20</v>
      </c>
      <c r="AG420" t="s">
        <v>20</v>
      </c>
    </row>
    <row r="421" spans="1:33">
      <c r="A421" s="13" t="s">
        <v>717</v>
      </c>
      <c r="B421" t="s">
        <v>1683</v>
      </c>
      <c r="C421" s="4">
        <v>202601307165374</v>
      </c>
      <c r="D421" s="4" t="b">
        <f t="shared" si="32"/>
        <v>1</v>
      </c>
      <c r="E421" t="s">
        <v>20</v>
      </c>
      <c r="F421" t="s">
        <v>21</v>
      </c>
      <c r="G421" t="s">
        <v>718</v>
      </c>
      <c r="H421" t="str">
        <f>VLOOKUP(C421,'[1]Erogati mag-giu 2026_791_old'!$B:$E,4,FALSE)</f>
        <v>C089131</v>
      </c>
      <c r="I421" t="b">
        <f t="shared" si="28"/>
        <v>1</v>
      </c>
      <c r="J421" s="14">
        <v>46179</v>
      </c>
      <c r="K421" s="14">
        <v>46179</v>
      </c>
      <c r="L421" t="s">
        <v>20</v>
      </c>
      <c r="M421" s="14">
        <v>46188</v>
      </c>
      <c r="N421" s="14">
        <v>46179</v>
      </c>
      <c r="O421" t="s">
        <v>20</v>
      </c>
      <c r="P421">
        <v>-231.91</v>
      </c>
      <c r="Q421">
        <f>VLOOKUP(G421,'[1]Erogati mag-giu 2026_791_old'!$A:$W,12,FALSE)</f>
        <v>-231.91</v>
      </c>
      <c r="R421">
        <f t="shared" si="29"/>
        <v>0</v>
      </c>
      <c r="S421">
        <v>-231.91</v>
      </c>
      <c r="T421">
        <f>VLOOKUP(G421,'[1]Erogati mag-giu 2026_791_old'!$A:$W,13,FALSE)</f>
        <v>-231.91</v>
      </c>
      <c r="U421">
        <f t="shared" si="30"/>
        <v>0</v>
      </c>
      <c r="V421">
        <v>-231.91</v>
      </c>
      <c r="W421">
        <f>VLOOKUP(G421,'[1]Erogati mag-giu 2026_791_old'!$A:$W,14,FALSE)</f>
        <v>-231.91</v>
      </c>
      <c r="X421">
        <f t="shared" si="31"/>
        <v>0</v>
      </c>
      <c r="Y421" t="s">
        <v>158</v>
      </c>
      <c r="Z421" t="str">
        <f>VLOOKUP(G421,'[2]Erogati mag-giu 2026_791_old'!$D:$T,11,FALSE)</f>
        <v>indiretto</v>
      </c>
      <c r="AA421" t="b">
        <v>1</v>
      </c>
      <c r="AF421" t="s">
        <v>20</v>
      </c>
      <c r="AG421" t="s">
        <v>20</v>
      </c>
    </row>
    <row r="422" spans="1:33">
      <c r="A422" s="13" t="s">
        <v>719</v>
      </c>
      <c r="B422" t="s">
        <v>1684</v>
      </c>
      <c r="C422" s="4">
        <v>202601307172545</v>
      </c>
      <c r="D422" s="4" t="b">
        <f t="shared" si="32"/>
        <v>1</v>
      </c>
      <c r="E422" t="s">
        <v>20</v>
      </c>
      <c r="F422" t="s">
        <v>21</v>
      </c>
      <c r="G422" t="s">
        <v>720</v>
      </c>
      <c r="H422" t="str">
        <f>VLOOKUP(C422,'[1]Erogati mag-giu 2026_791_old'!$B:$E,4,FALSE)</f>
        <v>C313983</v>
      </c>
      <c r="I422" t="b">
        <f t="shared" si="28"/>
        <v>1</v>
      </c>
      <c r="J422" s="14">
        <v>46179</v>
      </c>
      <c r="K422" s="14">
        <v>46179</v>
      </c>
      <c r="L422" t="s">
        <v>20</v>
      </c>
      <c r="M422" s="14">
        <v>46188</v>
      </c>
      <c r="N422" s="14">
        <v>46179</v>
      </c>
      <c r="O422" t="s">
        <v>20</v>
      </c>
      <c r="P422">
        <v>-165.65</v>
      </c>
      <c r="Q422">
        <f>VLOOKUP(G422,'[1]Erogati mag-giu 2026_791_old'!$A:$W,12,FALSE)</f>
        <v>-165.65</v>
      </c>
      <c r="R422">
        <f t="shared" si="29"/>
        <v>0</v>
      </c>
      <c r="S422">
        <v>-165.65</v>
      </c>
      <c r="T422">
        <f>VLOOKUP(G422,'[1]Erogati mag-giu 2026_791_old'!$A:$W,13,FALSE)</f>
        <v>-165.65</v>
      </c>
      <c r="U422">
        <f t="shared" si="30"/>
        <v>0</v>
      </c>
      <c r="V422">
        <v>-165.65</v>
      </c>
      <c r="W422">
        <f>VLOOKUP(G422,'[1]Erogati mag-giu 2026_791_old'!$A:$W,14,FALSE)</f>
        <v>-165.65</v>
      </c>
      <c r="X422">
        <f t="shared" si="31"/>
        <v>0</v>
      </c>
      <c r="Y422" t="s">
        <v>158</v>
      </c>
      <c r="Z422" t="str">
        <f>VLOOKUP(G422,'[2]Erogati mag-giu 2026_791_old'!$D:$T,11,FALSE)</f>
        <v>indiretto</v>
      </c>
      <c r="AA422" t="b">
        <v>1</v>
      </c>
      <c r="AF422" t="s">
        <v>20</v>
      </c>
      <c r="AG422" t="s">
        <v>20</v>
      </c>
    </row>
    <row r="423" spans="1:33">
      <c r="A423" s="13" t="s">
        <v>721</v>
      </c>
      <c r="B423" t="s">
        <v>1685</v>
      </c>
      <c r="C423" s="4">
        <v>202601307174634</v>
      </c>
      <c r="D423" s="4" t="b">
        <f t="shared" si="32"/>
        <v>1</v>
      </c>
      <c r="E423" t="s">
        <v>20</v>
      </c>
      <c r="F423" t="s">
        <v>21</v>
      </c>
      <c r="G423" t="s">
        <v>722</v>
      </c>
      <c r="H423" t="str">
        <f>VLOOKUP(C423,'[1]Erogati mag-giu 2026_791_old'!$B:$E,4,FALSE)</f>
        <v>C314347</v>
      </c>
      <c r="I423" t="b">
        <f t="shared" si="28"/>
        <v>1</v>
      </c>
      <c r="J423" s="14">
        <v>46179</v>
      </c>
      <c r="K423" s="14">
        <v>46179</v>
      </c>
      <c r="L423" t="s">
        <v>20</v>
      </c>
      <c r="M423" s="14">
        <v>46188</v>
      </c>
      <c r="N423" s="14">
        <v>46179</v>
      </c>
      <c r="O423" t="s">
        <v>20</v>
      </c>
      <c r="P423">
        <v>-99.39</v>
      </c>
      <c r="Q423">
        <f>VLOOKUP(G423,'[1]Erogati mag-giu 2026_791_old'!$A:$W,12,FALSE)</f>
        <v>-99.39</v>
      </c>
      <c r="R423">
        <f t="shared" si="29"/>
        <v>0</v>
      </c>
      <c r="S423">
        <v>-99.39</v>
      </c>
      <c r="T423">
        <f>VLOOKUP(G423,'[1]Erogati mag-giu 2026_791_old'!$A:$W,13,FALSE)</f>
        <v>-99.39</v>
      </c>
      <c r="U423">
        <f t="shared" si="30"/>
        <v>0</v>
      </c>
      <c r="V423">
        <v>-99.39</v>
      </c>
      <c r="W423">
        <f>VLOOKUP(G423,'[1]Erogati mag-giu 2026_791_old'!$A:$W,14,FALSE)</f>
        <v>-99.39</v>
      </c>
      <c r="X423">
        <f t="shared" si="31"/>
        <v>0</v>
      </c>
      <c r="Y423" t="s">
        <v>158</v>
      </c>
      <c r="Z423" t="str">
        <f>VLOOKUP(G423,'[2]Erogati mag-giu 2026_791_old'!$D:$T,11,FALSE)</f>
        <v>indiretto</v>
      </c>
      <c r="AA423" t="b">
        <v>1</v>
      </c>
      <c r="AF423" t="s">
        <v>20</v>
      </c>
      <c r="AG423" t="s">
        <v>20</v>
      </c>
    </row>
    <row r="424" spans="1:33">
      <c r="A424" s="13" t="s">
        <v>723</v>
      </c>
      <c r="B424" t="s">
        <v>1686</v>
      </c>
      <c r="C424" s="4">
        <v>202601307180084</v>
      </c>
      <c r="D424" s="4" t="b">
        <f t="shared" si="32"/>
        <v>1</v>
      </c>
      <c r="E424" t="s">
        <v>20</v>
      </c>
      <c r="F424" t="s">
        <v>21</v>
      </c>
      <c r="G424" t="s">
        <v>724</v>
      </c>
      <c r="H424" t="str">
        <f>VLOOKUP(C424,'[1]Erogati mag-giu 2026_791_old'!$B:$E,4,FALSE)</f>
        <v>C344196</v>
      </c>
      <c r="I424" t="b">
        <f t="shared" si="28"/>
        <v>1</v>
      </c>
      <c r="J424" s="14">
        <v>46179</v>
      </c>
      <c r="K424" s="14">
        <v>46179</v>
      </c>
      <c r="L424" t="s">
        <v>20</v>
      </c>
      <c r="M424" s="14">
        <v>46188</v>
      </c>
      <c r="N424" s="14">
        <v>46179</v>
      </c>
      <c r="O424" t="s">
        <v>20</v>
      </c>
      <c r="P424">
        <v>-23.97</v>
      </c>
      <c r="Q424">
        <f>VLOOKUP(G424,'[1]Erogati mag-giu 2026_791_old'!$A:$W,12,FALSE)</f>
        <v>-23.97</v>
      </c>
      <c r="R424">
        <f t="shared" si="29"/>
        <v>0</v>
      </c>
      <c r="S424">
        <v>-23.97</v>
      </c>
      <c r="T424">
        <f>VLOOKUP(G424,'[1]Erogati mag-giu 2026_791_old'!$A:$W,13,FALSE)</f>
        <v>-23.97</v>
      </c>
      <c r="U424">
        <f t="shared" si="30"/>
        <v>0</v>
      </c>
      <c r="V424">
        <v>-23.97</v>
      </c>
      <c r="W424">
        <f>VLOOKUP(G424,'[1]Erogati mag-giu 2026_791_old'!$A:$W,14,FALSE)</f>
        <v>-23.97</v>
      </c>
      <c r="X424">
        <f t="shared" si="31"/>
        <v>0</v>
      </c>
      <c r="Y424" t="s">
        <v>158</v>
      </c>
      <c r="Z424" t="str">
        <f>VLOOKUP(G424,'[2]Erogati mag-giu 2026_791_old'!$D:$T,11,FALSE)</f>
        <v>indiretto</v>
      </c>
      <c r="AA424" t="b">
        <v>1</v>
      </c>
      <c r="AF424" t="s">
        <v>20</v>
      </c>
      <c r="AG424" t="s">
        <v>20</v>
      </c>
    </row>
    <row r="425" spans="1:33">
      <c r="A425" s="13" t="s">
        <v>725</v>
      </c>
      <c r="B425" t="s">
        <v>1687</v>
      </c>
      <c r="C425" s="4">
        <v>202601307181633</v>
      </c>
      <c r="D425" s="4" t="b">
        <f t="shared" si="32"/>
        <v>1</v>
      </c>
      <c r="E425" t="s">
        <v>20</v>
      </c>
      <c r="F425" t="s">
        <v>21</v>
      </c>
      <c r="G425" t="s">
        <v>726</v>
      </c>
      <c r="H425" t="str">
        <f>VLOOKUP(C425,'[1]Erogati mag-giu 2026_791_old'!$B:$E,4,FALSE)</f>
        <v>C320518</v>
      </c>
      <c r="I425" t="b">
        <f t="shared" si="28"/>
        <v>1</v>
      </c>
      <c r="J425" s="14">
        <v>46179</v>
      </c>
      <c r="K425" s="14">
        <v>46179</v>
      </c>
      <c r="L425" t="s">
        <v>20</v>
      </c>
      <c r="M425" s="14">
        <v>46188</v>
      </c>
      <c r="N425" s="14">
        <v>46179</v>
      </c>
      <c r="O425" t="s">
        <v>20</v>
      </c>
      <c r="P425">
        <v>-132.52000000000001</v>
      </c>
      <c r="Q425">
        <f>VLOOKUP(G425,'[1]Erogati mag-giu 2026_791_old'!$A:$W,12,FALSE)</f>
        <v>-132.52000000000001</v>
      </c>
      <c r="R425">
        <f t="shared" si="29"/>
        <v>0</v>
      </c>
      <c r="S425">
        <v>-132.52000000000001</v>
      </c>
      <c r="T425">
        <f>VLOOKUP(G425,'[1]Erogati mag-giu 2026_791_old'!$A:$W,13,FALSE)</f>
        <v>-132.52000000000001</v>
      </c>
      <c r="U425">
        <f t="shared" si="30"/>
        <v>0</v>
      </c>
      <c r="V425">
        <v>-132.52000000000001</v>
      </c>
      <c r="W425">
        <f>VLOOKUP(G425,'[1]Erogati mag-giu 2026_791_old'!$A:$W,14,FALSE)</f>
        <v>-132.52000000000001</v>
      </c>
      <c r="X425">
        <f t="shared" si="31"/>
        <v>0</v>
      </c>
      <c r="Y425" t="s">
        <v>158</v>
      </c>
      <c r="Z425" t="str">
        <f>VLOOKUP(G425,'[2]Erogati mag-giu 2026_791_old'!$D:$T,11,FALSE)</f>
        <v>indiretto</v>
      </c>
      <c r="AA425" t="b">
        <v>1</v>
      </c>
      <c r="AF425" t="s">
        <v>20</v>
      </c>
      <c r="AG425" t="s">
        <v>20</v>
      </c>
    </row>
    <row r="426" spans="1:33">
      <c r="A426" s="13" t="s">
        <v>727</v>
      </c>
      <c r="B426" t="s">
        <v>1688</v>
      </c>
      <c r="C426" s="4">
        <v>202601307188960</v>
      </c>
      <c r="D426" s="4" t="b">
        <f t="shared" si="32"/>
        <v>1</v>
      </c>
      <c r="E426" t="s">
        <v>20</v>
      </c>
      <c r="F426" t="s">
        <v>21</v>
      </c>
      <c r="G426" t="s">
        <v>728</v>
      </c>
      <c r="H426" t="str">
        <f>VLOOKUP(C426,'[1]Erogati mag-giu 2026_791_old'!$B:$E,4,FALSE)</f>
        <v>C307110</v>
      </c>
      <c r="I426" t="b">
        <f t="shared" si="28"/>
        <v>1</v>
      </c>
      <c r="J426" s="14">
        <v>46179</v>
      </c>
      <c r="K426" s="14">
        <v>46179</v>
      </c>
      <c r="L426" t="s">
        <v>20</v>
      </c>
      <c r="M426" s="14">
        <v>46188</v>
      </c>
      <c r="N426" s="14">
        <v>46179</v>
      </c>
      <c r="O426" t="s">
        <v>20</v>
      </c>
      <c r="P426">
        <v>-71.900000000000006</v>
      </c>
      <c r="Q426">
        <f>VLOOKUP(G426,'[1]Erogati mag-giu 2026_791_old'!$A:$W,12,FALSE)</f>
        <v>-71.900000000000006</v>
      </c>
      <c r="R426">
        <f t="shared" si="29"/>
        <v>0</v>
      </c>
      <c r="S426">
        <v>-71.900000000000006</v>
      </c>
      <c r="T426">
        <f>VLOOKUP(G426,'[1]Erogati mag-giu 2026_791_old'!$A:$W,13,FALSE)</f>
        <v>-71.900000000000006</v>
      </c>
      <c r="U426">
        <f t="shared" si="30"/>
        <v>0</v>
      </c>
      <c r="V426">
        <v>-71.900000000000006</v>
      </c>
      <c r="W426">
        <f>VLOOKUP(G426,'[1]Erogati mag-giu 2026_791_old'!$A:$W,14,FALSE)</f>
        <v>-71.900000000000006</v>
      </c>
      <c r="X426">
        <f t="shared" si="31"/>
        <v>0</v>
      </c>
      <c r="Y426" t="s">
        <v>158</v>
      </c>
      <c r="Z426" t="str">
        <f>VLOOKUP(G426,'[2]Erogati mag-giu 2026_791_old'!$D:$T,11,FALSE)</f>
        <v>indiretto</v>
      </c>
      <c r="AA426" t="b">
        <v>1</v>
      </c>
      <c r="AF426" t="s">
        <v>20</v>
      </c>
      <c r="AG426" t="s">
        <v>20</v>
      </c>
    </row>
    <row r="427" spans="1:33">
      <c r="A427" s="13" t="s">
        <v>729</v>
      </c>
      <c r="B427" t="s">
        <v>1689</v>
      </c>
      <c r="C427" s="4">
        <v>202601307190525</v>
      </c>
      <c r="D427" s="4" t="b">
        <f t="shared" si="32"/>
        <v>1</v>
      </c>
      <c r="E427" t="s">
        <v>20</v>
      </c>
      <c r="F427" t="s">
        <v>21</v>
      </c>
      <c r="G427" t="s">
        <v>730</v>
      </c>
      <c r="H427" t="str">
        <f>VLOOKUP(C427,'[1]Erogati mag-giu 2026_791_old'!$B:$E,4,FALSE)</f>
        <v>C344306</v>
      </c>
      <c r="I427" t="b">
        <f t="shared" si="28"/>
        <v>1</v>
      </c>
      <c r="J427" s="14">
        <v>46179</v>
      </c>
      <c r="K427" s="14">
        <v>46179</v>
      </c>
      <c r="L427" t="s">
        <v>20</v>
      </c>
      <c r="M427" s="14">
        <v>46188</v>
      </c>
      <c r="N427" s="14">
        <v>46179</v>
      </c>
      <c r="O427" t="s">
        <v>20</v>
      </c>
      <c r="P427">
        <v>-53.01</v>
      </c>
      <c r="Q427">
        <f>VLOOKUP(G427,'[1]Erogati mag-giu 2026_791_old'!$A:$W,12,FALSE)</f>
        <v>-53.01</v>
      </c>
      <c r="R427">
        <f t="shared" si="29"/>
        <v>0</v>
      </c>
      <c r="S427">
        <v>-53.01</v>
      </c>
      <c r="T427">
        <f>VLOOKUP(G427,'[1]Erogati mag-giu 2026_791_old'!$A:$W,13,FALSE)</f>
        <v>-53.01</v>
      </c>
      <c r="U427">
        <f t="shared" si="30"/>
        <v>0</v>
      </c>
      <c r="V427">
        <v>-53.01</v>
      </c>
      <c r="W427">
        <f>VLOOKUP(G427,'[1]Erogati mag-giu 2026_791_old'!$A:$W,14,FALSE)</f>
        <v>-53.01</v>
      </c>
      <c r="X427">
        <f t="shared" si="31"/>
        <v>0</v>
      </c>
      <c r="Y427" t="s">
        <v>158</v>
      </c>
      <c r="Z427" t="str">
        <f>VLOOKUP(G427,'[2]Erogati mag-giu 2026_791_old'!$D:$T,11,FALSE)</f>
        <v>indiretto</v>
      </c>
      <c r="AA427" t="b">
        <v>1</v>
      </c>
      <c r="AF427" t="s">
        <v>20</v>
      </c>
      <c r="AG427" t="s">
        <v>20</v>
      </c>
    </row>
    <row r="428" spans="1:33">
      <c r="A428" s="13" t="s">
        <v>731</v>
      </c>
      <c r="B428" t="s">
        <v>1690</v>
      </c>
      <c r="C428" s="4">
        <v>202601307195348</v>
      </c>
      <c r="D428" s="4" t="b">
        <f t="shared" si="32"/>
        <v>1</v>
      </c>
      <c r="E428" t="s">
        <v>20</v>
      </c>
      <c r="F428" t="s">
        <v>21</v>
      </c>
      <c r="G428" t="s">
        <v>732</v>
      </c>
      <c r="H428" t="str">
        <f>VLOOKUP(C428,'[1]Erogati mag-giu 2026_791_old'!$B:$E,4,FALSE)</f>
        <v>C344099</v>
      </c>
      <c r="I428" t="b">
        <f t="shared" si="28"/>
        <v>1</v>
      </c>
      <c r="J428" s="14">
        <v>46179</v>
      </c>
      <c r="K428" s="14">
        <v>46179</v>
      </c>
      <c r="L428" t="s">
        <v>20</v>
      </c>
      <c r="M428" s="14">
        <v>46188</v>
      </c>
      <c r="N428" s="14">
        <v>46179</v>
      </c>
      <c r="O428" t="s">
        <v>20</v>
      </c>
      <c r="P428">
        <v>-66.260000000000005</v>
      </c>
      <c r="Q428">
        <f>VLOOKUP(G428,'[1]Erogati mag-giu 2026_791_old'!$A:$W,12,FALSE)</f>
        <v>-66.260000000000005</v>
      </c>
      <c r="R428">
        <f t="shared" si="29"/>
        <v>0</v>
      </c>
      <c r="S428">
        <v>-66.260000000000005</v>
      </c>
      <c r="T428">
        <f>VLOOKUP(G428,'[1]Erogati mag-giu 2026_791_old'!$A:$W,13,FALSE)</f>
        <v>-66.260000000000005</v>
      </c>
      <c r="U428">
        <f t="shared" si="30"/>
        <v>0</v>
      </c>
      <c r="V428">
        <v>-66.260000000000005</v>
      </c>
      <c r="W428">
        <f>VLOOKUP(G428,'[1]Erogati mag-giu 2026_791_old'!$A:$W,14,FALSE)</f>
        <v>-66.260000000000005</v>
      </c>
      <c r="X428">
        <f t="shared" si="31"/>
        <v>0</v>
      </c>
      <c r="Y428" t="s">
        <v>158</v>
      </c>
      <c r="Z428" t="str">
        <f>VLOOKUP(G428,'[2]Erogati mag-giu 2026_791_old'!$D:$T,11,FALSE)</f>
        <v>indiretto</v>
      </c>
      <c r="AA428" t="b">
        <v>1</v>
      </c>
      <c r="AF428" t="s">
        <v>20</v>
      </c>
      <c r="AG428" t="s">
        <v>20</v>
      </c>
    </row>
    <row r="429" spans="1:33">
      <c r="A429" s="13" t="s">
        <v>733</v>
      </c>
      <c r="B429" t="s">
        <v>1691</v>
      </c>
      <c r="C429" s="4">
        <v>202601307207645</v>
      </c>
      <c r="D429" s="4" t="b">
        <f t="shared" si="32"/>
        <v>1</v>
      </c>
      <c r="E429" t="s">
        <v>20</v>
      </c>
      <c r="F429" t="s">
        <v>21</v>
      </c>
      <c r="G429" t="s">
        <v>734</v>
      </c>
      <c r="H429" t="str">
        <f>VLOOKUP(C429,'[1]Erogati mag-giu 2026_791_old'!$B:$E,4,FALSE)</f>
        <v>C321195</v>
      </c>
      <c r="I429" t="b">
        <f t="shared" si="28"/>
        <v>1</v>
      </c>
      <c r="J429" s="14">
        <v>46179</v>
      </c>
      <c r="K429" s="14">
        <v>46179</v>
      </c>
      <c r="L429" t="s">
        <v>20</v>
      </c>
      <c r="M429" s="14">
        <v>46188</v>
      </c>
      <c r="N429" s="14">
        <v>46179</v>
      </c>
      <c r="O429" t="s">
        <v>20</v>
      </c>
      <c r="P429">
        <v>-132.52000000000001</v>
      </c>
      <c r="Q429">
        <f>VLOOKUP(G429,'[1]Erogati mag-giu 2026_791_old'!$A:$W,12,FALSE)</f>
        <v>-132.52000000000001</v>
      </c>
      <c r="R429">
        <f t="shared" si="29"/>
        <v>0</v>
      </c>
      <c r="S429">
        <v>-132.52000000000001</v>
      </c>
      <c r="T429">
        <f>VLOOKUP(G429,'[1]Erogati mag-giu 2026_791_old'!$A:$W,13,FALSE)</f>
        <v>-132.52000000000001</v>
      </c>
      <c r="U429">
        <f t="shared" si="30"/>
        <v>0</v>
      </c>
      <c r="V429">
        <v>-132.52000000000001</v>
      </c>
      <c r="W429">
        <f>VLOOKUP(G429,'[1]Erogati mag-giu 2026_791_old'!$A:$W,14,FALSE)</f>
        <v>-132.52000000000001</v>
      </c>
      <c r="X429">
        <f t="shared" si="31"/>
        <v>0</v>
      </c>
      <c r="Y429" t="s">
        <v>158</v>
      </c>
      <c r="Z429" t="str">
        <f>VLOOKUP(G429,'[2]Erogati mag-giu 2026_791_old'!$D:$T,11,FALSE)</f>
        <v>indiretto</v>
      </c>
      <c r="AA429" t="b">
        <v>1</v>
      </c>
      <c r="AF429" t="s">
        <v>20</v>
      </c>
      <c r="AG429" t="s">
        <v>20</v>
      </c>
    </row>
    <row r="430" spans="1:33">
      <c r="A430" s="13" t="s">
        <v>735</v>
      </c>
      <c r="B430" t="s">
        <v>1692</v>
      </c>
      <c r="C430" s="4">
        <v>202601307208720</v>
      </c>
      <c r="D430" s="4" t="b">
        <f t="shared" si="32"/>
        <v>1</v>
      </c>
      <c r="E430" t="s">
        <v>20</v>
      </c>
      <c r="F430" t="s">
        <v>21</v>
      </c>
      <c r="G430" t="s">
        <v>736</v>
      </c>
      <c r="H430" t="str">
        <f>VLOOKUP(C430,'[1]Erogati mag-giu 2026_791_old'!$B:$E,4,FALSE)</f>
        <v>C344156</v>
      </c>
      <c r="I430" t="b">
        <f t="shared" si="28"/>
        <v>1</v>
      </c>
      <c r="J430" s="14">
        <v>46179</v>
      </c>
      <c r="K430" s="14">
        <v>46179</v>
      </c>
      <c r="L430" t="s">
        <v>20</v>
      </c>
      <c r="M430" s="14">
        <v>46188</v>
      </c>
      <c r="N430" s="14">
        <v>46179</v>
      </c>
      <c r="O430" t="s">
        <v>20</v>
      </c>
      <c r="P430">
        <v>-71.900000000000006</v>
      </c>
      <c r="Q430">
        <f>VLOOKUP(G430,'[1]Erogati mag-giu 2026_791_old'!$A:$W,12,FALSE)</f>
        <v>-71.900000000000006</v>
      </c>
      <c r="R430">
        <f t="shared" si="29"/>
        <v>0</v>
      </c>
      <c r="S430">
        <v>-71.900000000000006</v>
      </c>
      <c r="T430">
        <f>VLOOKUP(G430,'[1]Erogati mag-giu 2026_791_old'!$A:$W,13,FALSE)</f>
        <v>-71.900000000000006</v>
      </c>
      <c r="U430">
        <f t="shared" si="30"/>
        <v>0</v>
      </c>
      <c r="V430">
        <v>-71.900000000000006</v>
      </c>
      <c r="W430">
        <f>VLOOKUP(G430,'[1]Erogati mag-giu 2026_791_old'!$A:$W,14,FALSE)</f>
        <v>-71.900000000000006</v>
      </c>
      <c r="X430">
        <f t="shared" si="31"/>
        <v>0</v>
      </c>
      <c r="Y430" t="s">
        <v>158</v>
      </c>
      <c r="Z430" t="str">
        <f>VLOOKUP(G430,'[2]Erogati mag-giu 2026_791_old'!$D:$T,11,FALSE)</f>
        <v>indiretto</v>
      </c>
      <c r="AA430" t="b">
        <v>1</v>
      </c>
      <c r="AF430" t="s">
        <v>20</v>
      </c>
      <c r="AG430" t="s">
        <v>20</v>
      </c>
    </row>
    <row r="431" spans="1:33">
      <c r="A431" s="13" t="s">
        <v>737</v>
      </c>
      <c r="B431" t="s">
        <v>1693</v>
      </c>
      <c r="C431" s="4">
        <v>202601307211369</v>
      </c>
      <c r="D431" s="4" t="b">
        <f t="shared" si="32"/>
        <v>1</v>
      </c>
      <c r="E431" t="s">
        <v>20</v>
      </c>
      <c r="F431" t="s">
        <v>21</v>
      </c>
      <c r="G431" t="s">
        <v>738</v>
      </c>
      <c r="H431" t="str">
        <f>VLOOKUP(C431,'[1]Erogati mag-giu 2026_791_old'!$B:$E,4,FALSE)</f>
        <v>C320252</v>
      </c>
      <c r="I431" t="b">
        <f t="shared" si="28"/>
        <v>1</v>
      </c>
      <c r="J431" s="14">
        <v>46179</v>
      </c>
      <c r="K431" s="14">
        <v>46179</v>
      </c>
      <c r="L431" t="s">
        <v>20</v>
      </c>
      <c r="M431" s="14">
        <v>46188</v>
      </c>
      <c r="N431" s="14">
        <v>46179</v>
      </c>
      <c r="O431" t="s">
        <v>20</v>
      </c>
      <c r="P431">
        <v>-99.39</v>
      </c>
      <c r="Q431">
        <f>VLOOKUP(G431,'[1]Erogati mag-giu 2026_791_old'!$A:$W,12,FALSE)</f>
        <v>-99.39</v>
      </c>
      <c r="R431">
        <f t="shared" si="29"/>
        <v>0</v>
      </c>
      <c r="S431">
        <v>-99.39</v>
      </c>
      <c r="T431">
        <f>VLOOKUP(G431,'[1]Erogati mag-giu 2026_791_old'!$A:$W,13,FALSE)</f>
        <v>-99.39</v>
      </c>
      <c r="U431">
        <f t="shared" si="30"/>
        <v>0</v>
      </c>
      <c r="V431">
        <v>-99.39</v>
      </c>
      <c r="W431">
        <f>VLOOKUP(G431,'[1]Erogati mag-giu 2026_791_old'!$A:$W,14,FALSE)</f>
        <v>-99.39</v>
      </c>
      <c r="X431">
        <f t="shared" si="31"/>
        <v>0</v>
      </c>
      <c r="Y431" t="s">
        <v>158</v>
      </c>
      <c r="Z431" t="str">
        <f>VLOOKUP(G431,'[2]Erogati mag-giu 2026_791_old'!$D:$T,11,FALSE)</f>
        <v>indiretto</v>
      </c>
      <c r="AA431" t="b">
        <v>1</v>
      </c>
      <c r="AF431" t="s">
        <v>20</v>
      </c>
      <c r="AG431" t="s">
        <v>20</v>
      </c>
    </row>
    <row r="432" spans="1:33">
      <c r="A432" s="13" t="s">
        <v>739</v>
      </c>
      <c r="B432" t="s">
        <v>1694</v>
      </c>
      <c r="C432" s="4">
        <v>202601307213496</v>
      </c>
      <c r="D432" s="4" t="b">
        <f t="shared" si="32"/>
        <v>1</v>
      </c>
      <c r="E432" t="s">
        <v>20</v>
      </c>
      <c r="F432" t="s">
        <v>21</v>
      </c>
      <c r="G432" t="s">
        <v>740</v>
      </c>
      <c r="H432" t="str">
        <f>VLOOKUP(C432,'[1]Erogati mag-giu 2026_791_old'!$B:$E,4,FALSE)</f>
        <v>C337522</v>
      </c>
      <c r="I432" t="b">
        <f t="shared" si="28"/>
        <v>1</v>
      </c>
      <c r="J432" s="14">
        <v>46179</v>
      </c>
      <c r="K432" s="14">
        <v>46179</v>
      </c>
      <c r="L432" t="s">
        <v>20</v>
      </c>
      <c r="M432" s="14">
        <v>46188</v>
      </c>
      <c r="N432" s="14">
        <v>46179</v>
      </c>
      <c r="O432" t="s">
        <v>20</v>
      </c>
      <c r="P432">
        <v>-33.130000000000003</v>
      </c>
      <c r="Q432">
        <f>VLOOKUP(G432,'[1]Erogati mag-giu 2026_791_old'!$A:$W,12,FALSE)</f>
        <v>-33.130000000000003</v>
      </c>
      <c r="R432">
        <f t="shared" si="29"/>
        <v>0</v>
      </c>
      <c r="S432">
        <v>-33.130000000000003</v>
      </c>
      <c r="T432">
        <f>VLOOKUP(G432,'[1]Erogati mag-giu 2026_791_old'!$A:$W,13,FALSE)</f>
        <v>-33.130000000000003</v>
      </c>
      <c r="U432">
        <f t="shared" si="30"/>
        <v>0</v>
      </c>
      <c r="V432">
        <v>-33.130000000000003</v>
      </c>
      <c r="W432">
        <f>VLOOKUP(G432,'[1]Erogati mag-giu 2026_791_old'!$A:$W,14,FALSE)</f>
        <v>-33.130000000000003</v>
      </c>
      <c r="X432">
        <f t="shared" si="31"/>
        <v>0</v>
      </c>
      <c r="Y432" t="s">
        <v>158</v>
      </c>
      <c r="Z432" t="str">
        <f>VLOOKUP(G432,'[2]Erogati mag-giu 2026_791_old'!$D:$T,11,FALSE)</f>
        <v>indiretto</v>
      </c>
      <c r="AA432" t="b">
        <v>1</v>
      </c>
      <c r="AF432" t="s">
        <v>20</v>
      </c>
      <c r="AG432" t="s">
        <v>20</v>
      </c>
    </row>
    <row r="433" spans="1:33">
      <c r="A433" s="13" t="s">
        <v>741</v>
      </c>
      <c r="B433" t="s">
        <v>1695</v>
      </c>
      <c r="C433" s="4">
        <v>202601307213872</v>
      </c>
      <c r="D433" s="4" t="b">
        <f t="shared" si="32"/>
        <v>1</v>
      </c>
      <c r="E433" t="s">
        <v>20</v>
      </c>
      <c r="F433" t="s">
        <v>21</v>
      </c>
      <c r="G433" t="s">
        <v>742</v>
      </c>
      <c r="H433" t="str">
        <f>VLOOKUP(C433,'[1]Erogati mag-giu 2026_791_old'!$B:$E,4,FALSE)</f>
        <v>C309902</v>
      </c>
      <c r="I433" t="b">
        <f t="shared" si="28"/>
        <v>1</v>
      </c>
      <c r="J433" s="14">
        <v>46179</v>
      </c>
      <c r="K433" s="14">
        <v>46179</v>
      </c>
      <c r="L433" t="s">
        <v>20</v>
      </c>
      <c r="M433" s="14">
        <v>46188</v>
      </c>
      <c r="N433" s="14">
        <v>46179</v>
      </c>
      <c r="O433" t="s">
        <v>20</v>
      </c>
      <c r="P433">
        <v>-66.260000000000005</v>
      </c>
      <c r="Q433">
        <f>VLOOKUP(G433,'[1]Erogati mag-giu 2026_791_old'!$A:$W,12,FALSE)</f>
        <v>-66.260000000000005</v>
      </c>
      <c r="R433">
        <f t="shared" si="29"/>
        <v>0</v>
      </c>
      <c r="S433">
        <v>-66.260000000000005</v>
      </c>
      <c r="T433">
        <f>VLOOKUP(G433,'[1]Erogati mag-giu 2026_791_old'!$A:$W,13,FALSE)</f>
        <v>-66.260000000000005</v>
      </c>
      <c r="U433">
        <f t="shared" si="30"/>
        <v>0</v>
      </c>
      <c r="V433">
        <v>-66.260000000000005</v>
      </c>
      <c r="W433">
        <f>VLOOKUP(G433,'[1]Erogati mag-giu 2026_791_old'!$A:$W,14,FALSE)</f>
        <v>-66.260000000000005</v>
      </c>
      <c r="X433">
        <f t="shared" si="31"/>
        <v>0</v>
      </c>
      <c r="Y433" t="s">
        <v>158</v>
      </c>
      <c r="Z433" t="str">
        <f>VLOOKUP(G433,'[2]Erogati mag-giu 2026_791_old'!$D:$T,11,FALSE)</f>
        <v>indiretto</v>
      </c>
      <c r="AA433" t="b">
        <v>1</v>
      </c>
      <c r="AF433" t="s">
        <v>20</v>
      </c>
      <c r="AG433" t="s">
        <v>20</v>
      </c>
    </row>
    <row r="434" spans="1:33">
      <c r="A434" s="13" t="s">
        <v>743</v>
      </c>
      <c r="B434" t="s">
        <v>1696</v>
      </c>
      <c r="C434" s="4">
        <v>202601307215667</v>
      </c>
      <c r="D434" s="4" t="b">
        <f t="shared" si="32"/>
        <v>1</v>
      </c>
      <c r="E434" t="s">
        <v>20</v>
      </c>
      <c r="F434" t="s">
        <v>21</v>
      </c>
      <c r="G434" t="s">
        <v>744</v>
      </c>
      <c r="H434" t="str">
        <f>VLOOKUP(C434,'[1]Erogati mag-giu 2026_791_old'!$B:$E,4,FALSE)</f>
        <v>C344239</v>
      </c>
      <c r="I434" t="b">
        <f t="shared" si="28"/>
        <v>1</v>
      </c>
      <c r="J434" s="14">
        <v>46179</v>
      </c>
      <c r="K434" s="14">
        <v>46179</v>
      </c>
      <c r="L434" t="s">
        <v>20</v>
      </c>
      <c r="M434" s="14">
        <v>46188</v>
      </c>
      <c r="N434" s="14">
        <v>46179</v>
      </c>
      <c r="O434" t="s">
        <v>20</v>
      </c>
      <c r="P434">
        <v>-71.900000000000006</v>
      </c>
      <c r="Q434">
        <f>VLOOKUP(G434,'[1]Erogati mag-giu 2026_791_old'!$A:$W,12,FALSE)</f>
        <v>-71.900000000000006</v>
      </c>
      <c r="R434">
        <f t="shared" si="29"/>
        <v>0</v>
      </c>
      <c r="S434">
        <v>-71.900000000000006</v>
      </c>
      <c r="T434">
        <f>VLOOKUP(G434,'[1]Erogati mag-giu 2026_791_old'!$A:$W,13,FALSE)</f>
        <v>-71.900000000000006</v>
      </c>
      <c r="U434">
        <f t="shared" si="30"/>
        <v>0</v>
      </c>
      <c r="V434">
        <v>-71.900000000000006</v>
      </c>
      <c r="W434">
        <f>VLOOKUP(G434,'[1]Erogati mag-giu 2026_791_old'!$A:$W,14,FALSE)</f>
        <v>-71.900000000000006</v>
      </c>
      <c r="X434">
        <f t="shared" si="31"/>
        <v>0</v>
      </c>
      <c r="Y434" t="s">
        <v>158</v>
      </c>
      <c r="Z434" t="str">
        <f>VLOOKUP(G434,'[2]Erogati mag-giu 2026_791_old'!$D:$T,11,FALSE)</f>
        <v>indiretto</v>
      </c>
      <c r="AA434" t="b">
        <v>1</v>
      </c>
      <c r="AF434" t="s">
        <v>20</v>
      </c>
      <c r="AG434" t="s">
        <v>20</v>
      </c>
    </row>
    <row r="435" spans="1:33">
      <c r="A435" s="13" t="s">
        <v>745</v>
      </c>
      <c r="B435" t="s">
        <v>1697</v>
      </c>
      <c r="C435" s="4">
        <v>202601307219003</v>
      </c>
      <c r="D435" s="4" t="b">
        <f t="shared" si="32"/>
        <v>1</v>
      </c>
      <c r="E435" t="s">
        <v>20</v>
      </c>
      <c r="F435" t="s">
        <v>21</v>
      </c>
      <c r="G435" t="s">
        <v>746</v>
      </c>
      <c r="H435" t="str">
        <f>VLOOKUP(C435,'[1]Erogati mag-giu 2026_791_old'!$B:$E,4,FALSE)</f>
        <v>C117844</v>
      </c>
      <c r="I435" t="b">
        <f t="shared" si="28"/>
        <v>1</v>
      </c>
      <c r="J435" s="14">
        <v>46179</v>
      </c>
      <c r="K435" s="14">
        <v>46179</v>
      </c>
      <c r="L435" t="s">
        <v>20</v>
      </c>
      <c r="M435" s="14">
        <v>46188</v>
      </c>
      <c r="N435" s="14">
        <v>46179</v>
      </c>
      <c r="O435" t="s">
        <v>20</v>
      </c>
      <c r="P435">
        <v>-165.65</v>
      </c>
      <c r="Q435">
        <f>VLOOKUP(G435,'[1]Erogati mag-giu 2026_791_old'!$A:$W,12,FALSE)</f>
        <v>-165.65</v>
      </c>
      <c r="R435">
        <f t="shared" si="29"/>
        <v>0</v>
      </c>
      <c r="S435">
        <v>-165.65</v>
      </c>
      <c r="T435">
        <f>VLOOKUP(G435,'[1]Erogati mag-giu 2026_791_old'!$A:$W,13,FALSE)</f>
        <v>-165.65</v>
      </c>
      <c r="U435">
        <f t="shared" si="30"/>
        <v>0</v>
      </c>
      <c r="V435">
        <v>-165.65</v>
      </c>
      <c r="W435">
        <f>VLOOKUP(G435,'[1]Erogati mag-giu 2026_791_old'!$A:$W,14,FALSE)</f>
        <v>-165.65</v>
      </c>
      <c r="X435">
        <f t="shared" si="31"/>
        <v>0</v>
      </c>
      <c r="Y435" t="s">
        <v>158</v>
      </c>
      <c r="Z435" t="str">
        <f>VLOOKUP(G435,'[2]Erogati mag-giu 2026_791_old'!$D:$T,11,FALSE)</f>
        <v>indiretto</v>
      </c>
      <c r="AA435" t="b">
        <v>1</v>
      </c>
      <c r="AF435" t="s">
        <v>20</v>
      </c>
      <c r="AG435" t="s">
        <v>20</v>
      </c>
    </row>
    <row r="436" spans="1:33">
      <c r="A436" s="13" t="s">
        <v>747</v>
      </c>
      <c r="B436" t="s">
        <v>1698</v>
      </c>
      <c r="C436" s="4">
        <v>202601307224552</v>
      </c>
      <c r="D436" s="4" t="b">
        <f t="shared" si="32"/>
        <v>1</v>
      </c>
      <c r="E436" t="s">
        <v>20</v>
      </c>
      <c r="F436" t="s">
        <v>21</v>
      </c>
      <c r="G436" t="s">
        <v>748</v>
      </c>
      <c r="H436" t="str">
        <f>VLOOKUP(C436,'[1]Erogati mag-giu 2026_791_old'!$B:$E,4,FALSE)</f>
        <v>C344131</v>
      </c>
      <c r="I436" t="b">
        <f t="shared" si="28"/>
        <v>1</v>
      </c>
      <c r="J436" s="14">
        <v>46179</v>
      </c>
      <c r="K436" s="14">
        <v>46179</v>
      </c>
      <c r="L436" t="s">
        <v>20</v>
      </c>
      <c r="M436" s="14">
        <v>46188</v>
      </c>
      <c r="N436" s="14">
        <v>46179</v>
      </c>
      <c r="O436" t="s">
        <v>20</v>
      </c>
      <c r="P436">
        <v>-99.39</v>
      </c>
      <c r="Q436">
        <f>VLOOKUP(G436,'[1]Erogati mag-giu 2026_791_old'!$A:$W,12,FALSE)</f>
        <v>-99.39</v>
      </c>
      <c r="R436">
        <f t="shared" si="29"/>
        <v>0</v>
      </c>
      <c r="S436">
        <v>-99.39</v>
      </c>
      <c r="T436">
        <f>VLOOKUP(G436,'[1]Erogati mag-giu 2026_791_old'!$A:$W,13,FALSE)</f>
        <v>-99.39</v>
      </c>
      <c r="U436">
        <f t="shared" si="30"/>
        <v>0</v>
      </c>
      <c r="V436">
        <v>-99.39</v>
      </c>
      <c r="W436">
        <f>VLOOKUP(G436,'[1]Erogati mag-giu 2026_791_old'!$A:$W,14,FALSE)</f>
        <v>-99.39</v>
      </c>
      <c r="X436">
        <f t="shared" si="31"/>
        <v>0</v>
      </c>
      <c r="Y436" t="s">
        <v>158</v>
      </c>
      <c r="Z436" t="str">
        <f>VLOOKUP(G436,'[2]Erogati mag-giu 2026_791_old'!$D:$T,11,FALSE)</f>
        <v>indiretto</v>
      </c>
      <c r="AA436" t="b">
        <v>1</v>
      </c>
      <c r="AF436" t="s">
        <v>20</v>
      </c>
      <c r="AG436" t="s">
        <v>20</v>
      </c>
    </row>
    <row r="437" spans="1:33">
      <c r="A437" s="13" t="s">
        <v>749</v>
      </c>
      <c r="B437" t="s">
        <v>1699</v>
      </c>
      <c r="C437" s="4">
        <v>202601307225415</v>
      </c>
      <c r="D437" s="4" t="b">
        <f t="shared" si="32"/>
        <v>1</v>
      </c>
      <c r="E437" t="s">
        <v>20</v>
      </c>
      <c r="F437" t="s">
        <v>21</v>
      </c>
      <c r="G437" t="s">
        <v>750</v>
      </c>
      <c r="H437" t="str">
        <f>VLOOKUP(C437,'[1]Erogati mag-giu 2026_791_old'!$B:$E,4,FALSE)</f>
        <v>C344215</v>
      </c>
      <c r="I437" t="b">
        <f t="shared" si="28"/>
        <v>1</v>
      </c>
      <c r="J437" s="14">
        <v>46179</v>
      </c>
      <c r="K437" s="14">
        <v>46179</v>
      </c>
      <c r="L437" t="s">
        <v>20</v>
      </c>
      <c r="M437" s="14">
        <v>46188</v>
      </c>
      <c r="N437" s="14">
        <v>46179</v>
      </c>
      <c r="O437" t="s">
        <v>20</v>
      </c>
      <c r="P437">
        <v>-52.52</v>
      </c>
      <c r="Q437">
        <f>VLOOKUP(G437,'[1]Erogati mag-giu 2026_791_old'!$A:$W,12,FALSE)</f>
        <v>-52.52</v>
      </c>
      <c r="R437">
        <f t="shared" si="29"/>
        <v>0</v>
      </c>
      <c r="S437">
        <v>-52.52</v>
      </c>
      <c r="T437">
        <f>VLOOKUP(G437,'[1]Erogati mag-giu 2026_791_old'!$A:$W,13,FALSE)</f>
        <v>-52.52</v>
      </c>
      <c r="U437">
        <f t="shared" si="30"/>
        <v>0</v>
      </c>
      <c r="V437">
        <v>-52.52</v>
      </c>
      <c r="W437">
        <f>VLOOKUP(G437,'[1]Erogati mag-giu 2026_791_old'!$A:$W,14,FALSE)</f>
        <v>-52.52</v>
      </c>
      <c r="X437">
        <f t="shared" si="31"/>
        <v>0</v>
      </c>
      <c r="Y437" t="s">
        <v>158</v>
      </c>
      <c r="Z437" t="str">
        <f>VLOOKUP(G437,'[2]Erogati mag-giu 2026_791_old'!$D:$T,11,FALSE)</f>
        <v>indiretto</v>
      </c>
      <c r="AA437" t="b">
        <v>1</v>
      </c>
      <c r="AF437" t="s">
        <v>20</v>
      </c>
      <c r="AG437" t="s">
        <v>20</v>
      </c>
    </row>
    <row r="438" spans="1:33">
      <c r="A438" s="13" t="s">
        <v>751</v>
      </c>
      <c r="B438" t="s">
        <v>1700</v>
      </c>
      <c r="C438" s="4">
        <v>202601307230061</v>
      </c>
      <c r="D438" s="4" t="b">
        <f t="shared" si="32"/>
        <v>1</v>
      </c>
      <c r="E438" t="s">
        <v>20</v>
      </c>
      <c r="F438" t="s">
        <v>21</v>
      </c>
      <c r="G438" t="s">
        <v>752</v>
      </c>
      <c r="H438" t="str">
        <f>VLOOKUP(C438,'[1]Erogati mag-giu 2026_791_old'!$B:$E,4,FALSE)</f>
        <v>C124130</v>
      </c>
      <c r="I438" t="b">
        <f t="shared" si="28"/>
        <v>1</v>
      </c>
      <c r="J438" s="14">
        <v>46179</v>
      </c>
      <c r="K438" s="14">
        <v>46179</v>
      </c>
      <c r="L438" t="s">
        <v>20</v>
      </c>
      <c r="M438" s="14">
        <v>46188</v>
      </c>
      <c r="N438" s="14">
        <v>46179</v>
      </c>
      <c r="O438" t="s">
        <v>20</v>
      </c>
      <c r="P438">
        <v>-66.260000000000005</v>
      </c>
      <c r="Q438">
        <f>VLOOKUP(G438,'[1]Erogati mag-giu 2026_791_old'!$A:$W,12,FALSE)</f>
        <v>-66.260000000000005</v>
      </c>
      <c r="R438">
        <f t="shared" si="29"/>
        <v>0</v>
      </c>
      <c r="S438">
        <v>-66.260000000000005</v>
      </c>
      <c r="T438">
        <f>VLOOKUP(G438,'[1]Erogati mag-giu 2026_791_old'!$A:$W,13,FALSE)</f>
        <v>-66.260000000000005</v>
      </c>
      <c r="U438">
        <f t="shared" si="30"/>
        <v>0</v>
      </c>
      <c r="V438">
        <v>-66.260000000000005</v>
      </c>
      <c r="W438">
        <f>VLOOKUP(G438,'[1]Erogati mag-giu 2026_791_old'!$A:$W,14,FALSE)</f>
        <v>-66.260000000000005</v>
      </c>
      <c r="X438">
        <f t="shared" si="31"/>
        <v>0</v>
      </c>
      <c r="Y438" t="s">
        <v>158</v>
      </c>
      <c r="Z438" t="str">
        <f>VLOOKUP(G438,'[2]Erogati mag-giu 2026_791_old'!$D:$T,11,FALSE)</f>
        <v>indiretto</v>
      </c>
      <c r="AA438" t="b">
        <v>1</v>
      </c>
      <c r="AF438" t="s">
        <v>20</v>
      </c>
      <c r="AG438" t="s">
        <v>20</v>
      </c>
    </row>
    <row r="439" spans="1:33">
      <c r="A439" s="13" t="s">
        <v>753</v>
      </c>
      <c r="B439" t="s">
        <v>1701</v>
      </c>
      <c r="C439" s="4">
        <v>202601307239124</v>
      </c>
      <c r="D439" s="4" t="b">
        <f t="shared" si="32"/>
        <v>1</v>
      </c>
      <c r="E439" t="s">
        <v>20</v>
      </c>
      <c r="F439" t="s">
        <v>21</v>
      </c>
      <c r="G439" t="s">
        <v>754</v>
      </c>
      <c r="H439" t="str">
        <f>VLOOKUP(C439,'[1]Erogati mag-giu 2026_791_old'!$B:$E,4,FALSE)</f>
        <v>C307796</v>
      </c>
      <c r="I439" t="b">
        <f t="shared" si="28"/>
        <v>1</v>
      </c>
      <c r="J439" s="14">
        <v>46179</v>
      </c>
      <c r="K439" s="14">
        <v>46179</v>
      </c>
      <c r="L439" t="s">
        <v>20</v>
      </c>
      <c r="M439" s="14">
        <v>46188</v>
      </c>
      <c r="N439" s="14">
        <v>46179</v>
      </c>
      <c r="O439" t="s">
        <v>20</v>
      </c>
      <c r="P439">
        <v>-66.260000000000005</v>
      </c>
      <c r="Q439">
        <f>VLOOKUP(G439,'[1]Erogati mag-giu 2026_791_old'!$A:$W,12,FALSE)</f>
        <v>-66.260000000000005</v>
      </c>
      <c r="R439">
        <f t="shared" si="29"/>
        <v>0</v>
      </c>
      <c r="S439">
        <v>-66.260000000000005</v>
      </c>
      <c r="T439">
        <f>VLOOKUP(G439,'[1]Erogati mag-giu 2026_791_old'!$A:$W,13,FALSE)</f>
        <v>-66.260000000000005</v>
      </c>
      <c r="U439">
        <f t="shared" si="30"/>
        <v>0</v>
      </c>
      <c r="V439">
        <v>-66.260000000000005</v>
      </c>
      <c r="W439">
        <f>VLOOKUP(G439,'[1]Erogati mag-giu 2026_791_old'!$A:$W,14,FALSE)</f>
        <v>-66.260000000000005</v>
      </c>
      <c r="X439">
        <f t="shared" si="31"/>
        <v>0</v>
      </c>
      <c r="Y439" t="s">
        <v>158</v>
      </c>
      <c r="Z439" t="str">
        <f>VLOOKUP(G439,'[2]Erogati mag-giu 2026_791_old'!$D:$T,11,FALSE)</f>
        <v>indiretto</v>
      </c>
      <c r="AA439" t="b">
        <v>1</v>
      </c>
      <c r="AF439" t="s">
        <v>20</v>
      </c>
      <c r="AG439" t="s">
        <v>20</v>
      </c>
    </row>
    <row r="440" spans="1:33">
      <c r="A440" s="13" t="s">
        <v>755</v>
      </c>
      <c r="B440" t="s">
        <v>1702</v>
      </c>
      <c r="C440" s="4">
        <v>202601307243255</v>
      </c>
      <c r="D440" s="4" t="b">
        <f t="shared" si="32"/>
        <v>1</v>
      </c>
      <c r="E440" t="s">
        <v>20</v>
      </c>
      <c r="F440" t="s">
        <v>21</v>
      </c>
      <c r="G440" t="s">
        <v>756</v>
      </c>
      <c r="H440" t="str">
        <f>VLOOKUP(C440,'[1]Erogati mag-giu 2026_791_old'!$B:$E,4,FALSE)</f>
        <v>C344207</v>
      </c>
      <c r="I440" t="b">
        <f t="shared" si="28"/>
        <v>1</v>
      </c>
      <c r="J440" s="14">
        <v>46179</v>
      </c>
      <c r="K440" s="14">
        <v>46179</v>
      </c>
      <c r="L440" t="s">
        <v>20</v>
      </c>
      <c r="M440" s="14">
        <v>46188</v>
      </c>
      <c r="N440" s="14">
        <v>46179</v>
      </c>
      <c r="O440" t="s">
        <v>20</v>
      </c>
      <c r="P440">
        <v>-60.07</v>
      </c>
      <c r="Q440">
        <f>VLOOKUP(G440,'[1]Erogati mag-giu 2026_791_old'!$A:$W,12,FALSE)</f>
        <v>-60.07</v>
      </c>
      <c r="R440">
        <f t="shared" si="29"/>
        <v>0</v>
      </c>
      <c r="S440">
        <v>-60.07</v>
      </c>
      <c r="T440">
        <f>VLOOKUP(G440,'[1]Erogati mag-giu 2026_791_old'!$A:$W,13,FALSE)</f>
        <v>-60.07</v>
      </c>
      <c r="U440">
        <f t="shared" si="30"/>
        <v>0</v>
      </c>
      <c r="V440">
        <v>-60.07</v>
      </c>
      <c r="W440">
        <f>VLOOKUP(G440,'[1]Erogati mag-giu 2026_791_old'!$A:$W,14,FALSE)</f>
        <v>-60.07</v>
      </c>
      <c r="X440">
        <f t="shared" si="31"/>
        <v>0</v>
      </c>
      <c r="Y440" t="s">
        <v>158</v>
      </c>
      <c r="Z440" t="str">
        <f>VLOOKUP(G440,'[2]Erogati mag-giu 2026_791_old'!$D:$T,11,FALSE)</f>
        <v>indiretto</v>
      </c>
      <c r="AA440" t="b">
        <v>1</v>
      </c>
      <c r="AF440" t="s">
        <v>20</v>
      </c>
      <c r="AG440" t="s">
        <v>20</v>
      </c>
    </row>
    <row r="441" spans="1:33">
      <c r="A441" s="13" t="s">
        <v>757</v>
      </c>
      <c r="B441" t="s">
        <v>1703</v>
      </c>
      <c r="C441" s="4">
        <v>202601307247069</v>
      </c>
      <c r="D441" s="4" t="b">
        <f t="shared" si="32"/>
        <v>1</v>
      </c>
      <c r="E441" t="s">
        <v>20</v>
      </c>
      <c r="F441" t="s">
        <v>21</v>
      </c>
      <c r="G441" t="s">
        <v>758</v>
      </c>
      <c r="H441" t="str">
        <f>VLOOKUP(C441,'[1]Erogati mag-giu 2026_791_old'!$B:$E,4,FALSE)</f>
        <v>C312458</v>
      </c>
      <c r="I441" t="b">
        <f t="shared" si="28"/>
        <v>1</v>
      </c>
      <c r="J441" s="14">
        <v>46179</v>
      </c>
      <c r="K441" s="14">
        <v>46179</v>
      </c>
      <c r="L441" t="s">
        <v>20</v>
      </c>
      <c r="M441" s="14">
        <v>46188</v>
      </c>
      <c r="N441" s="14">
        <v>46179</v>
      </c>
      <c r="O441" t="s">
        <v>20</v>
      </c>
      <c r="P441">
        <v>-99.39</v>
      </c>
      <c r="Q441">
        <f>VLOOKUP(G441,'[1]Erogati mag-giu 2026_791_old'!$A:$W,12,FALSE)</f>
        <v>-99.39</v>
      </c>
      <c r="R441">
        <f t="shared" si="29"/>
        <v>0</v>
      </c>
      <c r="S441">
        <v>-99.39</v>
      </c>
      <c r="T441">
        <f>VLOOKUP(G441,'[1]Erogati mag-giu 2026_791_old'!$A:$W,13,FALSE)</f>
        <v>-99.39</v>
      </c>
      <c r="U441">
        <f t="shared" si="30"/>
        <v>0</v>
      </c>
      <c r="V441">
        <v>-99.39</v>
      </c>
      <c r="W441">
        <f>VLOOKUP(G441,'[1]Erogati mag-giu 2026_791_old'!$A:$W,14,FALSE)</f>
        <v>-99.39</v>
      </c>
      <c r="X441">
        <f t="shared" si="31"/>
        <v>0</v>
      </c>
      <c r="Y441" t="s">
        <v>158</v>
      </c>
      <c r="Z441" t="str">
        <f>VLOOKUP(G441,'[2]Erogati mag-giu 2026_791_old'!$D:$T,11,FALSE)</f>
        <v>indiretto</v>
      </c>
      <c r="AA441" t="b">
        <v>1</v>
      </c>
      <c r="AF441" t="s">
        <v>20</v>
      </c>
      <c r="AG441" t="s">
        <v>20</v>
      </c>
    </row>
    <row r="442" spans="1:33">
      <c r="A442" s="13" t="s">
        <v>759</v>
      </c>
      <c r="B442" t="s">
        <v>1704</v>
      </c>
      <c r="C442" s="4">
        <v>202601307255817</v>
      </c>
      <c r="D442" s="4" t="b">
        <f t="shared" si="32"/>
        <v>1</v>
      </c>
      <c r="E442" t="s">
        <v>20</v>
      </c>
      <c r="F442" t="s">
        <v>21</v>
      </c>
      <c r="G442" t="s">
        <v>760</v>
      </c>
      <c r="H442" t="str">
        <f>VLOOKUP(C442,'[1]Erogati mag-giu 2026_791_old'!$B:$E,4,FALSE)</f>
        <v>C344206</v>
      </c>
      <c r="I442" t="b">
        <f t="shared" si="28"/>
        <v>1</v>
      </c>
      <c r="J442" s="14">
        <v>46179</v>
      </c>
      <c r="K442" s="14">
        <v>46179</v>
      </c>
      <c r="L442" t="s">
        <v>20</v>
      </c>
      <c r="M442" s="14">
        <v>46188</v>
      </c>
      <c r="N442" s="14">
        <v>46179</v>
      </c>
      <c r="O442" t="s">
        <v>20</v>
      </c>
      <c r="P442">
        <v>-49.24</v>
      </c>
      <c r="Q442">
        <f>VLOOKUP(G442,'[1]Erogati mag-giu 2026_791_old'!$A:$W,12,FALSE)</f>
        <v>-49.24</v>
      </c>
      <c r="R442">
        <f t="shared" si="29"/>
        <v>0</v>
      </c>
      <c r="S442">
        <v>-49.24</v>
      </c>
      <c r="T442">
        <f>VLOOKUP(G442,'[1]Erogati mag-giu 2026_791_old'!$A:$W,13,FALSE)</f>
        <v>-49.24</v>
      </c>
      <c r="U442">
        <f t="shared" si="30"/>
        <v>0</v>
      </c>
      <c r="V442">
        <v>-49.24</v>
      </c>
      <c r="W442">
        <f>VLOOKUP(G442,'[1]Erogati mag-giu 2026_791_old'!$A:$W,14,FALSE)</f>
        <v>-49.24</v>
      </c>
      <c r="X442">
        <f t="shared" si="31"/>
        <v>0</v>
      </c>
      <c r="Y442" t="s">
        <v>158</v>
      </c>
      <c r="Z442" t="str">
        <f>VLOOKUP(G442,'[2]Erogati mag-giu 2026_791_old'!$D:$T,11,FALSE)</f>
        <v>indiretto</v>
      </c>
      <c r="AA442" t="b">
        <v>1</v>
      </c>
      <c r="AF442" t="s">
        <v>20</v>
      </c>
      <c r="AG442" t="s">
        <v>20</v>
      </c>
    </row>
    <row r="443" spans="1:33">
      <c r="A443" s="13" t="s">
        <v>761</v>
      </c>
      <c r="B443" t="s">
        <v>1705</v>
      </c>
      <c r="C443" s="4">
        <v>202601307266662</v>
      </c>
      <c r="D443" s="4" t="b">
        <f t="shared" si="32"/>
        <v>1</v>
      </c>
      <c r="E443" t="s">
        <v>20</v>
      </c>
      <c r="F443" t="s">
        <v>21</v>
      </c>
      <c r="G443" t="s">
        <v>762</v>
      </c>
      <c r="H443" t="str">
        <f>VLOOKUP(C443,'[1]Erogati mag-giu 2026_791_old'!$B:$E,4,FALSE)</f>
        <v>C344162</v>
      </c>
      <c r="I443" t="b">
        <f t="shared" si="28"/>
        <v>1</v>
      </c>
      <c r="J443" s="14">
        <v>46179</v>
      </c>
      <c r="K443" s="14">
        <v>46179</v>
      </c>
      <c r="L443" t="s">
        <v>20</v>
      </c>
      <c r="M443" s="14">
        <v>46188</v>
      </c>
      <c r="N443" s="14">
        <v>46179</v>
      </c>
      <c r="O443" t="s">
        <v>20</v>
      </c>
      <c r="P443">
        <v>-33.130000000000003</v>
      </c>
      <c r="Q443">
        <f>VLOOKUP(G443,'[1]Erogati mag-giu 2026_791_old'!$A:$W,12,FALSE)</f>
        <v>-33.130000000000003</v>
      </c>
      <c r="R443">
        <f t="shared" si="29"/>
        <v>0</v>
      </c>
      <c r="S443">
        <v>-33.130000000000003</v>
      </c>
      <c r="T443">
        <f>VLOOKUP(G443,'[1]Erogati mag-giu 2026_791_old'!$A:$W,13,FALSE)</f>
        <v>-33.130000000000003</v>
      </c>
      <c r="U443">
        <f t="shared" si="30"/>
        <v>0</v>
      </c>
      <c r="V443">
        <v>-33.130000000000003</v>
      </c>
      <c r="W443">
        <f>VLOOKUP(G443,'[1]Erogati mag-giu 2026_791_old'!$A:$W,14,FALSE)</f>
        <v>-33.130000000000003</v>
      </c>
      <c r="X443">
        <f t="shared" si="31"/>
        <v>0</v>
      </c>
      <c r="Y443" t="s">
        <v>158</v>
      </c>
      <c r="Z443" t="str">
        <f>VLOOKUP(G443,'[2]Erogati mag-giu 2026_791_old'!$D:$T,11,FALSE)</f>
        <v>indiretto</v>
      </c>
      <c r="AA443" t="b">
        <v>1</v>
      </c>
      <c r="AF443" t="s">
        <v>20</v>
      </c>
      <c r="AG443" t="s">
        <v>20</v>
      </c>
    </row>
    <row r="444" spans="1:33">
      <c r="A444" s="13" t="s">
        <v>763</v>
      </c>
      <c r="B444" t="s">
        <v>1706</v>
      </c>
      <c r="C444" s="4">
        <v>202601307266859</v>
      </c>
      <c r="D444" s="4" t="b">
        <f t="shared" si="32"/>
        <v>1</v>
      </c>
      <c r="E444" t="s">
        <v>20</v>
      </c>
      <c r="F444" t="s">
        <v>21</v>
      </c>
      <c r="G444" t="s">
        <v>764</v>
      </c>
      <c r="H444" t="str">
        <f>VLOOKUP(C444,'[1]Erogati mag-giu 2026_791_old'!$B:$E,4,FALSE)</f>
        <v>C320246</v>
      </c>
      <c r="I444" t="b">
        <f t="shared" si="28"/>
        <v>1</v>
      </c>
      <c r="J444" s="14">
        <v>46179</v>
      </c>
      <c r="K444" s="14">
        <v>46179</v>
      </c>
      <c r="L444" t="s">
        <v>20</v>
      </c>
      <c r="M444" s="14">
        <v>46188</v>
      </c>
      <c r="N444" s="14">
        <v>46179</v>
      </c>
      <c r="O444" t="s">
        <v>20</v>
      </c>
      <c r="P444">
        <v>-198.78</v>
      </c>
      <c r="Q444">
        <f>VLOOKUP(G444,'[1]Erogati mag-giu 2026_791_old'!$A:$W,12,FALSE)</f>
        <v>-198.78</v>
      </c>
      <c r="R444">
        <f t="shared" si="29"/>
        <v>0</v>
      </c>
      <c r="S444">
        <v>-198.78</v>
      </c>
      <c r="T444">
        <f>VLOOKUP(G444,'[1]Erogati mag-giu 2026_791_old'!$A:$W,13,FALSE)</f>
        <v>-198.78</v>
      </c>
      <c r="U444">
        <f t="shared" si="30"/>
        <v>0</v>
      </c>
      <c r="V444">
        <v>-198.78</v>
      </c>
      <c r="W444">
        <f>VLOOKUP(G444,'[1]Erogati mag-giu 2026_791_old'!$A:$W,14,FALSE)</f>
        <v>-198.78</v>
      </c>
      <c r="X444">
        <f t="shared" si="31"/>
        <v>0</v>
      </c>
      <c r="Y444" t="s">
        <v>158</v>
      </c>
      <c r="Z444" t="str">
        <f>VLOOKUP(G444,'[2]Erogati mag-giu 2026_791_old'!$D:$T,11,FALSE)</f>
        <v>indiretto</v>
      </c>
      <c r="AA444" t="b">
        <v>1</v>
      </c>
      <c r="AF444" t="s">
        <v>20</v>
      </c>
      <c r="AG444" t="s">
        <v>20</v>
      </c>
    </row>
    <row r="445" spans="1:33">
      <c r="A445" s="13" t="s">
        <v>765</v>
      </c>
      <c r="B445" t="s">
        <v>1707</v>
      </c>
      <c r="C445" s="4">
        <v>202601307267866</v>
      </c>
      <c r="D445" s="4" t="b">
        <f t="shared" si="32"/>
        <v>1</v>
      </c>
      <c r="E445" t="s">
        <v>20</v>
      </c>
      <c r="F445" t="s">
        <v>21</v>
      </c>
      <c r="G445" t="s">
        <v>766</v>
      </c>
      <c r="H445" t="str">
        <f>VLOOKUP(C445,'[1]Erogati mag-giu 2026_791_old'!$B:$E,4,FALSE)</f>
        <v>C313812</v>
      </c>
      <c r="I445" t="b">
        <f t="shared" si="28"/>
        <v>1</v>
      </c>
      <c r="J445" s="14">
        <v>46179</v>
      </c>
      <c r="K445" s="14">
        <v>46179</v>
      </c>
      <c r="L445" t="s">
        <v>20</v>
      </c>
      <c r="M445" s="14">
        <v>46188</v>
      </c>
      <c r="N445" s="14">
        <v>46179</v>
      </c>
      <c r="O445" t="s">
        <v>20</v>
      </c>
      <c r="P445">
        <v>-33.130000000000003</v>
      </c>
      <c r="Q445">
        <f>VLOOKUP(G445,'[1]Erogati mag-giu 2026_791_old'!$A:$W,12,FALSE)</f>
        <v>-33.130000000000003</v>
      </c>
      <c r="R445">
        <f t="shared" si="29"/>
        <v>0</v>
      </c>
      <c r="S445">
        <v>-33.130000000000003</v>
      </c>
      <c r="T445">
        <f>VLOOKUP(G445,'[1]Erogati mag-giu 2026_791_old'!$A:$W,13,FALSE)</f>
        <v>-33.130000000000003</v>
      </c>
      <c r="U445">
        <f t="shared" si="30"/>
        <v>0</v>
      </c>
      <c r="V445">
        <v>-33.130000000000003</v>
      </c>
      <c r="W445">
        <f>VLOOKUP(G445,'[1]Erogati mag-giu 2026_791_old'!$A:$W,14,FALSE)</f>
        <v>-33.130000000000003</v>
      </c>
      <c r="X445">
        <f t="shared" si="31"/>
        <v>0</v>
      </c>
      <c r="Y445" t="s">
        <v>158</v>
      </c>
      <c r="Z445" t="str">
        <f>VLOOKUP(G445,'[2]Erogati mag-giu 2026_791_old'!$D:$T,11,FALSE)</f>
        <v>indiretto</v>
      </c>
      <c r="AA445" t="b">
        <v>1</v>
      </c>
      <c r="AF445" t="s">
        <v>20</v>
      </c>
      <c r="AG445" t="s">
        <v>20</v>
      </c>
    </row>
    <row r="446" spans="1:33">
      <c r="A446" s="13" t="s">
        <v>767</v>
      </c>
      <c r="B446" t="s">
        <v>1708</v>
      </c>
      <c r="C446" s="4">
        <v>202601307272042</v>
      </c>
      <c r="D446" s="4" t="b">
        <f t="shared" si="32"/>
        <v>1</v>
      </c>
      <c r="E446" t="s">
        <v>20</v>
      </c>
      <c r="F446" t="s">
        <v>21</v>
      </c>
      <c r="G446" t="s">
        <v>768</v>
      </c>
      <c r="H446" t="str">
        <f>VLOOKUP(C446,'[1]Erogati mag-giu 2026_791_old'!$B:$E,4,FALSE)</f>
        <v>C344256</v>
      </c>
      <c r="I446" t="b">
        <f t="shared" si="28"/>
        <v>1</v>
      </c>
      <c r="J446" s="14">
        <v>46179</v>
      </c>
      <c r="K446" s="14">
        <v>46179</v>
      </c>
      <c r="L446" t="s">
        <v>20</v>
      </c>
      <c r="M446" s="14">
        <v>46188</v>
      </c>
      <c r="N446" s="14">
        <v>46179</v>
      </c>
      <c r="O446" t="s">
        <v>20</v>
      </c>
      <c r="P446">
        <v>-52.52</v>
      </c>
      <c r="Q446">
        <f>VLOOKUP(G446,'[1]Erogati mag-giu 2026_791_old'!$A:$W,12,FALSE)</f>
        <v>-52.52</v>
      </c>
      <c r="R446">
        <f t="shared" si="29"/>
        <v>0</v>
      </c>
      <c r="S446">
        <v>-52.52</v>
      </c>
      <c r="T446">
        <f>VLOOKUP(G446,'[1]Erogati mag-giu 2026_791_old'!$A:$W,13,FALSE)</f>
        <v>-52.52</v>
      </c>
      <c r="U446">
        <f t="shared" si="30"/>
        <v>0</v>
      </c>
      <c r="V446">
        <v>-52.52</v>
      </c>
      <c r="W446">
        <f>VLOOKUP(G446,'[1]Erogati mag-giu 2026_791_old'!$A:$W,14,FALSE)</f>
        <v>-52.52</v>
      </c>
      <c r="X446">
        <f t="shared" si="31"/>
        <v>0</v>
      </c>
      <c r="Y446" t="s">
        <v>158</v>
      </c>
      <c r="Z446" t="str">
        <f>VLOOKUP(G446,'[2]Erogati mag-giu 2026_791_old'!$D:$T,11,FALSE)</f>
        <v>indiretto</v>
      </c>
      <c r="AA446" t="b">
        <v>1</v>
      </c>
      <c r="AF446" t="s">
        <v>20</v>
      </c>
      <c r="AG446" t="s">
        <v>20</v>
      </c>
    </row>
    <row r="447" spans="1:33">
      <c r="A447" s="13" t="s">
        <v>769</v>
      </c>
      <c r="B447" t="s">
        <v>1709</v>
      </c>
      <c r="C447" s="4">
        <v>202601307274447</v>
      </c>
      <c r="D447" s="4" t="b">
        <f t="shared" si="32"/>
        <v>1</v>
      </c>
      <c r="E447" t="s">
        <v>20</v>
      </c>
      <c r="F447" t="s">
        <v>21</v>
      </c>
      <c r="G447" t="s">
        <v>770</v>
      </c>
      <c r="H447" t="str">
        <f>VLOOKUP(C447,'[1]Erogati mag-giu 2026_791_old'!$B:$E,4,FALSE)</f>
        <v>C312348</v>
      </c>
      <c r="I447" t="b">
        <f t="shared" si="28"/>
        <v>1</v>
      </c>
      <c r="J447" s="14">
        <v>46179</v>
      </c>
      <c r="K447" s="14">
        <v>46179</v>
      </c>
      <c r="L447" t="s">
        <v>20</v>
      </c>
      <c r="M447" s="14">
        <v>46188</v>
      </c>
      <c r="N447" s="14">
        <v>46179</v>
      </c>
      <c r="O447" t="s">
        <v>20</v>
      </c>
      <c r="P447">
        <v>-132.52000000000001</v>
      </c>
      <c r="Q447">
        <f>VLOOKUP(G447,'[1]Erogati mag-giu 2026_791_old'!$A:$W,12,FALSE)</f>
        <v>-132.52000000000001</v>
      </c>
      <c r="R447">
        <f t="shared" si="29"/>
        <v>0</v>
      </c>
      <c r="S447">
        <v>-132.52000000000001</v>
      </c>
      <c r="T447">
        <f>VLOOKUP(G447,'[1]Erogati mag-giu 2026_791_old'!$A:$W,13,FALSE)</f>
        <v>-132.52000000000001</v>
      </c>
      <c r="U447">
        <f t="shared" si="30"/>
        <v>0</v>
      </c>
      <c r="V447">
        <v>-132.52000000000001</v>
      </c>
      <c r="W447">
        <f>VLOOKUP(G447,'[1]Erogati mag-giu 2026_791_old'!$A:$W,14,FALSE)</f>
        <v>-132.52000000000001</v>
      </c>
      <c r="X447">
        <f t="shared" si="31"/>
        <v>0</v>
      </c>
      <c r="Y447" t="s">
        <v>158</v>
      </c>
      <c r="Z447" t="str">
        <f>VLOOKUP(G447,'[2]Erogati mag-giu 2026_791_old'!$D:$T,11,FALSE)</f>
        <v>indiretto</v>
      </c>
      <c r="AA447" t="b">
        <v>1</v>
      </c>
      <c r="AF447" t="s">
        <v>20</v>
      </c>
      <c r="AG447" t="s">
        <v>20</v>
      </c>
    </row>
    <row r="448" spans="1:33">
      <c r="A448" s="13" t="s">
        <v>771</v>
      </c>
      <c r="B448" t="s">
        <v>1710</v>
      </c>
      <c r="C448" s="4">
        <v>202601307278069</v>
      </c>
      <c r="D448" s="4" t="b">
        <f t="shared" si="32"/>
        <v>1</v>
      </c>
      <c r="E448" t="s">
        <v>20</v>
      </c>
      <c r="F448" t="s">
        <v>21</v>
      </c>
      <c r="G448" t="s">
        <v>772</v>
      </c>
      <c r="H448" t="str">
        <f>VLOOKUP(C448,'[1]Erogati mag-giu 2026_791_old'!$B:$E,4,FALSE)</f>
        <v>C337605</v>
      </c>
      <c r="I448" t="b">
        <f t="shared" si="28"/>
        <v>1</v>
      </c>
      <c r="J448" s="14">
        <v>46179</v>
      </c>
      <c r="K448" s="14">
        <v>46179</v>
      </c>
      <c r="L448" t="s">
        <v>20</v>
      </c>
      <c r="M448" s="14">
        <v>46188</v>
      </c>
      <c r="N448" s="14">
        <v>46179</v>
      </c>
      <c r="O448" t="s">
        <v>20</v>
      </c>
      <c r="P448">
        <v>-71.900000000000006</v>
      </c>
      <c r="Q448">
        <f>VLOOKUP(G448,'[1]Erogati mag-giu 2026_791_old'!$A:$W,12,FALSE)</f>
        <v>-71.900000000000006</v>
      </c>
      <c r="R448">
        <f t="shared" si="29"/>
        <v>0</v>
      </c>
      <c r="S448">
        <v>-71.900000000000006</v>
      </c>
      <c r="T448">
        <f>VLOOKUP(G448,'[1]Erogati mag-giu 2026_791_old'!$A:$W,13,FALSE)</f>
        <v>-71.900000000000006</v>
      </c>
      <c r="U448">
        <f t="shared" si="30"/>
        <v>0</v>
      </c>
      <c r="V448">
        <v>-71.900000000000006</v>
      </c>
      <c r="W448">
        <f>VLOOKUP(G448,'[1]Erogati mag-giu 2026_791_old'!$A:$W,14,FALSE)</f>
        <v>-71.900000000000006</v>
      </c>
      <c r="X448">
        <f t="shared" si="31"/>
        <v>0</v>
      </c>
      <c r="Y448" t="s">
        <v>158</v>
      </c>
      <c r="Z448" t="str">
        <f>VLOOKUP(G448,'[2]Erogati mag-giu 2026_791_old'!$D:$T,11,FALSE)</f>
        <v>indiretto</v>
      </c>
      <c r="AA448" t="b">
        <v>1</v>
      </c>
      <c r="AF448" t="s">
        <v>20</v>
      </c>
      <c r="AG448" t="s">
        <v>20</v>
      </c>
    </row>
    <row r="449" spans="1:33">
      <c r="A449" s="13" t="s">
        <v>773</v>
      </c>
      <c r="B449" t="s">
        <v>1711</v>
      </c>
      <c r="C449" s="4">
        <v>202601307280195</v>
      </c>
      <c r="D449" s="4" t="b">
        <f t="shared" si="32"/>
        <v>1</v>
      </c>
      <c r="E449" t="s">
        <v>20</v>
      </c>
      <c r="F449" t="s">
        <v>21</v>
      </c>
      <c r="G449" t="s">
        <v>774</v>
      </c>
      <c r="H449" t="str">
        <f>VLOOKUP(C449,'[1]Erogati mag-giu 2026_791_old'!$B:$E,4,FALSE)</f>
        <v>C310317</v>
      </c>
      <c r="I449" t="b">
        <f t="shared" si="28"/>
        <v>1</v>
      </c>
      <c r="J449" s="14">
        <v>46179</v>
      </c>
      <c r="K449" s="14">
        <v>46179</v>
      </c>
      <c r="L449" t="s">
        <v>20</v>
      </c>
      <c r="M449" s="14">
        <v>46188</v>
      </c>
      <c r="N449" s="14">
        <v>46179</v>
      </c>
      <c r="O449" t="s">
        <v>20</v>
      </c>
      <c r="P449">
        <v>-98.48</v>
      </c>
      <c r="Q449">
        <f>VLOOKUP(G449,'[1]Erogati mag-giu 2026_791_old'!$A:$W,12,FALSE)</f>
        <v>-98.48</v>
      </c>
      <c r="R449">
        <f t="shared" si="29"/>
        <v>0</v>
      </c>
      <c r="S449">
        <v>-98.48</v>
      </c>
      <c r="T449">
        <f>VLOOKUP(G449,'[1]Erogati mag-giu 2026_791_old'!$A:$W,13,FALSE)</f>
        <v>-98.48</v>
      </c>
      <c r="U449">
        <f t="shared" si="30"/>
        <v>0</v>
      </c>
      <c r="V449">
        <v>-98.48</v>
      </c>
      <c r="W449">
        <f>VLOOKUP(G449,'[1]Erogati mag-giu 2026_791_old'!$A:$W,14,FALSE)</f>
        <v>-98.48</v>
      </c>
      <c r="X449">
        <f t="shared" si="31"/>
        <v>0</v>
      </c>
      <c r="Y449" t="s">
        <v>158</v>
      </c>
      <c r="Z449" t="str">
        <f>VLOOKUP(G449,'[2]Erogati mag-giu 2026_791_old'!$D:$T,11,FALSE)</f>
        <v>indiretto</v>
      </c>
      <c r="AA449" t="b">
        <v>1</v>
      </c>
      <c r="AF449" t="s">
        <v>20</v>
      </c>
      <c r="AG449" t="s">
        <v>20</v>
      </c>
    </row>
    <row r="450" spans="1:33">
      <c r="A450" s="13" t="s">
        <v>775</v>
      </c>
      <c r="B450" t="s">
        <v>1712</v>
      </c>
      <c r="C450" s="4">
        <v>202601307281941</v>
      </c>
      <c r="D450" s="4" t="b">
        <f t="shared" si="32"/>
        <v>1</v>
      </c>
      <c r="E450" t="s">
        <v>20</v>
      </c>
      <c r="F450" t="s">
        <v>21</v>
      </c>
      <c r="G450" t="s">
        <v>776</v>
      </c>
      <c r="H450" t="str">
        <f>VLOOKUP(C450,'[1]Erogati mag-giu 2026_791_old'!$B:$E,4,FALSE)</f>
        <v>C344265</v>
      </c>
      <c r="I450" t="b">
        <f t="shared" si="28"/>
        <v>1</v>
      </c>
      <c r="J450" s="14">
        <v>46179</v>
      </c>
      <c r="K450" s="14">
        <v>46179</v>
      </c>
      <c r="L450" t="s">
        <v>20</v>
      </c>
      <c r="M450" s="14">
        <v>46188</v>
      </c>
      <c r="N450" s="14">
        <v>46179</v>
      </c>
      <c r="O450" t="s">
        <v>20</v>
      </c>
      <c r="P450">
        <v>-150.16999999999999</v>
      </c>
      <c r="Q450">
        <f>VLOOKUP(G450,'[1]Erogati mag-giu 2026_791_old'!$A:$W,12,FALSE)</f>
        <v>-150.16999999999999</v>
      </c>
      <c r="R450">
        <f t="shared" si="29"/>
        <v>0</v>
      </c>
      <c r="S450">
        <v>-150.16999999999999</v>
      </c>
      <c r="T450">
        <f>VLOOKUP(G450,'[1]Erogati mag-giu 2026_791_old'!$A:$W,13,FALSE)</f>
        <v>-150.16999999999999</v>
      </c>
      <c r="U450">
        <f t="shared" si="30"/>
        <v>0</v>
      </c>
      <c r="V450">
        <v>-150.16999999999999</v>
      </c>
      <c r="W450">
        <f>VLOOKUP(G450,'[1]Erogati mag-giu 2026_791_old'!$A:$W,14,FALSE)</f>
        <v>-150.16999999999999</v>
      </c>
      <c r="X450">
        <f t="shared" si="31"/>
        <v>0</v>
      </c>
      <c r="Y450" t="s">
        <v>158</v>
      </c>
      <c r="Z450" t="str">
        <f>VLOOKUP(G450,'[2]Erogati mag-giu 2026_791_old'!$D:$T,11,FALSE)</f>
        <v>indiretto</v>
      </c>
      <c r="AA450" t="b">
        <v>1</v>
      </c>
      <c r="AF450" t="s">
        <v>20</v>
      </c>
      <c r="AG450" t="s">
        <v>20</v>
      </c>
    </row>
    <row r="451" spans="1:33">
      <c r="A451" s="13" t="s">
        <v>777</v>
      </c>
      <c r="B451" t="s">
        <v>1713</v>
      </c>
      <c r="C451" s="4">
        <v>202601307282254</v>
      </c>
      <c r="D451" s="4" t="b">
        <f t="shared" si="32"/>
        <v>1</v>
      </c>
      <c r="E451" t="s">
        <v>20</v>
      </c>
      <c r="F451" t="s">
        <v>21</v>
      </c>
      <c r="G451" t="s">
        <v>778</v>
      </c>
      <c r="H451" t="str">
        <f>VLOOKUP(C451,'[1]Erogati mag-giu 2026_791_old'!$B:$E,4,FALSE)</f>
        <v>C320271</v>
      </c>
      <c r="I451" t="b">
        <f t="shared" si="28"/>
        <v>1</v>
      </c>
      <c r="J451" s="14">
        <v>46179</v>
      </c>
      <c r="K451" s="14">
        <v>46179</v>
      </c>
      <c r="L451" t="s">
        <v>20</v>
      </c>
      <c r="M451" s="14">
        <v>46188</v>
      </c>
      <c r="N451" s="14">
        <v>46179</v>
      </c>
      <c r="O451" t="s">
        <v>20</v>
      </c>
      <c r="P451">
        <v>-198.78</v>
      </c>
      <c r="Q451">
        <f>VLOOKUP(G451,'[1]Erogati mag-giu 2026_791_old'!$A:$W,12,FALSE)</f>
        <v>-198.78</v>
      </c>
      <c r="R451">
        <f t="shared" si="29"/>
        <v>0</v>
      </c>
      <c r="S451">
        <v>-198.78</v>
      </c>
      <c r="T451">
        <f>VLOOKUP(G451,'[1]Erogati mag-giu 2026_791_old'!$A:$W,13,FALSE)</f>
        <v>-198.78</v>
      </c>
      <c r="U451">
        <f t="shared" si="30"/>
        <v>0</v>
      </c>
      <c r="V451">
        <v>-198.78</v>
      </c>
      <c r="W451">
        <f>VLOOKUP(G451,'[1]Erogati mag-giu 2026_791_old'!$A:$W,14,FALSE)</f>
        <v>-198.78</v>
      </c>
      <c r="X451">
        <f t="shared" si="31"/>
        <v>0</v>
      </c>
      <c r="Y451" t="s">
        <v>158</v>
      </c>
      <c r="Z451" t="str">
        <f>VLOOKUP(G451,'[2]Erogati mag-giu 2026_791_old'!$D:$T,11,FALSE)</f>
        <v>indiretto</v>
      </c>
      <c r="AA451" t="b">
        <v>1</v>
      </c>
      <c r="AF451" t="s">
        <v>20</v>
      </c>
      <c r="AG451" t="s">
        <v>20</v>
      </c>
    </row>
    <row r="452" spans="1:33">
      <c r="A452" s="13" t="s">
        <v>779</v>
      </c>
      <c r="B452" t="s">
        <v>1714</v>
      </c>
      <c r="C452" s="4">
        <v>202601307285836</v>
      </c>
      <c r="D452" s="4" t="b">
        <f t="shared" si="32"/>
        <v>1</v>
      </c>
      <c r="E452" t="s">
        <v>20</v>
      </c>
      <c r="F452" t="s">
        <v>21</v>
      </c>
      <c r="G452" t="s">
        <v>780</v>
      </c>
      <c r="H452" t="str">
        <f>VLOOKUP(C452,'[1]Erogati mag-giu 2026_791_old'!$B:$E,4,FALSE)</f>
        <v>C307882</v>
      </c>
      <c r="I452" t="b">
        <f t="shared" ref="I452:I515" si="33">EXACT(G452,H452)</f>
        <v>1</v>
      </c>
      <c r="J452" s="14">
        <v>46179</v>
      </c>
      <c r="K452" s="14">
        <v>46179</v>
      </c>
      <c r="L452" t="s">
        <v>20</v>
      </c>
      <c r="M452" s="14">
        <v>46188</v>
      </c>
      <c r="N452" s="14">
        <v>46179</v>
      </c>
      <c r="O452" t="s">
        <v>20</v>
      </c>
      <c r="P452">
        <v>-154.63999999999999</v>
      </c>
      <c r="Q452">
        <f>VLOOKUP(G452,'[1]Erogati mag-giu 2026_791_old'!$A:$W,12,FALSE)</f>
        <v>-154.63999999999999</v>
      </c>
      <c r="R452">
        <f t="shared" ref="R452:R515" si="34">P452-Q452</f>
        <v>0</v>
      </c>
      <c r="S452">
        <v>-154.63999999999999</v>
      </c>
      <c r="T452">
        <f>VLOOKUP(G452,'[1]Erogati mag-giu 2026_791_old'!$A:$W,13,FALSE)</f>
        <v>-154.63999999999999</v>
      </c>
      <c r="U452">
        <f t="shared" ref="U452:U515" si="35">S452-T452</f>
        <v>0</v>
      </c>
      <c r="V452">
        <v>-154.63999999999999</v>
      </c>
      <c r="W452">
        <f>VLOOKUP(G452,'[1]Erogati mag-giu 2026_791_old'!$A:$W,14,FALSE)</f>
        <v>-154.63999999999999</v>
      </c>
      <c r="X452">
        <f t="shared" ref="X452:X515" si="36">V452-W452</f>
        <v>0</v>
      </c>
      <c r="Y452" t="s">
        <v>158</v>
      </c>
      <c r="Z452" t="str">
        <f>VLOOKUP(G452,'[2]Erogati mag-giu 2026_791_old'!$D:$T,11,FALSE)</f>
        <v>indiretto</v>
      </c>
      <c r="AA452" t="b">
        <v>1</v>
      </c>
      <c r="AF452" t="s">
        <v>20</v>
      </c>
      <c r="AG452" t="s">
        <v>20</v>
      </c>
    </row>
    <row r="453" spans="1:33">
      <c r="A453" s="13" t="s">
        <v>781</v>
      </c>
      <c r="B453" t="s">
        <v>1715</v>
      </c>
      <c r="C453" s="4">
        <v>202601307294411</v>
      </c>
      <c r="D453" s="4" t="b">
        <f t="shared" si="32"/>
        <v>1</v>
      </c>
      <c r="E453" t="s">
        <v>20</v>
      </c>
      <c r="F453" t="s">
        <v>21</v>
      </c>
      <c r="G453" t="s">
        <v>782</v>
      </c>
      <c r="H453" t="str">
        <f>VLOOKUP(C453,'[1]Erogati mag-giu 2026_791_old'!$B:$E,4,FALSE)</f>
        <v>C344130</v>
      </c>
      <c r="I453" t="b">
        <f t="shared" si="33"/>
        <v>1</v>
      </c>
      <c r="J453" s="14">
        <v>46179</v>
      </c>
      <c r="K453" s="14">
        <v>46179</v>
      </c>
      <c r="L453" t="s">
        <v>20</v>
      </c>
      <c r="M453" s="14">
        <v>46188</v>
      </c>
      <c r="N453" s="14">
        <v>46179</v>
      </c>
      <c r="O453" t="s">
        <v>20</v>
      </c>
      <c r="P453">
        <v>-99.39</v>
      </c>
      <c r="Q453">
        <f>VLOOKUP(G453,'[1]Erogati mag-giu 2026_791_old'!$A:$W,12,FALSE)</f>
        <v>-99.39</v>
      </c>
      <c r="R453">
        <f t="shared" si="34"/>
        <v>0</v>
      </c>
      <c r="S453">
        <v>-99.39</v>
      </c>
      <c r="T453">
        <f>VLOOKUP(G453,'[1]Erogati mag-giu 2026_791_old'!$A:$W,13,FALSE)</f>
        <v>-99.39</v>
      </c>
      <c r="U453">
        <f t="shared" si="35"/>
        <v>0</v>
      </c>
      <c r="V453">
        <v>-99.39</v>
      </c>
      <c r="W453">
        <f>VLOOKUP(G453,'[1]Erogati mag-giu 2026_791_old'!$A:$W,14,FALSE)</f>
        <v>-99.39</v>
      </c>
      <c r="X453">
        <f t="shared" si="36"/>
        <v>0</v>
      </c>
      <c r="Y453" t="s">
        <v>158</v>
      </c>
      <c r="Z453" t="str">
        <f>VLOOKUP(G453,'[2]Erogati mag-giu 2026_791_old'!$D:$T,11,FALSE)</f>
        <v>indiretto</v>
      </c>
      <c r="AA453" t="b">
        <v>1</v>
      </c>
      <c r="AF453" t="s">
        <v>20</v>
      </c>
      <c r="AG453" t="s">
        <v>20</v>
      </c>
    </row>
    <row r="454" spans="1:33">
      <c r="A454" s="13" t="s">
        <v>783</v>
      </c>
      <c r="B454" t="s">
        <v>1716</v>
      </c>
      <c r="C454" s="4">
        <v>202601307295077</v>
      </c>
      <c r="D454" s="4" t="b">
        <f t="shared" si="32"/>
        <v>1</v>
      </c>
      <c r="E454" t="s">
        <v>20</v>
      </c>
      <c r="F454" t="s">
        <v>21</v>
      </c>
      <c r="G454" t="s">
        <v>784</v>
      </c>
      <c r="H454" t="str">
        <f>VLOOKUP(C454,'[1]Erogati mag-giu 2026_791_old'!$B:$E,4,FALSE)</f>
        <v>C308271</v>
      </c>
      <c r="I454" t="b">
        <f t="shared" si="33"/>
        <v>1</v>
      </c>
      <c r="J454" s="14">
        <v>46179</v>
      </c>
      <c r="K454" s="14">
        <v>46179</v>
      </c>
      <c r="L454" t="s">
        <v>20</v>
      </c>
      <c r="M454" s="14">
        <v>46188</v>
      </c>
      <c r="N454" s="14">
        <v>46179</v>
      </c>
      <c r="O454" t="s">
        <v>20</v>
      </c>
      <c r="P454">
        <v>-86.33</v>
      </c>
      <c r="Q454">
        <f>VLOOKUP(G454,'[1]Erogati mag-giu 2026_791_old'!$A:$W,12,FALSE)</f>
        <v>-86.33</v>
      </c>
      <c r="R454">
        <f t="shared" si="34"/>
        <v>0</v>
      </c>
      <c r="S454">
        <v>-86.33</v>
      </c>
      <c r="T454">
        <f>VLOOKUP(G454,'[1]Erogati mag-giu 2026_791_old'!$A:$W,13,FALSE)</f>
        <v>-86.33</v>
      </c>
      <c r="U454">
        <f t="shared" si="35"/>
        <v>0</v>
      </c>
      <c r="V454">
        <v>-86.33</v>
      </c>
      <c r="W454">
        <f>VLOOKUP(G454,'[1]Erogati mag-giu 2026_791_old'!$A:$W,14,FALSE)</f>
        <v>-86.33</v>
      </c>
      <c r="X454">
        <f t="shared" si="36"/>
        <v>0</v>
      </c>
      <c r="Y454" t="s">
        <v>158</v>
      </c>
      <c r="Z454" t="str">
        <f>VLOOKUP(G454,'[2]Erogati mag-giu 2026_791_old'!$D:$T,11,FALSE)</f>
        <v>indiretto</v>
      </c>
      <c r="AA454" t="b">
        <v>1</v>
      </c>
      <c r="AF454" t="s">
        <v>20</v>
      </c>
      <c r="AG454" t="s">
        <v>20</v>
      </c>
    </row>
    <row r="455" spans="1:33">
      <c r="A455" s="13" t="s">
        <v>785</v>
      </c>
      <c r="B455" t="s">
        <v>1717</v>
      </c>
      <c r="C455" s="4">
        <v>202601307298571</v>
      </c>
      <c r="D455" s="4" t="b">
        <f t="shared" si="32"/>
        <v>1</v>
      </c>
      <c r="E455" t="s">
        <v>20</v>
      </c>
      <c r="F455" t="s">
        <v>21</v>
      </c>
      <c r="G455" t="s">
        <v>786</v>
      </c>
      <c r="H455" t="str">
        <f>VLOOKUP(C455,'[1]Erogati mag-giu 2026_791_old'!$B:$E,4,FALSE)</f>
        <v>C344216</v>
      </c>
      <c r="I455" t="b">
        <f t="shared" si="33"/>
        <v>1</v>
      </c>
      <c r="J455" s="14">
        <v>46179</v>
      </c>
      <c r="K455" s="14">
        <v>46179</v>
      </c>
      <c r="L455" t="s">
        <v>20</v>
      </c>
      <c r="M455" s="14">
        <v>46188</v>
      </c>
      <c r="N455" s="14">
        <v>46179</v>
      </c>
      <c r="O455" t="s">
        <v>20</v>
      </c>
      <c r="P455">
        <v>-49.24</v>
      </c>
      <c r="Q455">
        <f>VLOOKUP(G455,'[1]Erogati mag-giu 2026_791_old'!$A:$W,12,FALSE)</f>
        <v>-49.24</v>
      </c>
      <c r="R455">
        <f t="shared" si="34"/>
        <v>0</v>
      </c>
      <c r="S455">
        <v>-49.24</v>
      </c>
      <c r="T455">
        <f>VLOOKUP(G455,'[1]Erogati mag-giu 2026_791_old'!$A:$W,13,FALSE)</f>
        <v>-49.24</v>
      </c>
      <c r="U455">
        <f t="shared" si="35"/>
        <v>0</v>
      </c>
      <c r="V455">
        <v>-49.24</v>
      </c>
      <c r="W455">
        <f>VLOOKUP(G455,'[1]Erogati mag-giu 2026_791_old'!$A:$W,14,FALSE)</f>
        <v>-49.24</v>
      </c>
      <c r="X455">
        <f t="shared" si="36"/>
        <v>0</v>
      </c>
      <c r="Y455" t="s">
        <v>158</v>
      </c>
      <c r="Z455" t="str">
        <f>VLOOKUP(G455,'[2]Erogati mag-giu 2026_791_old'!$D:$T,11,FALSE)</f>
        <v>indiretto</v>
      </c>
      <c r="AA455" t="b">
        <v>1</v>
      </c>
      <c r="AF455" t="s">
        <v>20</v>
      </c>
      <c r="AG455" t="s">
        <v>20</v>
      </c>
    </row>
    <row r="456" spans="1:33">
      <c r="A456" s="13" t="s">
        <v>787</v>
      </c>
      <c r="B456" t="s">
        <v>1718</v>
      </c>
      <c r="C456" s="4">
        <v>202601307299916</v>
      </c>
      <c r="D456" s="4" t="b">
        <f t="shared" si="32"/>
        <v>1</v>
      </c>
      <c r="E456" t="s">
        <v>20</v>
      </c>
      <c r="F456" t="s">
        <v>21</v>
      </c>
      <c r="G456" t="s">
        <v>788</v>
      </c>
      <c r="H456" t="str">
        <f>VLOOKUP(C456,'[1]Erogati mag-giu 2026_791_old'!$B:$E,4,FALSE)</f>
        <v>C344303</v>
      </c>
      <c r="I456" t="b">
        <f t="shared" si="33"/>
        <v>1</v>
      </c>
      <c r="J456" s="14">
        <v>46179</v>
      </c>
      <c r="K456" s="14">
        <v>46179</v>
      </c>
      <c r="L456" t="s">
        <v>20</v>
      </c>
      <c r="M456" s="14">
        <v>46188</v>
      </c>
      <c r="N456" s="14">
        <v>46179</v>
      </c>
      <c r="O456" t="s">
        <v>20</v>
      </c>
      <c r="P456">
        <v>-26.26</v>
      </c>
      <c r="Q456">
        <f>VLOOKUP(G456,'[1]Erogati mag-giu 2026_791_old'!$A:$W,12,FALSE)</f>
        <v>-26.26</v>
      </c>
      <c r="R456">
        <f t="shared" si="34"/>
        <v>0</v>
      </c>
      <c r="S456">
        <v>-26.26</v>
      </c>
      <c r="T456">
        <f>VLOOKUP(G456,'[1]Erogati mag-giu 2026_791_old'!$A:$W,13,FALSE)</f>
        <v>-26.26</v>
      </c>
      <c r="U456">
        <f t="shared" si="35"/>
        <v>0</v>
      </c>
      <c r="V456">
        <v>-26.26</v>
      </c>
      <c r="W456">
        <f>VLOOKUP(G456,'[1]Erogati mag-giu 2026_791_old'!$A:$W,14,FALSE)</f>
        <v>-26.26</v>
      </c>
      <c r="X456">
        <f t="shared" si="36"/>
        <v>0</v>
      </c>
      <c r="Y456" t="s">
        <v>158</v>
      </c>
      <c r="Z456" t="str">
        <f>VLOOKUP(G456,'[2]Erogati mag-giu 2026_791_old'!$D:$T,11,FALSE)</f>
        <v>indiretto</v>
      </c>
      <c r="AA456" t="b">
        <v>1</v>
      </c>
      <c r="AF456" t="s">
        <v>20</v>
      </c>
      <c r="AG456" t="s">
        <v>20</v>
      </c>
    </row>
    <row r="457" spans="1:33">
      <c r="A457" s="13" t="s">
        <v>789</v>
      </c>
      <c r="B457" t="s">
        <v>1719</v>
      </c>
      <c r="C457" s="4">
        <v>202601307307644</v>
      </c>
      <c r="D457" s="4" t="b">
        <f t="shared" ref="D457:D520" si="37">EXACT(B457,C457)</f>
        <v>1</v>
      </c>
      <c r="E457" t="s">
        <v>20</v>
      </c>
      <c r="F457" t="s">
        <v>21</v>
      </c>
      <c r="G457" t="s">
        <v>790</v>
      </c>
      <c r="H457" t="str">
        <f>VLOOKUP(C457,'[1]Erogati mag-giu 2026_791_old'!$B:$E,4,FALSE)</f>
        <v>C344304</v>
      </c>
      <c r="I457" t="b">
        <f t="shared" si="33"/>
        <v>1</v>
      </c>
      <c r="J457" s="14">
        <v>46179</v>
      </c>
      <c r="K457" s="14">
        <v>46179</v>
      </c>
      <c r="L457" t="s">
        <v>20</v>
      </c>
      <c r="M457" s="14">
        <v>46188</v>
      </c>
      <c r="N457" s="14">
        <v>46179</v>
      </c>
      <c r="O457" t="s">
        <v>20</v>
      </c>
      <c r="P457">
        <v>-78.78</v>
      </c>
      <c r="Q457">
        <f>VLOOKUP(G457,'[1]Erogati mag-giu 2026_791_old'!$A:$W,12,FALSE)</f>
        <v>-78.78</v>
      </c>
      <c r="R457">
        <f t="shared" si="34"/>
        <v>0</v>
      </c>
      <c r="S457">
        <v>-78.78</v>
      </c>
      <c r="T457">
        <f>VLOOKUP(G457,'[1]Erogati mag-giu 2026_791_old'!$A:$W,13,FALSE)</f>
        <v>-78.78</v>
      </c>
      <c r="U457">
        <f t="shared" si="35"/>
        <v>0</v>
      </c>
      <c r="V457">
        <v>-78.78</v>
      </c>
      <c r="W457">
        <f>VLOOKUP(G457,'[1]Erogati mag-giu 2026_791_old'!$A:$W,14,FALSE)</f>
        <v>-78.78</v>
      </c>
      <c r="X457">
        <f t="shared" si="36"/>
        <v>0</v>
      </c>
      <c r="Y457" t="s">
        <v>158</v>
      </c>
      <c r="Z457" t="str">
        <f>VLOOKUP(G457,'[2]Erogati mag-giu 2026_791_old'!$D:$T,11,FALSE)</f>
        <v>indiretto</v>
      </c>
      <c r="AA457" t="b">
        <v>1</v>
      </c>
      <c r="AF457" t="s">
        <v>20</v>
      </c>
      <c r="AG457" t="s">
        <v>20</v>
      </c>
    </row>
    <row r="458" spans="1:33">
      <c r="A458" s="13" t="s">
        <v>791</v>
      </c>
      <c r="B458" t="s">
        <v>1720</v>
      </c>
      <c r="C458" s="4">
        <v>202601307308280</v>
      </c>
      <c r="D458" s="4" t="b">
        <f t="shared" si="37"/>
        <v>1</v>
      </c>
      <c r="E458" t="s">
        <v>20</v>
      </c>
      <c r="F458" t="s">
        <v>21</v>
      </c>
      <c r="G458" t="s">
        <v>792</v>
      </c>
      <c r="H458" t="str">
        <f>VLOOKUP(C458,'[1]Erogati mag-giu 2026_791_old'!$B:$E,4,FALSE)</f>
        <v>C307242</v>
      </c>
      <c r="I458" t="b">
        <f t="shared" si="33"/>
        <v>1</v>
      </c>
      <c r="J458" s="14">
        <v>46179</v>
      </c>
      <c r="K458" s="14">
        <v>46179</v>
      </c>
      <c r="L458" t="s">
        <v>20</v>
      </c>
      <c r="M458" s="14">
        <v>46188</v>
      </c>
      <c r="N458" s="14">
        <v>46179</v>
      </c>
      <c r="O458" t="s">
        <v>20</v>
      </c>
      <c r="P458">
        <v>-55.54</v>
      </c>
      <c r="Q458">
        <f>VLOOKUP(G458,'[1]Erogati mag-giu 2026_791_old'!$A:$W,12,FALSE)</f>
        <v>-55.54</v>
      </c>
      <c r="R458">
        <f t="shared" si="34"/>
        <v>0</v>
      </c>
      <c r="S458">
        <v>-55.54</v>
      </c>
      <c r="T458">
        <f>VLOOKUP(G458,'[1]Erogati mag-giu 2026_791_old'!$A:$W,13,FALSE)</f>
        <v>-55.54</v>
      </c>
      <c r="U458">
        <f t="shared" si="35"/>
        <v>0</v>
      </c>
      <c r="V458">
        <v>-55.54</v>
      </c>
      <c r="W458">
        <f>VLOOKUP(G458,'[1]Erogati mag-giu 2026_791_old'!$A:$W,14,FALSE)</f>
        <v>-55.54</v>
      </c>
      <c r="X458">
        <f t="shared" si="36"/>
        <v>0</v>
      </c>
      <c r="Y458" t="s">
        <v>158</v>
      </c>
      <c r="Z458" t="str">
        <f>VLOOKUP(G458,'[2]Erogati mag-giu 2026_791_old'!$D:$T,11,FALSE)</f>
        <v>indiretto</v>
      </c>
      <c r="AA458" t="b">
        <v>1</v>
      </c>
      <c r="AF458" t="s">
        <v>20</v>
      </c>
      <c r="AG458" t="s">
        <v>20</v>
      </c>
    </row>
    <row r="459" spans="1:33">
      <c r="A459" s="13" t="s">
        <v>793</v>
      </c>
      <c r="B459" t="s">
        <v>1721</v>
      </c>
      <c r="C459" s="4">
        <v>202601307315254</v>
      </c>
      <c r="D459" s="4" t="b">
        <f t="shared" si="37"/>
        <v>1</v>
      </c>
      <c r="E459" t="s">
        <v>20</v>
      </c>
      <c r="F459" t="s">
        <v>21</v>
      </c>
      <c r="G459" t="s">
        <v>794</v>
      </c>
      <c r="H459" t="str">
        <f>VLOOKUP(C459,'[1]Erogati mag-giu 2026_791_old'!$B:$E,4,FALSE)</f>
        <v>C311054</v>
      </c>
      <c r="I459" t="b">
        <f t="shared" si="33"/>
        <v>1</v>
      </c>
      <c r="J459" s="14">
        <v>46179</v>
      </c>
      <c r="K459" s="14">
        <v>46179</v>
      </c>
      <c r="L459" t="s">
        <v>20</v>
      </c>
      <c r="M459" s="14">
        <v>46188</v>
      </c>
      <c r="N459" s="14">
        <v>46179</v>
      </c>
      <c r="O459" t="s">
        <v>20</v>
      </c>
      <c r="P459">
        <v>-189.74</v>
      </c>
      <c r="Q459">
        <f>VLOOKUP(G459,'[1]Erogati mag-giu 2026_791_old'!$A:$W,12,FALSE)</f>
        <v>-189.74</v>
      </c>
      <c r="R459">
        <f t="shared" si="34"/>
        <v>0</v>
      </c>
      <c r="S459">
        <v>-189.74</v>
      </c>
      <c r="T459">
        <f>VLOOKUP(G459,'[1]Erogati mag-giu 2026_791_old'!$A:$W,13,FALSE)</f>
        <v>-189.74</v>
      </c>
      <c r="U459">
        <f t="shared" si="35"/>
        <v>0</v>
      </c>
      <c r="V459">
        <v>-189.74</v>
      </c>
      <c r="W459">
        <f>VLOOKUP(G459,'[1]Erogati mag-giu 2026_791_old'!$A:$W,14,FALSE)</f>
        <v>-189.74</v>
      </c>
      <c r="X459">
        <f t="shared" si="36"/>
        <v>0</v>
      </c>
      <c r="Y459" t="s">
        <v>158</v>
      </c>
      <c r="Z459" t="str">
        <f>VLOOKUP(G459,'[2]Erogati mag-giu 2026_791_old'!$D:$T,11,FALSE)</f>
        <v>indiretto</v>
      </c>
      <c r="AA459" t="b">
        <v>1</v>
      </c>
      <c r="AF459" t="s">
        <v>20</v>
      </c>
      <c r="AG459" t="s">
        <v>20</v>
      </c>
    </row>
    <row r="460" spans="1:33">
      <c r="A460" s="13" t="s">
        <v>795</v>
      </c>
      <c r="B460" t="s">
        <v>1722</v>
      </c>
      <c r="C460" s="4">
        <v>202601307322410</v>
      </c>
      <c r="D460" s="4" t="b">
        <f t="shared" si="37"/>
        <v>1</v>
      </c>
      <c r="E460" t="s">
        <v>20</v>
      </c>
      <c r="F460" t="s">
        <v>21</v>
      </c>
      <c r="G460" t="s">
        <v>796</v>
      </c>
      <c r="H460" t="str">
        <f>VLOOKUP(C460,'[1]Erogati mag-giu 2026_791_old'!$B:$E,4,FALSE)</f>
        <v>C344255</v>
      </c>
      <c r="I460" t="b">
        <f t="shared" si="33"/>
        <v>1</v>
      </c>
      <c r="J460" s="14">
        <v>46179</v>
      </c>
      <c r="K460" s="14">
        <v>46179</v>
      </c>
      <c r="L460" t="s">
        <v>20</v>
      </c>
      <c r="M460" s="14">
        <v>46188</v>
      </c>
      <c r="N460" s="14">
        <v>46179</v>
      </c>
      <c r="O460" t="s">
        <v>20</v>
      </c>
      <c r="P460">
        <v>-105.03</v>
      </c>
      <c r="Q460">
        <f>VLOOKUP(G460,'[1]Erogati mag-giu 2026_791_old'!$A:$W,12,FALSE)</f>
        <v>-105.03</v>
      </c>
      <c r="R460">
        <f t="shared" si="34"/>
        <v>0</v>
      </c>
      <c r="S460">
        <v>-105.03</v>
      </c>
      <c r="T460">
        <f>VLOOKUP(G460,'[1]Erogati mag-giu 2026_791_old'!$A:$W,13,FALSE)</f>
        <v>-105.03</v>
      </c>
      <c r="U460">
        <f t="shared" si="35"/>
        <v>0</v>
      </c>
      <c r="V460">
        <v>-105.03</v>
      </c>
      <c r="W460">
        <f>VLOOKUP(G460,'[1]Erogati mag-giu 2026_791_old'!$A:$W,14,FALSE)</f>
        <v>-105.03</v>
      </c>
      <c r="X460">
        <f t="shared" si="36"/>
        <v>0</v>
      </c>
      <c r="Y460" t="s">
        <v>158</v>
      </c>
      <c r="Z460" t="str">
        <f>VLOOKUP(G460,'[2]Erogati mag-giu 2026_791_old'!$D:$T,11,FALSE)</f>
        <v>indiretto</v>
      </c>
      <c r="AA460" t="b">
        <v>1</v>
      </c>
      <c r="AF460" t="s">
        <v>20</v>
      </c>
      <c r="AG460" t="s">
        <v>20</v>
      </c>
    </row>
    <row r="461" spans="1:33">
      <c r="A461" s="13" t="s">
        <v>797</v>
      </c>
      <c r="B461" t="s">
        <v>1723</v>
      </c>
      <c r="C461" s="4">
        <v>202601307322481</v>
      </c>
      <c r="D461" s="4" t="b">
        <f t="shared" si="37"/>
        <v>1</v>
      </c>
      <c r="E461" t="s">
        <v>20</v>
      </c>
      <c r="F461" t="s">
        <v>21</v>
      </c>
      <c r="G461" t="s">
        <v>798</v>
      </c>
      <c r="H461" t="str">
        <f>VLOOKUP(C461,'[1]Erogati mag-giu 2026_791_old'!$B:$E,4,FALSE)</f>
        <v>C311408</v>
      </c>
      <c r="I461" t="b">
        <f t="shared" si="33"/>
        <v>1</v>
      </c>
      <c r="J461" s="14">
        <v>46179</v>
      </c>
      <c r="K461" s="14">
        <v>46179</v>
      </c>
      <c r="L461" t="s">
        <v>20</v>
      </c>
      <c r="M461" s="14">
        <v>46188</v>
      </c>
      <c r="N461" s="14">
        <v>46179</v>
      </c>
      <c r="O461" t="s">
        <v>20</v>
      </c>
      <c r="P461">
        <v>-154.63999999999999</v>
      </c>
      <c r="Q461">
        <f>VLOOKUP(G461,'[1]Erogati mag-giu 2026_791_old'!$A:$W,12,FALSE)</f>
        <v>-154.63999999999999</v>
      </c>
      <c r="R461">
        <f t="shared" si="34"/>
        <v>0</v>
      </c>
      <c r="S461">
        <v>-154.63999999999999</v>
      </c>
      <c r="T461">
        <f>VLOOKUP(G461,'[1]Erogati mag-giu 2026_791_old'!$A:$W,13,FALSE)</f>
        <v>-154.63999999999999</v>
      </c>
      <c r="U461">
        <f t="shared" si="35"/>
        <v>0</v>
      </c>
      <c r="V461">
        <v>-154.63999999999999</v>
      </c>
      <c r="W461">
        <f>VLOOKUP(G461,'[1]Erogati mag-giu 2026_791_old'!$A:$W,14,FALSE)</f>
        <v>-154.63999999999999</v>
      </c>
      <c r="X461">
        <f t="shared" si="36"/>
        <v>0</v>
      </c>
      <c r="Y461" t="s">
        <v>158</v>
      </c>
      <c r="Z461" t="str">
        <f>VLOOKUP(G461,'[2]Erogati mag-giu 2026_791_old'!$D:$T,11,FALSE)</f>
        <v>indiretto</v>
      </c>
      <c r="AA461" t="b">
        <v>1</v>
      </c>
      <c r="AF461" t="s">
        <v>20</v>
      </c>
      <c r="AG461" t="s">
        <v>20</v>
      </c>
    </row>
    <row r="462" spans="1:33">
      <c r="A462" s="13" t="s">
        <v>799</v>
      </c>
      <c r="B462" t="s">
        <v>1724</v>
      </c>
      <c r="C462" s="4">
        <v>202601307330865</v>
      </c>
      <c r="D462" s="4" t="b">
        <f t="shared" si="37"/>
        <v>1</v>
      </c>
      <c r="E462" t="s">
        <v>20</v>
      </c>
      <c r="F462" t="s">
        <v>21</v>
      </c>
      <c r="G462" t="s">
        <v>800</v>
      </c>
      <c r="H462" t="str">
        <f>VLOOKUP(C462,'[1]Erogati mag-giu 2026_791_old'!$B:$E,4,FALSE)</f>
        <v>C314403</v>
      </c>
      <c r="I462" t="b">
        <f t="shared" si="33"/>
        <v>1</v>
      </c>
      <c r="J462" s="14">
        <v>46179</v>
      </c>
      <c r="K462" s="14">
        <v>46179</v>
      </c>
      <c r="L462" t="s">
        <v>20</v>
      </c>
      <c r="M462" s="14">
        <v>46188</v>
      </c>
      <c r="N462" s="14">
        <v>46179</v>
      </c>
      <c r="O462" t="s">
        <v>20</v>
      </c>
      <c r="P462">
        <v>-165.65</v>
      </c>
      <c r="Q462">
        <f>VLOOKUP(G462,'[1]Erogati mag-giu 2026_791_old'!$A:$W,12,FALSE)</f>
        <v>-165.65</v>
      </c>
      <c r="R462">
        <f t="shared" si="34"/>
        <v>0</v>
      </c>
      <c r="S462">
        <v>-165.65</v>
      </c>
      <c r="T462">
        <f>VLOOKUP(G462,'[1]Erogati mag-giu 2026_791_old'!$A:$W,13,FALSE)</f>
        <v>-165.65</v>
      </c>
      <c r="U462">
        <f t="shared" si="35"/>
        <v>0</v>
      </c>
      <c r="V462">
        <v>-165.65</v>
      </c>
      <c r="W462">
        <f>VLOOKUP(G462,'[1]Erogati mag-giu 2026_791_old'!$A:$W,14,FALSE)</f>
        <v>-165.65</v>
      </c>
      <c r="X462">
        <f t="shared" si="36"/>
        <v>0</v>
      </c>
      <c r="Y462" t="s">
        <v>158</v>
      </c>
      <c r="Z462" t="str">
        <f>VLOOKUP(G462,'[2]Erogati mag-giu 2026_791_old'!$D:$T,11,FALSE)</f>
        <v>indiretto</v>
      </c>
      <c r="AA462" t="b">
        <v>1</v>
      </c>
      <c r="AF462" t="s">
        <v>20</v>
      </c>
      <c r="AG462" t="s">
        <v>20</v>
      </c>
    </row>
    <row r="463" spans="1:33">
      <c r="A463" s="13" t="s">
        <v>801</v>
      </c>
      <c r="B463" t="s">
        <v>1725</v>
      </c>
      <c r="C463" s="4">
        <v>202601307333096</v>
      </c>
      <c r="D463" s="4" t="b">
        <f t="shared" si="37"/>
        <v>1</v>
      </c>
      <c r="E463" t="s">
        <v>20</v>
      </c>
      <c r="F463" t="s">
        <v>21</v>
      </c>
      <c r="G463" t="s">
        <v>802</v>
      </c>
      <c r="H463" t="str">
        <f>VLOOKUP(C463,'[1]Erogati mag-giu 2026_791_old'!$B:$E,4,FALSE)</f>
        <v>C344204</v>
      </c>
      <c r="I463" t="b">
        <f t="shared" si="33"/>
        <v>1</v>
      </c>
      <c r="J463" s="14">
        <v>46179</v>
      </c>
      <c r="K463" s="14">
        <v>46179</v>
      </c>
      <c r="L463" t="s">
        <v>20</v>
      </c>
      <c r="M463" s="14">
        <v>46188</v>
      </c>
      <c r="N463" s="14">
        <v>46179</v>
      </c>
      <c r="O463" t="s">
        <v>20</v>
      </c>
      <c r="P463">
        <v>-298.18</v>
      </c>
      <c r="Q463">
        <f>VLOOKUP(G463,'[1]Erogati mag-giu 2026_791_old'!$A:$W,12,FALSE)</f>
        <v>-298.18</v>
      </c>
      <c r="R463">
        <f t="shared" si="34"/>
        <v>0</v>
      </c>
      <c r="S463">
        <v>-298.18</v>
      </c>
      <c r="T463">
        <f>VLOOKUP(G463,'[1]Erogati mag-giu 2026_791_old'!$A:$W,13,FALSE)</f>
        <v>-298.18</v>
      </c>
      <c r="U463">
        <f t="shared" si="35"/>
        <v>0</v>
      </c>
      <c r="V463">
        <v>-298.18</v>
      </c>
      <c r="W463">
        <f>VLOOKUP(G463,'[1]Erogati mag-giu 2026_791_old'!$A:$W,14,FALSE)</f>
        <v>-298.18</v>
      </c>
      <c r="X463">
        <f t="shared" si="36"/>
        <v>0</v>
      </c>
      <c r="Y463" t="s">
        <v>158</v>
      </c>
      <c r="Z463" t="str">
        <f>VLOOKUP(G463,'[2]Erogati mag-giu 2026_791_old'!$D:$T,11,FALSE)</f>
        <v>indiretto</v>
      </c>
      <c r="AA463" t="b">
        <v>1</v>
      </c>
      <c r="AF463" t="s">
        <v>20</v>
      </c>
      <c r="AG463" t="s">
        <v>20</v>
      </c>
    </row>
    <row r="464" spans="1:33">
      <c r="A464" s="13" t="s">
        <v>803</v>
      </c>
      <c r="B464" t="s">
        <v>1726</v>
      </c>
      <c r="C464" s="4">
        <v>202601307335960</v>
      </c>
      <c r="D464" s="4" t="b">
        <f t="shared" si="37"/>
        <v>1</v>
      </c>
      <c r="E464" t="s">
        <v>20</v>
      </c>
      <c r="F464" t="s">
        <v>21</v>
      </c>
      <c r="G464" t="s">
        <v>804</v>
      </c>
      <c r="H464" t="str">
        <f>VLOOKUP(C464,'[1]Erogati mag-giu 2026_791_old'!$B:$E,4,FALSE)</f>
        <v>C042232</v>
      </c>
      <c r="I464" t="b">
        <f t="shared" si="33"/>
        <v>1</v>
      </c>
      <c r="J464" s="14">
        <v>46179</v>
      </c>
      <c r="K464" s="14">
        <v>46179</v>
      </c>
      <c r="L464" t="s">
        <v>20</v>
      </c>
      <c r="M464" s="14">
        <v>46188</v>
      </c>
      <c r="N464" s="14">
        <v>46179</v>
      </c>
      <c r="O464" t="s">
        <v>20</v>
      </c>
      <c r="P464">
        <v>-33.130000000000003</v>
      </c>
      <c r="Q464">
        <f>VLOOKUP(G464,'[1]Erogati mag-giu 2026_791_old'!$A:$W,12,FALSE)</f>
        <v>-33.130000000000003</v>
      </c>
      <c r="R464">
        <f t="shared" si="34"/>
        <v>0</v>
      </c>
      <c r="S464">
        <v>-33.130000000000003</v>
      </c>
      <c r="T464">
        <f>VLOOKUP(G464,'[1]Erogati mag-giu 2026_791_old'!$A:$W,13,FALSE)</f>
        <v>-33.130000000000003</v>
      </c>
      <c r="U464">
        <f t="shared" si="35"/>
        <v>0</v>
      </c>
      <c r="V464">
        <v>-33.130000000000003</v>
      </c>
      <c r="W464">
        <f>VLOOKUP(G464,'[1]Erogati mag-giu 2026_791_old'!$A:$W,14,FALSE)</f>
        <v>-33.130000000000003</v>
      </c>
      <c r="X464">
        <f t="shared" si="36"/>
        <v>0</v>
      </c>
      <c r="Y464" t="s">
        <v>158</v>
      </c>
      <c r="Z464" t="str">
        <f>VLOOKUP(G464,'[2]Erogati mag-giu 2026_791_old'!$D:$T,11,FALSE)</f>
        <v>indiretto</v>
      </c>
      <c r="AA464" t="b">
        <v>1</v>
      </c>
      <c r="AF464" t="s">
        <v>20</v>
      </c>
      <c r="AG464" t="s">
        <v>20</v>
      </c>
    </row>
    <row r="465" spans="1:33">
      <c r="A465" s="13" t="s">
        <v>805</v>
      </c>
      <c r="B465" t="s">
        <v>1727</v>
      </c>
      <c r="C465" s="4">
        <v>202601307337185</v>
      </c>
      <c r="D465" s="4" t="b">
        <f t="shared" si="37"/>
        <v>1</v>
      </c>
      <c r="E465" t="s">
        <v>20</v>
      </c>
      <c r="F465" t="s">
        <v>21</v>
      </c>
      <c r="G465" t="s">
        <v>806</v>
      </c>
      <c r="H465" t="str">
        <f>VLOOKUP(C465,'[1]Erogati mag-giu 2026_791_old'!$B:$E,4,FALSE)</f>
        <v>C312171</v>
      </c>
      <c r="I465" t="b">
        <f t="shared" si="33"/>
        <v>1</v>
      </c>
      <c r="J465" s="14">
        <v>46179</v>
      </c>
      <c r="K465" s="14">
        <v>46179</v>
      </c>
      <c r="L465" t="s">
        <v>20</v>
      </c>
      <c r="M465" s="14">
        <v>46188</v>
      </c>
      <c r="N465" s="14">
        <v>46179</v>
      </c>
      <c r="O465" t="s">
        <v>20</v>
      </c>
      <c r="P465">
        <v>-132.52000000000001</v>
      </c>
      <c r="Q465">
        <f>VLOOKUP(G465,'[1]Erogati mag-giu 2026_791_old'!$A:$W,12,FALSE)</f>
        <v>-132.52000000000001</v>
      </c>
      <c r="R465">
        <f t="shared" si="34"/>
        <v>0</v>
      </c>
      <c r="S465">
        <v>-132.52000000000001</v>
      </c>
      <c r="T465">
        <f>VLOOKUP(G465,'[1]Erogati mag-giu 2026_791_old'!$A:$W,13,FALSE)</f>
        <v>-132.52000000000001</v>
      </c>
      <c r="U465">
        <f t="shared" si="35"/>
        <v>0</v>
      </c>
      <c r="V465">
        <v>-132.52000000000001</v>
      </c>
      <c r="W465">
        <f>VLOOKUP(G465,'[1]Erogati mag-giu 2026_791_old'!$A:$W,14,FALSE)</f>
        <v>-132.52000000000001</v>
      </c>
      <c r="X465">
        <f t="shared" si="36"/>
        <v>0</v>
      </c>
      <c r="Y465" t="s">
        <v>158</v>
      </c>
      <c r="Z465" t="str">
        <f>VLOOKUP(G465,'[2]Erogati mag-giu 2026_791_old'!$D:$T,11,FALSE)</f>
        <v>indiretto</v>
      </c>
      <c r="AA465" t="b">
        <v>1</v>
      </c>
      <c r="AF465" t="s">
        <v>20</v>
      </c>
      <c r="AG465" t="s">
        <v>20</v>
      </c>
    </row>
    <row r="466" spans="1:33">
      <c r="A466" s="13" t="s">
        <v>807</v>
      </c>
      <c r="B466" t="s">
        <v>1728</v>
      </c>
      <c r="C466" s="4">
        <v>202601307337953</v>
      </c>
      <c r="D466" s="4" t="b">
        <f t="shared" si="37"/>
        <v>1</v>
      </c>
      <c r="E466" t="s">
        <v>20</v>
      </c>
      <c r="F466" t="s">
        <v>21</v>
      </c>
      <c r="G466" t="s">
        <v>808</v>
      </c>
      <c r="H466" t="str">
        <f>VLOOKUP(C466,'[1]Erogati mag-giu 2026_791_old'!$B:$E,4,FALSE)</f>
        <v>C344140</v>
      </c>
      <c r="I466" t="b">
        <f t="shared" si="33"/>
        <v>1</v>
      </c>
      <c r="J466" s="14">
        <v>46179</v>
      </c>
      <c r="K466" s="14">
        <v>46179</v>
      </c>
      <c r="L466" t="s">
        <v>20</v>
      </c>
      <c r="M466" s="14">
        <v>46188</v>
      </c>
      <c r="N466" s="14">
        <v>46179</v>
      </c>
      <c r="O466" t="s">
        <v>20</v>
      </c>
      <c r="P466">
        <v>-245.78</v>
      </c>
      <c r="Q466">
        <f>VLOOKUP(G466,'[1]Erogati mag-giu 2026_791_old'!$A:$W,12,FALSE)</f>
        <v>-245.78</v>
      </c>
      <c r="R466">
        <f t="shared" si="34"/>
        <v>0</v>
      </c>
      <c r="S466">
        <v>-245.78</v>
      </c>
      <c r="T466">
        <f>VLOOKUP(G466,'[1]Erogati mag-giu 2026_791_old'!$A:$W,13,FALSE)</f>
        <v>-245.78</v>
      </c>
      <c r="U466">
        <f t="shared" si="35"/>
        <v>0</v>
      </c>
      <c r="V466">
        <v>-245.78</v>
      </c>
      <c r="W466">
        <f>VLOOKUP(G466,'[1]Erogati mag-giu 2026_791_old'!$A:$W,14,FALSE)</f>
        <v>-245.78</v>
      </c>
      <c r="X466">
        <f t="shared" si="36"/>
        <v>0</v>
      </c>
      <c r="Y466" t="s">
        <v>158</v>
      </c>
      <c r="Z466" t="str">
        <f>VLOOKUP(G466,'[2]Erogati mag-giu 2026_791_old'!$D:$T,11,FALSE)</f>
        <v>indiretto</v>
      </c>
      <c r="AA466" t="b">
        <v>1</v>
      </c>
      <c r="AF466" t="s">
        <v>20</v>
      </c>
      <c r="AG466" t="s">
        <v>20</v>
      </c>
    </row>
    <row r="467" spans="1:33">
      <c r="A467" s="13" t="s">
        <v>809</v>
      </c>
      <c r="B467" t="s">
        <v>1729</v>
      </c>
      <c r="C467" s="4">
        <v>202601307342428</v>
      </c>
      <c r="D467" s="4" t="b">
        <f t="shared" si="37"/>
        <v>1</v>
      </c>
      <c r="E467" t="s">
        <v>20</v>
      </c>
      <c r="F467" t="s">
        <v>21</v>
      </c>
      <c r="G467" t="s">
        <v>810</v>
      </c>
      <c r="H467" t="str">
        <f>VLOOKUP(C467,'[1]Erogati mag-giu 2026_791_old'!$B:$E,4,FALSE)</f>
        <v>C313018</v>
      </c>
      <c r="I467" t="b">
        <f t="shared" si="33"/>
        <v>1</v>
      </c>
      <c r="J467" s="14">
        <v>46179</v>
      </c>
      <c r="K467" s="14">
        <v>46179</v>
      </c>
      <c r="L467" t="s">
        <v>20</v>
      </c>
      <c r="M467" s="14">
        <v>46188</v>
      </c>
      <c r="N467" s="14">
        <v>46179</v>
      </c>
      <c r="O467" t="s">
        <v>20</v>
      </c>
      <c r="P467">
        <v>-33.130000000000003</v>
      </c>
      <c r="Q467">
        <f>VLOOKUP(G467,'[1]Erogati mag-giu 2026_791_old'!$A:$W,12,FALSE)</f>
        <v>-33.130000000000003</v>
      </c>
      <c r="R467">
        <f t="shared" si="34"/>
        <v>0</v>
      </c>
      <c r="S467">
        <v>-33.130000000000003</v>
      </c>
      <c r="T467">
        <f>VLOOKUP(G467,'[1]Erogati mag-giu 2026_791_old'!$A:$W,13,FALSE)</f>
        <v>-33.130000000000003</v>
      </c>
      <c r="U467">
        <f t="shared" si="35"/>
        <v>0</v>
      </c>
      <c r="V467">
        <v>-33.130000000000003</v>
      </c>
      <c r="W467">
        <f>VLOOKUP(G467,'[1]Erogati mag-giu 2026_791_old'!$A:$W,14,FALSE)</f>
        <v>-33.130000000000003</v>
      </c>
      <c r="X467">
        <f t="shared" si="36"/>
        <v>0</v>
      </c>
      <c r="Y467" t="s">
        <v>158</v>
      </c>
      <c r="Z467" t="str">
        <f>VLOOKUP(G467,'[2]Erogati mag-giu 2026_791_old'!$D:$T,11,FALSE)</f>
        <v>indiretto</v>
      </c>
      <c r="AA467" t="b">
        <v>1</v>
      </c>
      <c r="AF467" t="s">
        <v>20</v>
      </c>
      <c r="AG467" t="s">
        <v>20</v>
      </c>
    </row>
    <row r="468" spans="1:33">
      <c r="A468" s="13" t="s">
        <v>811</v>
      </c>
      <c r="B468" t="s">
        <v>1730</v>
      </c>
      <c r="C468" s="4">
        <v>202601307348558</v>
      </c>
      <c r="D468" s="4" t="b">
        <f t="shared" si="37"/>
        <v>1</v>
      </c>
      <c r="E468" t="s">
        <v>20</v>
      </c>
      <c r="F468" t="s">
        <v>21</v>
      </c>
      <c r="G468" t="s">
        <v>812</v>
      </c>
      <c r="H468" t="str">
        <f>VLOOKUP(C468,'[1]Erogati mag-giu 2026_791_old'!$B:$E,4,FALSE)</f>
        <v>C344205</v>
      </c>
      <c r="I468" t="b">
        <f t="shared" si="33"/>
        <v>1</v>
      </c>
      <c r="J468" s="14">
        <v>46179</v>
      </c>
      <c r="K468" s="14">
        <v>46179</v>
      </c>
      <c r="L468" t="s">
        <v>20</v>
      </c>
      <c r="M468" s="14">
        <v>46188</v>
      </c>
      <c r="N468" s="14">
        <v>46179</v>
      </c>
      <c r="O468" t="s">
        <v>20</v>
      </c>
      <c r="P468">
        <v>-18.16</v>
      </c>
      <c r="Q468">
        <f>VLOOKUP(G468,'[1]Erogati mag-giu 2026_791_old'!$A:$W,12,FALSE)</f>
        <v>-18.16</v>
      </c>
      <c r="R468">
        <f t="shared" si="34"/>
        <v>0</v>
      </c>
      <c r="S468">
        <v>-18.16</v>
      </c>
      <c r="T468">
        <f>VLOOKUP(G468,'[1]Erogati mag-giu 2026_791_old'!$A:$W,13,FALSE)</f>
        <v>-18.16</v>
      </c>
      <c r="U468">
        <f t="shared" si="35"/>
        <v>0</v>
      </c>
      <c r="V468">
        <v>-18.16</v>
      </c>
      <c r="W468">
        <f>VLOOKUP(G468,'[1]Erogati mag-giu 2026_791_old'!$A:$W,14,FALSE)</f>
        <v>-18.16</v>
      </c>
      <c r="X468">
        <f t="shared" si="36"/>
        <v>0</v>
      </c>
      <c r="Y468" t="s">
        <v>158</v>
      </c>
      <c r="Z468" t="str">
        <f>VLOOKUP(G468,'[2]Erogati mag-giu 2026_791_old'!$D:$T,11,FALSE)</f>
        <v>indiretto</v>
      </c>
      <c r="AA468" t="b">
        <v>1</v>
      </c>
      <c r="AF468" t="s">
        <v>20</v>
      </c>
      <c r="AG468" t="s">
        <v>20</v>
      </c>
    </row>
    <row r="469" spans="1:33">
      <c r="A469" s="13" t="s">
        <v>813</v>
      </c>
      <c r="B469" t="s">
        <v>1731</v>
      </c>
      <c r="C469" s="4">
        <v>202601307349757</v>
      </c>
      <c r="D469" s="4" t="b">
        <f t="shared" si="37"/>
        <v>1</v>
      </c>
      <c r="E469" t="s">
        <v>20</v>
      </c>
      <c r="F469" t="s">
        <v>21</v>
      </c>
      <c r="G469" t="s">
        <v>814</v>
      </c>
      <c r="H469" t="str">
        <f>VLOOKUP(C469,'[1]Erogati mag-giu 2026_791_old'!$B:$E,4,FALSE)</f>
        <v>C344264</v>
      </c>
      <c r="I469" t="b">
        <f t="shared" si="33"/>
        <v>1</v>
      </c>
      <c r="J469" s="14">
        <v>46179</v>
      </c>
      <c r="K469" s="14">
        <v>46179</v>
      </c>
      <c r="L469" t="s">
        <v>20</v>
      </c>
      <c r="M469" s="14">
        <v>46188</v>
      </c>
      <c r="N469" s="14">
        <v>46179</v>
      </c>
      <c r="O469" t="s">
        <v>20</v>
      </c>
      <c r="P469">
        <v>-165.65</v>
      </c>
      <c r="Q469">
        <f>VLOOKUP(G469,'[1]Erogati mag-giu 2026_791_old'!$A:$W,12,FALSE)</f>
        <v>-165.65</v>
      </c>
      <c r="R469">
        <f t="shared" si="34"/>
        <v>0</v>
      </c>
      <c r="S469">
        <v>-165.65</v>
      </c>
      <c r="T469">
        <f>VLOOKUP(G469,'[1]Erogati mag-giu 2026_791_old'!$A:$W,13,FALSE)</f>
        <v>-165.65</v>
      </c>
      <c r="U469">
        <f t="shared" si="35"/>
        <v>0</v>
      </c>
      <c r="V469">
        <v>-165.65</v>
      </c>
      <c r="W469">
        <f>VLOOKUP(G469,'[1]Erogati mag-giu 2026_791_old'!$A:$W,14,FALSE)</f>
        <v>-165.65</v>
      </c>
      <c r="X469">
        <f t="shared" si="36"/>
        <v>0</v>
      </c>
      <c r="Y469" t="s">
        <v>158</v>
      </c>
      <c r="Z469" t="str">
        <f>VLOOKUP(G469,'[2]Erogati mag-giu 2026_791_old'!$D:$T,11,FALSE)</f>
        <v>indiretto</v>
      </c>
      <c r="AA469" t="b">
        <v>1</v>
      </c>
      <c r="AF469" t="s">
        <v>20</v>
      </c>
      <c r="AG469" t="s">
        <v>20</v>
      </c>
    </row>
    <row r="470" spans="1:33">
      <c r="A470" s="13" t="s">
        <v>815</v>
      </c>
      <c r="B470" t="s">
        <v>1732</v>
      </c>
      <c r="C470" s="4">
        <v>202601307351915</v>
      </c>
      <c r="D470" s="4" t="b">
        <f t="shared" si="37"/>
        <v>1</v>
      </c>
      <c r="E470" t="s">
        <v>20</v>
      </c>
      <c r="F470" t="s">
        <v>21</v>
      </c>
      <c r="G470" t="s">
        <v>816</v>
      </c>
      <c r="H470" t="str">
        <f>VLOOKUP(C470,'[1]Erogati mag-giu 2026_791_old'!$B:$E,4,FALSE)</f>
        <v>C337527</v>
      </c>
      <c r="I470" t="b">
        <f t="shared" si="33"/>
        <v>1</v>
      </c>
      <c r="J470" s="14">
        <v>46179</v>
      </c>
      <c r="K470" s="14">
        <v>46179</v>
      </c>
      <c r="L470" t="s">
        <v>20</v>
      </c>
      <c r="M470" s="14">
        <v>46188</v>
      </c>
      <c r="N470" s="14">
        <v>46179</v>
      </c>
      <c r="O470" t="s">
        <v>20</v>
      </c>
      <c r="P470">
        <v>-33.130000000000003</v>
      </c>
      <c r="Q470">
        <f>VLOOKUP(G470,'[1]Erogati mag-giu 2026_791_old'!$A:$W,12,FALSE)</f>
        <v>-33.130000000000003</v>
      </c>
      <c r="R470">
        <f t="shared" si="34"/>
        <v>0</v>
      </c>
      <c r="S470">
        <v>-33.130000000000003</v>
      </c>
      <c r="T470">
        <f>VLOOKUP(G470,'[1]Erogati mag-giu 2026_791_old'!$A:$W,13,FALSE)</f>
        <v>-33.130000000000003</v>
      </c>
      <c r="U470">
        <f t="shared" si="35"/>
        <v>0</v>
      </c>
      <c r="V470">
        <v>-33.130000000000003</v>
      </c>
      <c r="W470">
        <f>VLOOKUP(G470,'[1]Erogati mag-giu 2026_791_old'!$A:$W,14,FALSE)</f>
        <v>-33.130000000000003</v>
      </c>
      <c r="X470">
        <f t="shared" si="36"/>
        <v>0</v>
      </c>
      <c r="Y470" t="s">
        <v>158</v>
      </c>
      <c r="Z470" t="str">
        <f>VLOOKUP(G470,'[2]Erogati mag-giu 2026_791_old'!$D:$T,11,FALSE)</f>
        <v>indiretto</v>
      </c>
      <c r="AA470" t="b">
        <v>1</v>
      </c>
      <c r="AF470" t="s">
        <v>20</v>
      </c>
      <c r="AG470" t="s">
        <v>20</v>
      </c>
    </row>
    <row r="471" spans="1:33">
      <c r="A471" s="13" t="s">
        <v>817</v>
      </c>
      <c r="B471" t="s">
        <v>1733</v>
      </c>
      <c r="C471" s="4">
        <v>202601307360761</v>
      </c>
      <c r="D471" s="4" t="b">
        <f t="shared" si="37"/>
        <v>1</v>
      </c>
      <c r="E471" t="s">
        <v>20</v>
      </c>
      <c r="F471" t="s">
        <v>21</v>
      </c>
      <c r="G471" t="s">
        <v>818</v>
      </c>
      <c r="H471" t="str">
        <f>VLOOKUP(C471,'[1]Erogati mag-giu 2026_791_old'!$B:$E,4,FALSE)</f>
        <v>C313730</v>
      </c>
      <c r="I471" t="b">
        <f t="shared" si="33"/>
        <v>1</v>
      </c>
      <c r="J471" s="14">
        <v>46179</v>
      </c>
      <c r="K471" s="14">
        <v>46179</v>
      </c>
      <c r="L471" t="s">
        <v>20</v>
      </c>
      <c r="M471" s="14">
        <v>46188</v>
      </c>
      <c r="N471" s="14">
        <v>46179</v>
      </c>
      <c r="O471" t="s">
        <v>20</v>
      </c>
      <c r="P471">
        <v>-132.52000000000001</v>
      </c>
      <c r="Q471">
        <f>VLOOKUP(G471,'[1]Erogati mag-giu 2026_791_old'!$A:$W,12,FALSE)</f>
        <v>-132.52000000000001</v>
      </c>
      <c r="R471">
        <f t="shared" si="34"/>
        <v>0</v>
      </c>
      <c r="S471">
        <v>-132.52000000000001</v>
      </c>
      <c r="T471">
        <f>VLOOKUP(G471,'[1]Erogati mag-giu 2026_791_old'!$A:$W,13,FALSE)</f>
        <v>-132.52000000000001</v>
      </c>
      <c r="U471">
        <f t="shared" si="35"/>
        <v>0</v>
      </c>
      <c r="V471">
        <v>-132.52000000000001</v>
      </c>
      <c r="W471">
        <f>VLOOKUP(G471,'[1]Erogati mag-giu 2026_791_old'!$A:$W,14,FALSE)</f>
        <v>-132.52000000000001</v>
      </c>
      <c r="X471">
        <f t="shared" si="36"/>
        <v>0</v>
      </c>
      <c r="Y471" t="s">
        <v>158</v>
      </c>
      <c r="Z471" t="str">
        <f>VLOOKUP(G471,'[2]Erogati mag-giu 2026_791_old'!$D:$T,11,FALSE)</f>
        <v>indiretto</v>
      </c>
      <c r="AA471" t="b">
        <v>1</v>
      </c>
      <c r="AF471" t="s">
        <v>20</v>
      </c>
      <c r="AG471" t="s">
        <v>20</v>
      </c>
    </row>
    <row r="472" spans="1:33">
      <c r="A472" s="13" t="s">
        <v>819</v>
      </c>
      <c r="B472" t="s">
        <v>1734</v>
      </c>
      <c r="C472" s="4">
        <v>202601307361115</v>
      </c>
      <c r="D472" s="4" t="b">
        <f t="shared" si="37"/>
        <v>1</v>
      </c>
      <c r="E472" t="s">
        <v>20</v>
      </c>
      <c r="F472" t="s">
        <v>21</v>
      </c>
      <c r="G472" t="s">
        <v>820</v>
      </c>
      <c r="H472" t="str">
        <f>VLOOKUP(C472,'[1]Erogati mag-giu 2026_791_old'!$B:$E,4,FALSE)</f>
        <v>C320245</v>
      </c>
      <c r="I472" t="b">
        <f t="shared" si="33"/>
        <v>1</v>
      </c>
      <c r="J472" s="14">
        <v>46179</v>
      </c>
      <c r="K472" s="14">
        <v>46179</v>
      </c>
      <c r="L472" t="s">
        <v>20</v>
      </c>
      <c r="M472" s="14">
        <v>46188</v>
      </c>
      <c r="N472" s="14">
        <v>46179</v>
      </c>
      <c r="O472" t="s">
        <v>20</v>
      </c>
      <c r="P472">
        <v>-33.130000000000003</v>
      </c>
      <c r="Q472">
        <f>VLOOKUP(G472,'[1]Erogati mag-giu 2026_791_old'!$A:$W,12,FALSE)</f>
        <v>-33.130000000000003</v>
      </c>
      <c r="R472">
        <f t="shared" si="34"/>
        <v>0</v>
      </c>
      <c r="S472">
        <v>-33.130000000000003</v>
      </c>
      <c r="T472">
        <f>VLOOKUP(G472,'[1]Erogati mag-giu 2026_791_old'!$A:$W,13,FALSE)</f>
        <v>-33.130000000000003</v>
      </c>
      <c r="U472">
        <f t="shared" si="35"/>
        <v>0</v>
      </c>
      <c r="V472">
        <v>-33.130000000000003</v>
      </c>
      <c r="W472">
        <f>VLOOKUP(G472,'[1]Erogati mag-giu 2026_791_old'!$A:$W,14,FALSE)</f>
        <v>-33.130000000000003</v>
      </c>
      <c r="X472">
        <f t="shared" si="36"/>
        <v>0</v>
      </c>
      <c r="Y472" t="s">
        <v>158</v>
      </c>
      <c r="Z472" t="str">
        <f>VLOOKUP(G472,'[2]Erogati mag-giu 2026_791_old'!$D:$T,11,FALSE)</f>
        <v>indiretto</v>
      </c>
      <c r="AA472" t="b">
        <v>1</v>
      </c>
      <c r="AF472" t="s">
        <v>20</v>
      </c>
      <c r="AG472" t="s">
        <v>20</v>
      </c>
    </row>
    <row r="473" spans="1:33">
      <c r="A473" s="13" t="s">
        <v>821</v>
      </c>
      <c r="B473" t="s">
        <v>1735</v>
      </c>
      <c r="C473" s="4">
        <v>202601307365488</v>
      </c>
      <c r="D473" s="4" t="b">
        <f t="shared" si="37"/>
        <v>1</v>
      </c>
      <c r="E473" t="s">
        <v>20</v>
      </c>
      <c r="F473" t="s">
        <v>21</v>
      </c>
      <c r="G473" t="s">
        <v>822</v>
      </c>
      <c r="H473" t="str">
        <f>VLOOKUP(C473,'[1]Erogati mag-giu 2026_791_old'!$B:$E,4,FALSE)</f>
        <v>C307598</v>
      </c>
      <c r="I473" t="b">
        <f t="shared" si="33"/>
        <v>1</v>
      </c>
      <c r="J473" s="14">
        <v>46179</v>
      </c>
      <c r="K473" s="14">
        <v>46179</v>
      </c>
      <c r="L473" t="s">
        <v>20</v>
      </c>
      <c r="M473" s="14">
        <v>46188</v>
      </c>
      <c r="N473" s="14">
        <v>46179</v>
      </c>
      <c r="O473" t="s">
        <v>20</v>
      </c>
      <c r="P473">
        <v>-33.130000000000003</v>
      </c>
      <c r="Q473">
        <f>VLOOKUP(G473,'[1]Erogati mag-giu 2026_791_old'!$A:$W,12,FALSE)</f>
        <v>-33.130000000000003</v>
      </c>
      <c r="R473">
        <f t="shared" si="34"/>
        <v>0</v>
      </c>
      <c r="S473">
        <v>-33.130000000000003</v>
      </c>
      <c r="T473">
        <f>VLOOKUP(G473,'[1]Erogati mag-giu 2026_791_old'!$A:$W,13,FALSE)</f>
        <v>-33.130000000000003</v>
      </c>
      <c r="U473">
        <f t="shared" si="35"/>
        <v>0</v>
      </c>
      <c r="V473">
        <v>-33.130000000000003</v>
      </c>
      <c r="W473">
        <f>VLOOKUP(G473,'[1]Erogati mag-giu 2026_791_old'!$A:$W,14,FALSE)</f>
        <v>-33.130000000000003</v>
      </c>
      <c r="X473">
        <f t="shared" si="36"/>
        <v>0</v>
      </c>
      <c r="Y473" t="s">
        <v>158</v>
      </c>
      <c r="Z473" t="str">
        <f>VLOOKUP(G473,'[2]Erogati mag-giu 2026_791_old'!$D:$T,11,FALSE)</f>
        <v>indiretto</v>
      </c>
      <c r="AA473" t="b">
        <v>1</v>
      </c>
      <c r="AF473" t="s">
        <v>20</v>
      </c>
      <c r="AG473" t="s">
        <v>20</v>
      </c>
    </row>
    <row r="474" spans="1:33">
      <c r="A474" s="13" t="s">
        <v>823</v>
      </c>
      <c r="B474" t="s">
        <v>1736</v>
      </c>
      <c r="C474" s="4">
        <v>202601307368953</v>
      </c>
      <c r="D474" s="4" t="b">
        <f t="shared" si="37"/>
        <v>1</v>
      </c>
      <c r="E474" t="s">
        <v>20</v>
      </c>
      <c r="F474" t="s">
        <v>21</v>
      </c>
      <c r="G474" t="s">
        <v>824</v>
      </c>
      <c r="H474" t="str">
        <f>VLOOKUP(C474,'[1]Erogati mag-giu 2026_791_old'!$B:$E,4,FALSE)</f>
        <v>C311884</v>
      </c>
      <c r="I474" t="b">
        <f t="shared" si="33"/>
        <v>1</v>
      </c>
      <c r="J474" s="14">
        <v>46179</v>
      </c>
      <c r="K474" s="14">
        <v>46179</v>
      </c>
      <c r="L474" t="s">
        <v>20</v>
      </c>
      <c r="M474" s="14">
        <v>46188</v>
      </c>
      <c r="N474" s="14">
        <v>46179</v>
      </c>
      <c r="O474" t="s">
        <v>20</v>
      </c>
      <c r="P474">
        <v>-132.52000000000001</v>
      </c>
      <c r="Q474">
        <f>VLOOKUP(G474,'[1]Erogati mag-giu 2026_791_old'!$A:$W,12,FALSE)</f>
        <v>-132.52000000000001</v>
      </c>
      <c r="R474">
        <f t="shared" si="34"/>
        <v>0</v>
      </c>
      <c r="S474">
        <v>-132.52000000000001</v>
      </c>
      <c r="T474">
        <f>VLOOKUP(G474,'[1]Erogati mag-giu 2026_791_old'!$A:$W,13,FALSE)</f>
        <v>-132.52000000000001</v>
      </c>
      <c r="U474">
        <f t="shared" si="35"/>
        <v>0</v>
      </c>
      <c r="V474">
        <v>-132.52000000000001</v>
      </c>
      <c r="W474">
        <f>VLOOKUP(G474,'[1]Erogati mag-giu 2026_791_old'!$A:$W,14,FALSE)</f>
        <v>-132.52000000000001</v>
      </c>
      <c r="X474">
        <f t="shared" si="36"/>
        <v>0</v>
      </c>
      <c r="Y474" t="s">
        <v>158</v>
      </c>
      <c r="Z474" t="str">
        <f>VLOOKUP(G474,'[2]Erogati mag-giu 2026_791_old'!$D:$T,11,FALSE)</f>
        <v>indiretto</v>
      </c>
      <c r="AA474" t="b">
        <v>1</v>
      </c>
      <c r="AF474" t="s">
        <v>20</v>
      </c>
      <c r="AG474" t="s">
        <v>20</v>
      </c>
    </row>
    <row r="475" spans="1:33">
      <c r="A475" s="13" t="s">
        <v>825</v>
      </c>
      <c r="B475" t="s">
        <v>1737</v>
      </c>
      <c r="C475" s="4">
        <v>202601307377699</v>
      </c>
      <c r="D475" s="4" t="b">
        <f t="shared" si="37"/>
        <v>1</v>
      </c>
      <c r="E475" t="s">
        <v>20</v>
      </c>
      <c r="F475" t="s">
        <v>21</v>
      </c>
      <c r="G475" t="s">
        <v>826</v>
      </c>
      <c r="H475" t="str">
        <f>VLOOKUP(C475,'[1]Erogati mag-giu 2026_791_old'!$B:$E,4,FALSE)</f>
        <v>C321389</v>
      </c>
      <c r="I475" t="b">
        <f t="shared" si="33"/>
        <v>1</v>
      </c>
      <c r="J475" s="14">
        <v>46179</v>
      </c>
      <c r="K475" s="14">
        <v>46179</v>
      </c>
      <c r="L475" t="s">
        <v>20</v>
      </c>
      <c r="M475" s="14">
        <v>46188</v>
      </c>
      <c r="N475" s="14">
        <v>46179</v>
      </c>
      <c r="O475" t="s">
        <v>20</v>
      </c>
      <c r="P475">
        <v>-89.45</v>
      </c>
      <c r="Q475">
        <f>VLOOKUP(G475,'[1]Erogati mag-giu 2026_791_old'!$A:$W,12,FALSE)</f>
        <v>-89.45</v>
      </c>
      <c r="R475">
        <f t="shared" si="34"/>
        <v>0</v>
      </c>
      <c r="S475">
        <v>-89.45</v>
      </c>
      <c r="T475">
        <f>VLOOKUP(G475,'[1]Erogati mag-giu 2026_791_old'!$A:$W,13,FALSE)</f>
        <v>-89.45</v>
      </c>
      <c r="U475">
        <f t="shared" si="35"/>
        <v>0</v>
      </c>
      <c r="V475">
        <v>-89.45</v>
      </c>
      <c r="W475">
        <f>VLOOKUP(G475,'[1]Erogati mag-giu 2026_791_old'!$A:$W,14,FALSE)</f>
        <v>-89.45</v>
      </c>
      <c r="X475">
        <f t="shared" si="36"/>
        <v>0</v>
      </c>
      <c r="Y475" t="s">
        <v>158</v>
      </c>
      <c r="Z475" t="str">
        <f>VLOOKUP(G475,'[2]Erogati mag-giu 2026_791_old'!$D:$T,11,FALSE)</f>
        <v>indiretto</v>
      </c>
      <c r="AA475" t="b">
        <v>1</v>
      </c>
      <c r="AF475" t="s">
        <v>20</v>
      </c>
      <c r="AG475" t="s">
        <v>20</v>
      </c>
    </row>
    <row r="476" spans="1:33">
      <c r="A476" s="13" t="s">
        <v>827</v>
      </c>
      <c r="B476" t="s">
        <v>1738</v>
      </c>
      <c r="C476" s="4">
        <v>202601307380242</v>
      </c>
      <c r="D476" s="4" t="b">
        <f t="shared" si="37"/>
        <v>1</v>
      </c>
      <c r="E476" t="s">
        <v>20</v>
      </c>
      <c r="F476" t="s">
        <v>21</v>
      </c>
      <c r="G476" t="s">
        <v>828</v>
      </c>
      <c r="H476" t="str">
        <f>VLOOKUP(C476,'[1]Erogati mag-giu 2026_791_old'!$B:$E,4,FALSE)</f>
        <v>C122055</v>
      </c>
      <c r="I476" t="b">
        <f t="shared" si="33"/>
        <v>1</v>
      </c>
      <c r="J476" s="14">
        <v>46179</v>
      </c>
      <c r="K476" s="14">
        <v>46179</v>
      </c>
      <c r="L476" t="s">
        <v>20</v>
      </c>
      <c r="M476" s="14">
        <v>46188</v>
      </c>
      <c r="N476" s="14">
        <v>46179</v>
      </c>
      <c r="O476" t="s">
        <v>20</v>
      </c>
      <c r="P476">
        <v>-149.09</v>
      </c>
      <c r="Q476">
        <f>VLOOKUP(G476,'[1]Erogati mag-giu 2026_791_old'!$A:$W,12,FALSE)</f>
        <v>-149.09</v>
      </c>
      <c r="R476">
        <f t="shared" si="34"/>
        <v>0</v>
      </c>
      <c r="S476">
        <v>-149.09</v>
      </c>
      <c r="T476">
        <f>VLOOKUP(G476,'[1]Erogati mag-giu 2026_791_old'!$A:$W,13,FALSE)</f>
        <v>-149.09</v>
      </c>
      <c r="U476">
        <f t="shared" si="35"/>
        <v>0</v>
      </c>
      <c r="V476">
        <v>-149.09</v>
      </c>
      <c r="W476">
        <f>VLOOKUP(G476,'[1]Erogati mag-giu 2026_791_old'!$A:$W,14,FALSE)</f>
        <v>-149.09</v>
      </c>
      <c r="X476">
        <f t="shared" si="36"/>
        <v>0</v>
      </c>
      <c r="Y476" t="s">
        <v>158</v>
      </c>
      <c r="Z476" t="str">
        <f>VLOOKUP(G476,'[2]Erogati mag-giu 2026_791_old'!$D:$T,11,FALSE)</f>
        <v>indiretto</v>
      </c>
      <c r="AA476" t="b">
        <v>1</v>
      </c>
      <c r="AF476" t="s">
        <v>20</v>
      </c>
      <c r="AG476" t="s">
        <v>20</v>
      </c>
    </row>
    <row r="477" spans="1:33">
      <c r="A477" s="13" t="s">
        <v>829</v>
      </c>
      <c r="B477" t="s">
        <v>1739</v>
      </c>
      <c r="C477" s="4">
        <v>202601307383863</v>
      </c>
      <c r="D477" s="4" t="b">
        <f t="shared" si="37"/>
        <v>1</v>
      </c>
      <c r="E477" t="s">
        <v>20</v>
      </c>
      <c r="F477" t="s">
        <v>21</v>
      </c>
      <c r="G477" t="s">
        <v>830</v>
      </c>
      <c r="H477" t="str">
        <f>VLOOKUP(C477,'[1]Erogati mag-giu 2026_791_old'!$B:$E,4,FALSE)</f>
        <v>C344160</v>
      </c>
      <c r="I477" t="b">
        <f t="shared" si="33"/>
        <v>1</v>
      </c>
      <c r="J477" s="14">
        <v>46179</v>
      </c>
      <c r="K477" s="14">
        <v>46179</v>
      </c>
      <c r="L477" t="s">
        <v>20</v>
      </c>
      <c r="M477" s="14">
        <v>46188</v>
      </c>
      <c r="N477" s="14">
        <v>46179</v>
      </c>
      <c r="O477" t="s">
        <v>20</v>
      </c>
      <c r="P477">
        <v>-13.29</v>
      </c>
      <c r="Q477">
        <f>VLOOKUP(G477,'[1]Erogati mag-giu 2026_791_old'!$A:$W,12,FALSE)</f>
        <v>-13.29</v>
      </c>
      <c r="R477">
        <f t="shared" si="34"/>
        <v>0</v>
      </c>
      <c r="S477">
        <v>-13.29</v>
      </c>
      <c r="T477">
        <f>VLOOKUP(G477,'[1]Erogati mag-giu 2026_791_old'!$A:$W,13,FALSE)</f>
        <v>-13.29</v>
      </c>
      <c r="U477">
        <f t="shared" si="35"/>
        <v>0</v>
      </c>
      <c r="V477">
        <v>-13.29</v>
      </c>
      <c r="W477">
        <f>VLOOKUP(G477,'[1]Erogati mag-giu 2026_791_old'!$A:$W,14,FALSE)</f>
        <v>-13.29</v>
      </c>
      <c r="X477">
        <f t="shared" si="36"/>
        <v>0</v>
      </c>
      <c r="Y477" t="s">
        <v>158</v>
      </c>
      <c r="Z477" t="str">
        <f>VLOOKUP(G477,'[2]Erogati mag-giu 2026_791_old'!$D:$T,11,FALSE)</f>
        <v>indiretto</v>
      </c>
      <c r="AA477" t="b">
        <v>1</v>
      </c>
      <c r="AF477" t="s">
        <v>20</v>
      </c>
      <c r="AG477" t="s">
        <v>20</v>
      </c>
    </row>
    <row r="478" spans="1:33">
      <c r="A478" s="13" t="s">
        <v>831</v>
      </c>
      <c r="B478" t="s">
        <v>1740</v>
      </c>
      <c r="C478" s="4">
        <v>202601307387255</v>
      </c>
      <c r="D478" s="4" t="b">
        <f t="shared" si="37"/>
        <v>1</v>
      </c>
      <c r="E478" t="s">
        <v>20</v>
      </c>
      <c r="F478" t="s">
        <v>21</v>
      </c>
      <c r="G478" t="s">
        <v>832</v>
      </c>
      <c r="H478" t="str">
        <f>VLOOKUP(C478,'[1]Erogati mag-giu 2026_791_old'!$B:$E,4,FALSE)</f>
        <v>C314180</v>
      </c>
      <c r="I478" t="b">
        <f t="shared" si="33"/>
        <v>1</v>
      </c>
      <c r="J478" s="14">
        <v>46179</v>
      </c>
      <c r="K478" s="14">
        <v>46179</v>
      </c>
      <c r="L478" t="s">
        <v>20</v>
      </c>
      <c r="M478" s="14">
        <v>46188</v>
      </c>
      <c r="N478" s="14">
        <v>46179</v>
      </c>
      <c r="O478" t="s">
        <v>20</v>
      </c>
      <c r="P478">
        <v>-33.130000000000003</v>
      </c>
      <c r="Q478">
        <f>VLOOKUP(G478,'[1]Erogati mag-giu 2026_791_old'!$A:$W,12,FALSE)</f>
        <v>-33.130000000000003</v>
      </c>
      <c r="R478">
        <f t="shared" si="34"/>
        <v>0</v>
      </c>
      <c r="S478">
        <v>-33.130000000000003</v>
      </c>
      <c r="T478">
        <f>VLOOKUP(G478,'[1]Erogati mag-giu 2026_791_old'!$A:$W,13,FALSE)</f>
        <v>-33.130000000000003</v>
      </c>
      <c r="U478">
        <f t="shared" si="35"/>
        <v>0</v>
      </c>
      <c r="V478">
        <v>-33.130000000000003</v>
      </c>
      <c r="W478">
        <f>VLOOKUP(G478,'[1]Erogati mag-giu 2026_791_old'!$A:$W,14,FALSE)</f>
        <v>-33.130000000000003</v>
      </c>
      <c r="X478">
        <f t="shared" si="36"/>
        <v>0</v>
      </c>
      <c r="Y478" t="s">
        <v>158</v>
      </c>
      <c r="Z478" t="str">
        <f>VLOOKUP(G478,'[2]Erogati mag-giu 2026_791_old'!$D:$T,11,FALSE)</f>
        <v>indiretto</v>
      </c>
      <c r="AA478" t="b">
        <v>1</v>
      </c>
      <c r="AF478" t="s">
        <v>20</v>
      </c>
      <c r="AG478" t="s">
        <v>20</v>
      </c>
    </row>
    <row r="479" spans="1:33">
      <c r="A479" s="13" t="s">
        <v>833</v>
      </c>
      <c r="B479" t="s">
        <v>1741</v>
      </c>
      <c r="C479" s="4">
        <v>202601307389294</v>
      </c>
      <c r="D479" s="4" t="b">
        <f t="shared" si="37"/>
        <v>1</v>
      </c>
      <c r="E479" t="s">
        <v>20</v>
      </c>
      <c r="F479" t="s">
        <v>21</v>
      </c>
      <c r="G479" t="s">
        <v>834</v>
      </c>
      <c r="H479" t="str">
        <f>VLOOKUP(C479,'[1]Erogati mag-giu 2026_791_old'!$B:$E,4,FALSE)</f>
        <v>C312763</v>
      </c>
      <c r="I479" t="b">
        <f t="shared" si="33"/>
        <v>1</v>
      </c>
      <c r="J479" s="14">
        <v>46179</v>
      </c>
      <c r="K479" s="14">
        <v>46179</v>
      </c>
      <c r="L479" t="s">
        <v>20</v>
      </c>
      <c r="M479" s="14">
        <v>46188</v>
      </c>
      <c r="N479" s="14">
        <v>46179</v>
      </c>
      <c r="O479" t="s">
        <v>20</v>
      </c>
      <c r="P479">
        <v>-24.62</v>
      </c>
      <c r="Q479">
        <f>VLOOKUP(G479,'[1]Erogati mag-giu 2026_791_old'!$A:$W,12,FALSE)</f>
        <v>-24.62</v>
      </c>
      <c r="R479">
        <f t="shared" si="34"/>
        <v>0</v>
      </c>
      <c r="S479">
        <v>-24.62</v>
      </c>
      <c r="T479">
        <f>VLOOKUP(G479,'[1]Erogati mag-giu 2026_791_old'!$A:$W,13,FALSE)</f>
        <v>-24.62</v>
      </c>
      <c r="U479">
        <f t="shared" si="35"/>
        <v>0</v>
      </c>
      <c r="V479">
        <v>-24.62</v>
      </c>
      <c r="W479">
        <f>VLOOKUP(G479,'[1]Erogati mag-giu 2026_791_old'!$A:$W,14,FALSE)</f>
        <v>-24.62</v>
      </c>
      <c r="X479">
        <f t="shared" si="36"/>
        <v>0</v>
      </c>
      <c r="Y479" t="s">
        <v>158</v>
      </c>
      <c r="Z479" t="str">
        <f>VLOOKUP(G479,'[2]Erogati mag-giu 2026_791_old'!$D:$T,11,FALSE)</f>
        <v>indiretto</v>
      </c>
      <c r="AA479" t="b">
        <v>1</v>
      </c>
      <c r="AF479" t="s">
        <v>20</v>
      </c>
      <c r="AG479" t="s">
        <v>20</v>
      </c>
    </row>
    <row r="480" spans="1:33">
      <c r="A480" s="13" t="s">
        <v>835</v>
      </c>
      <c r="B480" t="s">
        <v>1742</v>
      </c>
      <c r="C480" s="4">
        <v>202601307395159</v>
      </c>
      <c r="D480" s="4" t="b">
        <f t="shared" si="37"/>
        <v>1</v>
      </c>
      <c r="E480" t="s">
        <v>20</v>
      </c>
      <c r="F480" t="s">
        <v>21</v>
      </c>
      <c r="G480" t="s">
        <v>836</v>
      </c>
      <c r="H480" t="str">
        <f>VLOOKUP(C480,'[1]Erogati mag-giu 2026_791_old'!$B:$E,4,FALSE)</f>
        <v>C344161</v>
      </c>
      <c r="I480" t="b">
        <f t="shared" si="33"/>
        <v>1</v>
      </c>
      <c r="J480" s="14">
        <v>46179</v>
      </c>
      <c r="K480" s="14">
        <v>46179</v>
      </c>
      <c r="L480" t="s">
        <v>20</v>
      </c>
      <c r="M480" s="14">
        <v>46188</v>
      </c>
      <c r="N480" s="14">
        <v>46179</v>
      </c>
      <c r="O480" t="s">
        <v>20</v>
      </c>
      <c r="P480">
        <v>-131.29</v>
      </c>
      <c r="Q480">
        <f>VLOOKUP(G480,'[1]Erogati mag-giu 2026_791_old'!$A:$W,12,FALSE)</f>
        <v>-131.29</v>
      </c>
      <c r="R480">
        <f t="shared" si="34"/>
        <v>0</v>
      </c>
      <c r="S480">
        <v>-131.29</v>
      </c>
      <c r="T480">
        <f>VLOOKUP(G480,'[1]Erogati mag-giu 2026_791_old'!$A:$W,13,FALSE)</f>
        <v>-131.29</v>
      </c>
      <c r="U480">
        <f t="shared" si="35"/>
        <v>0</v>
      </c>
      <c r="V480">
        <v>-131.29</v>
      </c>
      <c r="W480">
        <f>VLOOKUP(G480,'[1]Erogati mag-giu 2026_791_old'!$A:$W,14,FALSE)</f>
        <v>-131.29</v>
      </c>
      <c r="X480">
        <f t="shared" si="36"/>
        <v>0</v>
      </c>
      <c r="Y480" t="s">
        <v>158</v>
      </c>
      <c r="Z480" t="str">
        <f>VLOOKUP(G480,'[2]Erogati mag-giu 2026_791_old'!$D:$T,11,FALSE)</f>
        <v>indiretto</v>
      </c>
      <c r="AA480" t="b">
        <v>1</v>
      </c>
      <c r="AF480" t="s">
        <v>20</v>
      </c>
      <c r="AG480" t="s">
        <v>20</v>
      </c>
    </row>
    <row r="481" spans="1:33">
      <c r="A481" s="13" t="s">
        <v>837</v>
      </c>
      <c r="B481" t="s">
        <v>1743</v>
      </c>
      <c r="C481" s="4">
        <v>202601307396324</v>
      </c>
      <c r="D481" s="4" t="b">
        <f t="shared" si="37"/>
        <v>1</v>
      </c>
      <c r="E481" t="s">
        <v>20</v>
      </c>
      <c r="F481" t="s">
        <v>21</v>
      </c>
      <c r="G481" t="s">
        <v>838</v>
      </c>
      <c r="H481" t="str">
        <f>VLOOKUP(C481,'[1]Erogati mag-giu 2026_791_old'!$B:$E,4,FALSE)</f>
        <v>C344141</v>
      </c>
      <c r="I481" t="b">
        <f t="shared" si="33"/>
        <v>1</v>
      </c>
      <c r="J481" s="14">
        <v>46179</v>
      </c>
      <c r="K481" s="14">
        <v>46179</v>
      </c>
      <c r="L481" t="s">
        <v>20</v>
      </c>
      <c r="M481" s="14">
        <v>46188</v>
      </c>
      <c r="N481" s="14">
        <v>46179</v>
      </c>
      <c r="O481" t="s">
        <v>20</v>
      </c>
      <c r="P481">
        <v>-131.29</v>
      </c>
      <c r="Q481">
        <f>VLOOKUP(G481,'[1]Erogati mag-giu 2026_791_old'!$A:$W,12,FALSE)</f>
        <v>-131.29</v>
      </c>
      <c r="R481">
        <f t="shared" si="34"/>
        <v>0</v>
      </c>
      <c r="S481">
        <v>-131.29</v>
      </c>
      <c r="T481">
        <f>VLOOKUP(G481,'[1]Erogati mag-giu 2026_791_old'!$A:$W,13,FALSE)</f>
        <v>-131.29</v>
      </c>
      <c r="U481">
        <f t="shared" si="35"/>
        <v>0</v>
      </c>
      <c r="V481">
        <v>-131.29</v>
      </c>
      <c r="W481">
        <f>VLOOKUP(G481,'[1]Erogati mag-giu 2026_791_old'!$A:$W,14,FALSE)</f>
        <v>-131.29</v>
      </c>
      <c r="X481">
        <f t="shared" si="36"/>
        <v>0</v>
      </c>
      <c r="Y481" t="s">
        <v>158</v>
      </c>
      <c r="Z481" t="str">
        <f>VLOOKUP(G481,'[2]Erogati mag-giu 2026_791_old'!$D:$T,11,FALSE)</f>
        <v>indiretto</v>
      </c>
      <c r="AA481" t="b">
        <v>1</v>
      </c>
      <c r="AF481" t="s">
        <v>20</v>
      </c>
      <c r="AG481" t="s">
        <v>20</v>
      </c>
    </row>
    <row r="482" spans="1:33">
      <c r="A482" s="13" t="s">
        <v>839</v>
      </c>
      <c r="B482" t="s">
        <v>1744</v>
      </c>
      <c r="C482" s="4">
        <v>202601307406328</v>
      </c>
      <c r="D482" s="4" t="b">
        <f t="shared" si="37"/>
        <v>1</v>
      </c>
      <c r="E482" t="s">
        <v>20</v>
      </c>
      <c r="F482" t="s">
        <v>21</v>
      </c>
      <c r="G482" t="s">
        <v>840</v>
      </c>
      <c r="H482" t="str">
        <f>VLOOKUP(C482,'[1]Erogati mag-giu 2026_791_old'!$B:$E,4,FALSE)</f>
        <v>C344102</v>
      </c>
      <c r="I482" t="b">
        <f t="shared" si="33"/>
        <v>1</v>
      </c>
      <c r="J482" s="14">
        <v>46179</v>
      </c>
      <c r="K482" s="14">
        <v>46179</v>
      </c>
      <c r="L482" t="s">
        <v>20</v>
      </c>
      <c r="M482" s="14">
        <v>46188</v>
      </c>
      <c r="N482" s="14">
        <v>46179</v>
      </c>
      <c r="O482" t="s">
        <v>20</v>
      </c>
      <c r="P482">
        <v>-33.130000000000003</v>
      </c>
      <c r="Q482">
        <f>VLOOKUP(G482,'[1]Erogati mag-giu 2026_791_old'!$A:$W,12,FALSE)</f>
        <v>-33.130000000000003</v>
      </c>
      <c r="R482">
        <f t="shared" si="34"/>
        <v>0</v>
      </c>
      <c r="S482">
        <v>-33.130000000000003</v>
      </c>
      <c r="T482">
        <f>VLOOKUP(G482,'[1]Erogati mag-giu 2026_791_old'!$A:$W,13,FALSE)</f>
        <v>-33.130000000000003</v>
      </c>
      <c r="U482">
        <f t="shared" si="35"/>
        <v>0</v>
      </c>
      <c r="V482">
        <v>-33.130000000000003</v>
      </c>
      <c r="W482">
        <f>VLOOKUP(G482,'[1]Erogati mag-giu 2026_791_old'!$A:$W,14,FALSE)</f>
        <v>-33.130000000000003</v>
      </c>
      <c r="X482">
        <f t="shared" si="36"/>
        <v>0</v>
      </c>
      <c r="Y482" t="s">
        <v>158</v>
      </c>
      <c r="Z482" t="str">
        <f>VLOOKUP(G482,'[2]Erogati mag-giu 2026_791_old'!$D:$T,11,FALSE)</f>
        <v>indiretto</v>
      </c>
      <c r="AA482" t="b">
        <v>1</v>
      </c>
      <c r="AF482" t="s">
        <v>20</v>
      </c>
      <c r="AG482" t="s">
        <v>20</v>
      </c>
    </row>
    <row r="483" spans="1:33">
      <c r="A483" s="13" t="s">
        <v>841</v>
      </c>
      <c r="B483" t="s">
        <v>1745</v>
      </c>
      <c r="C483" s="4">
        <v>202601307416180</v>
      </c>
      <c r="D483" s="4" t="b">
        <f t="shared" si="37"/>
        <v>1</v>
      </c>
      <c r="E483" t="s">
        <v>20</v>
      </c>
      <c r="F483" t="s">
        <v>21</v>
      </c>
      <c r="G483" t="s">
        <v>842</v>
      </c>
      <c r="H483" t="str">
        <f>VLOOKUP(C483,'[1]Erogati mag-giu 2026_791_old'!$B:$E,4,FALSE)</f>
        <v>C321090</v>
      </c>
      <c r="I483" t="b">
        <f t="shared" si="33"/>
        <v>1</v>
      </c>
      <c r="J483" s="14">
        <v>46179</v>
      </c>
      <c r="K483" s="14">
        <v>46179</v>
      </c>
      <c r="L483" t="s">
        <v>20</v>
      </c>
      <c r="M483" s="14">
        <v>46188</v>
      </c>
      <c r="N483" s="14">
        <v>46179</v>
      </c>
      <c r="O483" t="s">
        <v>20</v>
      </c>
      <c r="P483">
        <v>-77.319999999999993</v>
      </c>
      <c r="Q483">
        <f>VLOOKUP(G483,'[1]Erogati mag-giu 2026_791_old'!$A:$W,12,FALSE)</f>
        <v>-77.319999999999993</v>
      </c>
      <c r="R483">
        <f t="shared" si="34"/>
        <v>0</v>
      </c>
      <c r="S483">
        <v>-77.319999999999993</v>
      </c>
      <c r="T483">
        <f>VLOOKUP(G483,'[1]Erogati mag-giu 2026_791_old'!$A:$W,13,FALSE)</f>
        <v>-77.319999999999993</v>
      </c>
      <c r="U483">
        <f t="shared" si="35"/>
        <v>0</v>
      </c>
      <c r="V483">
        <v>-77.319999999999993</v>
      </c>
      <c r="W483">
        <f>VLOOKUP(G483,'[1]Erogati mag-giu 2026_791_old'!$A:$W,14,FALSE)</f>
        <v>-77.319999999999993</v>
      </c>
      <c r="X483">
        <f t="shared" si="36"/>
        <v>0</v>
      </c>
      <c r="Y483" t="s">
        <v>158</v>
      </c>
      <c r="Z483" t="str">
        <f>VLOOKUP(G483,'[2]Erogati mag-giu 2026_791_old'!$D:$T,11,FALSE)</f>
        <v>indiretto</v>
      </c>
      <c r="AA483" t="b">
        <v>1</v>
      </c>
      <c r="AF483" t="s">
        <v>20</v>
      </c>
      <c r="AG483" t="s">
        <v>20</v>
      </c>
    </row>
    <row r="484" spans="1:33">
      <c r="A484" s="13" t="s">
        <v>843</v>
      </c>
      <c r="B484" t="s">
        <v>1746</v>
      </c>
      <c r="C484" s="4">
        <v>202601307418961</v>
      </c>
      <c r="D484" s="4" t="b">
        <f t="shared" si="37"/>
        <v>1</v>
      </c>
      <c r="E484" t="s">
        <v>20</v>
      </c>
      <c r="F484" t="s">
        <v>21</v>
      </c>
      <c r="G484" t="s">
        <v>844</v>
      </c>
      <c r="H484" t="str">
        <f>VLOOKUP(C484,'[1]Erogati mag-giu 2026_791_old'!$B:$E,4,FALSE)</f>
        <v>C344103</v>
      </c>
      <c r="I484" t="b">
        <f t="shared" si="33"/>
        <v>1</v>
      </c>
      <c r="J484" s="14">
        <v>46179</v>
      </c>
      <c r="K484" s="14">
        <v>46179</v>
      </c>
      <c r="L484" t="s">
        <v>20</v>
      </c>
      <c r="M484" s="14">
        <v>46188</v>
      </c>
      <c r="N484" s="14">
        <v>46179</v>
      </c>
      <c r="O484" t="s">
        <v>20</v>
      </c>
      <c r="P484">
        <v>-26.26</v>
      </c>
      <c r="Q484">
        <f>VLOOKUP(G484,'[1]Erogati mag-giu 2026_791_old'!$A:$W,12,FALSE)</f>
        <v>-26.26</v>
      </c>
      <c r="R484">
        <f t="shared" si="34"/>
        <v>0</v>
      </c>
      <c r="S484">
        <v>-26.26</v>
      </c>
      <c r="T484">
        <f>VLOOKUP(G484,'[1]Erogati mag-giu 2026_791_old'!$A:$W,13,FALSE)</f>
        <v>-26.26</v>
      </c>
      <c r="U484">
        <f t="shared" si="35"/>
        <v>0</v>
      </c>
      <c r="V484">
        <v>-26.26</v>
      </c>
      <c r="W484">
        <f>VLOOKUP(G484,'[1]Erogati mag-giu 2026_791_old'!$A:$W,14,FALSE)</f>
        <v>-26.26</v>
      </c>
      <c r="X484">
        <f t="shared" si="36"/>
        <v>0</v>
      </c>
      <c r="Y484" t="s">
        <v>158</v>
      </c>
      <c r="Z484" t="str">
        <f>VLOOKUP(G484,'[2]Erogati mag-giu 2026_791_old'!$D:$T,11,FALSE)</f>
        <v>indiretto</v>
      </c>
      <c r="AA484" t="b">
        <v>1</v>
      </c>
      <c r="AF484" t="s">
        <v>20</v>
      </c>
      <c r="AG484" t="s">
        <v>20</v>
      </c>
    </row>
    <row r="485" spans="1:33">
      <c r="A485" s="13" t="s">
        <v>845</v>
      </c>
      <c r="B485" t="s">
        <v>1747</v>
      </c>
      <c r="C485" s="4">
        <v>202601307430224</v>
      </c>
      <c r="D485" s="4" t="b">
        <f t="shared" si="37"/>
        <v>1</v>
      </c>
      <c r="E485" t="s">
        <v>20</v>
      </c>
      <c r="F485" t="s">
        <v>21</v>
      </c>
      <c r="G485" t="s">
        <v>846</v>
      </c>
      <c r="H485" t="str">
        <f>VLOOKUP(C485,'[1]Erogati mag-giu 2026_791_old'!$B:$E,4,FALSE)</f>
        <v>C344233</v>
      </c>
      <c r="I485" t="b">
        <f t="shared" si="33"/>
        <v>1</v>
      </c>
      <c r="J485" s="14">
        <v>46179</v>
      </c>
      <c r="K485" s="14">
        <v>46179</v>
      </c>
      <c r="L485" t="s">
        <v>20</v>
      </c>
      <c r="M485" s="14">
        <v>46188</v>
      </c>
      <c r="N485" s="14">
        <v>46179</v>
      </c>
      <c r="O485" t="s">
        <v>20</v>
      </c>
      <c r="P485">
        <v>-66.260000000000005</v>
      </c>
      <c r="Q485">
        <f>VLOOKUP(G485,'[1]Erogati mag-giu 2026_791_old'!$A:$W,12,FALSE)</f>
        <v>-66.260000000000005</v>
      </c>
      <c r="R485">
        <f t="shared" si="34"/>
        <v>0</v>
      </c>
      <c r="S485">
        <v>-66.260000000000005</v>
      </c>
      <c r="T485">
        <f>VLOOKUP(G485,'[1]Erogati mag-giu 2026_791_old'!$A:$W,13,FALSE)</f>
        <v>-66.260000000000005</v>
      </c>
      <c r="U485">
        <f t="shared" si="35"/>
        <v>0</v>
      </c>
      <c r="V485">
        <v>-66.260000000000005</v>
      </c>
      <c r="W485">
        <f>VLOOKUP(G485,'[1]Erogati mag-giu 2026_791_old'!$A:$W,14,FALSE)</f>
        <v>-66.260000000000005</v>
      </c>
      <c r="X485">
        <f t="shared" si="36"/>
        <v>0</v>
      </c>
      <c r="Y485" t="s">
        <v>158</v>
      </c>
      <c r="Z485" t="str">
        <f>VLOOKUP(G485,'[2]Erogati mag-giu 2026_791_old'!$D:$T,11,FALSE)</f>
        <v>indiretto</v>
      </c>
      <c r="AA485" t="b">
        <v>1</v>
      </c>
      <c r="AF485" t="s">
        <v>20</v>
      </c>
      <c r="AG485" t="s">
        <v>20</v>
      </c>
    </row>
    <row r="486" spans="1:33">
      <c r="A486" s="13" t="s">
        <v>847</v>
      </c>
      <c r="B486" t="s">
        <v>1748</v>
      </c>
      <c r="C486" s="4">
        <v>202601307431118</v>
      </c>
      <c r="D486" s="4" t="b">
        <f t="shared" si="37"/>
        <v>1</v>
      </c>
      <c r="E486" t="s">
        <v>20</v>
      </c>
      <c r="F486" t="s">
        <v>21</v>
      </c>
      <c r="G486" t="s">
        <v>848</v>
      </c>
      <c r="H486" t="str">
        <f>VLOOKUP(C486,'[1]Erogati mag-giu 2026_791_old'!$B:$E,4,FALSE)</f>
        <v>C121913</v>
      </c>
      <c r="I486" t="b">
        <f t="shared" si="33"/>
        <v>1</v>
      </c>
      <c r="J486" s="14">
        <v>46179</v>
      </c>
      <c r="K486" s="14">
        <v>46179</v>
      </c>
      <c r="L486" t="s">
        <v>20</v>
      </c>
      <c r="M486" s="14">
        <v>46188</v>
      </c>
      <c r="N486" s="14">
        <v>46179</v>
      </c>
      <c r="O486" t="s">
        <v>20</v>
      </c>
      <c r="P486">
        <v>-165.65</v>
      </c>
      <c r="Q486">
        <f>VLOOKUP(G486,'[1]Erogati mag-giu 2026_791_old'!$A:$W,12,FALSE)</f>
        <v>-165.65</v>
      </c>
      <c r="R486">
        <f t="shared" si="34"/>
        <v>0</v>
      </c>
      <c r="S486">
        <v>-165.65</v>
      </c>
      <c r="T486">
        <f>VLOOKUP(G486,'[1]Erogati mag-giu 2026_791_old'!$A:$W,13,FALSE)</f>
        <v>-165.65</v>
      </c>
      <c r="U486">
        <f t="shared" si="35"/>
        <v>0</v>
      </c>
      <c r="V486">
        <v>-165.65</v>
      </c>
      <c r="W486">
        <f>VLOOKUP(G486,'[1]Erogati mag-giu 2026_791_old'!$A:$W,14,FALSE)</f>
        <v>-165.65</v>
      </c>
      <c r="X486">
        <f t="shared" si="36"/>
        <v>0</v>
      </c>
      <c r="Y486" t="s">
        <v>158</v>
      </c>
      <c r="Z486" t="str">
        <f>VLOOKUP(G486,'[2]Erogati mag-giu 2026_791_old'!$D:$T,11,FALSE)</f>
        <v>indiretto</v>
      </c>
      <c r="AA486" t="b">
        <v>1</v>
      </c>
      <c r="AF486" t="s">
        <v>20</v>
      </c>
      <c r="AG486" t="s">
        <v>20</v>
      </c>
    </row>
    <row r="487" spans="1:33">
      <c r="A487" s="13" t="s">
        <v>849</v>
      </c>
      <c r="B487" t="s">
        <v>1749</v>
      </c>
      <c r="C487" s="4">
        <v>202601307437418</v>
      </c>
      <c r="D487" s="4" t="b">
        <f t="shared" si="37"/>
        <v>1</v>
      </c>
      <c r="E487" t="s">
        <v>20</v>
      </c>
      <c r="F487" t="s">
        <v>21</v>
      </c>
      <c r="G487" t="s">
        <v>850</v>
      </c>
      <c r="H487" t="str">
        <f>VLOOKUP(C487,'[1]Erogati mag-giu 2026_791_old'!$B:$E,4,FALSE)</f>
        <v>C307596</v>
      </c>
      <c r="I487" t="b">
        <f t="shared" si="33"/>
        <v>1</v>
      </c>
      <c r="J487" s="14">
        <v>46179</v>
      </c>
      <c r="K487" s="14">
        <v>46179</v>
      </c>
      <c r="L487" t="s">
        <v>20</v>
      </c>
      <c r="M487" s="14">
        <v>46188</v>
      </c>
      <c r="N487" s="14">
        <v>46179</v>
      </c>
      <c r="O487" t="s">
        <v>20</v>
      </c>
      <c r="P487">
        <v>-198.78</v>
      </c>
      <c r="Q487">
        <f>VLOOKUP(G487,'[1]Erogati mag-giu 2026_791_old'!$A:$W,12,FALSE)</f>
        <v>-198.78</v>
      </c>
      <c r="R487">
        <f t="shared" si="34"/>
        <v>0</v>
      </c>
      <c r="S487">
        <v>-198.78</v>
      </c>
      <c r="T487">
        <f>VLOOKUP(G487,'[1]Erogati mag-giu 2026_791_old'!$A:$W,13,FALSE)</f>
        <v>-198.78</v>
      </c>
      <c r="U487">
        <f t="shared" si="35"/>
        <v>0</v>
      </c>
      <c r="V487">
        <v>-198.78</v>
      </c>
      <c r="W487">
        <f>VLOOKUP(G487,'[1]Erogati mag-giu 2026_791_old'!$A:$W,14,FALSE)</f>
        <v>-198.78</v>
      </c>
      <c r="X487">
        <f t="shared" si="36"/>
        <v>0</v>
      </c>
      <c r="Y487" t="s">
        <v>158</v>
      </c>
      <c r="Z487" t="str">
        <f>VLOOKUP(G487,'[2]Erogati mag-giu 2026_791_old'!$D:$T,11,FALSE)</f>
        <v>indiretto</v>
      </c>
      <c r="AA487" t="b">
        <v>1</v>
      </c>
      <c r="AF487" t="s">
        <v>20</v>
      </c>
      <c r="AG487" t="s">
        <v>20</v>
      </c>
    </row>
    <row r="488" spans="1:33">
      <c r="A488" s="13" t="s">
        <v>851</v>
      </c>
      <c r="B488" t="s">
        <v>1750</v>
      </c>
      <c r="C488" s="4">
        <v>202601307448494</v>
      </c>
      <c r="D488" s="4" t="b">
        <f t="shared" si="37"/>
        <v>1</v>
      </c>
      <c r="E488" t="s">
        <v>20</v>
      </c>
      <c r="F488" t="s">
        <v>21</v>
      </c>
      <c r="G488" t="s">
        <v>852</v>
      </c>
      <c r="H488" t="str">
        <f>VLOOKUP(C488,'[1]Erogati mag-giu 2026_791_old'!$B:$E,4,FALSE)</f>
        <v>C344276</v>
      </c>
      <c r="I488" t="b">
        <f t="shared" si="33"/>
        <v>1</v>
      </c>
      <c r="J488" s="14">
        <v>46179</v>
      </c>
      <c r="K488" s="14">
        <v>46179</v>
      </c>
      <c r="L488" t="s">
        <v>20</v>
      </c>
      <c r="M488" s="14">
        <v>46188</v>
      </c>
      <c r="N488" s="14">
        <v>46179</v>
      </c>
      <c r="O488" t="s">
        <v>20</v>
      </c>
      <c r="P488">
        <v>-132.52000000000001</v>
      </c>
      <c r="Q488">
        <f>VLOOKUP(G488,'[1]Erogati mag-giu 2026_791_old'!$A:$W,12,FALSE)</f>
        <v>-132.52000000000001</v>
      </c>
      <c r="R488">
        <f t="shared" si="34"/>
        <v>0</v>
      </c>
      <c r="S488">
        <v>-132.52000000000001</v>
      </c>
      <c r="T488">
        <f>VLOOKUP(G488,'[1]Erogati mag-giu 2026_791_old'!$A:$W,13,FALSE)</f>
        <v>-132.52000000000001</v>
      </c>
      <c r="U488">
        <f t="shared" si="35"/>
        <v>0</v>
      </c>
      <c r="V488">
        <v>-132.52000000000001</v>
      </c>
      <c r="W488">
        <f>VLOOKUP(G488,'[1]Erogati mag-giu 2026_791_old'!$A:$W,14,FALSE)</f>
        <v>-132.52000000000001</v>
      </c>
      <c r="X488">
        <f t="shared" si="36"/>
        <v>0</v>
      </c>
      <c r="Y488" t="s">
        <v>158</v>
      </c>
      <c r="Z488" t="str">
        <f>VLOOKUP(G488,'[2]Erogati mag-giu 2026_791_old'!$D:$T,11,FALSE)</f>
        <v>indiretto</v>
      </c>
      <c r="AA488" t="b">
        <v>1</v>
      </c>
      <c r="AF488" t="s">
        <v>20</v>
      </c>
      <c r="AG488" t="s">
        <v>20</v>
      </c>
    </row>
    <row r="489" spans="1:33">
      <c r="A489" s="13" t="s">
        <v>853</v>
      </c>
      <c r="B489" t="s">
        <v>1751</v>
      </c>
      <c r="C489" s="4">
        <v>202601307451288</v>
      </c>
      <c r="D489" s="4" t="b">
        <f t="shared" si="37"/>
        <v>1</v>
      </c>
      <c r="E489" t="s">
        <v>20</v>
      </c>
      <c r="F489" t="s">
        <v>21</v>
      </c>
      <c r="G489" t="s">
        <v>854</v>
      </c>
      <c r="H489" t="str">
        <f>VLOOKUP(C489,'[1]Erogati mag-giu 2026_791_old'!$B:$E,4,FALSE)</f>
        <v>C344282</v>
      </c>
      <c r="I489" t="b">
        <f t="shared" si="33"/>
        <v>1</v>
      </c>
      <c r="J489" s="14">
        <v>46179</v>
      </c>
      <c r="K489" s="14">
        <v>46179</v>
      </c>
      <c r="L489" t="s">
        <v>20</v>
      </c>
      <c r="M489" s="14">
        <v>46188</v>
      </c>
      <c r="N489" s="14">
        <v>46179</v>
      </c>
      <c r="O489" t="s">
        <v>20</v>
      </c>
      <c r="P489">
        <v>-105.03</v>
      </c>
      <c r="Q489">
        <f>VLOOKUP(G489,'[1]Erogati mag-giu 2026_791_old'!$A:$W,12,FALSE)</f>
        <v>-105.03</v>
      </c>
      <c r="R489">
        <f t="shared" si="34"/>
        <v>0</v>
      </c>
      <c r="S489">
        <v>-105.03</v>
      </c>
      <c r="T489">
        <f>VLOOKUP(G489,'[1]Erogati mag-giu 2026_791_old'!$A:$W,13,FALSE)</f>
        <v>-105.03</v>
      </c>
      <c r="U489">
        <f t="shared" si="35"/>
        <v>0</v>
      </c>
      <c r="V489">
        <v>-105.03</v>
      </c>
      <c r="W489">
        <f>VLOOKUP(G489,'[1]Erogati mag-giu 2026_791_old'!$A:$W,14,FALSE)</f>
        <v>-105.03</v>
      </c>
      <c r="X489">
        <f t="shared" si="36"/>
        <v>0</v>
      </c>
      <c r="Y489" t="s">
        <v>158</v>
      </c>
      <c r="Z489" t="str">
        <f>VLOOKUP(G489,'[2]Erogati mag-giu 2026_791_old'!$D:$T,11,FALSE)</f>
        <v>indiretto</v>
      </c>
      <c r="AA489" t="b">
        <v>1</v>
      </c>
      <c r="AF489" t="s">
        <v>20</v>
      </c>
      <c r="AG489" t="s">
        <v>20</v>
      </c>
    </row>
    <row r="490" spans="1:33">
      <c r="A490" s="13" t="s">
        <v>855</v>
      </c>
      <c r="B490" t="s">
        <v>1752</v>
      </c>
      <c r="C490" s="4">
        <v>202601307453139</v>
      </c>
      <c r="D490" s="4" t="b">
        <f t="shared" si="37"/>
        <v>1</v>
      </c>
      <c r="E490" t="s">
        <v>20</v>
      </c>
      <c r="F490" t="s">
        <v>21</v>
      </c>
      <c r="G490" t="s">
        <v>856</v>
      </c>
      <c r="H490" t="str">
        <f>VLOOKUP(C490,'[1]Erogati mag-giu 2026_791_old'!$B:$E,4,FALSE)</f>
        <v>C309918</v>
      </c>
      <c r="I490" t="b">
        <f t="shared" si="33"/>
        <v>1</v>
      </c>
      <c r="J490" s="14">
        <v>46179</v>
      </c>
      <c r="K490" s="14">
        <v>46179</v>
      </c>
      <c r="L490" t="s">
        <v>20</v>
      </c>
      <c r="M490" s="14">
        <v>46188</v>
      </c>
      <c r="N490" s="14">
        <v>46179</v>
      </c>
      <c r="O490" t="s">
        <v>20</v>
      </c>
      <c r="P490">
        <v>-33.130000000000003</v>
      </c>
      <c r="Q490">
        <f>VLOOKUP(G490,'[1]Erogati mag-giu 2026_791_old'!$A:$W,12,FALSE)</f>
        <v>-33.130000000000003</v>
      </c>
      <c r="R490">
        <f t="shared" si="34"/>
        <v>0</v>
      </c>
      <c r="S490">
        <v>-33.130000000000003</v>
      </c>
      <c r="T490">
        <f>VLOOKUP(G490,'[1]Erogati mag-giu 2026_791_old'!$A:$W,13,FALSE)</f>
        <v>-33.130000000000003</v>
      </c>
      <c r="U490">
        <f t="shared" si="35"/>
        <v>0</v>
      </c>
      <c r="V490">
        <v>-33.130000000000003</v>
      </c>
      <c r="W490">
        <f>VLOOKUP(G490,'[1]Erogati mag-giu 2026_791_old'!$A:$W,14,FALSE)</f>
        <v>-33.130000000000003</v>
      </c>
      <c r="X490">
        <f t="shared" si="36"/>
        <v>0</v>
      </c>
      <c r="Y490" t="s">
        <v>158</v>
      </c>
      <c r="Z490" t="str">
        <f>VLOOKUP(G490,'[2]Erogati mag-giu 2026_791_old'!$D:$T,11,FALSE)</f>
        <v>indiretto</v>
      </c>
      <c r="AA490" t="b">
        <v>1</v>
      </c>
      <c r="AF490" t="s">
        <v>20</v>
      </c>
      <c r="AG490" t="s">
        <v>20</v>
      </c>
    </row>
    <row r="491" spans="1:33">
      <c r="A491" s="13" t="s">
        <v>857</v>
      </c>
      <c r="B491" t="s">
        <v>1753</v>
      </c>
      <c r="C491" s="4">
        <v>202601307457233</v>
      </c>
      <c r="D491" s="4" t="b">
        <f t="shared" si="37"/>
        <v>1</v>
      </c>
      <c r="E491" t="s">
        <v>20</v>
      </c>
      <c r="F491" t="s">
        <v>21</v>
      </c>
      <c r="G491" t="s">
        <v>858</v>
      </c>
      <c r="H491" t="str">
        <f>VLOOKUP(C491,'[1]Erogati mag-giu 2026_791_old'!$B:$E,4,FALSE)</f>
        <v>C344101</v>
      </c>
      <c r="I491" t="b">
        <f t="shared" si="33"/>
        <v>1</v>
      </c>
      <c r="J491" s="14">
        <v>46179</v>
      </c>
      <c r="K491" s="14">
        <v>46179</v>
      </c>
      <c r="L491" t="s">
        <v>20</v>
      </c>
      <c r="M491" s="14">
        <v>46188</v>
      </c>
      <c r="N491" s="14">
        <v>46179</v>
      </c>
      <c r="O491" t="s">
        <v>20</v>
      </c>
      <c r="P491">
        <v>-24.62</v>
      </c>
      <c r="Q491">
        <f>VLOOKUP(G491,'[1]Erogati mag-giu 2026_791_old'!$A:$W,12,FALSE)</f>
        <v>-24.62</v>
      </c>
      <c r="R491">
        <f t="shared" si="34"/>
        <v>0</v>
      </c>
      <c r="S491">
        <v>-24.62</v>
      </c>
      <c r="T491">
        <f>VLOOKUP(G491,'[1]Erogati mag-giu 2026_791_old'!$A:$W,13,FALSE)</f>
        <v>-24.62</v>
      </c>
      <c r="U491">
        <f t="shared" si="35"/>
        <v>0</v>
      </c>
      <c r="V491">
        <v>-24.62</v>
      </c>
      <c r="W491">
        <f>VLOOKUP(G491,'[1]Erogati mag-giu 2026_791_old'!$A:$W,14,FALSE)</f>
        <v>-24.62</v>
      </c>
      <c r="X491">
        <f t="shared" si="36"/>
        <v>0</v>
      </c>
      <c r="Y491" t="s">
        <v>158</v>
      </c>
      <c r="Z491" t="str">
        <f>VLOOKUP(G491,'[2]Erogati mag-giu 2026_791_old'!$D:$T,11,FALSE)</f>
        <v>indiretto</v>
      </c>
      <c r="AA491" t="b">
        <v>1</v>
      </c>
      <c r="AF491" t="s">
        <v>20</v>
      </c>
      <c r="AG491" t="s">
        <v>20</v>
      </c>
    </row>
    <row r="492" spans="1:33">
      <c r="A492" s="13" t="s">
        <v>859</v>
      </c>
      <c r="B492" t="s">
        <v>1754</v>
      </c>
      <c r="C492" s="4">
        <v>202601307458789</v>
      </c>
      <c r="D492" s="4" t="b">
        <f t="shared" si="37"/>
        <v>1</v>
      </c>
      <c r="E492" t="s">
        <v>20</v>
      </c>
      <c r="F492" t="s">
        <v>21</v>
      </c>
      <c r="G492" t="s">
        <v>860</v>
      </c>
      <c r="H492" t="str">
        <f>VLOOKUP(C492,'[1]Erogati mag-giu 2026_791_old'!$B:$E,4,FALSE)</f>
        <v>C344232</v>
      </c>
      <c r="I492" t="b">
        <f t="shared" si="33"/>
        <v>1</v>
      </c>
      <c r="J492" s="14">
        <v>46179</v>
      </c>
      <c r="K492" s="14">
        <v>46179</v>
      </c>
      <c r="L492" t="s">
        <v>20</v>
      </c>
      <c r="M492" s="14">
        <v>46188</v>
      </c>
      <c r="N492" s="14">
        <v>46179</v>
      </c>
      <c r="O492" t="s">
        <v>20</v>
      </c>
      <c r="P492">
        <v>-99.39</v>
      </c>
      <c r="Q492">
        <f>VLOOKUP(G492,'[1]Erogati mag-giu 2026_791_old'!$A:$W,12,FALSE)</f>
        <v>-99.39</v>
      </c>
      <c r="R492">
        <f t="shared" si="34"/>
        <v>0</v>
      </c>
      <c r="S492">
        <v>-99.39</v>
      </c>
      <c r="T492">
        <f>VLOOKUP(G492,'[1]Erogati mag-giu 2026_791_old'!$A:$W,13,FALSE)</f>
        <v>-99.39</v>
      </c>
      <c r="U492">
        <f t="shared" si="35"/>
        <v>0</v>
      </c>
      <c r="V492">
        <v>-99.39</v>
      </c>
      <c r="W492">
        <f>VLOOKUP(G492,'[1]Erogati mag-giu 2026_791_old'!$A:$W,14,FALSE)</f>
        <v>-99.39</v>
      </c>
      <c r="X492">
        <f t="shared" si="36"/>
        <v>0</v>
      </c>
      <c r="Y492" t="s">
        <v>158</v>
      </c>
      <c r="Z492" t="str">
        <f>VLOOKUP(G492,'[2]Erogati mag-giu 2026_791_old'!$D:$T,11,FALSE)</f>
        <v>indiretto</v>
      </c>
      <c r="AA492" t="b">
        <v>1</v>
      </c>
      <c r="AF492" t="s">
        <v>20</v>
      </c>
      <c r="AG492" t="s">
        <v>20</v>
      </c>
    </row>
    <row r="493" spans="1:33">
      <c r="A493" s="13" t="s">
        <v>861</v>
      </c>
      <c r="B493" t="s">
        <v>1755</v>
      </c>
      <c r="C493" s="4">
        <v>202601307468334</v>
      </c>
      <c r="D493" s="4" t="b">
        <f t="shared" si="37"/>
        <v>1</v>
      </c>
      <c r="E493" t="s">
        <v>20</v>
      </c>
      <c r="F493" t="s">
        <v>21</v>
      </c>
      <c r="G493" t="s">
        <v>862</v>
      </c>
      <c r="H493" t="str">
        <f>VLOOKUP(C493,'[1]Erogati mag-giu 2026_791_old'!$B:$E,4,FALSE)</f>
        <v>C121009</v>
      </c>
      <c r="I493" t="b">
        <f t="shared" si="33"/>
        <v>1</v>
      </c>
      <c r="J493" s="14">
        <v>46179</v>
      </c>
      <c r="K493" s="14">
        <v>46179</v>
      </c>
      <c r="L493" t="s">
        <v>20</v>
      </c>
      <c r="M493" s="14">
        <v>46188</v>
      </c>
      <c r="N493" s="14">
        <v>46179</v>
      </c>
      <c r="O493" t="s">
        <v>20</v>
      </c>
      <c r="P493">
        <v>-33.130000000000003</v>
      </c>
      <c r="Q493">
        <f>VLOOKUP(G493,'[1]Erogati mag-giu 2026_791_old'!$A:$W,12,FALSE)</f>
        <v>-33.130000000000003</v>
      </c>
      <c r="R493">
        <f t="shared" si="34"/>
        <v>0</v>
      </c>
      <c r="S493">
        <v>-33.130000000000003</v>
      </c>
      <c r="T493">
        <f>VLOOKUP(G493,'[1]Erogati mag-giu 2026_791_old'!$A:$W,13,FALSE)</f>
        <v>-33.130000000000003</v>
      </c>
      <c r="U493">
        <f t="shared" si="35"/>
        <v>0</v>
      </c>
      <c r="V493">
        <v>-33.130000000000003</v>
      </c>
      <c r="W493">
        <f>VLOOKUP(G493,'[1]Erogati mag-giu 2026_791_old'!$A:$W,14,FALSE)</f>
        <v>-33.130000000000003</v>
      </c>
      <c r="X493">
        <f t="shared" si="36"/>
        <v>0</v>
      </c>
      <c r="Y493" t="s">
        <v>158</v>
      </c>
      <c r="Z493" t="str">
        <f>VLOOKUP(G493,'[2]Erogati mag-giu 2026_791_old'!$D:$T,11,FALSE)</f>
        <v>indiretto</v>
      </c>
      <c r="AA493" t="b">
        <v>1</v>
      </c>
      <c r="AF493" t="s">
        <v>20</v>
      </c>
      <c r="AG493" t="s">
        <v>20</v>
      </c>
    </row>
    <row r="494" spans="1:33">
      <c r="A494" s="13" t="s">
        <v>863</v>
      </c>
      <c r="B494" t="s">
        <v>1756</v>
      </c>
      <c r="C494" s="4">
        <v>202601307470906</v>
      </c>
      <c r="D494" s="4" t="b">
        <f t="shared" si="37"/>
        <v>1</v>
      </c>
      <c r="E494" t="s">
        <v>20</v>
      </c>
      <c r="F494" t="s">
        <v>21</v>
      </c>
      <c r="G494" t="s">
        <v>864</v>
      </c>
      <c r="H494" t="str">
        <f>VLOOKUP(C494,'[1]Erogati mag-giu 2026_791_old'!$B:$E,4,FALSE)</f>
        <v>C313188</v>
      </c>
      <c r="I494" t="b">
        <f t="shared" si="33"/>
        <v>1</v>
      </c>
      <c r="J494" s="14">
        <v>46179</v>
      </c>
      <c r="K494" s="14">
        <v>46179</v>
      </c>
      <c r="L494" t="s">
        <v>20</v>
      </c>
      <c r="M494" s="14">
        <v>46188</v>
      </c>
      <c r="N494" s="14">
        <v>46179</v>
      </c>
      <c r="O494" t="s">
        <v>20</v>
      </c>
      <c r="P494">
        <v>-119.27</v>
      </c>
      <c r="Q494">
        <f>VLOOKUP(G494,'[1]Erogati mag-giu 2026_791_old'!$A:$W,12,FALSE)</f>
        <v>-119.27</v>
      </c>
      <c r="R494">
        <f t="shared" si="34"/>
        <v>0</v>
      </c>
      <c r="S494">
        <v>-119.27</v>
      </c>
      <c r="T494">
        <f>VLOOKUP(G494,'[1]Erogati mag-giu 2026_791_old'!$A:$W,13,FALSE)</f>
        <v>-119.27</v>
      </c>
      <c r="U494">
        <f t="shared" si="35"/>
        <v>0</v>
      </c>
      <c r="V494">
        <v>-119.27</v>
      </c>
      <c r="W494">
        <f>VLOOKUP(G494,'[1]Erogati mag-giu 2026_791_old'!$A:$W,14,FALSE)</f>
        <v>-119.27</v>
      </c>
      <c r="X494">
        <f t="shared" si="36"/>
        <v>0</v>
      </c>
      <c r="Y494" t="s">
        <v>158</v>
      </c>
      <c r="Z494" t="str">
        <f>VLOOKUP(G494,'[2]Erogati mag-giu 2026_791_old'!$D:$T,11,FALSE)</f>
        <v>indiretto</v>
      </c>
      <c r="AA494" t="b">
        <v>1</v>
      </c>
      <c r="AF494" t="s">
        <v>20</v>
      </c>
      <c r="AG494" t="s">
        <v>20</v>
      </c>
    </row>
    <row r="495" spans="1:33">
      <c r="A495" s="13" t="s">
        <v>865</v>
      </c>
      <c r="B495" t="s">
        <v>1757</v>
      </c>
      <c r="C495" s="4">
        <v>202601307473230</v>
      </c>
      <c r="D495" s="4" t="b">
        <f t="shared" si="37"/>
        <v>1</v>
      </c>
      <c r="E495" t="s">
        <v>20</v>
      </c>
      <c r="F495" t="s">
        <v>21</v>
      </c>
      <c r="G495" t="s">
        <v>866</v>
      </c>
      <c r="H495" t="str">
        <f>VLOOKUP(C495,'[1]Erogati mag-giu 2026_791_old'!$B:$E,4,FALSE)</f>
        <v>C310328</v>
      </c>
      <c r="I495" t="b">
        <f t="shared" si="33"/>
        <v>1</v>
      </c>
      <c r="J495" s="14">
        <v>46179</v>
      </c>
      <c r="K495" s="14">
        <v>46179</v>
      </c>
      <c r="L495" t="s">
        <v>20</v>
      </c>
      <c r="M495" s="14">
        <v>46188</v>
      </c>
      <c r="N495" s="14">
        <v>46179</v>
      </c>
      <c r="O495" t="s">
        <v>20</v>
      </c>
      <c r="P495">
        <v>-50.97</v>
      </c>
      <c r="Q495">
        <f>VLOOKUP(G495,'[1]Erogati mag-giu 2026_791_old'!$A:$W,12,FALSE)</f>
        <v>-50.97</v>
      </c>
      <c r="R495">
        <f t="shared" si="34"/>
        <v>0</v>
      </c>
      <c r="S495">
        <v>-50.97</v>
      </c>
      <c r="T495">
        <f>VLOOKUP(G495,'[1]Erogati mag-giu 2026_791_old'!$A:$W,13,FALSE)</f>
        <v>-50.97</v>
      </c>
      <c r="U495">
        <f t="shared" si="35"/>
        <v>0</v>
      </c>
      <c r="V495">
        <v>-50.97</v>
      </c>
      <c r="W495">
        <f>VLOOKUP(G495,'[1]Erogati mag-giu 2026_791_old'!$A:$W,14,FALSE)</f>
        <v>-50.97</v>
      </c>
      <c r="X495">
        <f t="shared" si="36"/>
        <v>0</v>
      </c>
      <c r="Y495" t="s">
        <v>158</v>
      </c>
      <c r="Z495" t="str">
        <f>VLOOKUP(G495,'[2]Erogati mag-giu 2026_791_old'!$D:$T,11,FALSE)</f>
        <v>indiretto</v>
      </c>
      <c r="AA495" t="b">
        <v>1</v>
      </c>
      <c r="AF495" t="s">
        <v>20</v>
      </c>
      <c r="AG495" t="s">
        <v>20</v>
      </c>
    </row>
    <row r="496" spans="1:33">
      <c r="A496" s="13" t="s">
        <v>867</v>
      </c>
      <c r="B496" t="s">
        <v>1758</v>
      </c>
      <c r="C496" s="4">
        <v>202601307475618</v>
      </c>
      <c r="D496" s="4" t="b">
        <f t="shared" si="37"/>
        <v>1</v>
      </c>
      <c r="E496" t="s">
        <v>20</v>
      </c>
      <c r="F496" t="s">
        <v>21</v>
      </c>
      <c r="G496" t="s">
        <v>868</v>
      </c>
      <c r="H496" t="str">
        <f>VLOOKUP(C496,'[1]Erogati mag-giu 2026_791_old'!$B:$E,4,FALSE)</f>
        <v>C344275</v>
      </c>
      <c r="I496" t="b">
        <f t="shared" si="33"/>
        <v>1</v>
      </c>
      <c r="J496" s="14">
        <v>46179</v>
      </c>
      <c r="K496" s="14">
        <v>46179</v>
      </c>
      <c r="L496" t="s">
        <v>20</v>
      </c>
      <c r="M496" s="14">
        <v>46188</v>
      </c>
      <c r="N496" s="14">
        <v>46179</v>
      </c>
      <c r="O496" t="s">
        <v>20</v>
      </c>
      <c r="P496">
        <v>-24.62</v>
      </c>
      <c r="Q496">
        <f>VLOOKUP(G496,'[1]Erogati mag-giu 2026_791_old'!$A:$W,12,FALSE)</f>
        <v>-24.62</v>
      </c>
      <c r="R496">
        <f t="shared" si="34"/>
        <v>0</v>
      </c>
      <c r="S496">
        <v>-24.62</v>
      </c>
      <c r="T496">
        <f>VLOOKUP(G496,'[1]Erogati mag-giu 2026_791_old'!$A:$W,13,FALSE)</f>
        <v>-24.62</v>
      </c>
      <c r="U496">
        <f t="shared" si="35"/>
        <v>0</v>
      </c>
      <c r="V496">
        <v>-24.62</v>
      </c>
      <c r="W496">
        <f>VLOOKUP(G496,'[1]Erogati mag-giu 2026_791_old'!$A:$W,14,FALSE)</f>
        <v>-24.62</v>
      </c>
      <c r="X496">
        <f t="shared" si="36"/>
        <v>0</v>
      </c>
      <c r="Y496" t="s">
        <v>158</v>
      </c>
      <c r="Z496" t="str">
        <f>VLOOKUP(G496,'[2]Erogati mag-giu 2026_791_old'!$D:$T,11,FALSE)</f>
        <v>indiretto</v>
      </c>
      <c r="AA496" t="b">
        <v>1</v>
      </c>
      <c r="AF496" t="s">
        <v>20</v>
      </c>
      <c r="AG496" t="s">
        <v>20</v>
      </c>
    </row>
    <row r="497" spans="1:33">
      <c r="A497" s="13" t="s">
        <v>869</v>
      </c>
      <c r="B497" t="s">
        <v>1759</v>
      </c>
      <c r="C497" s="4">
        <v>202601307487600</v>
      </c>
      <c r="D497" s="4" t="b">
        <f t="shared" si="37"/>
        <v>1</v>
      </c>
      <c r="E497" t="s">
        <v>20</v>
      </c>
      <c r="F497" t="s">
        <v>21</v>
      </c>
      <c r="G497" t="s">
        <v>870</v>
      </c>
      <c r="H497" t="str">
        <f>VLOOKUP(C497,'[1]Erogati mag-giu 2026_791_old'!$B:$E,4,FALSE)</f>
        <v>C317294</v>
      </c>
      <c r="I497" t="b">
        <f t="shared" si="33"/>
        <v>1</v>
      </c>
      <c r="J497" s="14">
        <v>46179</v>
      </c>
      <c r="K497" s="14">
        <v>46179</v>
      </c>
      <c r="L497" t="s">
        <v>20</v>
      </c>
      <c r="M497" s="14">
        <v>46188</v>
      </c>
      <c r="N497" s="14">
        <v>46179</v>
      </c>
      <c r="O497" t="s">
        <v>20</v>
      </c>
      <c r="P497">
        <v>-89.8</v>
      </c>
      <c r="Q497">
        <f>VLOOKUP(G497,'[1]Erogati mag-giu 2026_791_old'!$A:$W,12,FALSE)</f>
        <v>-89.8</v>
      </c>
      <c r="R497">
        <f t="shared" si="34"/>
        <v>0</v>
      </c>
      <c r="S497">
        <v>-89.8</v>
      </c>
      <c r="T497">
        <f>VLOOKUP(G497,'[1]Erogati mag-giu 2026_791_old'!$A:$W,13,FALSE)</f>
        <v>-89.8</v>
      </c>
      <c r="U497">
        <f t="shared" si="35"/>
        <v>0</v>
      </c>
      <c r="V497">
        <v>-89.8</v>
      </c>
      <c r="W497">
        <f>VLOOKUP(G497,'[1]Erogati mag-giu 2026_791_old'!$A:$W,14,FALSE)</f>
        <v>-89.8</v>
      </c>
      <c r="X497">
        <f t="shared" si="36"/>
        <v>0</v>
      </c>
      <c r="Y497" t="s">
        <v>158</v>
      </c>
      <c r="Z497" t="str">
        <f>VLOOKUP(G497,'[2]Erogati mag-giu 2026_791_old'!$D:$T,11,FALSE)</f>
        <v>indiretto</v>
      </c>
      <c r="AA497" t="b">
        <v>1</v>
      </c>
      <c r="AF497" t="s">
        <v>20</v>
      </c>
      <c r="AG497" t="s">
        <v>20</v>
      </c>
    </row>
    <row r="498" spans="1:33">
      <c r="A498" s="13" t="s">
        <v>871</v>
      </c>
      <c r="B498" t="s">
        <v>1760</v>
      </c>
      <c r="C498" s="4">
        <v>202601307493128</v>
      </c>
      <c r="D498" s="4" t="b">
        <f t="shared" si="37"/>
        <v>1</v>
      </c>
      <c r="E498" t="s">
        <v>20</v>
      </c>
      <c r="F498" t="s">
        <v>21</v>
      </c>
      <c r="G498" t="s">
        <v>872</v>
      </c>
      <c r="H498" t="str">
        <f>VLOOKUP(C498,'[1]Erogati mag-giu 2026_791_old'!$B:$E,4,FALSE)</f>
        <v>C122498</v>
      </c>
      <c r="I498" t="b">
        <f t="shared" si="33"/>
        <v>1</v>
      </c>
      <c r="J498" s="14">
        <v>46179</v>
      </c>
      <c r="K498" s="14">
        <v>46179</v>
      </c>
      <c r="L498" t="s">
        <v>20</v>
      </c>
      <c r="M498" s="14">
        <v>46188</v>
      </c>
      <c r="N498" s="14">
        <v>46179</v>
      </c>
      <c r="O498" t="s">
        <v>20</v>
      </c>
      <c r="P498">
        <v>-132.52000000000001</v>
      </c>
      <c r="Q498">
        <f>VLOOKUP(G498,'[1]Erogati mag-giu 2026_791_old'!$A:$W,12,FALSE)</f>
        <v>-132.52000000000001</v>
      </c>
      <c r="R498">
        <f t="shared" si="34"/>
        <v>0</v>
      </c>
      <c r="S498">
        <v>-132.52000000000001</v>
      </c>
      <c r="T498">
        <f>VLOOKUP(G498,'[1]Erogati mag-giu 2026_791_old'!$A:$W,13,FALSE)</f>
        <v>-132.52000000000001</v>
      </c>
      <c r="U498">
        <f t="shared" si="35"/>
        <v>0</v>
      </c>
      <c r="V498">
        <v>-132.52000000000001</v>
      </c>
      <c r="W498">
        <f>VLOOKUP(G498,'[1]Erogati mag-giu 2026_791_old'!$A:$W,14,FALSE)</f>
        <v>-132.52000000000001</v>
      </c>
      <c r="X498">
        <f t="shared" si="36"/>
        <v>0</v>
      </c>
      <c r="Y498" t="s">
        <v>158</v>
      </c>
      <c r="Z498" t="str">
        <f>VLOOKUP(G498,'[2]Erogati mag-giu 2026_791_old'!$D:$T,11,FALSE)</f>
        <v>indiretto</v>
      </c>
      <c r="AA498" t="b">
        <v>1</v>
      </c>
      <c r="AF498" t="s">
        <v>20</v>
      </c>
      <c r="AG498" t="s">
        <v>20</v>
      </c>
    </row>
    <row r="499" spans="1:33">
      <c r="A499" s="13" t="s">
        <v>873</v>
      </c>
      <c r="B499" t="s">
        <v>1761</v>
      </c>
      <c r="C499" s="4">
        <v>202601307493684</v>
      </c>
      <c r="D499" s="4" t="b">
        <f t="shared" si="37"/>
        <v>1</v>
      </c>
      <c r="E499" t="s">
        <v>20</v>
      </c>
      <c r="F499" t="s">
        <v>21</v>
      </c>
      <c r="G499" t="s">
        <v>874</v>
      </c>
      <c r="H499" t="str">
        <f>VLOOKUP(C499,'[1]Erogati mag-giu 2026_791_old'!$B:$E,4,FALSE)</f>
        <v>C313993</v>
      </c>
      <c r="I499" t="b">
        <f t="shared" si="33"/>
        <v>1</v>
      </c>
      <c r="J499" s="14">
        <v>46179</v>
      </c>
      <c r="K499" s="14">
        <v>46179</v>
      </c>
      <c r="L499" t="s">
        <v>20</v>
      </c>
      <c r="M499" s="14">
        <v>46188</v>
      </c>
      <c r="N499" s="14">
        <v>46179</v>
      </c>
      <c r="O499" t="s">
        <v>20</v>
      </c>
      <c r="P499">
        <v>-90.8</v>
      </c>
      <c r="Q499">
        <f>VLOOKUP(G499,'[1]Erogati mag-giu 2026_791_old'!$A:$W,12,FALSE)</f>
        <v>-90.8</v>
      </c>
      <c r="R499">
        <f t="shared" si="34"/>
        <v>0</v>
      </c>
      <c r="S499">
        <v>-90.8</v>
      </c>
      <c r="T499">
        <f>VLOOKUP(G499,'[1]Erogati mag-giu 2026_791_old'!$A:$W,13,FALSE)</f>
        <v>-90.8</v>
      </c>
      <c r="U499">
        <f t="shared" si="35"/>
        <v>0</v>
      </c>
      <c r="V499">
        <v>-90.8</v>
      </c>
      <c r="W499">
        <f>VLOOKUP(G499,'[1]Erogati mag-giu 2026_791_old'!$A:$W,14,FALSE)</f>
        <v>-90.8</v>
      </c>
      <c r="X499">
        <f t="shared" si="36"/>
        <v>0</v>
      </c>
      <c r="Y499" t="s">
        <v>158</v>
      </c>
      <c r="Z499" t="str">
        <f>VLOOKUP(G499,'[2]Erogati mag-giu 2026_791_old'!$D:$T,11,FALSE)</f>
        <v>indiretto</v>
      </c>
      <c r="AA499" t="b">
        <v>1</v>
      </c>
      <c r="AF499" t="s">
        <v>20</v>
      </c>
      <c r="AG499" t="s">
        <v>20</v>
      </c>
    </row>
    <row r="500" spans="1:33">
      <c r="A500" s="13" t="s">
        <v>875</v>
      </c>
      <c r="B500" t="s">
        <v>1762</v>
      </c>
      <c r="C500" s="4">
        <v>202601307495091</v>
      </c>
      <c r="D500" s="4" t="b">
        <f t="shared" si="37"/>
        <v>1</v>
      </c>
      <c r="E500" t="s">
        <v>20</v>
      </c>
      <c r="F500" t="s">
        <v>21</v>
      </c>
      <c r="G500" t="s">
        <v>876</v>
      </c>
      <c r="H500" t="str">
        <f>VLOOKUP(C500,'[1]Erogati mag-giu 2026_791_old'!$B:$E,4,FALSE)</f>
        <v>C344100</v>
      </c>
      <c r="I500" t="b">
        <f t="shared" si="33"/>
        <v>1</v>
      </c>
      <c r="J500" s="14">
        <v>46179</v>
      </c>
      <c r="K500" s="14">
        <v>46179</v>
      </c>
      <c r="L500" t="s">
        <v>20</v>
      </c>
      <c r="M500" s="14">
        <v>46188</v>
      </c>
      <c r="N500" s="14">
        <v>46179</v>
      </c>
      <c r="O500" t="s">
        <v>20</v>
      </c>
      <c r="P500">
        <v>-131.29</v>
      </c>
      <c r="Q500">
        <f>VLOOKUP(G500,'[1]Erogati mag-giu 2026_791_old'!$A:$W,12,FALSE)</f>
        <v>-131.29</v>
      </c>
      <c r="R500">
        <f t="shared" si="34"/>
        <v>0</v>
      </c>
      <c r="S500">
        <v>-131.29</v>
      </c>
      <c r="T500">
        <f>VLOOKUP(G500,'[1]Erogati mag-giu 2026_791_old'!$A:$W,13,FALSE)</f>
        <v>-131.29</v>
      </c>
      <c r="U500">
        <f t="shared" si="35"/>
        <v>0</v>
      </c>
      <c r="V500">
        <v>-131.29</v>
      </c>
      <c r="W500">
        <f>VLOOKUP(G500,'[1]Erogati mag-giu 2026_791_old'!$A:$W,14,FALSE)</f>
        <v>-131.29</v>
      </c>
      <c r="X500">
        <f t="shared" si="36"/>
        <v>0</v>
      </c>
      <c r="Y500" t="s">
        <v>158</v>
      </c>
      <c r="Z500" t="str">
        <f>VLOOKUP(G500,'[2]Erogati mag-giu 2026_791_old'!$D:$T,11,FALSE)</f>
        <v>indiretto</v>
      </c>
      <c r="AA500" t="b">
        <v>1</v>
      </c>
      <c r="AF500" t="s">
        <v>20</v>
      </c>
      <c r="AG500" t="s">
        <v>20</v>
      </c>
    </row>
    <row r="501" spans="1:33">
      <c r="A501" s="13" t="s">
        <v>877</v>
      </c>
      <c r="B501" t="s">
        <v>1763</v>
      </c>
      <c r="C501" s="4">
        <v>202601307495592</v>
      </c>
      <c r="D501" s="4" t="b">
        <f t="shared" si="37"/>
        <v>1</v>
      </c>
      <c r="E501" t="s">
        <v>20</v>
      </c>
      <c r="F501" t="s">
        <v>21</v>
      </c>
      <c r="G501" t="s">
        <v>878</v>
      </c>
      <c r="H501" t="str">
        <f>VLOOKUP(C501,'[1]Erogati mag-giu 2026_791_old'!$B:$E,4,FALSE)</f>
        <v>C344281</v>
      </c>
      <c r="I501" t="b">
        <f t="shared" si="33"/>
        <v>1</v>
      </c>
      <c r="J501" s="14">
        <v>46179</v>
      </c>
      <c r="K501" s="14">
        <v>46179</v>
      </c>
      <c r="L501" t="s">
        <v>20</v>
      </c>
      <c r="M501" s="14">
        <v>46188</v>
      </c>
      <c r="N501" s="14">
        <v>46179</v>
      </c>
      <c r="O501" t="s">
        <v>20</v>
      </c>
      <c r="P501">
        <v>-66.260000000000005</v>
      </c>
      <c r="Q501">
        <f>VLOOKUP(G501,'[1]Erogati mag-giu 2026_791_old'!$A:$W,12,FALSE)</f>
        <v>-66.260000000000005</v>
      </c>
      <c r="R501">
        <f t="shared" si="34"/>
        <v>0</v>
      </c>
      <c r="S501">
        <v>-66.260000000000005</v>
      </c>
      <c r="T501">
        <f>VLOOKUP(G501,'[1]Erogati mag-giu 2026_791_old'!$A:$W,13,FALSE)</f>
        <v>-66.260000000000005</v>
      </c>
      <c r="U501">
        <f t="shared" si="35"/>
        <v>0</v>
      </c>
      <c r="V501">
        <v>-66.260000000000005</v>
      </c>
      <c r="W501">
        <f>VLOOKUP(G501,'[1]Erogati mag-giu 2026_791_old'!$A:$W,14,FALSE)</f>
        <v>-66.260000000000005</v>
      </c>
      <c r="X501">
        <f t="shared" si="36"/>
        <v>0</v>
      </c>
      <c r="Y501" t="s">
        <v>158</v>
      </c>
      <c r="Z501" t="str">
        <f>VLOOKUP(G501,'[2]Erogati mag-giu 2026_791_old'!$D:$T,11,FALSE)</f>
        <v>indiretto</v>
      </c>
      <c r="AA501" t="b">
        <v>1</v>
      </c>
      <c r="AF501" t="s">
        <v>20</v>
      </c>
      <c r="AG501" t="s">
        <v>20</v>
      </c>
    </row>
    <row r="502" spans="1:33">
      <c r="A502" s="13" t="s">
        <v>879</v>
      </c>
      <c r="B502" t="s">
        <v>1764</v>
      </c>
      <c r="C502" s="4">
        <v>202601307495660</v>
      </c>
      <c r="D502" s="4" t="b">
        <f t="shared" si="37"/>
        <v>1</v>
      </c>
      <c r="E502" t="s">
        <v>20</v>
      </c>
      <c r="F502" t="s">
        <v>21</v>
      </c>
      <c r="G502" t="s">
        <v>880</v>
      </c>
      <c r="H502" t="str">
        <f>VLOOKUP(C502,'[1]Erogati mag-giu 2026_791_old'!$B:$E,4,FALSE)</f>
        <v>C314324</v>
      </c>
      <c r="I502" t="b">
        <f t="shared" si="33"/>
        <v>1</v>
      </c>
      <c r="J502" s="14">
        <v>46179</v>
      </c>
      <c r="K502" s="14">
        <v>46179</v>
      </c>
      <c r="L502" t="s">
        <v>20</v>
      </c>
      <c r="M502" s="14">
        <v>46188</v>
      </c>
      <c r="N502" s="14">
        <v>46179</v>
      </c>
      <c r="O502" t="s">
        <v>20</v>
      </c>
      <c r="P502">
        <v>-66.260000000000005</v>
      </c>
      <c r="Q502">
        <f>VLOOKUP(G502,'[1]Erogati mag-giu 2026_791_old'!$A:$W,12,FALSE)</f>
        <v>-66.260000000000005</v>
      </c>
      <c r="R502">
        <f t="shared" si="34"/>
        <v>0</v>
      </c>
      <c r="S502">
        <v>-66.260000000000005</v>
      </c>
      <c r="T502">
        <f>VLOOKUP(G502,'[1]Erogati mag-giu 2026_791_old'!$A:$W,13,FALSE)</f>
        <v>-66.260000000000005</v>
      </c>
      <c r="U502">
        <f t="shared" si="35"/>
        <v>0</v>
      </c>
      <c r="V502">
        <v>-66.260000000000005</v>
      </c>
      <c r="W502">
        <f>VLOOKUP(G502,'[1]Erogati mag-giu 2026_791_old'!$A:$W,14,FALSE)</f>
        <v>-66.260000000000005</v>
      </c>
      <c r="X502">
        <f t="shared" si="36"/>
        <v>0</v>
      </c>
      <c r="Y502" t="s">
        <v>158</v>
      </c>
      <c r="Z502" t="str">
        <f>VLOOKUP(G502,'[2]Erogati mag-giu 2026_791_old'!$D:$T,11,FALSE)</f>
        <v>indiretto</v>
      </c>
      <c r="AA502" t="b">
        <v>1</v>
      </c>
      <c r="AF502" t="s">
        <v>20</v>
      </c>
      <c r="AG502" t="s">
        <v>20</v>
      </c>
    </row>
    <row r="503" spans="1:33">
      <c r="A503" s="13" t="s">
        <v>881</v>
      </c>
      <c r="B503" t="s">
        <v>1765</v>
      </c>
      <c r="C503" s="4">
        <v>202601307497139</v>
      </c>
      <c r="D503" s="4" t="b">
        <f t="shared" si="37"/>
        <v>1</v>
      </c>
      <c r="E503" t="s">
        <v>20</v>
      </c>
      <c r="F503" t="s">
        <v>21</v>
      </c>
      <c r="G503" t="s">
        <v>882</v>
      </c>
      <c r="H503" t="str">
        <f>VLOOKUP(C503,'[1]Erogati mag-giu 2026_791_old'!$B:$E,4,FALSE)</f>
        <v>C056092</v>
      </c>
      <c r="I503" t="b">
        <f t="shared" si="33"/>
        <v>1</v>
      </c>
      <c r="J503" s="14">
        <v>46179</v>
      </c>
      <c r="K503" s="14">
        <v>46179</v>
      </c>
      <c r="L503" t="s">
        <v>20</v>
      </c>
      <c r="M503" s="14">
        <v>46188</v>
      </c>
      <c r="N503" s="14">
        <v>46179</v>
      </c>
      <c r="O503" t="s">
        <v>20</v>
      </c>
      <c r="P503">
        <v>-33.130000000000003</v>
      </c>
      <c r="Q503">
        <f>VLOOKUP(G503,'[1]Erogati mag-giu 2026_791_old'!$A:$W,12,FALSE)</f>
        <v>-33.130000000000003</v>
      </c>
      <c r="R503">
        <f t="shared" si="34"/>
        <v>0</v>
      </c>
      <c r="S503">
        <v>-33.130000000000003</v>
      </c>
      <c r="T503">
        <f>VLOOKUP(G503,'[1]Erogati mag-giu 2026_791_old'!$A:$W,13,FALSE)</f>
        <v>-33.130000000000003</v>
      </c>
      <c r="U503">
        <f t="shared" si="35"/>
        <v>0</v>
      </c>
      <c r="V503">
        <v>-33.130000000000003</v>
      </c>
      <c r="W503">
        <f>VLOOKUP(G503,'[1]Erogati mag-giu 2026_791_old'!$A:$W,14,FALSE)</f>
        <v>-33.130000000000003</v>
      </c>
      <c r="X503">
        <f t="shared" si="36"/>
        <v>0</v>
      </c>
      <c r="Y503" t="s">
        <v>158</v>
      </c>
      <c r="Z503" t="str">
        <f>VLOOKUP(G503,'[2]Erogati mag-giu 2026_791_old'!$D:$T,11,FALSE)</f>
        <v>indiretto</v>
      </c>
      <c r="AA503" t="b">
        <v>1</v>
      </c>
      <c r="AF503" t="s">
        <v>20</v>
      </c>
      <c r="AG503" t="s">
        <v>20</v>
      </c>
    </row>
    <row r="504" spans="1:33">
      <c r="A504" s="13" t="s">
        <v>883</v>
      </c>
      <c r="B504" t="s">
        <v>1766</v>
      </c>
      <c r="C504" s="4">
        <v>202601307500461</v>
      </c>
      <c r="D504" s="4" t="b">
        <f t="shared" si="37"/>
        <v>1</v>
      </c>
      <c r="E504" t="s">
        <v>20</v>
      </c>
      <c r="F504" t="s">
        <v>21</v>
      </c>
      <c r="G504" t="s">
        <v>884</v>
      </c>
      <c r="H504" t="str">
        <f>VLOOKUP(C504,'[1]Erogati mag-giu 2026_791_old'!$B:$E,4,FALSE)</f>
        <v>C344223</v>
      </c>
      <c r="I504" t="b">
        <f t="shared" si="33"/>
        <v>1</v>
      </c>
      <c r="J504" s="14">
        <v>46179</v>
      </c>
      <c r="K504" s="14">
        <v>46179</v>
      </c>
      <c r="L504" t="s">
        <v>20</v>
      </c>
      <c r="M504" s="14">
        <v>46188</v>
      </c>
      <c r="N504" s="14">
        <v>46179</v>
      </c>
      <c r="O504" t="s">
        <v>20</v>
      </c>
      <c r="P504">
        <v>-66.260000000000005</v>
      </c>
      <c r="Q504">
        <f>VLOOKUP(G504,'[1]Erogati mag-giu 2026_791_old'!$A:$W,12,FALSE)</f>
        <v>-66.260000000000005</v>
      </c>
      <c r="R504">
        <f t="shared" si="34"/>
        <v>0</v>
      </c>
      <c r="S504">
        <v>-66.260000000000005</v>
      </c>
      <c r="T504">
        <f>VLOOKUP(G504,'[1]Erogati mag-giu 2026_791_old'!$A:$W,13,FALSE)</f>
        <v>-66.260000000000005</v>
      </c>
      <c r="U504">
        <f t="shared" si="35"/>
        <v>0</v>
      </c>
      <c r="V504">
        <v>-66.260000000000005</v>
      </c>
      <c r="W504">
        <f>VLOOKUP(G504,'[1]Erogati mag-giu 2026_791_old'!$A:$W,14,FALSE)</f>
        <v>-66.260000000000005</v>
      </c>
      <c r="X504">
        <f t="shared" si="36"/>
        <v>0</v>
      </c>
      <c r="Y504" t="s">
        <v>158</v>
      </c>
      <c r="Z504" t="str">
        <f>VLOOKUP(G504,'[2]Erogati mag-giu 2026_791_old'!$D:$T,11,FALSE)</f>
        <v>indiretto</v>
      </c>
      <c r="AA504" t="b">
        <v>1</v>
      </c>
      <c r="AF504" t="s">
        <v>20</v>
      </c>
      <c r="AG504" t="s">
        <v>20</v>
      </c>
    </row>
    <row r="505" spans="1:33">
      <c r="A505" s="13" t="s">
        <v>885</v>
      </c>
      <c r="B505" t="s">
        <v>1767</v>
      </c>
      <c r="C505" s="4">
        <v>202601307507291</v>
      </c>
      <c r="D505" s="4" t="b">
        <f t="shared" si="37"/>
        <v>1</v>
      </c>
      <c r="E505" t="s">
        <v>20</v>
      </c>
      <c r="F505" t="s">
        <v>21</v>
      </c>
      <c r="G505" t="s">
        <v>886</v>
      </c>
      <c r="H505" t="str">
        <f>VLOOKUP(C505,'[1]Erogati mag-giu 2026_791_old'!$B:$E,4,FALSE)</f>
        <v>C337711</v>
      </c>
      <c r="I505" t="b">
        <f t="shared" si="33"/>
        <v>1</v>
      </c>
      <c r="J505" s="14">
        <v>46179</v>
      </c>
      <c r="K505" s="14">
        <v>46179</v>
      </c>
      <c r="L505" t="s">
        <v>20</v>
      </c>
      <c r="M505" s="14">
        <v>46188</v>
      </c>
      <c r="N505" s="14">
        <v>46179</v>
      </c>
      <c r="O505" t="s">
        <v>20</v>
      </c>
      <c r="P505">
        <v>-99.39</v>
      </c>
      <c r="Q505">
        <f>VLOOKUP(G505,'[1]Erogati mag-giu 2026_791_old'!$A:$W,12,FALSE)</f>
        <v>-99.39</v>
      </c>
      <c r="R505">
        <f t="shared" si="34"/>
        <v>0</v>
      </c>
      <c r="S505">
        <v>-99.39</v>
      </c>
      <c r="T505">
        <f>VLOOKUP(G505,'[1]Erogati mag-giu 2026_791_old'!$A:$W,13,FALSE)</f>
        <v>-99.39</v>
      </c>
      <c r="U505">
        <f t="shared" si="35"/>
        <v>0</v>
      </c>
      <c r="V505">
        <v>-99.39</v>
      </c>
      <c r="W505">
        <f>VLOOKUP(G505,'[1]Erogati mag-giu 2026_791_old'!$A:$W,14,FALSE)</f>
        <v>-99.39</v>
      </c>
      <c r="X505">
        <f t="shared" si="36"/>
        <v>0</v>
      </c>
      <c r="Y505" t="s">
        <v>158</v>
      </c>
      <c r="Z505" t="str">
        <f>VLOOKUP(G505,'[2]Erogati mag-giu 2026_791_old'!$D:$T,11,FALSE)</f>
        <v>indiretto</v>
      </c>
      <c r="AA505" t="b">
        <v>1</v>
      </c>
      <c r="AF505" t="s">
        <v>20</v>
      </c>
      <c r="AG505" t="s">
        <v>20</v>
      </c>
    </row>
    <row r="506" spans="1:33">
      <c r="A506" s="13" t="s">
        <v>887</v>
      </c>
      <c r="B506" t="s">
        <v>1768</v>
      </c>
      <c r="C506" s="4">
        <v>202601307507479</v>
      </c>
      <c r="D506" s="4" t="b">
        <f t="shared" si="37"/>
        <v>1</v>
      </c>
      <c r="E506" t="s">
        <v>20</v>
      </c>
      <c r="F506" t="s">
        <v>21</v>
      </c>
      <c r="G506" t="s">
        <v>888</v>
      </c>
      <c r="H506" t="str">
        <f>VLOOKUP(C506,'[1]Erogati mag-giu 2026_791_old'!$B:$E,4,FALSE)</f>
        <v>C344273</v>
      </c>
      <c r="I506" t="b">
        <f t="shared" si="33"/>
        <v>1</v>
      </c>
      <c r="J506" s="14">
        <v>46179</v>
      </c>
      <c r="K506" s="14">
        <v>46179</v>
      </c>
      <c r="L506" t="s">
        <v>20</v>
      </c>
      <c r="M506" s="14">
        <v>46188</v>
      </c>
      <c r="N506" s="14">
        <v>46179</v>
      </c>
      <c r="O506" t="s">
        <v>20</v>
      </c>
      <c r="P506">
        <v>-52.52</v>
      </c>
      <c r="Q506">
        <f>VLOOKUP(G506,'[1]Erogati mag-giu 2026_791_old'!$A:$W,12,FALSE)</f>
        <v>-52.52</v>
      </c>
      <c r="R506">
        <f t="shared" si="34"/>
        <v>0</v>
      </c>
      <c r="S506">
        <v>-52.52</v>
      </c>
      <c r="T506">
        <f>VLOOKUP(G506,'[1]Erogati mag-giu 2026_791_old'!$A:$W,13,FALSE)</f>
        <v>-52.52</v>
      </c>
      <c r="U506">
        <f t="shared" si="35"/>
        <v>0</v>
      </c>
      <c r="V506">
        <v>-52.52</v>
      </c>
      <c r="W506">
        <f>VLOOKUP(G506,'[1]Erogati mag-giu 2026_791_old'!$A:$W,14,FALSE)</f>
        <v>-52.52</v>
      </c>
      <c r="X506">
        <f t="shared" si="36"/>
        <v>0</v>
      </c>
      <c r="Y506" t="s">
        <v>158</v>
      </c>
      <c r="Z506" t="str">
        <f>VLOOKUP(G506,'[2]Erogati mag-giu 2026_791_old'!$D:$T,11,FALSE)</f>
        <v>indiretto</v>
      </c>
      <c r="AA506" t="b">
        <v>1</v>
      </c>
      <c r="AF506" t="s">
        <v>20</v>
      </c>
      <c r="AG506" t="s">
        <v>20</v>
      </c>
    </row>
    <row r="507" spans="1:33">
      <c r="A507" s="13" t="s">
        <v>889</v>
      </c>
      <c r="B507" t="s">
        <v>1769</v>
      </c>
      <c r="C507" s="4">
        <v>202601307507763</v>
      </c>
      <c r="D507" s="4" t="b">
        <f t="shared" si="37"/>
        <v>1</v>
      </c>
      <c r="E507" t="s">
        <v>20</v>
      </c>
      <c r="F507" t="s">
        <v>21</v>
      </c>
      <c r="G507" t="s">
        <v>890</v>
      </c>
      <c r="H507" t="str">
        <f>VLOOKUP(C507,'[1]Erogati mag-giu 2026_791_old'!$B:$E,4,FALSE)</f>
        <v>C310034</v>
      </c>
      <c r="I507" t="b">
        <f t="shared" si="33"/>
        <v>1</v>
      </c>
      <c r="J507" s="14">
        <v>46179</v>
      </c>
      <c r="K507" s="14">
        <v>46179</v>
      </c>
      <c r="L507" t="s">
        <v>20</v>
      </c>
      <c r="M507" s="14">
        <v>46188</v>
      </c>
      <c r="N507" s="14">
        <v>46179</v>
      </c>
      <c r="O507" t="s">
        <v>20</v>
      </c>
      <c r="P507">
        <v>-85.46</v>
      </c>
      <c r="Q507">
        <f>VLOOKUP(G507,'[1]Erogati mag-giu 2026_791_old'!$A:$W,12,FALSE)</f>
        <v>-85.46</v>
      </c>
      <c r="R507">
        <f t="shared" si="34"/>
        <v>0</v>
      </c>
      <c r="S507">
        <v>-85.46</v>
      </c>
      <c r="T507">
        <f>VLOOKUP(G507,'[1]Erogati mag-giu 2026_791_old'!$A:$W,13,FALSE)</f>
        <v>-85.46</v>
      </c>
      <c r="U507">
        <f t="shared" si="35"/>
        <v>0</v>
      </c>
      <c r="V507">
        <v>-85.46</v>
      </c>
      <c r="W507">
        <f>VLOOKUP(G507,'[1]Erogati mag-giu 2026_791_old'!$A:$W,14,FALSE)</f>
        <v>-85.46</v>
      </c>
      <c r="X507">
        <f t="shared" si="36"/>
        <v>0</v>
      </c>
      <c r="Y507" t="s">
        <v>158</v>
      </c>
      <c r="Z507" t="str">
        <f>VLOOKUP(G507,'[2]Erogati mag-giu 2026_791_old'!$D:$T,11,FALSE)</f>
        <v>indiretto</v>
      </c>
      <c r="AA507" t="b">
        <v>1</v>
      </c>
      <c r="AF507" t="s">
        <v>20</v>
      </c>
      <c r="AG507" t="s">
        <v>20</v>
      </c>
    </row>
    <row r="508" spans="1:33">
      <c r="A508" s="13" t="s">
        <v>891</v>
      </c>
      <c r="B508" t="s">
        <v>1770</v>
      </c>
      <c r="C508" s="4">
        <v>202601307515168</v>
      </c>
      <c r="D508" s="4" t="b">
        <f t="shared" si="37"/>
        <v>1</v>
      </c>
      <c r="E508" t="s">
        <v>20</v>
      </c>
      <c r="F508" t="s">
        <v>21</v>
      </c>
      <c r="G508" t="s">
        <v>892</v>
      </c>
      <c r="H508" t="str">
        <f>VLOOKUP(C508,'[1]Erogati mag-giu 2026_791_old'!$B:$E,4,FALSE)</f>
        <v>C117852</v>
      </c>
      <c r="I508" t="b">
        <f t="shared" si="33"/>
        <v>1</v>
      </c>
      <c r="J508" s="14">
        <v>46179</v>
      </c>
      <c r="K508" s="14">
        <v>46179</v>
      </c>
      <c r="L508" t="s">
        <v>20</v>
      </c>
      <c r="M508" s="14">
        <v>46188</v>
      </c>
      <c r="N508" s="14">
        <v>46179</v>
      </c>
      <c r="O508" t="s">
        <v>20</v>
      </c>
      <c r="P508">
        <v>-165.65</v>
      </c>
      <c r="Q508">
        <f>VLOOKUP(G508,'[1]Erogati mag-giu 2026_791_old'!$A:$W,12,FALSE)</f>
        <v>-165.65</v>
      </c>
      <c r="R508">
        <f t="shared" si="34"/>
        <v>0</v>
      </c>
      <c r="S508">
        <v>-165.65</v>
      </c>
      <c r="T508">
        <f>VLOOKUP(G508,'[1]Erogati mag-giu 2026_791_old'!$A:$W,13,FALSE)</f>
        <v>-165.65</v>
      </c>
      <c r="U508">
        <f t="shared" si="35"/>
        <v>0</v>
      </c>
      <c r="V508">
        <v>-165.65</v>
      </c>
      <c r="W508">
        <f>VLOOKUP(G508,'[1]Erogati mag-giu 2026_791_old'!$A:$W,14,FALSE)</f>
        <v>-165.65</v>
      </c>
      <c r="X508">
        <f t="shared" si="36"/>
        <v>0</v>
      </c>
      <c r="Y508" t="s">
        <v>158</v>
      </c>
      <c r="Z508" t="str">
        <f>VLOOKUP(G508,'[2]Erogati mag-giu 2026_791_old'!$D:$T,11,FALSE)</f>
        <v>indiretto</v>
      </c>
      <c r="AA508" t="b">
        <v>1</v>
      </c>
      <c r="AF508" t="s">
        <v>20</v>
      </c>
      <c r="AG508" t="s">
        <v>20</v>
      </c>
    </row>
    <row r="509" spans="1:33">
      <c r="A509" s="13" t="s">
        <v>893</v>
      </c>
      <c r="B509" t="s">
        <v>1771</v>
      </c>
      <c r="C509" s="4">
        <v>202601307515447</v>
      </c>
      <c r="D509" s="4" t="b">
        <f t="shared" si="37"/>
        <v>1</v>
      </c>
      <c r="E509" t="s">
        <v>20</v>
      </c>
      <c r="F509" t="s">
        <v>21</v>
      </c>
      <c r="G509" t="s">
        <v>894</v>
      </c>
      <c r="H509" t="str">
        <f>VLOOKUP(C509,'[1]Erogati mag-giu 2026_791_old'!$B:$E,4,FALSE)</f>
        <v>C307354</v>
      </c>
      <c r="I509" t="b">
        <f t="shared" si="33"/>
        <v>1</v>
      </c>
      <c r="J509" s="14">
        <v>46179</v>
      </c>
      <c r="K509" s="14">
        <v>46179</v>
      </c>
      <c r="L509" t="s">
        <v>20</v>
      </c>
      <c r="M509" s="14">
        <v>46188</v>
      </c>
      <c r="N509" s="14">
        <v>46179</v>
      </c>
      <c r="O509" t="s">
        <v>20</v>
      </c>
      <c r="P509">
        <v>-115.1</v>
      </c>
      <c r="Q509">
        <f>VLOOKUP(G509,'[1]Erogati mag-giu 2026_791_old'!$A:$W,12,FALSE)</f>
        <v>-115.1</v>
      </c>
      <c r="R509">
        <f t="shared" si="34"/>
        <v>0</v>
      </c>
      <c r="S509">
        <v>-115.1</v>
      </c>
      <c r="T509">
        <f>VLOOKUP(G509,'[1]Erogati mag-giu 2026_791_old'!$A:$W,13,FALSE)</f>
        <v>-115.1</v>
      </c>
      <c r="U509">
        <f t="shared" si="35"/>
        <v>0</v>
      </c>
      <c r="V509">
        <v>-115.1</v>
      </c>
      <c r="W509">
        <f>VLOOKUP(G509,'[1]Erogati mag-giu 2026_791_old'!$A:$W,14,FALSE)</f>
        <v>-115.1</v>
      </c>
      <c r="X509">
        <f t="shared" si="36"/>
        <v>0</v>
      </c>
      <c r="Y509" t="s">
        <v>158</v>
      </c>
      <c r="Z509" t="str">
        <f>VLOOKUP(G509,'[2]Erogati mag-giu 2026_791_old'!$D:$T,11,FALSE)</f>
        <v>indiretto</v>
      </c>
      <c r="AA509" t="b">
        <v>1</v>
      </c>
      <c r="AF509" t="s">
        <v>20</v>
      </c>
      <c r="AG509" t="s">
        <v>20</v>
      </c>
    </row>
    <row r="510" spans="1:33">
      <c r="A510" s="13" t="s">
        <v>895</v>
      </c>
      <c r="B510" t="s">
        <v>1772</v>
      </c>
      <c r="C510" s="4">
        <v>202601307516867</v>
      </c>
      <c r="D510" s="4" t="b">
        <f t="shared" si="37"/>
        <v>1</v>
      </c>
      <c r="E510" t="s">
        <v>20</v>
      </c>
      <c r="F510" t="s">
        <v>21</v>
      </c>
      <c r="G510" t="s">
        <v>896</v>
      </c>
      <c r="H510" t="str">
        <f>VLOOKUP(C510,'[1]Erogati mag-giu 2026_791_old'!$B:$E,4,FALSE)</f>
        <v>C310541</v>
      </c>
      <c r="I510" t="b">
        <f t="shared" si="33"/>
        <v>1</v>
      </c>
      <c r="J510" s="14">
        <v>46179</v>
      </c>
      <c r="K510" s="14">
        <v>46179</v>
      </c>
      <c r="L510" t="s">
        <v>20</v>
      </c>
      <c r="M510" s="14">
        <v>46188</v>
      </c>
      <c r="N510" s="14">
        <v>46179</v>
      </c>
      <c r="O510" t="s">
        <v>20</v>
      </c>
      <c r="P510">
        <v>-86.33</v>
      </c>
      <c r="Q510">
        <f>VLOOKUP(G510,'[1]Erogati mag-giu 2026_791_old'!$A:$W,12,FALSE)</f>
        <v>-86.33</v>
      </c>
      <c r="R510">
        <f t="shared" si="34"/>
        <v>0</v>
      </c>
      <c r="S510">
        <v>-86.33</v>
      </c>
      <c r="T510">
        <f>VLOOKUP(G510,'[1]Erogati mag-giu 2026_791_old'!$A:$W,13,FALSE)</f>
        <v>-86.33</v>
      </c>
      <c r="U510">
        <f t="shared" si="35"/>
        <v>0</v>
      </c>
      <c r="V510">
        <v>-86.33</v>
      </c>
      <c r="W510">
        <f>VLOOKUP(G510,'[1]Erogati mag-giu 2026_791_old'!$A:$W,14,FALSE)</f>
        <v>-86.33</v>
      </c>
      <c r="X510">
        <f t="shared" si="36"/>
        <v>0</v>
      </c>
      <c r="Y510" t="s">
        <v>158</v>
      </c>
      <c r="Z510" t="str">
        <f>VLOOKUP(G510,'[2]Erogati mag-giu 2026_791_old'!$D:$T,11,FALSE)</f>
        <v>indiretto</v>
      </c>
      <c r="AA510" t="b">
        <v>1</v>
      </c>
      <c r="AF510" t="s">
        <v>20</v>
      </c>
      <c r="AG510" t="s">
        <v>20</v>
      </c>
    </row>
    <row r="511" spans="1:33">
      <c r="A511" s="13" t="s">
        <v>897</v>
      </c>
      <c r="B511" t="s">
        <v>1773</v>
      </c>
      <c r="C511" s="4">
        <v>202601307521087</v>
      </c>
      <c r="D511" s="4" t="b">
        <f t="shared" si="37"/>
        <v>1</v>
      </c>
      <c r="E511" t="s">
        <v>20</v>
      </c>
      <c r="F511" t="s">
        <v>21</v>
      </c>
      <c r="G511" t="s">
        <v>898</v>
      </c>
      <c r="H511" t="str">
        <f>VLOOKUP(C511,'[1]Erogati mag-giu 2026_791_old'!$B:$E,4,FALSE)</f>
        <v>C016875</v>
      </c>
      <c r="I511" t="b">
        <f t="shared" si="33"/>
        <v>1</v>
      </c>
      <c r="J511" s="14">
        <v>46179</v>
      </c>
      <c r="K511" s="14">
        <v>46179</v>
      </c>
      <c r="L511" t="s">
        <v>20</v>
      </c>
      <c r="M511" s="14">
        <v>46188</v>
      </c>
      <c r="N511" s="14">
        <v>46179</v>
      </c>
      <c r="O511" t="s">
        <v>20</v>
      </c>
      <c r="P511">
        <v>-132.52000000000001</v>
      </c>
      <c r="Q511">
        <f>VLOOKUP(G511,'[1]Erogati mag-giu 2026_791_old'!$A:$W,12,FALSE)</f>
        <v>-132.52000000000001</v>
      </c>
      <c r="R511">
        <f t="shared" si="34"/>
        <v>0</v>
      </c>
      <c r="S511">
        <v>-132.52000000000001</v>
      </c>
      <c r="T511">
        <f>VLOOKUP(G511,'[1]Erogati mag-giu 2026_791_old'!$A:$W,13,FALSE)</f>
        <v>-132.52000000000001</v>
      </c>
      <c r="U511">
        <f t="shared" si="35"/>
        <v>0</v>
      </c>
      <c r="V511">
        <v>-132.52000000000001</v>
      </c>
      <c r="W511">
        <f>VLOOKUP(G511,'[1]Erogati mag-giu 2026_791_old'!$A:$W,14,FALSE)</f>
        <v>-132.52000000000001</v>
      </c>
      <c r="X511">
        <f t="shared" si="36"/>
        <v>0</v>
      </c>
      <c r="Y511" t="s">
        <v>158</v>
      </c>
      <c r="Z511" t="str">
        <f>VLOOKUP(G511,'[2]Erogati mag-giu 2026_791_old'!$D:$T,11,FALSE)</f>
        <v>indiretto</v>
      </c>
      <c r="AA511" t="b">
        <v>1</v>
      </c>
      <c r="AF511" t="s">
        <v>20</v>
      </c>
      <c r="AG511" t="s">
        <v>20</v>
      </c>
    </row>
    <row r="512" spans="1:33">
      <c r="A512" s="13" t="s">
        <v>899</v>
      </c>
      <c r="B512" t="s">
        <v>1774</v>
      </c>
      <c r="C512" s="4">
        <v>202601307523628</v>
      </c>
      <c r="D512" s="4" t="b">
        <f t="shared" si="37"/>
        <v>1</v>
      </c>
      <c r="E512" t="s">
        <v>20</v>
      </c>
      <c r="F512" t="s">
        <v>21</v>
      </c>
      <c r="G512" t="s">
        <v>900</v>
      </c>
      <c r="H512" t="str">
        <f>VLOOKUP(C512,'[1]Erogati mag-giu 2026_791_old'!$B:$E,4,FALSE)</f>
        <v>C344176</v>
      </c>
      <c r="I512" t="b">
        <f t="shared" si="33"/>
        <v>1</v>
      </c>
      <c r="J512" s="14">
        <v>46179</v>
      </c>
      <c r="K512" s="14">
        <v>46179</v>
      </c>
      <c r="L512" t="s">
        <v>20</v>
      </c>
      <c r="M512" s="14">
        <v>46188</v>
      </c>
      <c r="N512" s="14">
        <v>46179</v>
      </c>
      <c r="O512" t="s">
        <v>20</v>
      </c>
      <c r="P512">
        <v>-99.39</v>
      </c>
      <c r="Q512">
        <f>VLOOKUP(G512,'[1]Erogati mag-giu 2026_791_old'!$A:$W,12,FALSE)</f>
        <v>-99.39</v>
      </c>
      <c r="R512">
        <f t="shared" si="34"/>
        <v>0</v>
      </c>
      <c r="S512">
        <v>-99.39</v>
      </c>
      <c r="T512">
        <f>VLOOKUP(G512,'[1]Erogati mag-giu 2026_791_old'!$A:$W,13,FALSE)</f>
        <v>-99.39</v>
      </c>
      <c r="U512">
        <f t="shared" si="35"/>
        <v>0</v>
      </c>
      <c r="V512">
        <v>-99.39</v>
      </c>
      <c r="W512">
        <f>VLOOKUP(G512,'[1]Erogati mag-giu 2026_791_old'!$A:$W,14,FALSE)</f>
        <v>-99.39</v>
      </c>
      <c r="X512">
        <f t="shared" si="36"/>
        <v>0</v>
      </c>
      <c r="Y512" t="s">
        <v>158</v>
      </c>
      <c r="Z512" t="str">
        <f>VLOOKUP(G512,'[2]Erogati mag-giu 2026_791_old'!$D:$T,11,FALSE)</f>
        <v>indiretto</v>
      </c>
      <c r="AA512" t="b">
        <v>1</v>
      </c>
      <c r="AF512" t="s">
        <v>20</v>
      </c>
      <c r="AG512" t="s">
        <v>20</v>
      </c>
    </row>
    <row r="513" spans="1:33">
      <c r="A513" s="13" t="s">
        <v>901</v>
      </c>
      <c r="B513" t="s">
        <v>1775</v>
      </c>
      <c r="C513" s="4">
        <v>202601307530325</v>
      </c>
      <c r="D513" s="4" t="b">
        <f t="shared" si="37"/>
        <v>1</v>
      </c>
      <c r="E513" t="s">
        <v>20</v>
      </c>
      <c r="F513" t="s">
        <v>21</v>
      </c>
      <c r="G513" t="s">
        <v>902</v>
      </c>
      <c r="H513" t="str">
        <f>VLOOKUP(C513,'[1]Erogati mag-giu 2026_791_old'!$B:$E,4,FALSE)</f>
        <v>C314986</v>
      </c>
      <c r="I513" t="b">
        <f t="shared" si="33"/>
        <v>1</v>
      </c>
      <c r="J513" s="14">
        <v>46179</v>
      </c>
      <c r="K513" s="14">
        <v>46179</v>
      </c>
      <c r="L513" t="s">
        <v>20</v>
      </c>
      <c r="M513" s="14">
        <v>46188</v>
      </c>
      <c r="N513" s="14">
        <v>46179</v>
      </c>
      <c r="O513" t="s">
        <v>20</v>
      </c>
      <c r="P513">
        <v>-98.48</v>
      </c>
      <c r="Q513">
        <f>VLOOKUP(G513,'[1]Erogati mag-giu 2026_791_old'!$A:$W,12,FALSE)</f>
        <v>-98.48</v>
      </c>
      <c r="R513">
        <f t="shared" si="34"/>
        <v>0</v>
      </c>
      <c r="S513">
        <v>-98.48</v>
      </c>
      <c r="T513">
        <f>VLOOKUP(G513,'[1]Erogati mag-giu 2026_791_old'!$A:$W,13,FALSE)</f>
        <v>-98.48</v>
      </c>
      <c r="U513">
        <f t="shared" si="35"/>
        <v>0</v>
      </c>
      <c r="V513">
        <v>-98.48</v>
      </c>
      <c r="W513">
        <f>VLOOKUP(G513,'[1]Erogati mag-giu 2026_791_old'!$A:$W,14,FALSE)</f>
        <v>-98.48</v>
      </c>
      <c r="X513">
        <f t="shared" si="36"/>
        <v>0</v>
      </c>
      <c r="Y513" t="s">
        <v>158</v>
      </c>
      <c r="Z513" t="str">
        <f>VLOOKUP(G513,'[2]Erogati mag-giu 2026_791_old'!$D:$T,11,FALSE)</f>
        <v>indiretto</v>
      </c>
      <c r="AA513" t="b">
        <v>1</v>
      </c>
      <c r="AF513" t="s">
        <v>20</v>
      </c>
      <c r="AG513" t="s">
        <v>20</v>
      </c>
    </row>
    <row r="514" spans="1:33">
      <c r="A514" s="13" t="s">
        <v>903</v>
      </c>
      <c r="B514" t="s">
        <v>1776</v>
      </c>
      <c r="C514" s="4">
        <v>202601307535694</v>
      </c>
      <c r="D514" s="4" t="b">
        <f t="shared" si="37"/>
        <v>1</v>
      </c>
      <c r="E514" t="s">
        <v>20</v>
      </c>
      <c r="F514" t="s">
        <v>21</v>
      </c>
      <c r="G514" t="s">
        <v>904</v>
      </c>
      <c r="H514" t="str">
        <f>VLOOKUP(C514,'[1]Erogati mag-giu 2026_791_old'!$B:$E,4,FALSE)</f>
        <v>C344152</v>
      </c>
      <c r="I514" t="b">
        <f t="shared" si="33"/>
        <v>1</v>
      </c>
      <c r="J514" s="14">
        <v>46179</v>
      </c>
      <c r="K514" s="14">
        <v>46179</v>
      </c>
      <c r="L514" t="s">
        <v>20</v>
      </c>
      <c r="M514" s="14">
        <v>46188</v>
      </c>
      <c r="N514" s="14">
        <v>46179</v>
      </c>
      <c r="O514" t="s">
        <v>20</v>
      </c>
      <c r="P514">
        <v>-198.78</v>
      </c>
      <c r="Q514">
        <f>VLOOKUP(G514,'[1]Erogati mag-giu 2026_791_old'!$A:$W,12,FALSE)</f>
        <v>-198.78</v>
      </c>
      <c r="R514">
        <f t="shared" si="34"/>
        <v>0</v>
      </c>
      <c r="S514">
        <v>-198.78</v>
      </c>
      <c r="T514">
        <f>VLOOKUP(G514,'[1]Erogati mag-giu 2026_791_old'!$A:$W,13,FALSE)</f>
        <v>-198.78</v>
      </c>
      <c r="U514">
        <f t="shared" si="35"/>
        <v>0</v>
      </c>
      <c r="V514">
        <v>-198.78</v>
      </c>
      <c r="W514">
        <f>VLOOKUP(G514,'[1]Erogati mag-giu 2026_791_old'!$A:$W,14,FALSE)</f>
        <v>-198.78</v>
      </c>
      <c r="X514">
        <f t="shared" si="36"/>
        <v>0</v>
      </c>
      <c r="Y514" t="s">
        <v>158</v>
      </c>
      <c r="Z514" t="str">
        <f>VLOOKUP(G514,'[2]Erogati mag-giu 2026_791_old'!$D:$T,11,FALSE)</f>
        <v>indiretto</v>
      </c>
      <c r="AA514" t="b">
        <v>1</v>
      </c>
      <c r="AF514" t="s">
        <v>20</v>
      </c>
      <c r="AG514" t="s">
        <v>20</v>
      </c>
    </row>
    <row r="515" spans="1:33">
      <c r="A515" s="13" t="s">
        <v>905</v>
      </c>
      <c r="B515" t="s">
        <v>1777</v>
      </c>
      <c r="C515" s="4">
        <v>202601307536350</v>
      </c>
      <c r="D515" s="4" t="b">
        <f t="shared" si="37"/>
        <v>1</v>
      </c>
      <c r="E515" t="s">
        <v>20</v>
      </c>
      <c r="F515" t="s">
        <v>21</v>
      </c>
      <c r="G515" t="s">
        <v>906</v>
      </c>
      <c r="H515" t="str">
        <f>VLOOKUP(C515,'[1]Erogati mag-giu 2026_791_old'!$B:$E,4,FALSE)</f>
        <v>C344274</v>
      </c>
      <c r="I515" t="b">
        <f t="shared" si="33"/>
        <v>1</v>
      </c>
      <c r="J515" s="14">
        <v>46179</v>
      </c>
      <c r="K515" s="14">
        <v>46179</v>
      </c>
      <c r="L515" t="s">
        <v>20</v>
      </c>
      <c r="M515" s="14">
        <v>46188</v>
      </c>
      <c r="N515" s="14">
        <v>46179</v>
      </c>
      <c r="O515" t="s">
        <v>20</v>
      </c>
      <c r="P515">
        <v>-26.26</v>
      </c>
      <c r="Q515">
        <f>VLOOKUP(G515,'[1]Erogati mag-giu 2026_791_old'!$A:$W,12,FALSE)</f>
        <v>-26.26</v>
      </c>
      <c r="R515">
        <f t="shared" si="34"/>
        <v>0</v>
      </c>
      <c r="S515">
        <v>-26.26</v>
      </c>
      <c r="T515">
        <f>VLOOKUP(G515,'[1]Erogati mag-giu 2026_791_old'!$A:$W,13,FALSE)</f>
        <v>-26.26</v>
      </c>
      <c r="U515">
        <f t="shared" si="35"/>
        <v>0</v>
      </c>
      <c r="V515">
        <v>-26.26</v>
      </c>
      <c r="W515">
        <f>VLOOKUP(G515,'[1]Erogati mag-giu 2026_791_old'!$A:$W,14,FALSE)</f>
        <v>-26.26</v>
      </c>
      <c r="X515">
        <f t="shared" si="36"/>
        <v>0</v>
      </c>
      <c r="Y515" t="s">
        <v>158</v>
      </c>
      <c r="Z515" t="str">
        <f>VLOOKUP(G515,'[2]Erogati mag-giu 2026_791_old'!$D:$T,11,FALSE)</f>
        <v>indiretto</v>
      </c>
      <c r="AA515" t="b">
        <v>1</v>
      </c>
      <c r="AF515" t="s">
        <v>20</v>
      </c>
      <c r="AG515" t="s">
        <v>20</v>
      </c>
    </row>
    <row r="516" spans="1:33">
      <c r="A516" s="13" t="s">
        <v>907</v>
      </c>
      <c r="B516" t="s">
        <v>1778</v>
      </c>
      <c r="C516" s="4">
        <v>202601307540341</v>
      </c>
      <c r="D516" s="4" t="b">
        <f t="shared" si="37"/>
        <v>1</v>
      </c>
      <c r="E516" t="s">
        <v>20</v>
      </c>
      <c r="F516" t="s">
        <v>21</v>
      </c>
      <c r="G516" t="s">
        <v>908</v>
      </c>
      <c r="H516" t="str">
        <f>VLOOKUP(C516,'[1]Erogati mag-giu 2026_791_old'!$B:$E,4,FALSE)</f>
        <v>C310575</v>
      </c>
      <c r="I516" t="b">
        <f t="shared" ref="I516:I579" si="38">EXACT(G516,H516)</f>
        <v>1</v>
      </c>
      <c r="J516" s="14">
        <v>46179</v>
      </c>
      <c r="K516" s="14">
        <v>46179</v>
      </c>
      <c r="L516" t="s">
        <v>20</v>
      </c>
      <c r="M516" s="14">
        <v>46188</v>
      </c>
      <c r="N516" s="14">
        <v>46179</v>
      </c>
      <c r="O516" t="s">
        <v>20</v>
      </c>
      <c r="P516">
        <v>-165.65</v>
      </c>
      <c r="Q516">
        <f>VLOOKUP(G516,'[1]Erogati mag-giu 2026_791_old'!$A:$W,12,FALSE)</f>
        <v>-165.65</v>
      </c>
      <c r="R516">
        <f t="shared" ref="R516:R579" si="39">P516-Q516</f>
        <v>0</v>
      </c>
      <c r="S516">
        <v>-165.65</v>
      </c>
      <c r="T516">
        <f>VLOOKUP(G516,'[1]Erogati mag-giu 2026_791_old'!$A:$W,13,FALSE)</f>
        <v>-165.65</v>
      </c>
      <c r="U516">
        <f t="shared" ref="U516:U579" si="40">S516-T516</f>
        <v>0</v>
      </c>
      <c r="V516">
        <v>-165.65</v>
      </c>
      <c r="W516">
        <f>VLOOKUP(G516,'[1]Erogati mag-giu 2026_791_old'!$A:$W,14,FALSE)</f>
        <v>-165.65</v>
      </c>
      <c r="X516">
        <f t="shared" ref="X516:X579" si="41">V516-W516</f>
        <v>0</v>
      </c>
      <c r="Y516" t="s">
        <v>158</v>
      </c>
      <c r="Z516" t="str">
        <f>VLOOKUP(G516,'[2]Erogati mag-giu 2026_791_old'!$D:$T,11,FALSE)</f>
        <v>indiretto</v>
      </c>
      <c r="AA516" t="b">
        <v>1</v>
      </c>
      <c r="AF516" t="s">
        <v>20</v>
      </c>
      <c r="AG516" t="s">
        <v>20</v>
      </c>
    </row>
    <row r="517" spans="1:33">
      <c r="A517" s="13" t="s">
        <v>909</v>
      </c>
      <c r="B517" t="s">
        <v>1779</v>
      </c>
      <c r="C517" s="4">
        <v>202601307544414</v>
      </c>
      <c r="D517" s="4" t="b">
        <f t="shared" si="37"/>
        <v>1</v>
      </c>
      <c r="E517" t="s">
        <v>20</v>
      </c>
      <c r="F517" t="s">
        <v>21</v>
      </c>
      <c r="G517" t="s">
        <v>910</v>
      </c>
      <c r="H517" t="str">
        <f>VLOOKUP(C517,'[1]Erogati mag-giu 2026_791_old'!$B:$E,4,FALSE)</f>
        <v>C314967</v>
      </c>
      <c r="I517" t="b">
        <f t="shared" si="38"/>
        <v>1</v>
      </c>
      <c r="J517" s="14">
        <v>46179</v>
      </c>
      <c r="K517" s="14">
        <v>46179</v>
      </c>
      <c r="L517" t="s">
        <v>20</v>
      </c>
      <c r="M517" s="14">
        <v>46188</v>
      </c>
      <c r="N517" s="14">
        <v>46179</v>
      </c>
      <c r="O517" t="s">
        <v>20</v>
      </c>
      <c r="P517">
        <v>-99.39</v>
      </c>
      <c r="Q517">
        <f>VLOOKUP(G517,'[1]Erogati mag-giu 2026_791_old'!$A:$W,12,FALSE)</f>
        <v>-99.39</v>
      </c>
      <c r="R517">
        <f t="shared" si="39"/>
        <v>0</v>
      </c>
      <c r="S517">
        <v>-99.39</v>
      </c>
      <c r="T517">
        <f>VLOOKUP(G517,'[1]Erogati mag-giu 2026_791_old'!$A:$W,13,FALSE)</f>
        <v>-99.39</v>
      </c>
      <c r="U517">
        <f t="shared" si="40"/>
        <v>0</v>
      </c>
      <c r="V517">
        <v>-99.39</v>
      </c>
      <c r="W517">
        <f>VLOOKUP(G517,'[1]Erogati mag-giu 2026_791_old'!$A:$W,14,FALSE)</f>
        <v>-99.39</v>
      </c>
      <c r="X517">
        <f t="shared" si="41"/>
        <v>0</v>
      </c>
      <c r="Y517" t="s">
        <v>158</v>
      </c>
      <c r="Z517" t="str">
        <f>VLOOKUP(G517,'[2]Erogati mag-giu 2026_791_old'!$D:$T,11,FALSE)</f>
        <v>indiretto</v>
      </c>
      <c r="AA517" t="b">
        <v>1</v>
      </c>
      <c r="AF517" t="s">
        <v>20</v>
      </c>
      <c r="AG517" t="s">
        <v>20</v>
      </c>
    </row>
    <row r="518" spans="1:33">
      <c r="A518" s="13" t="s">
        <v>911</v>
      </c>
      <c r="B518" t="s">
        <v>1780</v>
      </c>
      <c r="C518" s="4">
        <v>202601307545588</v>
      </c>
      <c r="D518" s="4" t="b">
        <f t="shared" si="37"/>
        <v>1</v>
      </c>
      <c r="E518" t="s">
        <v>20</v>
      </c>
      <c r="F518" t="s">
        <v>21</v>
      </c>
      <c r="G518" t="s">
        <v>912</v>
      </c>
      <c r="H518" t="str">
        <f>VLOOKUP(C518,'[1]Erogati mag-giu 2026_791_old'!$B:$E,4,FALSE)</f>
        <v>C344143</v>
      </c>
      <c r="I518" t="b">
        <f t="shared" si="38"/>
        <v>1</v>
      </c>
      <c r="J518" s="14">
        <v>46179</v>
      </c>
      <c r="K518" s="14">
        <v>46179</v>
      </c>
      <c r="L518" t="s">
        <v>20</v>
      </c>
      <c r="M518" s="14">
        <v>46188</v>
      </c>
      <c r="N518" s="14">
        <v>46179</v>
      </c>
      <c r="O518" t="s">
        <v>20</v>
      </c>
      <c r="P518">
        <v>-23.97</v>
      </c>
      <c r="Q518">
        <f>VLOOKUP(G518,'[1]Erogati mag-giu 2026_791_old'!$A:$W,12,FALSE)</f>
        <v>-23.97</v>
      </c>
      <c r="R518">
        <f t="shared" si="39"/>
        <v>0</v>
      </c>
      <c r="S518">
        <v>-23.97</v>
      </c>
      <c r="T518">
        <f>VLOOKUP(G518,'[1]Erogati mag-giu 2026_791_old'!$A:$W,13,FALSE)</f>
        <v>-23.97</v>
      </c>
      <c r="U518">
        <f t="shared" si="40"/>
        <v>0</v>
      </c>
      <c r="V518">
        <v>-23.97</v>
      </c>
      <c r="W518">
        <f>VLOOKUP(G518,'[1]Erogati mag-giu 2026_791_old'!$A:$W,14,FALSE)</f>
        <v>-23.97</v>
      </c>
      <c r="X518">
        <f t="shared" si="41"/>
        <v>0</v>
      </c>
      <c r="Y518" t="s">
        <v>158</v>
      </c>
      <c r="Z518" t="str">
        <f>VLOOKUP(G518,'[2]Erogati mag-giu 2026_791_old'!$D:$T,11,FALSE)</f>
        <v>indiretto</v>
      </c>
      <c r="AA518" t="b">
        <v>1</v>
      </c>
      <c r="AF518" t="s">
        <v>20</v>
      </c>
      <c r="AG518" t="s">
        <v>20</v>
      </c>
    </row>
    <row r="519" spans="1:33">
      <c r="A519" s="13" t="s">
        <v>913</v>
      </c>
      <c r="B519" t="s">
        <v>1781</v>
      </c>
      <c r="C519" s="4">
        <v>202601307554883</v>
      </c>
      <c r="D519" s="4" t="b">
        <f t="shared" si="37"/>
        <v>1</v>
      </c>
      <c r="E519" t="s">
        <v>20</v>
      </c>
      <c r="F519" t="s">
        <v>21</v>
      </c>
      <c r="G519" t="s">
        <v>914</v>
      </c>
      <c r="H519" t="str">
        <f>VLOOKUP(C519,'[1]Erogati mag-giu 2026_791_old'!$B:$E,4,FALSE)</f>
        <v>C344177</v>
      </c>
      <c r="I519" t="b">
        <f t="shared" si="38"/>
        <v>1</v>
      </c>
      <c r="J519" s="14">
        <v>46179</v>
      </c>
      <c r="K519" s="14">
        <v>46179</v>
      </c>
      <c r="L519" t="s">
        <v>20</v>
      </c>
      <c r="M519" s="14">
        <v>46188</v>
      </c>
      <c r="N519" s="14">
        <v>46179</v>
      </c>
      <c r="O519" t="s">
        <v>20</v>
      </c>
      <c r="P519">
        <v>-33.130000000000003</v>
      </c>
      <c r="Q519">
        <f>VLOOKUP(G519,'[1]Erogati mag-giu 2026_791_old'!$A:$W,12,FALSE)</f>
        <v>-33.130000000000003</v>
      </c>
      <c r="R519">
        <f t="shared" si="39"/>
        <v>0</v>
      </c>
      <c r="S519">
        <v>-33.130000000000003</v>
      </c>
      <c r="T519">
        <f>VLOOKUP(G519,'[1]Erogati mag-giu 2026_791_old'!$A:$W,13,FALSE)</f>
        <v>-33.130000000000003</v>
      </c>
      <c r="U519">
        <f t="shared" si="40"/>
        <v>0</v>
      </c>
      <c r="V519">
        <v>-33.130000000000003</v>
      </c>
      <c r="W519">
        <f>VLOOKUP(G519,'[1]Erogati mag-giu 2026_791_old'!$A:$W,14,FALSE)</f>
        <v>-33.130000000000003</v>
      </c>
      <c r="X519">
        <f t="shared" si="41"/>
        <v>0</v>
      </c>
      <c r="Y519" t="s">
        <v>158</v>
      </c>
      <c r="Z519" t="str">
        <f>VLOOKUP(G519,'[2]Erogati mag-giu 2026_791_old'!$D:$T,11,FALSE)</f>
        <v>indiretto</v>
      </c>
      <c r="AA519" t="b">
        <v>1</v>
      </c>
      <c r="AF519" t="s">
        <v>20</v>
      </c>
      <c r="AG519" t="s">
        <v>20</v>
      </c>
    </row>
    <row r="520" spans="1:33">
      <c r="A520" s="13" t="s">
        <v>915</v>
      </c>
      <c r="B520" t="s">
        <v>1782</v>
      </c>
      <c r="C520" s="4">
        <v>202601307555038</v>
      </c>
      <c r="D520" s="4" t="b">
        <f t="shared" si="37"/>
        <v>1</v>
      </c>
      <c r="E520" t="s">
        <v>20</v>
      </c>
      <c r="F520" t="s">
        <v>21</v>
      </c>
      <c r="G520" t="s">
        <v>916</v>
      </c>
      <c r="H520" t="str">
        <f>VLOOKUP(C520,'[1]Erogati mag-giu 2026_791_old'!$B:$E,4,FALSE)</f>
        <v>C307304</v>
      </c>
      <c r="I520" t="b">
        <f t="shared" si="38"/>
        <v>1</v>
      </c>
      <c r="J520" s="14">
        <v>46179</v>
      </c>
      <c r="K520" s="14">
        <v>46179</v>
      </c>
      <c r="L520" t="s">
        <v>20</v>
      </c>
      <c r="M520" s="14">
        <v>46188</v>
      </c>
      <c r="N520" s="14">
        <v>46179</v>
      </c>
      <c r="O520" t="s">
        <v>20</v>
      </c>
      <c r="P520">
        <v>-49.24</v>
      </c>
      <c r="Q520">
        <f>VLOOKUP(G520,'[1]Erogati mag-giu 2026_791_old'!$A:$W,12,FALSE)</f>
        <v>-49.24</v>
      </c>
      <c r="R520">
        <f t="shared" si="39"/>
        <v>0</v>
      </c>
      <c r="S520">
        <v>-49.24</v>
      </c>
      <c r="T520">
        <f>VLOOKUP(G520,'[1]Erogati mag-giu 2026_791_old'!$A:$W,13,FALSE)</f>
        <v>-49.24</v>
      </c>
      <c r="U520">
        <f t="shared" si="40"/>
        <v>0</v>
      </c>
      <c r="V520">
        <v>-49.24</v>
      </c>
      <c r="W520">
        <f>VLOOKUP(G520,'[1]Erogati mag-giu 2026_791_old'!$A:$W,14,FALSE)</f>
        <v>-49.24</v>
      </c>
      <c r="X520">
        <f t="shared" si="41"/>
        <v>0</v>
      </c>
      <c r="Y520" t="s">
        <v>158</v>
      </c>
      <c r="Z520" t="str">
        <f>VLOOKUP(G520,'[2]Erogati mag-giu 2026_791_old'!$D:$T,11,FALSE)</f>
        <v>indiretto</v>
      </c>
      <c r="AA520" t="b">
        <v>1</v>
      </c>
      <c r="AF520" t="s">
        <v>20</v>
      </c>
      <c r="AG520" t="s">
        <v>20</v>
      </c>
    </row>
    <row r="521" spans="1:33">
      <c r="A521" s="13" t="s">
        <v>917</v>
      </c>
      <c r="B521" t="s">
        <v>1783</v>
      </c>
      <c r="C521" s="4">
        <v>202601307555238</v>
      </c>
      <c r="D521" s="4" t="b">
        <f t="shared" ref="D521:D584" si="42">EXACT(B521,C521)</f>
        <v>1</v>
      </c>
      <c r="E521" t="s">
        <v>20</v>
      </c>
      <c r="F521" t="s">
        <v>21</v>
      </c>
      <c r="G521" t="s">
        <v>918</v>
      </c>
      <c r="H521" t="str">
        <f>VLOOKUP(C521,'[1]Erogati mag-giu 2026_791_old'!$B:$E,4,FALSE)</f>
        <v>C337624</v>
      </c>
      <c r="I521" t="b">
        <f t="shared" si="38"/>
        <v>1</v>
      </c>
      <c r="J521" s="14">
        <v>46179</v>
      </c>
      <c r="K521" s="14">
        <v>46179</v>
      </c>
      <c r="L521" t="s">
        <v>20</v>
      </c>
      <c r="M521" s="14">
        <v>46188</v>
      </c>
      <c r="N521" s="14">
        <v>46179</v>
      </c>
      <c r="O521" t="s">
        <v>20</v>
      </c>
      <c r="P521">
        <v>-231.91</v>
      </c>
      <c r="Q521">
        <f>VLOOKUP(G521,'[1]Erogati mag-giu 2026_791_old'!$A:$W,12,FALSE)</f>
        <v>-231.91</v>
      </c>
      <c r="R521">
        <f t="shared" si="39"/>
        <v>0</v>
      </c>
      <c r="S521">
        <v>-231.91</v>
      </c>
      <c r="T521">
        <f>VLOOKUP(G521,'[1]Erogati mag-giu 2026_791_old'!$A:$W,13,FALSE)</f>
        <v>-231.91</v>
      </c>
      <c r="U521">
        <f t="shared" si="40"/>
        <v>0</v>
      </c>
      <c r="V521">
        <v>-231.91</v>
      </c>
      <c r="W521">
        <f>VLOOKUP(G521,'[1]Erogati mag-giu 2026_791_old'!$A:$W,14,FALSE)</f>
        <v>-231.91</v>
      </c>
      <c r="X521">
        <f t="shared" si="41"/>
        <v>0</v>
      </c>
      <c r="Y521" t="s">
        <v>158</v>
      </c>
      <c r="Z521" t="str">
        <f>VLOOKUP(G521,'[2]Erogati mag-giu 2026_791_old'!$D:$T,11,FALSE)</f>
        <v>indiretto</v>
      </c>
      <c r="AA521" t="b">
        <v>1</v>
      </c>
      <c r="AF521" t="s">
        <v>20</v>
      </c>
      <c r="AG521" t="s">
        <v>20</v>
      </c>
    </row>
    <row r="522" spans="1:33">
      <c r="A522" s="13" t="s">
        <v>919</v>
      </c>
      <c r="B522" t="s">
        <v>1784</v>
      </c>
      <c r="C522" s="4">
        <v>202601307564959</v>
      </c>
      <c r="D522" s="4" t="b">
        <f t="shared" si="42"/>
        <v>1</v>
      </c>
      <c r="E522" t="s">
        <v>20</v>
      </c>
      <c r="F522" t="s">
        <v>21</v>
      </c>
      <c r="G522" t="s">
        <v>920</v>
      </c>
      <c r="H522" t="str">
        <f>VLOOKUP(C522,'[1]Erogati mag-giu 2026_791_old'!$B:$E,4,FALSE)</f>
        <v>C344150</v>
      </c>
      <c r="I522" t="b">
        <f t="shared" si="38"/>
        <v>1</v>
      </c>
      <c r="J522" s="14">
        <v>46179</v>
      </c>
      <c r="K522" s="14">
        <v>46179</v>
      </c>
      <c r="L522" t="s">
        <v>20</v>
      </c>
      <c r="M522" s="14">
        <v>46188</v>
      </c>
      <c r="N522" s="14">
        <v>46179</v>
      </c>
      <c r="O522" t="s">
        <v>20</v>
      </c>
      <c r="P522">
        <v>-99.39</v>
      </c>
      <c r="Q522">
        <f>VLOOKUP(G522,'[1]Erogati mag-giu 2026_791_old'!$A:$W,12,FALSE)</f>
        <v>-99.39</v>
      </c>
      <c r="R522">
        <f t="shared" si="39"/>
        <v>0</v>
      </c>
      <c r="S522">
        <v>-99.39</v>
      </c>
      <c r="T522">
        <f>VLOOKUP(G522,'[1]Erogati mag-giu 2026_791_old'!$A:$W,13,FALSE)</f>
        <v>-99.39</v>
      </c>
      <c r="U522">
        <f t="shared" si="40"/>
        <v>0</v>
      </c>
      <c r="V522">
        <v>-99.39</v>
      </c>
      <c r="W522">
        <f>VLOOKUP(G522,'[1]Erogati mag-giu 2026_791_old'!$A:$W,14,FALSE)</f>
        <v>-99.39</v>
      </c>
      <c r="X522">
        <f t="shared" si="41"/>
        <v>0</v>
      </c>
      <c r="Y522" t="s">
        <v>158</v>
      </c>
      <c r="Z522" t="str">
        <f>VLOOKUP(G522,'[2]Erogati mag-giu 2026_791_old'!$D:$T,11,FALSE)</f>
        <v>indiretto</v>
      </c>
      <c r="AA522" t="b">
        <v>1</v>
      </c>
      <c r="AF522" t="s">
        <v>20</v>
      </c>
      <c r="AG522" t="s">
        <v>20</v>
      </c>
    </row>
    <row r="523" spans="1:33">
      <c r="A523" s="13" t="s">
        <v>921</v>
      </c>
      <c r="B523" t="s">
        <v>1785</v>
      </c>
      <c r="C523" s="4">
        <v>202601307569658</v>
      </c>
      <c r="D523" s="4" t="b">
        <f t="shared" si="42"/>
        <v>1</v>
      </c>
      <c r="E523" t="s">
        <v>20</v>
      </c>
      <c r="F523" t="s">
        <v>21</v>
      </c>
      <c r="G523" t="s">
        <v>922</v>
      </c>
      <c r="H523" t="str">
        <f>VLOOKUP(C523,'[1]Erogati mag-giu 2026_791_old'!$B:$E,4,FALSE)</f>
        <v>C344175</v>
      </c>
      <c r="I523" t="b">
        <f t="shared" si="38"/>
        <v>1</v>
      </c>
      <c r="J523" s="14">
        <v>46179</v>
      </c>
      <c r="K523" s="14">
        <v>46179</v>
      </c>
      <c r="L523" t="s">
        <v>20</v>
      </c>
      <c r="M523" s="14">
        <v>46188</v>
      </c>
      <c r="N523" s="14">
        <v>46179</v>
      </c>
      <c r="O523" t="s">
        <v>20</v>
      </c>
      <c r="P523">
        <v>-33.130000000000003</v>
      </c>
      <c r="Q523">
        <f>VLOOKUP(G523,'[1]Erogati mag-giu 2026_791_old'!$A:$W,12,FALSE)</f>
        <v>-33.130000000000003</v>
      </c>
      <c r="R523">
        <f t="shared" si="39"/>
        <v>0</v>
      </c>
      <c r="S523">
        <v>-33.130000000000003</v>
      </c>
      <c r="T523">
        <f>VLOOKUP(G523,'[1]Erogati mag-giu 2026_791_old'!$A:$W,13,FALSE)</f>
        <v>-33.130000000000003</v>
      </c>
      <c r="U523">
        <f t="shared" si="40"/>
        <v>0</v>
      </c>
      <c r="V523">
        <v>-33.130000000000003</v>
      </c>
      <c r="W523">
        <f>VLOOKUP(G523,'[1]Erogati mag-giu 2026_791_old'!$A:$W,14,FALSE)</f>
        <v>-33.130000000000003</v>
      </c>
      <c r="X523">
        <f t="shared" si="41"/>
        <v>0</v>
      </c>
      <c r="Y523" t="s">
        <v>158</v>
      </c>
      <c r="Z523" t="str">
        <f>VLOOKUP(G523,'[2]Erogati mag-giu 2026_791_old'!$D:$T,11,FALSE)</f>
        <v>indiretto</v>
      </c>
      <c r="AA523" t="b">
        <v>1</v>
      </c>
      <c r="AF523" t="s">
        <v>20</v>
      </c>
      <c r="AG523" t="s">
        <v>20</v>
      </c>
    </row>
    <row r="524" spans="1:33">
      <c r="A524" s="13" t="s">
        <v>923</v>
      </c>
      <c r="B524" t="s">
        <v>1786</v>
      </c>
      <c r="C524" s="4">
        <v>202601307572378</v>
      </c>
      <c r="D524" s="4" t="b">
        <f t="shared" si="42"/>
        <v>1</v>
      </c>
      <c r="E524" t="s">
        <v>20</v>
      </c>
      <c r="F524" t="s">
        <v>21</v>
      </c>
      <c r="G524" t="s">
        <v>924</v>
      </c>
      <c r="H524" t="str">
        <f>VLOOKUP(C524,'[1]Erogati mag-giu 2026_791_old'!$B:$E,4,FALSE)</f>
        <v>C344231</v>
      </c>
      <c r="I524" t="b">
        <f t="shared" si="38"/>
        <v>1</v>
      </c>
      <c r="J524" s="14">
        <v>46179</v>
      </c>
      <c r="K524" s="14">
        <v>46179</v>
      </c>
      <c r="L524" t="s">
        <v>20</v>
      </c>
      <c r="M524" s="14">
        <v>46188</v>
      </c>
      <c r="N524" s="14">
        <v>46179</v>
      </c>
      <c r="O524" t="s">
        <v>20</v>
      </c>
      <c r="P524">
        <v>-131.29</v>
      </c>
      <c r="Q524">
        <f>VLOOKUP(G524,'[1]Erogati mag-giu 2026_791_old'!$A:$W,12,FALSE)</f>
        <v>-131.29</v>
      </c>
      <c r="R524">
        <f t="shared" si="39"/>
        <v>0</v>
      </c>
      <c r="S524">
        <v>-131.29</v>
      </c>
      <c r="T524">
        <f>VLOOKUP(G524,'[1]Erogati mag-giu 2026_791_old'!$A:$W,13,FALSE)</f>
        <v>-131.29</v>
      </c>
      <c r="U524">
        <f t="shared" si="40"/>
        <v>0</v>
      </c>
      <c r="V524">
        <v>-131.29</v>
      </c>
      <c r="W524">
        <f>VLOOKUP(G524,'[1]Erogati mag-giu 2026_791_old'!$A:$W,14,FALSE)</f>
        <v>-131.29</v>
      </c>
      <c r="X524">
        <f t="shared" si="41"/>
        <v>0</v>
      </c>
      <c r="Y524" t="s">
        <v>158</v>
      </c>
      <c r="Z524" t="str">
        <f>VLOOKUP(G524,'[2]Erogati mag-giu 2026_791_old'!$D:$T,11,FALSE)</f>
        <v>indiretto</v>
      </c>
      <c r="AA524" t="b">
        <v>1</v>
      </c>
      <c r="AF524" t="s">
        <v>20</v>
      </c>
      <c r="AG524" t="s">
        <v>20</v>
      </c>
    </row>
    <row r="525" spans="1:33">
      <c r="A525" s="13" t="s">
        <v>925</v>
      </c>
      <c r="B525" t="s">
        <v>1787</v>
      </c>
      <c r="C525" s="4">
        <v>202601307576806</v>
      </c>
      <c r="D525" s="4" t="b">
        <f t="shared" si="42"/>
        <v>1</v>
      </c>
      <c r="E525" t="s">
        <v>20</v>
      </c>
      <c r="F525" t="s">
        <v>21</v>
      </c>
      <c r="G525" t="s">
        <v>926</v>
      </c>
      <c r="H525" t="str">
        <f>VLOOKUP(C525,'[1]Erogati mag-giu 2026_791_old'!$B:$E,4,FALSE)</f>
        <v>C344142</v>
      </c>
      <c r="I525" t="b">
        <f t="shared" si="38"/>
        <v>1</v>
      </c>
      <c r="J525" s="14">
        <v>46179</v>
      </c>
      <c r="K525" s="14">
        <v>46179</v>
      </c>
      <c r="L525" t="s">
        <v>20</v>
      </c>
      <c r="M525" s="14">
        <v>46188</v>
      </c>
      <c r="N525" s="14">
        <v>46179</v>
      </c>
      <c r="O525" t="s">
        <v>20</v>
      </c>
      <c r="P525">
        <v>-131.29</v>
      </c>
      <c r="Q525">
        <f>VLOOKUP(G525,'[1]Erogati mag-giu 2026_791_old'!$A:$W,12,FALSE)</f>
        <v>-131.29</v>
      </c>
      <c r="R525">
        <f t="shared" si="39"/>
        <v>0</v>
      </c>
      <c r="S525">
        <v>-131.29</v>
      </c>
      <c r="T525">
        <f>VLOOKUP(G525,'[1]Erogati mag-giu 2026_791_old'!$A:$W,13,FALSE)</f>
        <v>-131.29</v>
      </c>
      <c r="U525">
        <f t="shared" si="40"/>
        <v>0</v>
      </c>
      <c r="V525">
        <v>-131.29</v>
      </c>
      <c r="W525">
        <f>VLOOKUP(G525,'[1]Erogati mag-giu 2026_791_old'!$A:$W,14,FALSE)</f>
        <v>-131.29</v>
      </c>
      <c r="X525">
        <f t="shared" si="41"/>
        <v>0</v>
      </c>
      <c r="Y525" t="s">
        <v>158</v>
      </c>
      <c r="Z525" t="str">
        <f>VLOOKUP(G525,'[2]Erogati mag-giu 2026_791_old'!$D:$T,11,FALSE)</f>
        <v>indiretto</v>
      </c>
      <c r="AA525" t="b">
        <v>1</v>
      </c>
      <c r="AF525" t="s">
        <v>20</v>
      </c>
      <c r="AG525" t="s">
        <v>20</v>
      </c>
    </row>
    <row r="526" spans="1:33">
      <c r="A526" s="13" t="s">
        <v>927</v>
      </c>
      <c r="B526" t="s">
        <v>1788</v>
      </c>
      <c r="C526" s="4">
        <v>202601307577785</v>
      </c>
      <c r="D526" s="4" t="b">
        <f t="shared" si="42"/>
        <v>1</v>
      </c>
      <c r="E526" t="s">
        <v>20</v>
      </c>
      <c r="F526" t="s">
        <v>21</v>
      </c>
      <c r="G526" t="s">
        <v>928</v>
      </c>
      <c r="H526" t="str">
        <f>VLOOKUP(C526,'[1]Erogati mag-giu 2026_791_old'!$B:$E,4,FALSE)</f>
        <v>C344151</v>
      </c>
      <c r="I526" t="b">
        <f t="shared" si="38"/>
        <v>1</v>
      </c>
      <c r="J526" s="14">
        <v>46179</v>
      </c>
      <c r="K526" s="14">
        <v>46179</v>
      </c>
      <c r="L526" t="s">
        <v>20</v>
      </c>
      <c r="M526" s="14">
        <v>46188</v>
      </c>
      <c r="N526" s="14">
        <v>46179</v>
      </c>
      <c r="O526" t="s">
        <v>20</v>
      </c>
      <c r="P526">
        <v>-165.65</v>
      </c>
      <c r="Q526">
        <f>VLOOKUP(G526,'[1]Erogati mag-giu 2026_791_old'!$A:$W,12,FALSE)</f>
        <v>-165.65</v>
      </c>
      <c r="R526">
        <f t="shared" si="39"/>
        <v>0</v>
      </c>
      <c r="S526">
        <v>-165.65</v>
      </c>
      <c r="T526">
        <f>VLOOKUP(G526,'[1]Erogati mag-giu 2026_791_old'!$A:$W,13,FALSE)</f>
        <v>-165.65</v>
      </c>
      <c r="U526">
        <f t="shared" si="40"/>
        <v>0</v>
      </c>
      <c r="V526">
        <v>-165.65</v>
      </c>
      <c r="W526">
        <f>VLOOKUP(G526,'[1]Erogati mag-giu 2026_791_old'!$A:$W,14,FALSE)</f>
        <v>-165.65</v>
      </c>
      <c r="X526">
        <f t="shared" si="41"/>
        <v>0</v>
      </c>
      <c r="Y526" t="s">
        <v>158</v>
      </c>
      <c r="Z526" t="str">
        <f>VLOOKUP(G526,'[2]Erogati mag-giu 2026_791_old'!$D:$T,11,FALSE)</f>
        <v>indiretto</v>
      </c>
      <c r="AA526" t="b">
        <v>1</v>
      </c>
      <c r="AF526" t="s">
        <v>20</v>
      </c>
      <c r="AG526" t="s">
        <v>20</v>
      </c>
    </row>
    <row r="527" spans="1:33">
      <c r="A527" s="13" t="s">
        <v>929</v>
      </c>
      <c r="B527" t="s">
        <v>1789</v>
      </c>
      <c r="C527" s="4">
        <v>202601307577944</v>
      </c>
      <c r="D527" s="4" t="b">
        <f t="shared" si="42"/>
        <v>1</v>
      </c>
      <c r="E527" t="s">
        <v>20</v>
      </c>
      <c r="F527" t="s">
        <v>21</v>
      </c>
      <c r="G527" t="s">
        <v>930</v>
      </c>
      <c r="H527" t="str">
        <f>VLOOKUP(C527,'[1]Erogati mag-giu 2026_791_old'!$B:$E,4,FALSE)</f>
        <v>C309824</v>
      </c>
      <c r="I527" t="b">
        <f t="shared" si="38"/>
        <v>1</v>
      </c>
      <c r="J527" s="14">
        <v>46179</v>
      </c>
      <c r="K527" s="14">
        <v>46179</v>
      </c>
      <c r="L527" t="s">
        <v>20</v>
      </c>
      <c r="M527" s="14">
        <v>46188</v>
      </c>
      <c r="N527" s="14">
        <v>46179</v>
      </c>
      <c r="O527" t="s">
        <v>20</v>
      </c>
      <c r="P527">
        <v>-198.78</v>
      </c>
      <c r="Q527">
        <f>VLOOKUP(G527,'[1]Erogati mag-giu 2026_791_old'!$A:$W,12,FALSE)</f>
        <v>-198.78</v>
      </c>
      <c r="R527">
        <f t="shared" si="39"/>
        <v>0</v>
      </c>
      <c r="S527">
        <v>-198.78</v>
      </c>
      <c r="T527">
        <f>VLOOKUP(G527,'[1]Erogati mag-giu 2026_791_old'!$A:$W,13,FALSE)</f>
        <v>-198.78</v>
      </c>
      <c r="U527">
        <f t="shared" si="40"/>
        <v>0</v>
      </c>
      <c r="V527">
        <v>-198.78</v>
      </c>
      <c r="W527">
        <f>VLOOKUP(G527,'[1]Erogati mag-giu 2026_791_old'!$A:$W,14,FALSE)</f>
        <v>-198.78</v>
      </c>
      <c r="X527">
        <f t="shared" si="41"/>
        <v>0</v>
      </c>
      <c r="Y527" t="s">
        <v>158</v>
      </c>
      <c r="Z527" t="str">
        <f>VLOOKUP(G527,'[2]Erogati mag-giu 2026_791_old'!$D:$T,11,FALSE)</f>
        <v>indiretto</v>
      </c>
      <c r="AA527" t="b">
        <v>1</v>
      </c>
      <c r="AF527" t="s">
        <v>20</v>
      </c>
      <c r="AG527" t="s">
        <v>20</v>
      </c>
    </row>
    <row r="528" spans="1:33">
      <c r="A528" s="13" t="s">
        <v>931</v>
      </c>
      <c r="B528" t="s">
        <v>1790</v>
      </c>
      <c r="C528" s="4">
        <v>202601307579469</v>
      </c>
      <c r="D528" s="4" t="b">
        <f t="shared" si="42"/>
        <v>1</v>
      </c>
      <c r="E528" t="s">
        <v>20</v>
      </c>
      <c r="F528" t="s">
        <v>21</v>
      </c>
      <c r="G528" t="s">
        <v>932</v>
      </c>
      <c r="H528" t="str">
        <f>VLOOKUP(C528,'[1]Erogati mag-giu 2026_791_old'!$B:$E,4,FALSE)</f>
        <v>C118868</v>
      </c>
      <c r="I528" t="b">
        <f t="shared" si="38"/>
        <v>1</v>
      </c>
      <c r="J528" s="14">
        <v>46179</v>
      </c>
      <c r="K528" s="14">
        <v>46179</v>
      </c>
      <c r="L528" t="s">
        <v>20</v>
      </c>
      <c r="M528" s="14">
        <v>46188</v>
      </c>
      <c r="N528" s="14">
        <v>46179</v>
      </c>
      <c r="O528" t="s">
        <v>20</v>
      </c>
      <c r="P528">
        <v>-33.130000000000003</v>
      </c>
      <c r="Q528">
        <f>VLOOKUP(G528,'[1]Erogati mag-giu 2026_791_old'!$A:$W,12,FALSE)</f>
        <v>-33.130000000000003</v>
      </c>
      <c r="R528">
        <f t="shared" si="39"/>
        <v>0</v>
      </c>
      <c r="S528">
        <v>-33.130000000000003</v>
      </c>
      <c r="T528">
        <f>VLOOKUP(G528,'[1]Erogati mag-giu 2026_791_old'!$A:$W,13,FALSE)</f>
        <v>-33.130000000000003</v>
      </c>
      <c r="U528">
        <f t="shared" si="40"/>
        <v>0</v>
      </c>
      <c r="V528">
        <v>-33.130000000000003</v>
      </c>
      <c r="W528">
        <f>VLOOKUP(G528,'[1]Erogati mag-giu 2026_791_old'!$A:$W,14,FALSE)</f>
        <v>-33.130000000000003</v>
      </c>
      <c r="X528">
        <f t="shared" si="41"/>
        <v>0</v>
      </c>
      <c r="Y528" t="s">
        <v>158</v>
      </c>
      <c r="Z528" t="str">
        <f>VLOOKUP(G528,'[2]Erogati mag-giu 2026_791_old'!$D:$T,11,FALSE)</f>
        <v>indiretto</v>
      </c>
      <c r="AA528" t="b">
        <v>1</v>
      </c>
      <c r="AF528" t="s">
        <v>20</v>
      </c>
      <c r="AG528" t="s">
        <v>20</v>
      </c>
    </row>
    <row r="529" spans="1:33">
      <c r="A529" s="13" t="s">
        <v>933</v>
      </c>
      <c r="B529" t="s">
        <v>1791</v>
      </c>
      <c r="C529" s="4">
        <v>202601307580928</v>
      </c>
      <c r="D529" s="4" t="b">
        <f t="shared" si="42"/>
        <v>1</v>
      </c>
      <c r="E529" t="s">
        <v>20</v>
      </c>
      <c r="F529" t="s">
        <v>21</v>
      </c>
      <c r="G529" t="s">
        <v>934</v>
      </c>
      <c r="H529" t="str">
        <f>VLOOKUP(C529,'[1]Erogati mag-giu 2026_791_old'!$B:$E,4,FALSE)</f>
        <v>C344296</v>
      </c>
      <c r="I529" t="b">
        <f t="shared" si="38"/>
        <v>1</v>
      </c>
      <c r="J529" s="14">
        <v>46179</v>
      </c>
      <c r="K529" s="14">
        <v>46179</v>
      </c>
      <c r="L529" t="s">
        <v>20</v>
      </c>
      <c r="M529" s="14">
        <v>46188</v>
      </c>
      <c r="N529" s="14">
        <v>46179</v>
      </c>
      <c r="O529" t="s">
        <v>20</v>
      </c>
      <c r="P529">
        <v>-78.78</v>
      </c>
      <c r="Q529">
        <f>VLOOKUP(G529,'[1]Erogati mag-giu 2026_791_old'!$A:$W,12,FALSE)</f>
        <v>-78.78</v>
      </c>
      <c r="R529">
        <f t="shared" si="39"/>
        <v>0</v>
      </c>
      <c r="S529">
        <v>-78.78</v>
      </c>
      <c r="T529">
        <f>VLOOKUP(G529,'[1]Erogati mag-giu 2026_791_old'!$A:$W,13,FALSE)</f>
        <v>-78.78</v>
      </c>
      <c r="U529">
        <f t="shared" si="40"/>
        <v>0</v>
      </c>
      <c r="V529">
        <v>-78.78</v>
      </c>
      <c r="W529">
        <f>VLOOKUP(G529,'[1]Erogati mag-giu 2026_791_old'!$A:$W,14,FALSE)</f>
        <v>-78.78</v>
      </c>
      <c r="X529">
        <f t="shared" si="41"/>
        <v>0</v>
      </c>
      <c r="Y529" t="s">
        <v>158</v>
      </c>
      <c r="Z529" t="str">
        <f>VLOOKUP(G529,'[2]Erogati mag-giu 2026_791_old'!$D:$T,11,FALSE)</f>
        <v>indiretto</v>
      </c>
      <c r="AA529" t="b">
        <v>1</v>
      </c>
      <c r="AF529" t="s">
        <v>20</v>
      </c>
      <c r="AG529" t="s">
        <v>20</v>
      </c>
    </row>
    <row r="530" spans="1:33">
      <c r="A530" s="13" t="s">
        <v>935</v>
      </c>
      <c r="B530" t="s">
        <v>1792</v>
      </c>
      <c r="C530" s="4">
        <v>202601307583899</v>
      </c>
      <c r="D530" s="4" t="b">
        <f t="shared" si="42"/>
        <v>1</v>
      </c>
      <c r="E530" t="s">
        <v>20</v>
      </c>
      <c r="F530" t="s">
        <v>21</v>
      </c>
      <c r="G530" t="s">
        <v>936</v>
      </c>
      <c r="H530" t="str">
        <f>VLOOKUP(C530,'[1]Erogati mag-giu 2026_791_old'!$B:$E,4,FALSE)</f>
        <v>C118493</v>
      </c>
      <c r="I530" t="b">
        <f t="shared" si="38"/>
        <v>1</v>
      </c>
      <c r="J530" s="14">
        <v>46179</v>
      </c>
      <c r="K530" s="14">
        <v>46179</v>
      </c>
      <c r="L530" t="s">
        <v>20</v>
      </c>
      <c r="M530" s="14">
        <v>46188</v>
      </c>
      <c r="N530" s="14">
        <v>46179</v>
      </c>
      <c r="O530" t="s">
        <v>20</v>
      </c>
      <c r="P530">
        <v>-99.39</v>
      </c>
      <c r="Q530">
        <f>VLOOKUP(G530,'[1]Erogati mag-giu 2026_791_old'!$A:$W,12,FALSE)</f>
        <v>-99.39</v>
      </c>
      <c r="R530">
        <f t="shared" si="39"/>
        <v>0</v>
      </c>
      <c r="S530">
        <v>-99.39</v>
      </c>
      <c r="T530">
        <f>VLOOKUP(G530,'[1]Erogati mag-giu 2026_791_old'!$A:$W,13,FALSE)</f>
        <v>-99.39</v>
      </c>
      <c r="U530">
        <f t="shared" si="40"/>
        <v>0</v>
      </c>
      <c r="V530">
        <v>-99.39</v>
      </c>
      <c r="W530">
        <f>VLOOKUP(G530,'[1]Erogati mag-giu 2026_791_old'!$A:$W,14,FALSE)</f>
        <v>-99.39</v>
      </c>
      <c r="X530">
        <f t="shared" si="41"/>
        <v>0</v>
      </c>
      <c r="Y530" t="s">
        <v>158</v>
      </c>
      <c r="Z530" t="str">
        <f>VLOOKUP(G530,'[2]Erogati mag-giu 2026_791_old'!$D:$T,11,FALSE)</f>
        <v>indiretto</v>
      </c>
      <c r="AA530" t="b">
        <v>1</v>
      </c>
      <c r="AF530" t="s">
        <v>20</v>
      </c>
      <c r="AG530" t="s">
        <v>20</v>
      </c>
    </row>
    <row r="531" spans="1:33">
      <c r="A531" s="13" t="s">
        <v>937</v>
      </c>
      <c r="B531" t="s">
        <v>1793</v>
      </c>
      <c r="C531" s="4">
        <v>202601307594997</v>
      </c>
      <c r="D531" s="4" t="b">
        <f t="shared" si="42"/>
        <v>1</v>
      </c>
      <c r="E531" t="s">
        <v>20</v>
      </c>
      <c r="F531" t="s">
        <v>21</v>
      </c>
      <c r="G531" t="s">
        <v>938</v>
      </c>
      <c r="H531" t="str">
        <f>VLOOKUP(C531,'[1]Erogati mag-giu 2026_791_old'!$B:$E,4,FALSE)</f>
        <v>C344166</v>
      </c>
      <c r="I531" t="b">
        <f t="shared" si="38"/>
        <v>1</v>
      </c>
      <c r="J531" s="14">
        <v>46179</v>
      </c>
      <c r="K531" s="14">
        <v>46179</v>
      </c>
      <c r="L531" t="s">
        <v>20</v>
      </c>
      <c r="M531" s="14">
        <v>46188</v>
      </c>
      <c r="N531" s="14">
        <v>46179</v>
      </c>
      <c r="O531" t="s">
        <v>20</v>
      </c>
      <c r="P531">
        <v>-29.82</v>
      </c>
      <c r="Q531">
        <f>VLOOKUP(G531,'[1]Erogati mag-giu 2026_791_old'!$A:$W,12,FALSE)</f>
        <v>-29.82</v>
      </c>
      <c r="R531">
        <f t="shared" si="39"/>
        <v>0</v>
      </c>
      <c r="S531">
        <v>-29.82</v>
      </c>
      <c r="T531">
        <f>VLOOKUP(G531,'[1]Erogati mag-giu 2026_791_old'!$A:$W,13,FALSE)</f>
        <v>-29.82</v>
      </c>
      <c r="U531">
        <f t="shared" si="40"/>
        <v>0</v>
      </c>
      <c r="V531">
        <v>-29.82</v>
      </c>
      <c r="W531">
        <f>VLOOKUP(G531,'[1]Erogati mag-giu 2026_791_old'!$A:$W,14,FALSE)</f>
        <v>-29.82</v>
      </c>
      <c r="X531">
        <f t="shared" si="41"/>
        <v>0</v>
      </c>
      <c r="Y531" t="s">
        <v>158</v>
      </c>
      <c r="Z531" t="str">
        <f>VLOOKUP(G531,'[2]Erogati mag-giu 2026_791_old'!$D:$T,11,FALSE)</f>
        <v>indiretto</v>
      </c>
      <c r="AA531" t="b">
        <v>1</v>
      </c>
      <c r="AF531" t="s">
        <v>20</v>
      </c>
      <c r="AG531" t="s">
        <v>20</v>
      </c>
    </row>
    <row r="532" spans="1:33">
      <c r="A532" s="13" t="s">
        <v>939</v>
      </c>
      <c r="B532" t="s">
        <v>1794</v>
      </c>
      <c r="C532" s="4">
        <v>202601307609621</v>
      </c>
      <c r="D532" s="4" t="b">
        <f t="shared" si="42"/>
        <v>1</v>
      </c>
      <c r="E532" t="s">
        <v>20</v>
      </c>
      <c r="F532" t="s">
        <v>21</v>
      </c>
      <c r="G532" t="s">
        <v>940</v>
      </c>
      <c r="H532" t="str">
        <f>VLOOKUP(C532,'[1]Erogati mag-giu 2026_791_old'!$B:$E,4,FALSE)</f>
        <v>C308308</v>
      </c>
      <c r="I532" t="b">
        <f t="shared" si="38"/>
        <v>1</v>
      </c>
      <c r="J532" s="14">
        <v>46179</v>
      </c>
      <c r="K532" s="14">
        <v>46179</v>
      </c>
      <c r="L532" t="s">
        <v>20</v>
      </c>
      <c r="M532" s="14">
        <v>46188</v>
      </c>
      <c r="N532" s="14">
        <v>46179</v>
      </c>
      <c r="O532" t="s">
        <v>20</v>
      </c>
      <c r="P532">
        <v>-99.39</v>
      </c>
      <c r="Q532">
        <f>VLOOKUP(G532,'[1]Erogati mag-giu 2026_791_old'!$A:$W,12,FALSE)</f>
        <v>-99.39</v>
      </c>
      <c r="R532">
        <f t="shared" si="39"/>
        <v>0</v>
      </c>
      <c r="S532">
        <v>-99.39</v>
      </c>
      <c r="T532">
        <f>VLOOKUP(G532,'[1]Erogati mag-giu 2026_791_old'!$A:$W,13,FALSE)</f>
        <v>-99.39</v>
      </c>
      <c r="U532">
        <f t="shared" si="40"/>
        <v>0</v>
      </c>
      <c r="V532">
        <v>-99.39</v>
      </c>
      <c r="W532">
        <f>VLOOKUP(G532,'[1]Erogati mag-giu 2026_791_old'!$A:$W,14,FALSE)</f>
        <v>-99.39</v>
      </c>
      <c r="X532">
        <f t="shared" si="41"/>
        <v>0</v>
      </c>
      <c r="Y532" t="s">
        <v>158</v>
      </c>
      <c r="Z532" t="str">
        <f>VLOOKUP(G532,'[2]Erogati mag-giu 2026_791_old'!$D:$T,11,FALSE)</f>
        <v>indiretto</v>
      </c>
      <c r="AA532" t="b">
        <v>1</v>
      </c>
      <c r="AF532" t="s">
        <v>20</v>
      </c>
      <c r="AG532" t="s">
        <v>20</v>
      </c>
    </row>
    <row r="533" spans="1:33">
      <c r="A533" s="13" t="s">
        <v>941</v>
      </c>
      <c r="B533" t="s">
        <v>1795</v>
      </c>
      <c r="C533" s="4">
        <v>202601307610535</v>
      </c>
      <c r="D533" s="4" t="b">
        <f t="shared" si="42"/>
        <v>1</v>
      </c>
      <c r="E533" t="s">
        <v>20</v>
      </c>
      <c r="F533" t="s">
        <v>21</v>
      </c>
      <c r="G533" t="s">
        <v>942</v>
      </c>
      <c r="H533" t="str">
        <f>VLOOKUP(C533,'[1]Erogati mag-giu 2026_791_old'!$B:$E,4,FALSE)</f>
        <v>C344112</v>
      </c>
      <c r="I533" t="b">
        <f t="shared" si="38"/>
        <v>1</v>
      </c>
      <c r="J533" s="14">
        <v>46179</v>
      </c>
      <c r="K533" s="14">
        <v>46179</v>
      </c>
      <c r="L533" t="s">
        <v>20</v>
      </c>
      <c r="M533" s="14">
        <v>46188</v>
      </c>
      <c r="N533" s="14">
        <v>46179</v>
      </c>
      <c r="O533" t="s">
        <v>20</v>
      </c>
      <c r="P533">
        <v>-99.39</v>
      </c>
      <c r="Q533">
        <f>VLOOKUP(G533,'[1]Erogati mag-giu 2026_791_old'!$A:$W,12,FALSE)</f>
        <v>-99.39</v>
      </c>
      <c r="R533">
        <f t="shared" si="39"/>
        <v>0</v>
      </c>
      <c r="S533">
        <v>-99.39</v>
      </c>
      <c r="T533">
        <f>VLOOKUP(G533,'[1]Erogati mag-giu 2026_791_old'!$A:$W,13,FALSE)</f>
        <v>-99.39</v>
      </c>
      <c r="U533">
        <f t="shared" si="40"/>
        <v>0</v>
      </c>
      <c r="V533">
        <v>-99.39</v>
      </c>
      <c r="W533">
        <f>VLOOKUP(G533,'[1]Erogati mag-giu 2026_791_old'!$A:$W,14,FALSE)</f>
        <v>-99.39</v>
      </c>
      <c r="X533">
        <f t="shared" si="41"/>
        <v>0</v>
      </c>
      <c r="Y533" t="s">
        <v>158</v>
      </c>
      <c r="Z533" t="str">
        <f>VLOOKUP(G533,'[2]Erogati mag-giu 2026_791_old'!$D:$T,11,FALSE)</f>
        <v>indiretto</v>
      </c>
      <c r="AA533" t="b">
        <v>1</v>
      </c>
      <c r="AF533" t="s">
        <v>20</v>
      </c>
      <c r="AG533" t="s">
        <v>20</v>
      </c>
    </row>
    <row r="534" spans="1:33">
      <c r="A534" s="13" t="s">
        <v>943</v>
      </c>
      <c r="B534" t="s">
        <v>1796</v>
      </c>
      <c r="C534" s="4">
        <v>202601307614662</v>
      </c>
      <c r="D534" s="4" t="b">
        <f t="shared" si="42"/>
        <v>1</v>
      </c>
      <c r="E534" t="s">
        <v>20</v>
      </c>
      <c r="F534" t="s">
        <v>21</v>
      </c>
      <c r="G534" t="s">
        <v>944</v>
      </c>
      <c r="H534" t="str">
        <f>VLOOKUP(C534,'[1]Erogati mag-giu 2026_791_old'!$B:$E,4,FALSE)</f>
        <v>C344300</v>
      </c>
      <c r="I534" t="b">
        <f t="shared" si="38"/>
        <v>1</v>
      </c>
      <c r="J534" s="14">
        <v>46179</v>
      </c>
      <c r="K534" s="14">
        <v>46179</v>
      </c>
      <c r="L534" t="s">
        <v>20</v>
      </c>
      <c r="M534" s="14">
        <v>46188</v>
      </c>
      <c r="N534" s="14">
        <v>46179</v>
      </c>
      <c r="O534" t="s">
        <v>20</v>
      </c>
      <c r="P534">
        <v>-105.03</v>
      </c>
      <c r="Q534">
        <f>VLOOKUP(G534,'[1]Erogati mag-giu 2026_791_old'!$A:$W,12,FALSE)</f>
        <v>-105.03</v>
      </c>
      <c r="R534">
        <f t="shared" si="39"/>
        <v>0</v>
      </c>
      <c r="S534">
        <v>-105.03</v>
      </c>
      <c r="T534">
        <f>VLOOKUP(G534,'[1]Erogati mag-giu 2026_791_old'!$A:$W,13,FALSE)</f>
        <v>-105.03</v>
      </c>
      <c r="U534">
        <f t="shared" si="40"/>
        <v>0</v>
      </c>
      <c r="V534">
        <v>-105.03</v>
      </c>
      <c r="W534">
        <f>VLOOKUP(G534,'[1]Erogati mag-giu 2026_791_old'!$A:$W,14,FALSE)</f>
        <v>-105.03</v>
      </c>
      <c r="X534">
        <f t="shared" si="41"/>
        <v>0</v>
      </c>
      <c r="Y534" t="s">
        <v>158</v>
      </c>
      <c r="Z534" t="str">
        <f>VLOOKUP(G534,'[2]Erogati mag-giu 2026_791_old'!$D:$T,11,FALSE)</f>
        <v>indiretto</v>
      </c>
      <c r="AA534" t="b">
        <v>1</v>
      </c>
      <c r="AF534" t="s">
        <v>20</v>
      </c>
      <c r="AG534" t="s">
        <v>20</v>
      </c>
    </row>
    <row r="535" spans="1:33">
      <c r="A535" s="13" t="s">
        <v>945</v>
      </c>
      <c r="B535" t="s">
        <v>1797</v>
      </c>
      <c r="C535" s="4">
        <v>202601307616709</v>
      </c>
      <c r="D535" s="4" t="b">
        <f t="shared" si="42"/>
        <v>1</v>
      </c>
      <c r="E535" t="s">
        <v>20</v>
      </c>
      <c r="F535" t="s">
        <v>21</v>
      </c>
      <c r="G535" t="s">
        <v>946</v>
      </c>
      <c r="H535" t="str">
        <f>VLOOKUP(C535,'[1]Erogati mag-giu 2026_791_old'!$B:$E,4,FALSE)</f>
        <v>C344238</v>
      </c>
      <c r="I535" t="b">
        <f t="shared" si="38"/>
        <v>1</v>
      </c>
      <c r="J535" s="14">
        <v>46179</v>
      </c>
      <c r="K535" s="14">
        <v>46179</v>
      </c>
      <c r="L535" t="s">
        <v>20</v>
      </c>
      <c r="M535" s="14">
        <v>46188</v>
      </c>
      <c r="N535" s="14">
        <v>46179</v>
      </c>
      <c r="O535" t="s">
        <v>20</v>
      </c>
      <c r="P535">
        <v>-33.130000000000003</v>
      </c>
      <c r="Q535">
        <f>VLOOKUP(G535,'[1]Erogati mag-giu 2026_791_old'!$A:$W,12,FALSE)</f>
        <v>-33.130000000000003</v>
      </c>
      <c r="R535">
        <f t="shared" si="39"/>
        <v>0</v>
      </c>
      <c r="S535">
        <v>-33.130000000000003</v>
      </c>
      <c r="T535">
        <f>VLOOKUP(G535,'[1]Erogati mag-giu 2026_791_old'!$A:$W,13,FALSE)</f>
        <v>-33.130000000000003</v>
      </c>
      <c r="U535">
        <f t="shared" si="40"/>
        <v>0</v>
      </c>
      <c r="V535">
        <v>-33.130000000000003</v>
      </c>
      <c r="W535">
        <f>VLOOKUP(G535,'[1]Erogati mag-giu 2026_791_old'!$A:$W,14,FALSE)</f>
        <v>-33.130000000000003</v>
      </c>
      <c r="X535">
        <f t="shared" si="41"/>
        <v>0</v>
      </c>
      <c r="Y535" t="s">
        <v>158</v>
      </c>
      <c r="Z535" t="str">
        <f>VLOOKUP(G535,'[2]Erogati mag-giu 2026_791_old'!$D:$T,11,FALSE)</f>
        <v>indiretto</v>
      </c>
      <c r="AA535" t="b">
        <v>1</v>
      </c>
      <c r="AF535" t="s">
        <v>20</v>
      </c>
      <c r="AG535" t="s">
        <v>20</v>
      </c>
    </row>
    <row r="536" spans="1:33">
      <c r="A536" s="13" t="s">
        <v>947</v>
      </c>
      <c r="B536" t="s">
        <v>1798</v>
      </c>
      <c r="C536" s="4">
        <v>202601307621961</v>
      </c>
      <c r="D536" s="4" t="b">
        <f t="shared" si="42"/>
        <v>1</v>
      </c>
      <c r="E536" t="s">
        <v>20</v>
      </c>
      <c r="F536" t="s">
        <v>21</v>
      </c>
      <c r="G536" t="s">
        <v>948</v>
      </c>
      <c r="H536" t="str">
        <f>VLOOKUP(C536,'[1]Erogati mag-giu 2026_791_old'!$B:$E,4,FALSE)</f>
        <v>C310979</v>
      </c>
      <c r="I536" t="b">
        <f t="shared" si="38"/>
        <v>1</v>
      </c>
      <c r="J536" s="14">
        <v>46179</v>
      </c>
      <c r="K536" s="14">
        <v>46179</v>
      </c>
      <c r="L536" t="s">
        <v>20</v>
      </c>
      <c r="M536" s="14">
        <v>46188</v>
      </c>
      <c r="N536" s="14">
        <v>46179</v>
      </c>
      <c r="O536" t="s">
        <v>20</v>
      </c>
      <c r="P536">
        <v>-66.260000000000005</v>
      </c>
      <c r="Q536">
        <f>VLOOKUP(G536,'[1]Erogati mag-giu 2026_791_old'!$A:$W,12,FALSE)</f>
        <v>-66.260000000000005</v>
      </c>
      <c r="R536">
        <f t="shared" si="39"/>
        <v>0</v>
      </c>
      <c r="S536">
        <v>-66.260000000000005</v>
      </c>
      <c r="T536">
        <f>VLOOKUP(G536,'[1]Erogati mag-giu 2026_791_old'!$A:$W,13,FALSE)</f>
        <v>-66.260000000000005</v>
      </c>
      <c r="U536">
        <f t="shared" si="40"/>
        <v>0</v>
      </c>
      <c r="V536">
        <v>-66.260000000000005</v>
      </c>
      <c r="W536">
        <f>VLOOKUP(G536,'[1]Erogati mag-giu 2026_791_old'!$A:$W,14,FALSE)</f>
        <v>-66.260000000000005</v>
      </c>
      <c r="X536">
        <f t="shared" si="41"/>
        <v>0</v>
      </c>
      <c r="Y536" t="s">
        <v>158</v>
      </c>
      <c r="Z536" t="str">
        <f>VLOOKUP(G536,'[2]Erogati mag-giu 2026_791_old'!$D:$T,11,FALSE)</f>
        <v>indiretto</v>
      </c>
      <c r="AA536" t="b">
        <v>1</v>
      </c>
      <c r="AF536" t="s">
        <v>20</v>
      </c>
      <c r="AG536" t="s">
        <v>20</v>
      </c>
    </row>
    <row r="537" spans="1:33">
      <c r="A537" s="13" t="s">
        <v>949</v>
      </c>
      <c r="B537" t="s">
        <v>1799</v>
      </c>
      <c r="C537" s="4">
        <v>202601307628317</v>
      </c>
      <c r="D537" s="4" t="b">
        <f t="shared" si="42"/>
        <v>1</v>
      </c>
      <c r="E537" t="s">
        <v>20</v>
      </c>
      <c r="F537" t="s">
        <v>21</v>
      </c>
      <c r="G537" t="s">
        <v>950</v>
      </c>
      <c r="H537" t="str">
        <f>VLOOKUP(C537,'[1]Erogati mag-giu 2026_791_old'!$B:$E,4,FALSE)</f>
        <v>C309924</v>
      </c>
      <c r="I537" t="b">
        <f t="shared" si="38"/>
        <v>1</v>
      </c>
      <c r="J537" s="14">
        <v>46179</v>
      </c>
      <c r="K537" s="14">
        <v>46179</v>
      </c>
      <c r="L537" t="s">
        <v>20</v>
      </c>
      <c r="M537" s="14">
        <v>46188</v>
      </c>
      <c r="N537" s="14">
        <v>46179</v>
      </c>
      <c r="O537" t="s">
        <v>20</v>
      </c>
      <c r="P537">
        <v>-132.52000000000001</v>
      </c>
      <c r="Q537">
        <f>VLOOKUP(G537,'[1]Erogati mag-giu 2026_791_old'!$A:$W,12,FALSE)</f>
        <v>-132.52000000000001</v>
      </c>
      <c r="R537">
        <f t="shared" si="39"/>
        <v>0</v>
      </c>
      <c r="S537">
        <v>-132.52000000000001</v>
      </c>
      <c r="T537">
        <f>VLOOKUP(G537,'[1]Erogati mag-giu 2026_791_old'!$A:$W,13,FALSE)</f>
        <v>-132.52000000000001</v>
      </c>
      <c r="U537">
        <f t="shared" si="40"/>
        <v>0</v>
      </c>
      <c r="V537">
        <v>-132.52000000000001</v>
      </c>
      <c r="W537">
        <f>VLOOKUP(G537,'[1]Erogati mag-giu 2026_791_old'!$A:$W,14,FALSE)</f>
        <v>-132.52000000000001</v>
      </c>
      <c r="X537">
        <f t="shared" si="41"/>
        <v>0</v>
      </c>
      <c r="Y537" t="s">
        <v>158</v>
      </c>
      <c r="Z537" t="str">
        <f>VLOOKUP(G537,'[2]Erogati mag-giu 2026_791_old'!$D:$T,11,FALSE)</f>
        <v>indiretto</v>
      </c>
      <c r="AA537" t="b">
        <v>1</v>
      </c>
      <c r="AF537" t="s">
        <v>20</v>
      </c>
      <c r="AG537" t="s">
        <v>20</v>
      </c>
    </row>
    <row r="538" spans="1:33">
      <c r="A538" s="13" t="s">
        <v>951</v>
      </c>
      <c r="B538" t="s">
        <v>1800</v>
      </c>
      <c r="C538" s="4">
        <v>202601307632175</v>
      </c>
      <c r="D538" s="4" t="b">
        <f t="shared" si="42"/>
        <v>1</v>
      </c>
      <c r="E538" t="s">
        <v>20</v>
      </c>
      <c r="F538" t="s">
        <v>21</v>
      </c>
      <c r="G538" t="s">
        <v>952</v>
      </c>
      <c r="H538" t="str">
        <f>VLOOKUP(C538,'[1]Erogati mag-giu 2026_791_old'!$B:$E,4,FALSE)</f>
        <v>C344155</v>
      </c>
      <c r="I538" t="b">
        <f t="shared" si="38"/>
        <v>1</v>
      </c>
      <c r="J538" s="14">
        <v>46179</v>
      </c>
      <c r="K538" s="14">
        <v>46179</v>
      </c>
      <c r="L538" t="s">
        <v>20</v>
      </c>
      <c r="M538" s="14">
        <v>46188</v>
      </c>
      <c r="N538" s="14">
        <v>46179</v>
      </c>
      <c r="O538" t="s">
        <v>20</v>
      </c>
      <c r="P538">
        <v>-99.39</v>
      </c>
      <c r="Q538">
        <f>VLOOKUP(G538,'[1]Erogati mag-giu 2026_791_old'!$A:$W,12,FALSE)</f>
        <v>-99.39</v>
      </c>
      <c r="R538">
        <f t="shared" si="39"/>
        <v>0</v>
      </c>
      <c r="S538">
        <v>-99.39</v>
      </c>
      <c r="T538">
        <f>VLOOKUP(G538,'[1]Erogati mag-giu 2026_791_old'!$A:$W,13,FALSE)</f>
        <v>-99.39</v>
      </c>
      <c r="U538">
        <f t="shared" si="40"/>
        <v>0</v>
      </c>
      <c r="V538">
        <v>-99.39</v>
      </c>
      <c r="W538">
        <f>VLOOKUP(G538,'[1]Erogati mag-giu 2026_791_old'!$A:$W,14,FALSE)</f>
        <v>-99.39</v>
      </c>
      <c r="X538">
        <f t="shared" si="41"/>
        <v>0</v>
      </c>
      <c r="Y538" t="s">
        <v>158</v>
      </c>
      <c r="Z538" t="str">
        <f>VLOOKUP(G538,'[2]Erogati mag-giu 2026_791_old'!$D:$T,11,FALSE)</f>
        <v>indiretto</v>
      </c>
      <c r="AA538" t="b">
        <v>1</v>
      </c>
      <c r="AF538" t="s">
        <v>20</v>
      </c>
      <c r="AG538" t="s">
        <v>20</v>
      </c>
    </row>
    <row r="539" spans="1:33">
      <c r="A539" s="13" t="s">
        <v>953</v>
      </c>
      <c r="B539" t="s">
        <v>1801</v>
      </c>
      <c r="C539" s="4">
        <v>202601307632784</v>
      </c>
      <c r="D539" s="4" t="b">
        <f t="shared" si="42"/>
        <v>1</v>
      </c>
      <c r="E539" t="s">
        <v>20</v>
      </c>
      <c r="F539" t="s">
        <v>21</v>
      </c>
      <c r="G539" t="s">
        <v>954</v>
      </c>
      <c r="H539" t="str">
        <f>VLOOKUP(C539,'[1]Erogati mag-giu 2026_791_old'!$B:$E,4,FALSE)</f>
        <v>C307507</v>
      </c>
      <c r="I539" t="b">
        <f t="shared" si="38"/>
        <v>1</v>
      </c>
      <c r="J539" s="14">
        <v>46179</v>
      </c>
      <c r="K539" s="14">
        <v>46179</v>
      </c>
      <c r="L539" t="s">
        <v>20</v>
      </c>
      <c r="M539" s="14">
        <v>46188</v>
      </c>
      <c r="N539" s="14">
        <v>46179</v>
      </c>
      <c r="O539" t="s">
        <v>20</v>
      </c>
      <c r="P539">
        <v>-33.130000000000003</v>
      </c>
      <c r="Q539">
        <f>VLOOKUP(G539,'[1]Erogati mag-giu 2026_791_old'!$A:$W,12,FALSE)</f>
        <v>-33.130000000000003</v>
      </c>
      <c r="R539">
        <f t="shared" si="39"/>
        <v>0</v>
      </c>
      <c r="S539">
        <v>-33.130000000000003</v>
      </c>
      <c r="T539">
        <f>VLOOKUP(G539,'[1]Erogati mag-giu 2026_791_old'!$A:$W,13,FALSE)</f>
        <v>-33.130000000000003</v>
      </c>
      <c r="U539">
        <f t="shared" si="40"/>
        <v>0</v>
      </c>
      <c r="V539">
        <v>-33.130000000000003</v>
      </c>
      <c r="W539">
        <f>VLOOKUP(G539,'[1]Erogati mag-giu 2026_791_old'!$A:$W,14,FALSE)</f>
        <v>-33.130000000000003</v>
      </c>
      <c r="X539">
        <f t="shared" si="41"/>
        <v>0</v>
      </c>
      <c r="Y539" t="s">
        <v>158</v>
      </c>
      <c r="Z539" t="str">
        <f>VLOOKUP(G539,'[2]Erogati mag-giu 2026_791_old'!$D:$T,11,FALSE)</f>
        <v>indiretto</v>
      </c>
      <c r="AA539" t="b">
        <v>1</v>
      </c>
      <c r="AF539" t="s">
        <v>20</v>
      </c>
      <c r="AG539" t="s">
        <v>20</v>
      </c>
    </row>
    <row r="540" spans="1:33">
      <c r="A540" s="13" t="s">
        <v>955</v>
      </c>
      <c r="B540" t="s">
        <v>1802</v>
      </c>
      <c r="C540" s="4">
        <v>202601307633577</v>
      </c>
      <c r="D540" s="4" t="b">
        <f t="shared" si="42"/>
        <v>1</v>
      </c>
      <c r="E540" t="s">
        <v>20</v>
      </c>
      <c r="F540" t="s">
        <v>21</v>
      </c>
      <c r="G540" t="s">
        <v>956</v>
      </c>
      <c r="H540" t="str">
        <f>VLOOKUP(C540,'[1]Erogati mag-giu 2026_791_old'!$B:$E,4,FALSE)</f>
        <v>C344165</v>
      </c>
      <c r="I540" t="b">
        <f t="shared" si="38"/>
        <v>1</v>
      </c>
      <c r="J540" s="14">
        <v>46179</v>
      </c>
      <c r="K540" s="14">
        <v>46179</v>
      </c>
      <c r="L540" t="s">
        <v>20</v>
      </c>
      <c r="M540" s="14">
        <v>46188</v>
      </c>
      <c r="N540" s="14">
        <v>46179</v>
      </c>
      <c r="O540" t="s">
        <v>20</v>
      </c>
      <c r="P540">
        <v>-231.91</v>
      </c>
      <c r="Q540">
        <f>VLOOKUP(G540,'[1]Erogati mag-giu 2026_791_old'!$A:$W,12,FALSE)</f>
        <v>-231.91</v>
      </c>
      <c r="R540">
        <f t="shared" si="39"/>
        <v>0</v>
      </c>
      <c r="S540">
        <v>-231.91</v>
      </c>
      <c r="T540">
        <f>VLOOKUP(G540,'[1]Erogati mag-giu 2026_791_old'!$A:$W,13,FALSE)</f>
        <v>-231.91</v>
      </c>
      <c r="U540">
        <f t="shared" si="40"/>
        <v>0</v>
      </c>
      <c r="V540">
        <v>-231.91</v>
      </c>
      <c r="W540">
        <f>VLOOKUP(G540,'[1]Erogati mag-giu 2026_791_old'!$A:$W,14,FALSE)</f>
        <v>-231.91</v>
      </c>
      <c r="X540">
        <f t="shared" si="41"/>
        <v>0</v>
      </c>
      <c r="Y540" t="s">
        <v>158</v>
      </c>
      <c r="Z540" t="str">
        <f>VLOOKUP(G540,'[2]Erogati mag-giu 2026_791_old'!$D:$T,11,FALSE)</f>
        <v>indiretto</v>
      </c>
      <c r="AA540" t="b">
        <v>1</v>
      </c>
      <c r="AF540" t="s">
        <v>20</v>
      </c>
      <c r="AG540" t="s">
        <v>20</v>
      </c>
    </row>
    <row r="541" spans="1:33">
      <c r="A541" s="13" t="s">
        <v>957</v>
      </c>
      <c r="B541" t="s">
        <v>1803</v>
      </c>
      <c r="C541" s="4">
        <v>202601307637337</v>
      </c>
      <c r="D541" s="4" t="b">
        <f t="shared" si="42"/>
        <v>1</v>
      </c>
      <c r="E541" t="s">
        <v>20</v>
      </c>
      <c r="F541" t="s">
        <v>21</v>
      </c>
      <c r="G541" t="s">
        <v>958</v>
      </c>
      <c r="H541" t="str">
        <f>VLOOKUP(C541,'[1]Erogati mag-giu 2026_791_old'!$B:$E,4,FALSE)</f>
        <v>C312120</v>
      </c>
      <c r="I541" t="b">
        <f t="shared" si="38"/>
        <v>1</v>
      </c>
      <c r="J541" s="14">
        <v>46179</v>
      </c>
      <c r="K541" s="14">
        <v>46179</v>
      </c>
      <c r="L541" t="s">
        <v>20</v>
      </c>
      <c r="M541" s="14">
        <v>46188</v>
      </c>
      <c r="N541" s="14">
        <v>46179</v>
      </c>
      <c r="O541" t="s">
        <v>20</v>
      </c>
      <c r="P541">
        <v>-131.29</v>
      </c>
      <c r="Q541">
        <f>VLOOKUP(G541,'[1]Erogati mag-giu 2026_791_old'!$A:$W,12,FALSE)</f>
        <v>-131.29</v>
      </c>
      <c r="R541">
        <f t="shared" si="39"/>
        <v>0</v>
      </c>
      <c r="S541">
        <v>-131.29</v>
      </c>
      <c r="T541">
        <f>VLOOKUP(G541,'[1]Erogati mag-giu 2026_791_old'!$A:$W,13,FALSE)</f>
        <v>-131.29</v>
      </c>
      <c r="U541">
        <f t="shared" si="40"/>
        <v>0</v>
      </c>
      <c r="V541">
        <v>-131.29</v>
      </c>
      <c r="W541">
        <f>VLOOKUP(G541,'[1]Erogati mag-giu 2026_791_old'!$A:$W,14,FALSE)</f>
        <v>-131.29</v>
      </c>
      <c r="X541">
        <f t="shared" si="41"/>
        <v>0</v>
      </c>
      <c r="Y541" t="s">
        <v>158</v>
      </c>
      <c r="Z541" t="str">
        <f>VLOOKUP(G541,'[2]Erogati mag-giu 2026_791_old'!$D:$T,11,FALSE)</f>
        <v>indiretto</v>
      </c>
      <c r="AA541" t="b">
        <v>1</v>
      </c>
      <c r="AF541" t="s">
        <v>20</v>
      </c>
      <c r="AG541" t="s">
        <v>20</v>
      </c>
    </row>
    <row r="542" spans="1:33">
      <c r="A542" s="13" t="s">
        <v>959</v>
      </c>
      <c r="B542" t="s">
        <v>1804</v>
      </c>
      <c r="C542" s="4">
        <v>202601307639155</v>
      </c>
      <c r="D542" s="4" t="b">
        <f t="shared" si="42"/>
        <v>1</v>
      </c>
      <c r="E542" t="s">
        <v>20</v>
      </c>
      <c r="F542" t="s">
        <v>21</v>
      </c>
      <c r="G542" t="s">
        <v>960</v>
      </c>
      <c r="H542" t="str">
        <f>VLOOKUP(C542,'[1]Erogati mag-giu 2026_791_old'!$B:$E,4,FALSE)</f>
        <v>C344294</v>
      </c>
      <c r="I542" t="b">
        <f t="shared" si="38"/>
        <v>1</v>
      </c>
      <c r="J542" s="14">
        <v>46179</v>
      </c>
      <c r="K542" s="14">
        <v>46179</v>
      </c>
      <c r="L542" t="s">
        <v>20</v>
      </c>
      <c r="M542" s="14">
        <v>46188</v>
      </c>
      <c r="N542" s="14">
        <v>46179</v>
      </c>
      <c r="O542" t="s">
        <v>20</v>
      </c>
      <c r="P542">
        <v>-132.52000000000001</v>
      </c>
      <c r="Q542">
        <f>VLOOKUP(G542,'[1]Erogati mag-giu 2026_791_old'!$A:$W,12,FALSE)</f>
        <v>-132.52000000000001</v>
      </c>
      <c r="R542">
        <f t="shared" si="39"/>
        <v>0</v>
      </c>
      <c r="S542">
        <v>-132.52000000000001</v>
      </c>
      <c r="T542">
        <f>VLOOKUP(G542,'[1]Erogati mag-giu 2026_791_old'!$A:$W,13,FALSE)</f>
        <v>-132.52000000000001</v>
      </c>
      <c r="U542">
        <f t="shared" si="40"/>
        <v>0</v>
      </c>
      <c r="V542">
        <v>-132.52000000000001</v>
      </c>
      <c r="W542">
        <f>VLOOKUP(G542,'[1]Erogati mag-giu 2026_791_old'!$A:$W,14,FALSE)</f>
        <v>-132.52000000000001</v>
      </c>
      <c r="X542">
        <f t="shared" si="41"/>
        <v>0</v>
      </c>
      <c r="Y542" t="s">
        <v>158</v>
      </c>
      <c r="Z542" t="str">
        <f>VLOOKUP(G542,'[2]Erogati mag-giu 2026_791_old'!$D:$T,11,FALSE)</f>
        <v>indiretto</v>
      </c>
      <c r="AA542" t="b">
        <v>1</v>
      </c>
      <c r="AF542" t="s">
        <v>20</v>
      </c>
      <c r="AG542" t="s">
        <v>20</v>
      </c>
    </row>
    <row r="543" spans="1:33">
      <c r="A543" s="13" t="s">
        <v>961</v>
      </c>
      <c r="B543" t="s">
        <v>1805</v>
      </c>
      <c r="C543" s="4">
        <v>202601307668322</v>
      </c>
      <c r="D543" s="4" t="b">
        <f t="shared" si="42"/>
        <v>1</v>
      </c>
      <c r="E543" t="s">
        <v>20</v>
      </c>
      <c r="F543" t="s">
        <v>21</v>
      </c>
      <c r="G543" t="s">
        <v>962</v>
      </c>
      <c r="H543" t="str">
        <f>VLOOKUP(C543,'[1]Erogati mag-giu 2026_791_old'!$B:$E,4,FALSE)</f>
        <v>C344293</v>
      </c>
      <c r="I543" t="b">
        <f t="shared" si="38"/>
        <v>1</v>
      </c>
      <c r="J543" s="14">
        <v>46179</v>
      </c>
      <c r="K543" s="14">
        <v>46179</v>
      </c>
      <c r="L543" t="s">
        <v>20</v>
      </c>
      <c r="M543" s="14">
        <v>46188</v>
      </c>
      <c r="N543" s="14">
        <v>46179</v>
      </c>
      <c r="O543" t="s">
        <v>20</v>
      </c>
      <c r="P543">
        <v>-33.130000000000003</v>
      </c>
      <c r="Q543">
        <f>VLOOKUP(G543,'[1]Erogati mag-giu 2026_791_old'!$A:$W,12,FALSE)</f>
        <v>-33.130000000000003</v>
      </c>
      <c r="R543">
        <f t="shared" si="39"/>
        <v>0</v>
      </c>
      <c r="S543">
        <v>-33.130000000000003</v>
      </c>
      <c r="T543">
        <f>VLOOKUP(G543,'[1]Erogati mag-giu 2026_791_old'!$A:$W,13,FALSE)</f>
        <v>-33.130000000000003</v>
      </c>
      <c r="U543">
        <f t="shared" si="40"/>
        <v>0</v>
      </c>
      <c r="V543">
        <v>-33.130000000000003</v>
      </c>
      <c r="W543">
        <f>VLOOKUP(G543,'[1]Erogati mag-giu 2026_791_old'!$A:$W,14,FALSE)</f>
        <v>-33.130000000000003</v>
      </c>
      <c r="X543">
        <f t="shared" si="41"/>
        <v>0</v>
      </c>
      <c r="Y543" t="s">
        <v>158</v>
      </c>
      <c r="Z543" t="str">
        <f>VLOOKUP(G543,'[2]Erogati mag-giu 2026_791_old'!$D:$T,11,FALSE)</f>
        <v>indiretto</v>
      </c>
      <c r="AA543" t="b">
        <v>1</v>
      </c>
      <c r="AF543" t="s">
        <v>20</v>
      </c>
      <c r="AG543" t="s">
        <v>20</v>
      </c>
    </row>
    <row r="544" spans="1:33">
      <c r="A544" s="13" t="s">
        <v>963</v>
      </c>
      <c r="B544" t="s">
        <v>1806</v>
      </c>
      <c r="C544" s="4">
        <v>202601307669581</v>
      </c>
      <c r="D544" s="4" t="b">
        <f t="shared" si="42"/>
        <v>1</v>
      </c>
      <c r="E544" t="s">
        <v>20</v>
      </c>
      <c r="F544" t="s">
        <v>21</v>
      </c>
      <c r="G544" t="s">
        <v>964</v>
      </c>
      <c r="H544" t="str">
        <f>VLOOKUP(C544,'[1]Erogati mag-giu 2026_791_old'!$B:$E,4,FALSE)</f>
        <v>C344292</v>
      </c>
      <c r="I544" t="b">
        <f t="shared" si="38"/>
        <v>1</v>
      </c>
      <c r="J544" s="14">
        <v>46179</v>
      </c>
      <c r="K544" s="14">
        <v>46179</v>
      </c>
      <c r="L544" t="s">
        <v>20</v>
      </c>
      <c r="M544" s="14">
        <v>46188</v>
      </c>
      <c r="N544" s="14">
        <v>46179</v>
      </c>
      <c r="O544" t="s">
        <v>20</v>
      </c>
      <c r="P544">
        <v>-165.65</v>
      </c>
      <c r="Q544">
        <f>VLOOKUP(G544,'[1]Erogati mag-giu 2026_791_old'!$A:$W,12,FALSE)</f>
        <v>-165.65</v>
      </c>
      <c r="R544">
        <f t="shared" si="39"/>
        <v>0</v>
      </c>
      <c r="S544">
        <v>-165.65</v>
      </c>
      <c r="T544">
        <f>VLOOKUP(G544,'[1]Erogati mag-giu 2026_791_old'!$A:$W,13,FALSE)</f>
        <v>-165.65</v>
      </c>
      <c r="U544">
        <f t="shared" si="40"/>
        <v>0</v>
      </c>
      <c r="V544">
        <v>-165.65</v>
      </c>
      <c r="W544">
        <f>VLOOKUP(G544,'[1]Erogati mag-giu 2026_791_old'!$A:$W,14,FALSE)</f>
        <v>-165.65</v>
      </c>
      <c r="X544">
        <f t="shared" si="41"/>
        <v>0</v>
      </c>
      <c r="Y544" t="s">
        <v>158</v>
      </c>
      <c r="Z544" t="str">
        <f>VLOOKUP(G544,'[2]Erogati mag-giu 2026_791_old'!$D:$T,11,FALSE)</f>
        <v>indiretto</v>
      </c>
      <c r="AA544" t="b">
        <v>1</v>
      </c>
      <c r="AF544" t="s">
        <v>20</v>
      </c>
      <c r="AG544" t="s">
        <v>20</v>
      </c>
    </row>
    <row r="545" spans="1:33">
      <c r="A545" s="13" t="s">
        <v>965</v>
      </c>
      <c r="B545" t="s">
        <v>1807</v>
      </c>
      <c r="C545" s="4">
        <v>202601307669721</v>
      </c>
      <c r="D545" s="4" t="b">
        <f t="shared" si="42"/>
        <v>1</v>
      </c>
      <c r="E545" t="s">
        <v>20</v>
      </c>
      <c r="F545" t="s">
        <v>21</v>
      </c>
      <c r="G545" t="s">
        <v>966</v>
      </c>
      <c r="H545" t="str">
        <f>VLOOKUP(C545,'[1]Erogati mag-giu 2026_791_old'!$B:$E,4,FALSE)</f>
        <v>C311501</v>
      </c>
      <c r="I545" t="b">
        <f t="shared" si="38"/>
        <v>1</v>
      </c>
      <c r="J545" s="14">
        <v>46179</v>
      </c>
      <c r="K545" s="14">
        <v>46179</v>
      </c>
      <c r="L545" t="s">
        <v>20</v>
      </c>
      <c r="M545" s="14">
        <v>46188</v>
      </c>
      <c r="N545" s="14">
        <v>46179</v>
      </c>
      <c r="O545" t="s">
        <v>20</v>
      </c>
      <c r="P545">
        <v>-33.130000000000003</v>
      </c>
      <c r="Q545">
        <f>VLOOKUP(G545,'[1]Erogati mag-giu 2026_791_old'!$A:$W,12,FALSE)</f>
        <v>-33.130000000000003</v>
      </c>
      <c r="R545">
        <f t="shared" si="39"/>
        <v>0</v>
      </c>
      <c r="S545">
        <v>-33.130000000000003</v>
      </c>
      <c r="T545">
        <f>VLOOKUP(G545,'[1]Erogati mag-giu 2026_791_old'!$A:$W,13,FALSE)</f>
        <v>-33.130000000000003</v>
      </c>
      <c r="U545">
        <f t="shared" si="40"/>
        <v>0</v>
      </c>
      <c r="V545">
        <v>-33.130000000000003</v>
      </c>
      <c r="W545">
        <f>VLOOKUP(G545,'[1]Erogati mag-giu 2026_791_old'!$A:$W,14,FALSE)</f>
        <v>-33.130000000000003</v>
      </c>
      <c r="X545">
        <f t="shared" si="41"/>
        <v>0</v>
      </c>
      <c r="Y545" t="s">
        <v>158</v>
      </c>
      <c r="Z545" t="str">
        <f>VLOOKUP(G545,'[2]Erogati mag-giu 2026_791_old'!$D:$T,11,FALSE)</f>
        <v>indiretto</v>
      </c>
      <c r="AA545" t="b">
        <v>1</v>
      </c>
      <c r="AF545" t="s">
        <v>20</v>
      </c>
      <c r="AG545" t="s">
        <v>20</v>
      </c>
    </row>
    <row r="546" spans="1:33">
      <c r="A546" s="13" t="s">
        <v>967</v>
      </c>
      <c r="B546" t="s">
        <v>1808</v>
      </c>
      <c r="C546" s="4">
        <v>202601307681851</v>
      </c>
      <c r="D546" s="4" t="b">
        <f t="shared" si="42"/>
        <v>1</v>
      </c>
      <c r="E546" t="s">
        <v>20</v>
      </c>
      <c r="F546" t="s">
        <v>21</v>
      </c>
      <c r="G546" t="s">
        <v>968</v>
      </c>
      <c r="H546" t="str">
        <f>VLOOKUP(C546,'[1]Erogati mag-giu 2026_791_old'!$B:$E,4,FALSE)</f>
        <v>C344163</v>
      </c>
      <c r="I546" t="b">
        <f t="shared" si="38"/>
        <v>1</v>
      </c>
      <c r="J546" s="14">
        <v>46179</v>
      </c>
      <c r="K546" s="14">
        <v>46179</v>
      </c>
      <c r="L546" t="s">
        <v>20</v>
      </c>
      <c r="M546" s="14">
        <v>46188</v>
      </c>
      <c r="N546" s="14">
        <v>46179</v>
      </c>
      <c r="O546" t="s">
        <v>20</v>
      </c>
      <c r="P546">
        <v>-71.900000000000006</v>
      </c>
      <c r="Q546">
        <f>VLOOKUP(G546,'[1]Erogati mag-giu 2026_791_old'!$A:$W,12,FALSE)</f>
        <v>-71.900000000000006</v>
      </c>
      <c r="R546">
        <f t="shared" si="39"/>
        <v>0</v>
      </c>
      <c r="S546">
        <v>-71.900000000000006</v>
      </c>
      <c r="T546">
        <f>VLOOKUP(G546,'[1]Erogati mag-giu 2026_791_old'!$A:$W,13,FALSE)</f>
        <v>-71.900000000000006</v>
      </c>
      <c r="U546">
        <f t="shared" si="40"/>
        <v>0</v>
      </c>
      <c r="V546">
        <v>-71.900000000000006</v>
      </c>
      <c r="W546">
        <f>VLOOKUP(G546,'[1]Erogati mag-giu 2026_791_old'!$A:$W,14,FALSE)</f>
        <v>-71.900000000000006</v>
      </c>
      <c r="X546">
        <f t="shared" si="41"/>
        <v>0</v>
      </c>
      <c r="Y546" t="s">
        <v>158</v>
      </c>
      <c r="Z546" t="str">
        <f>VLOOKUP(G546,'[2]Erogati mag-giu 2026_791_old'!$D:$T,11,FALSE)</f>
        <v>indiretto</v>
      </c>
      <c r="AA546" t="b">
        <v>1</v>
      </c>
      <c r="AF546" t="s">
        <v>20</v>
      </c>
      <c r="AG546" t="s">
        <v>20</v>
      </c>
    </row>
    <row r="547" spans="1:33">
      <c r="A547" s="13" t="s">
        <v>969</v>
      </c>
      <c r="B547" t="s">
        <v>1809</v>
      </c>
      <c r="C547" s="4">
        <v>202601307684204</v>
      </c>
      <c r="D547" s="4" t="b">
        <f t="shared" si="42"/>
        <v>1</v>
      </c>
      <c r="E547" t="s">
        <v>20</v>
      </c>
      <c r="F547" t="s">
        <v>21</v>
      </c>
      <c r="G547" t="s">
        <v>970</v>
      </c>
      <c r="H547" t="str">
        <f>VLOOKUP(C547,'[1]Erogati mag-giu 2026_791_old'!$B:$E,4,FALSE)</f>
        <v>C344105</v>
      </c>
      <c r="I547" t="b">
        <f t="shared" si="38"/>
        <v>1</v>
      </c>
      <c r="J547" s="14">
        <v>46179</v>
      </c>
      <c r="K547" s="14">
        <v>46179</v>
      </c>
      <c r="L547" t="s">
        <v>20</v>
      </c>
      <c r="M547" s="14">
        <v>46188</v>
      </c>
      <c r="N547" s="14">
        <v>46179</v>
      </c>
      <c r="O547" t="s">
        <v>20</v>
      </c>
      <c r="P547">
        <v>-132.52000000000001</v>
      </c>
      <c r="Q547">
        <f>VLOOKUP(G547,'[1]Erogati mag-giu 2026_791_old'!$A:$W,12,FALSE)</f>
        <v>-132.52000000000001</v>
      </c>
      <c r="R547">
        <f t="shared" si="39"/>
        <v>0</v>
      </c>
      <c r="S547">
        <v>-132.52000000000001</v>
      </c>
      <c r="T547">
        <f>VLOOKUP(G547,'[1]Erogati mag-giu 2026_791_old'!$A:$W,13,FALSE)</f>
        <v>-132.52000000000001</v>
      </c>
      <c r="U547">
        <f t="shared" si="40"/>
        <v>0</v>
      </c>
      <c r="V547">
        <v>-132.52000000000001</v>
      </c>
      <c r="W547">
        <f>VLOOKUP(G547,'[1]Erogati mag-giu 2026_791_old'!$A:$W,14,FALSE)</f>
        <v>-132.52000000000001</v>
      </c>
      <c r="X547">
        <f t="shared" si="41"/>
        <v>0</v>
      </c>
      <c r="Y547" t="s">
        <v>158</v>
      </c>
      <c r="Z547" t="str">
        <f>VLOOKUP(G547,'[2]Erogati mag-giu 2026_791_old'!$D:$T,11,FALSE)</f>
        <v>indiretto</v>
      </c>
      <c r="AA547" t="b">
        <v>1</v>
      </c>
      <c r="AF547" t="s">
        <v>20</v>
      </c>
      <c r="AG547" t="s">
        <v>20</v>
      </c>
    </row>
    <row r="548" spans="1:33">
      <c r="A548" s="13" t="s">
        <v>971</v>
      </c>
      <c r="B548" t="s">
        <v>1810</v>
      </c>
      <c r="C548" s="4">
        <v>202601307692815</v>
      </c>
      <c r="D548" s="4" t="b">
        <f t="shared" si="42"/>
        <v>1</v>
      </c>
      <c r="E548" t="s">
        <v>20</v>
      </c>
      <c r="F548" t="s">
        <v>21</v>
      </c>
      <c r="G548" t="s">
        <v>972</v>
      </c>
      <c r="H548" t="str">
        <f>VLOOKUP(C548,'[1]Erogati mag-giu 2026_791_old'!$B:$E,4,FALSE)</f>
        <v>C320188</v>
      </c>
      <c r="I548" t="b">
        <f t="shared" si="38"/>
        <v>1</v>
      </c>
      <c r="J548" s="14">
        <v>46179</v>
      </c>
      <c r="K548" s="14">
        <v>46179</v>
      </c>
      <c r="L548" t="s">
        <v>20</v>
      </c>
      <c r="M548" s="14">
        <v>46188</v>
      </c>
      <c r="N548" s="14">
        <v>46179</v>
      </c>
      <c r="O548" t="s">
        <v>20</v>
      </c>
      <c r="P548">
        <v>-132.52000000000001</v>
      </c>
      <c r="Q548">
        <f>VLOOKUP(G548,'[1]Erogati mag-giu 2026_791_old'!$A:$W,12,FALSE)</f>
        <v>-132.52000000000001</v>
      </c>
      <c r="R548">
        <f t="shared" si="39"/>
        <v>0</v>
      </c>
      <c r="S548">
        <v>-132.52000000000001</v>
      </c>
      <c r="T548">
        <f>VLOOKUP(G548,'[1]Erogati mag-giu 2026_791_old'!$A:$W,13,FALSE)</f>
        <v>-132.52000000000001</v>
      </c>
      <c r="U548">
        <f t="shared" si="40"/>
        <v>0</v>
      </c>
      <c r="V548">
        <v>-132.52000000000001</v>
      </c>
      <c r="W548">
        <f>VLOOKUP(G548,'[1]Erogati mag-giu 2026_791_old'!$A:$W,14,FALSE)</f>
        <v>-132.52000000000001</v>
      </c>
      <c r="X548">
        <f t="shared" si="41"/>
        <v>0</v>
      </c>
      <c r="Y548" t="s">
        <v>158</v>
      </c>
      <c r="Z548" t="str">
        <f>VLOOKUP(G548,'[2]Erogati mag-giu 2026_791_old'!$D:$T,11,FALSE)</f>
        <v>indiretto</v>
      </c>
      <c r="AA548" t="b">
        <v>1</v>
      </c>
      <c r="AF548" t="s">
        <v>20</v>
      </c>
      <c r="AG548" t="s">
        <v>20</v>
      </c>
    </row>
    <row r="549" spans="1:33">
      <c r="A549" s="13" t="s">
        <v>973</v>
      </c>
      <c r="B549" t="s">
        <v>1811</v>
      </c>
      <c r="C549" s="4">
        <v>202601307695316</v>
      </c>
      <c r="D549" s="4" t="b">
        <f t="shared" si="42"/>
        <v>1</v>
      </c>
      <c r="E549" t="s">
        <v>20</v>
      </c>
      <c r="F549" t="s">
        <v>21</v>
      </c>
      <c r="G549" t="s">
        <v>974</v>
      </c>
      <c r="H549" t="str">
        <f>VLOOKUP(C549,'[1]Erogati mag-giu 2026_791_old'!$B:$E,4,FALSE)</f>
        <v>C309096</v>
      </c>
      <c r="I549" t="b">
        <f t="shared" si="38"/>
        <v>1</v>
      </c>
      <c r="J549" s="14">
        <v>46179</v>
      </c>
      <c r="K549" s="14">
        <v>46179</v>
      </c>
      <c r="L549" t="s">
        <v>20</v>
      </c>
      <c r="M549" s="14">
        <v>46188</v>
      </c>
      <c r="N549" s="14">
        <v>46179</v>
      </c>
      <c r="O549" t="s">
        <v>20</v>
      </c>
      <c r="P549">
        <v>-193.3</v>
      </c>
      <c r="Q549">
        <f>VLOOKUP(G549,'[1]Erogati mag-giu 2026_791_old'!$A:$W,12,FALSE)</f>
        <v>-193.3</v>
      </c>
      <c r="R549">
        <f t="shared" si="39"/>
        <v>0</v>
      </c>
      <c r="S549">
        <v>-193.3</v>
      </c>
      <c r="T549">
        <f>VLOOKUP(G549,'[1]Erogati mag-giu 2026_791_old'!$A:$W,13,FALSE)</f>
        <v>-193.3</v>
      </c>
      <c r="U549">
        <f t="shared" si="40"/>
        <v>0</v>
      </c>
      <c r="V549">
        <v>-193.3</v>
      </c>
      <c r="W549">
        <f>VLOOKUP(G549,'[1]Erogati mag-giu 2026_791_old'!$A:$W,14,FALSE)</f>
        <v>-193.3</v>
      </c>
      <c r="X549">
        <f t="shared" si="41"/>
        <v>0</v>
      </c>
      <c r="Y549" t="s">
        <v>158</v>
      </c>
      <c r="Z549" t="str">
        <f>VLOOKUP(G549,'[2]Erogati mag-giu 2026_791_old'!$D:$T,11,FALSE)</f>
        <v>indiretto</v>
      </c>
      <c r="AA549" t="b">
        <v>1</v>
      </c>
      <c r="AF549" t="s">
        <v>20</v>
      </c>
      <c r="AG549" t="s">
        <v>20</v>
      </c>
    </row>
    <row r="550" spans="1:33">
      <c r="A550" s="13" t="s">
        <v>975</v>
      </c>
      <c r="B550" t="s">
        <v>1812</v>
      </c>
      <c r="C550" s="4">
        <v>202601307720121</v>
      </c>
      <c r="D550" s="4" t="b">
        <f t="shared" si="42"/>
        <v>1</v>
      </c>
      <c r="E550" t="s">
        <v>20</v>
      </c>
      <c r="F550" t="s">
        <v>21</v>
      </c>
      <c r="G550" t="s">
        <v>976</v>
      </c>
      <c r="H550" t="str">
        <f>VLOOKUP(C550,'[1]Erogati mag-giu 2026_791_old'!$B:$E,4,FALSE)</f>
        <v>C308170</v>
      </c>
      <c r="I550" t="b">
        <f t="shared" si="38"/>
        <v>1</v>
      </c>
      <c r="J550" s="14">
        <v>46179</v>
      </c>
      <c r="K550" s="14">
        <v>46179</v>
      </c>
      <c r="L550" t="s">
        <v>20</v>
      </c>
      <c r="M550" s="14">
        <v>46188</v>
      </c>
      <c r="N550" s="14">
        <v>46179</v>
      </c>
      <c r="O550" t="s">
        <v>20</v>
      </c>
      <c r="P550">
        <v>-28.78</v>
      </c>
      <c r="Q550">
        <f>VLOOKUP(G550,'[1]Erogati mag-giu 2026_791_old'!$A:$W,12,FALSE)</f>
        <v>-28.78</v>
      </c>
      <c r="R550">
        <f t="shared" si="39"/>
        <v>0</v>
      </c>
      <c r="S550">
        <v>-28.78</v>
      </c>
      <c r="T550">
        <f>VLOOKUP(G550,'[1]Erogati mag-giu 2026_791_old'!$A:$W,13,FALSE)</f>
        <v>-28.78</v>
      </c>
      <c r="U550">
        <f t="shared" si="40"/>
        <v>0</v>
      </c>
      <c r="V550">
        <v>-28.78</v>
      </c>
      <c r="W550">
        <f>VLOOKUP(G550,'[1]Erogati mag-giu 2026_791_old'!$A:$W,14,FALSE)</f>
        <v>-28.78</v>
      </c>
      <c r="X550">
        <f t="shared" si="41"/>
        <v>0</v>
      </c>
      <c r="Y550" t="s">
        <v>158</v>
      </c>
      <c r="Z550" t="str">
        <f>VLOOKUP(G550,'[2]Erogati mag-giu 2026_791_old'!$D:$T,11,FALSE)</f>
        <v>indiretto</v>
      </c>
      <c r="AA550" t="b">
        <v>1</v>
      </c>
      <c r="AF550" t="s">
        <v>20</v>
      </c>
      <c r="AG550" t="s">
        <v>20</v>
      </c>
    </row>
    <row r="551" spans="1:33">
      <c r="A551" s="13" t="s">
        <v>977</v>
      </c>
      <c r="B551" t="s">
        <v>1813</v>
      </c>
      <c r="C551" s="4">
        <v>202601307727826</v>
      </c>
      <c r="D551" s="4" t="b">
        <f t="shared" si="42"/>
        <v>1</v>
      </c>
      <c r="E551" t="s">
        <v>20</v>
      </c>
      <c r="F551" t="s">
        <v>21</v>
      </c>
      <c r="G551" t="s">
        <v>978</v>
      </c>
      <c r="H551" t="str">
        <f>VLOOKUP(C551,'[1]Erogati mag-giu 2026_791_old'!$B:$E,4,FALSE)</f>
        <v>C311704</v>
      </c>
      <c r="I551" t="b">
        <f t="shared" si="38"/>
        <v>1</v>
      </c>
      <c r="J551" s="14">
        <v>46179</v>
      </c>
      <c r="K551" s="14">
        <v>46179</v>
      </c>
      <c r="L551" t="s">
        <v>20</v>
      </c>
      <c r="M551" s="14">
        <v>46188</v>
      </c>
      <c r="N551" s="14">
        <v>46179</v>
      </c>
      <c r="O551" t="s">
        <v>20</v>
      </c>
      <c r="P551">
        <v>-132.52000000000001</v>
      </c>
      <c r="Q551">
        <f>VLOOKUP(G551,'[1]Erogati mag-giu 2026_791_old'!$A:$W,12,FALSE)</f>
        <v>-132.52000000000001</v>
      </c>
      <c r="R551">
        <f t="shared" si="39"/>
        <v>0</v>
      </c>
      <c r="S551">
        <v>-132.52000000000001</v>
      </c>
      <c r="T551">
        <f>VLOOKUP(G551,'[1]Erogati mag-giu 2026_791_old'!$A:$W,13,FALSE)</f>
        <v>-132.52000000000001</v>
      </c>
      <c r="U551">
        <f t="shared" si="40"/>
        <v>0</v>
      </c>
      <c r="V551">
        <v>-132.52000000000001</v>
      </c>
      <c r="W551">
        <f>VLOOKUP(G551,'[1]Erogati mag-giu 2026_791_old'!$A:$W,14,FALSE)</f>
        <v>-132.52000000000001</v>
      </c>
      <c r="X551">
        <f t="shared" si="41"/>
        <v>0</v>
      </c>
      <c r="Y551" t="s">
        <v>158</v>
      </c>
      <c r="Z551" t="str">
        <f>VLOOKUP(G551,'[2]Erogati mag-giu 2026_791_old'!$D:$T,11,FALSE)</f>
        <v>indiretto</v>
      </c>
      <c r="AA551" t="b">
        <v>1</v>
      </c>
      <c r="AF551" t="s">
        <v>20</v>
      </c>
      <c r="AG551" t="s">
        <v>20</v>
      </c>
    </row>
    <row r="552" spans="1:33">
      <c r="A552" s="13" t="s">
        <v>979</v>
      </c>
      <c r="B552" t="s">
        <v>1814</v>
      </c>
      <c r="C552" s="4">
        <v>202601307730544</v>
      </c>
      <c r="D552" s="4" t="b">
        <f t="shared" si="42"/>
        <v>1</v>
      </c>
      <c r="E552" t="s">
        <v>20</v>
      </c>
      <c r="F552" t="s">
        <v>21</v>
      </c>
      <c r="G552" t="s">
        <v>980</v>
      </c>
      <c r="H552" t="str">
        <f>VLOOKUP(C552,'[1]Erogati mag-giu 2026_791_old'!$B:$E,4,FALSE)</f>
        <v>C307643</v>
      </c>
      <c r="I552" t="b">
        <f t="shared" si="38"/>
        <v>1</v>
      </c>
      <c r="J552" s="14">
        <v>46179</v>
      </c>
      <c r="K552" s="14">
        <v>46179</v>
      </c>
      <c r="L552" t="s">
        <v>20</v>
      </c>
      <c r="M552" s="14">
        <v>46188</v>
      </c>
      <c r="N552" s="14">
        <v>46179</v>
      </c>
      <c r="O552" t="s">
        <v>20</v>
      </c>
      <c r="P552">
        <v>-49.24</v>
      </c>
      <c r="Q552">
        <f>VLOOKUP(G552,'[1]Erogati mag-giu 2026_791_old'!$A:$W,12,FALSE)</f>
        <v>-49.24</v>
      </c>
      <c r="R552">
        <f t="shared" si="39"/>
        <v>0</v>
      </c>
      <c r="S552">
        <v>-49.24</v>
      </c>
      <c r="T552">
        <f>VLOOKUP(G552,'[1]Erogati mag-giu 2026_791_old'!$A:$W,13,FALSE)</f>
        <v>-49.24</v>
      </c>
      <c r="U552">
        <f t="shared" si="40"/>
        <v>0</v>
      </c>
      <c r="V552">
        <v>-49.24</v>
      </c>
      <c r="W552">
        <f>VLOOKUP(G552,'[1]Erogati mag-giu 2026_791_old'!$A:$W,14,FALSE)</f>
        <v>-49.24</v>
      </c>
      <c r="X552">
        <f t="shared" si="41"/>
        <v>0</v>
      </c>
      <c r="Y552" t="s">
        <v>158</v>
      </c>
      <c r="Z552" t="str">
        <f>VLOOKUP(G552,'[2]Erogati mag-giu 2026_791_old'!$D:$T,11,FALSE)</f>
        <v>indiretto</v>
      </c>
      <c r="AA552" t="b">
        <v>1</v>
      </c>
      <c r="AF552" t="s">
        <v>20</v>
      </c>
      <c r="AG552" t="s">
        <v>20</v>
      </c>
    </row>
    <row r="553" spans="1:33">
      <c r="A553" s="13" t="s">
        <v>981</v>
      </c>
      <c r="B553" t="s">
        <v>1815</v>
      </c>
      <c r="C553" s="4">
        <v>202601307738594</v>
      </c>
      <c r="D553" s="4" t="b">
        <f t="shared" si="42"/>
        <v>1</v>
      </c>
      <c r="E553" t="s">
        <v>20</v>
      </c>
      <c r="F553" t="s">
        <v>21</v>
      </c>
      <c r="G553" t="s">
        <v>982</v>
      </c>
      <c r="H553" t="str">
        <f>VLOOKUP(C553,'[1]Erogati mag-giu 2026_791_old'!$B:$E,4,FALSE)</f>
        <v>C344246</v>
      </c>
      <c r="I553" t="b">
        <f t="shared" si="38"/>
        <v>1</v>
      </c>
      <c r="J553" s="14">
        <v>46179</v>
      </c>
      <c r="K553" s="14">
        <v>46179</v>
      </c>
      <c r="L553" t="s">
        <v>20</v>
      </c>
      <c r="M553" s="14">
        <v>46188</v>
      </c>
      <c r="N553" s="14">
        <v>46179</v>
      </c>
      <c r="O553" t="s">
        <v>20</v>
      </c>
      <c r="P553">
        <v>-33.130000000000003</v>
      </c>
      <c r="Q553">
        <f>VLOOKUP(G553,'[1]Erogati mag-giu 2026_791_old'!$A:$W,12,FALSE)</f>
        <v>-33.130000000000003</v>
      </c>
      <c r="R553">
        <f t="shared" si="39"/>
        <v>0</v>
      </c>
      <c r="S553">
        <v>-33.130000000000003</v>
      </c>
      <c r="T553">
        <f>VLOOKUP(G553,'[1]Erogati mag-giu 2026_791_old'!$A:$W,13,FALSE)</f>
        <v>-33.130000000000003</v>
      </c>
      <c r="U553">
        <f t="shared" si="40"/>
        <v>0</v>
      </c>
      <c r="V553">
        <v>-33.130000000000003</v>
      </c>
      <c r="W553">
        <f>VLOOKUP(G553,'[1]Erogati mag-giu 2026_791_old'!$A:$W,14,FALSE)</f>
        <v>-33.130000000000003</v>
      </c>
      <c r="X553">
        <f t="shared" si="41"/>
        <v>0</v>
      </c>
      <c r="Y553" t="s">
        <v>158</v>
      </c>
      <c r="Z553" t="str">
        <f>VLOOKUP(G553,'[2]Erogati mag-giu 2026_791_old'!$D:$T,11,FALSE)</f>
        <v>indiretto</v>
      </c>
      <c r="AA553" t="b">
        <v>1</v>
      </c>
      <c r="AF553" t="s">
        <v>20</v>
      </c>
      <c r="AG553" t="s">
        <v>20</v>
      </c>
    </row>
    <row r="554" spans="1:33">
      <c r="A554" s="13" t="s">
        <v>983</v>
      </c>
      <c r="B554" t="s">
        <v>1816</v>
      </c>
      <c r="C554" s="4">
        <v>202601307748494</v>
      </c>
      <c r="D554" s="4" t="b">
        <f t="shared" si="42"/>
        <v>1</v>
      </c>
      <c r="E554" t="s">
        <v>20</v>
      </c>
      <c r="F554" t="s">
        <v>21</v>
      </c>
      <c r="G554" t="s">
        <v>984</v>
      </c>
      <c r="H554" t="str">
        <f>VLOOKUP(C554,'[1]Erogati mag-giu 2026_791_old'!$B:$E,4,FALSE)</f>
        <v>C118160</v>
      </c>
      <c r="I554" t="b">
        <f t="shared" si="38"/>
        <v>1</v>
      </c>
      <c r="J554" s="14">
        <v>46179</v>
      </c>
      <c r="K554" s="14">
        <v>46179</v>
      </c>
      <c r="L554" t="s">
        <v>20</v>
      </c>
      <c r="M554" s="14">
        <v>46188</v>
      </c>
      <c r="N554" s="14">
        <v>46179</v>
      </c>
      <c r="O554" t="s">
        <v>20</v>
      </c>
      <c r="P554">
        <v>-89.45</v>
      </c>
      <c r="Q554">
        <f>VLOOKUP(G554,'[1]Erogati mag-giu 2026_791_old'!$A:$W,12,FALSE)</f>
        <v>-89.45</v>
      </c>
      <c r="R554">
        <f t="shared" si="39"/>
        <v>0</v>
      </c>
      <c r="S554">
        <v>-89.45</v>
      </c>
      <c r="T554">
        <f>VLOOKUP(G554,'[1]Erogati mag-giu 2026_791_old'!$A:$W,13,FALSE)</f>
        <v>-89.45</v>
      </c>
      <c r="U554">
        <f t="shared" si="40"/>
        <v>0</v>
      </c>
      <c r="V554">
        <v>-89.45</v>
      </c>
      <c r="W554">
        <f>VLOOKUP(G554,'[1]Erogati mag-giu 2026_791_old'!$A:$W,14,FALSE)</f>
        <v>-89.45</v>
      </c>
      <c r="X554">
        <f t="shared" si="41"/>
        <v>0</v>
      </c>
      <c r="Y554" t="s">
        <v>158</v>
      </c>
      <c r="Z554" t="str">
        <f>VLOOKUP(G554,'[2]Erogati mag-giu 2026_791_old'!$D:$T,11,FALSE)</f>
        <v>indiretto</v>
      </c>
      <c r="AA554" t="b">
        <v>1</v>
      </c>
      <c r="AF554" t="s">
        <v>20</v>
      </c>
      <c r="AG554" t="s">
        <v>20</v>
      </c>
    </row>
    <row r="555" spans="1:33">
      <c r="A555" s="13" t="s">
        <v>985</v>
      </c>
      <c r="B555" t="s">
        <v>1817</v>
      </c>
      <c r="C555" s="4">
        <v>202601307750014</v>
      </c>
      <c r="D555" s="4" t="b">
        <f t="shared" si="42"/>
        <v>1</v>
      </c>
      <c r="E555" t="s">
        <v>20</v>
      </c>
      <c r="F555" t="s">
        <v>21</v>
      </c>
      <c r="G555" t="s">
        <v>986</v>
      </c>
      <c r="H555" t="str">
        <f>VLOOKUP(C555,'[1]Erogati mag-giu 2026_791_old'!$B:$E,4,FALSE)</f>
        <v>C320530</v>
      </c>
      <c r="I555" t="b">
        <f t="shared" si="38"/>
        <v>1</v>
      </c>
      <c r="J555" s="14">
        <v>46179</v>
      </c>
      <c r="K555" s="14">
        <v>46179</v>
      </c>
      <c r="L555" t="s">
        <v>20</v>
      </c>
      <c r="M555" s="14">
        <v>46188</v>
      </c>
      <c r="N555" s="14">
        <v>46179</v>
      </c>
      <c r="O555" t="s">
        <v>20</v>
      </c>
      <c r="P555">
        <v>-132.52000000000001</v>
      </c>
      <c r="Q555">
        <f>VLOOKUP(G555,'[1]Erogati mag-giu 2026_791_old'!$A:$W,12,FALSE)</f>
        <v>-132.52000000000001</v>
      </c>
      <c r="R555">
        <f t="shared" si="39"/>
        <v>0</v>
      </c>
      <c r="S555">
        <v>-132.52000000000001</v>
      </c>
      <c r="T555">
        <f>VLOOKUP(G555,'[1]Erogati mag-giu 2026_791_old'!$A:$W,13,FALSE)</f>
        <v>-132.52000000000001</v>
      </c>
      <c r="U555">
        <f t="shared" si="40"/>
        <v>0</v>
      </c>
      <c r="V555">
        <v>-132.52000000000001</v>
      </c>
      <c r="W555">
        <f>VLOOKUP(G555,'[1]Erogati mag-giu 2026_791_old'!$A:$W,14,FALSE)</f>
        <v>-132.52000000000001</v>
      </c>
      <c r="X555">
        <f t="shared" si="41"/>
        <v>0</v>
      </c>
      <c r="Y555" t="s">
        <v>158</v>
      </c>
      <c r="Z555" t="str">
        <f>VLOOKUP(G555,'[2]Erogati mag-giu 2026_791_old'!$D:$T,11,FALSE)</f>
        <v>indiretto</v>
      </c>
      <c r="AA555" t="b">
        <v>1</v>
      </c>
      <c r="AF555" t="s">
        <v>20</v>
      </c>
      <c r="AG555" t="s">
        <v>20</v>
      </c>
    </row>
    <row r="556" spans="1:33">
      <c r="A556" s="13" t="s">
        <v>987</v>
      </c>
      <c r="B556" t="s">
        <v>1818</v>
      </c>
      <c r="C556" s="4">
        <v>202601307759208</v>
      </c>
      <c r="D556" s="4" t="b">
        <f t="shared" si="42"/>
        <v>1</v>
      </c>
      <c r="E556" t="s">
        <v>20</v>
      </c>
      <c r="F556" t="s">
        <v>21</v>
      </c>
      <c r="G556" t="s">
        <v>988</v>
      </c>
      <c r="H556" t="str">
        <f>VLOOKUP(C556,'[1]Erogati mag-giu 2026_791_old'!$B:$E,4,FALSE)</f>
        <v>C314438</v>
      </c>
      <c r="I556" t="b">
        <f t="shared" si="38"/>
        <v>1</v>
      </c>
      <c r="J556" s="14">
        <v>46179</v>
      </c>
      <c r="K556" s="14">
        <v>46179</v>
      </c>
      <c r="L556" t="s">
        <v>20</v>
      </c>
      <c r="M556" s="14">
        <v>46188</v>
      </c>
      <c r="N556" s="14">
        <v>46179</v>
      </c>
      <c r="O556" t="s">
        <v>20</v>
      </c>
      <c r="P556">
        <v>-132.52000000000001</v>
      </c>
      <c r="Q556">
        <f>VLOOKUP(G556,'[1]Erogati mag-giu 2026_791_old'!$A:$W,12,FALSE)</f>
        <v>-132.52000000000001</v>
      </c>
      <c r="R556">
        <f t="shared" si="39"/>
        <v>0</v>
      </c>
      <c r="S556">
        <v>-132.52000000000001</v>
      </c>
      <c r="T556">
        <f>VLOOKUP(G556,'[1]Erogati mag-giu 2026_791_old'!$A:$W,13,FALSE)</f>
        <v>-132.52000000000001</v>
      </c>
      <c r="U556">
        <f t="shared" si="40"/>
        <v>0</v>
      </c>
      <c r="V556">
        <v>-132.52000000000001</v>
      </c>
      <c r="W556">
        <f>VLOOKUP(G556,'[1]Erogati mag-giu 2026_791_old'!$A:$W,14,FALSE)</f>
        <v>-132.52000000000001</v>
      </c>
      <c r="X556">
        <f t="shared" si="41"/>
        <v>0</v>
      </c>
      <c r="Y556" t="s">
        <v>158</v>
      </c>
      <c r="Z556" t="str">
        <f>VLOOKUP(G556,'[2]Erogati mag-giu 2026_791_old'!$D:$T,11,FALSE)</f>
        <v>indiretto</v>
      </c>
      <c r="AA556" t="b">
        <v>1</v>
      </c>
      <c r="AF556" t="s">
        <v>20</v>
      </c>
      <c r="AG556" t="s">
        <v>20</v>
      </c>
    </row>
    <row r="557" spans="1:33">
      <c r="A557" s="13" t="s">
        <v>989</v>
      </c>
      <c r="B557" t="s">
        <v>1819</v>
      </c>
      <c r="C557" s="4">
        <v>202601307768064</v>
      </c>
      <c r="D557" s="4" t="b">
        <f t="shared" si="42"/>
        <v>1</v>
      </c>
      <c r="E557" t="s">
        <v>20</v>
      </c>
      <c r="F557" t="s">
        <v>21</v>
      </c>
      <c r="G557" t="s">
        <v>990</v>
      </c>
      <c r="H557" t="str">
        <f>VLOOKUP(C557,'[1]Erogati mag-giu 2026_791_old'!$B:$E,4,FALSE)</f>
        <v>C308772</v>
      </c>
      <c r="I557" t="b">
        <f t="shared" si="38"/>
        <v>1</v>
      </c>
      <c r="J557" s="14">
        <v>46179</v>
      </c>
      <c r="K557" s="14">
        <v>46179</v>
      </c>
      <c r="L557" t="s">
        <v>20</v>
      </c>
      <c r="M557" s="14">
        <v>46188</v>
      </c>
      <c r="N557" s="14">
        <v>46179</v>
      </c>
      <c r="O557" t="s">
        <v>20</v>
      </c>
      <c r="P557">
        <v>-132.52000000000001</v>
      </c>
      <c r="Q557">
        <f>VLOOKUP(G557,'[1]Erogati mag-giu 2026_791_old'!$A:$W,12,FALSE)</f>
        <v>-132.52000000000001</v>
      </c>
      <c r="R557">
        <f t="shared" si="39"/>
        <v>0</v>
      </c>
      <c r="S557">
        <v>-132.52000000000001</v>
      </c>
      <c r="T557">
        <f>VLOOKUP(G557,'[1]Erogati mag-giu 2026_791_old'!$A:$W,13,FALSE)</f>
        <v>-132.52000000000001</v>
      </c>
      <c r="U557">
        <f t="shared" si="40"/>
        <v>0</v>
      </c>
      <c r="V557">
        <v>-132.52000000000001</v>
      </c>
      <c r="W557">
        <f>VLOOKUP(G557,'[1]Erogati mag-giu 2026_791_old'!$A:$W,14,FALSE)</f>
        <v>-132.52000000000001</v>
      </c>
      <c r="X557">
        <f t="shared" si="41"/>
        <v>0</v>
      </c>
      <c r="Y557" t="s">
        <v>158</v>
      </c>
      <c r="Z557" t="str">
        <f>VLOOKUP(G557,'[2]Erogati mag-giu 2026_791_old'!$D:$T,11,FALSE)</f>
        <v>indiretto</v>
      </c>
      <c r="AA557" t="b">
        <v>1</v>
      </c>
      <c r="AF557" t="s">
        <v>20</v>
      </c>
      <c r="AG557" t="s">
        <v>20</v>
      </c>
    </row>
    <row r="558" spans="1:33">
      <c r="A558" s="13" t="s">
        <v>991</v>
      </c>
      <c r="B558" t="s">
        <v>1820</v>
      </c>
      <c r="C558" s="4">
        <v>202601307770568</v>
      </c>
      <c r="D558" s="4" t="b">
        <f t="shared" si="42"/>
        <v>1</v>
      </c>
      <c r="E558" t="s">
        <v>20</v>
      </c>
      <c r="F558" t="s">
        <v>21</v>
      </c>
      <c r="G558" t="s">
        <v>992</v>
      </c>
      <c r="H558" t="str">
        <f>VLOOKUP(C558,'[1]Erogati mag-giu 2026_791_old'!$B:$E,4,FALSE)</f>
        <v>C314494</v>
      </c>
      <c r="I558" t="b">
        <f t="shared" si="38"/>
        <v>1</v>
      </c>
      <c r="J558" s="14">
        <v>46179</v>
      </c>
      <c r="K558" s="14">
        <v>46179</v>
      </c>
      <c r="L558" t="s">
        <v>20</v>
      </c>
      <c r="M558" s="14">
        <v>46188</v>
      </c>
      <c r="N558" s="14">
        <v>46179</v>
      </c>
      <c r="O558" t="s">
        <v>20</v>
      </c>
      <c r="P558">
        <v>-165.65</v>
      </c>
      <c r="Q558">
        <f>VLOOKUP(G558,'[1]Erogati mag-giu 2026_791_old'!$A:$W,12,FALSE)</f>
        <v>-165.65</v>
      </c>
      <c r="R558">
        <f t="shared" si="39"/>
        <v>0</v>
      </c>
      <c r="S558">
        <v>-165.65</v>
      </c>
      <c r="T558">
        <f>VLOOKUP(G558,'[1]Erogati mag-giu 2026_791_old'!$A:$W,13,FALSE)</f>
        <v>-165.65</v>
      </c>
      <c r="U558">
        <f t="shared" si="40"/>
        <v>0</v>
      </c>
      <c r="V558">
        <v>-165.65</v>
      </c>
      <c r="W558">
        <f>VLOOKUP(G558,'[1]Erogati mag-giu 2026_791_old'!$A:$W,14,FALSE)</f>
        <v>-165.65</v>
      </c>
      <c r="X558">
        <f t="shared" si="41"/>
        <v>0</v>
      </c>
      <c r="Y558" t="s">
        <v>158</v>
      </c>
      <c r="Z558" t="str">
        <f>VLOOKUP(G558,'[2]Erogati mag-giu 2026_791_old'!$D:$T,11,FALSE)</f>
        <v>indiretto</v>
      </c>
      <c r="AA558" t="b">
        <v>1</v>
      </c>
      <c r="AF558" t="s">
        <v>20</v>
      </c>
      <c r="AG558" t="s">
        <v>20</v>
      </c>
    </row>
    <row r="559" spans="1:33">
      <c r="A559" s="13" t="s">
        <v>993</v>
      </c>
      <c r="B559" t="s">
        <v>1821</v>
      </c>
      <c r="C559" s="4">
        <v>202601307774132</v>
      </c>
      <c r="D559" s="4" t="b">
        <f t="shared" si="42"/>
        <v>1</v>
      </c>
      <c r="E559" t="s">
        <v>20</v>
      </c>
      <c r="F559" t="s">
        <v>21</v>
      </c>
      <c r="G559" t="s">
        <v>994</v>
      </c>
      <c r="H559" t="str">
        <f>VLOOKUP(C559,'[1]Erogati mag-giu 2026_791_old'!$B:$E,4,FALSE)</f>
        <v>C322508</v>
      </c>
      <c r="I559" t="b">
        <f t="shared" si="38"/>
        <v>1</v>
      </c>
      <c r="J559" s="14">
        <v>46179</v>
      </c>
      <c r="K559" s="14">
        <v>46179</v>
      </c>
      <c r="L559" t="s">
        <v>20</v>
      </c>
      <c r="M559" s="14">
        <v>46188</v>
      </c>
      <c r="N559" s="14">
        <v>46179</v>
      </c>
      <c r="O559" t="s">
        <v>20</v>
      </c>
      <c r="P559">
        <v>-66.260000000000005</v>
      </c>
      <c r="Q559">
        <f>VLOOKUP(G559,'[1]Erogati mag-giu 2026_791_old'!$A:$W,12,FALSE)</f>
        <v>-66.260000000000005</v>
      </c>
      <c r="R559">
        <f t="shared" si="39"/>
        <v>0</v>
      </c>
      <c r="S559">
        <v>-66.260000000000005</v>
      </c>
      <c r="T559">
        <f>VLOOKUP(G559,'[1]Erogati mag-giu 2026_791_old'!$A:$W,13,FALSE)</f>
        <v>-66.260000000000005</v>
      </c>
      <c r="U559">
        <f t="shared" si="40"/>
        <v>0</v>
      </c>
      <c r="V559">
        <v>-66.260000000000005</v>
      </c>
      <c r="W559">
        <f>VLOOKUP(G559,'[1]Erogati mag-giu 2026_791_old'!$A:$W,14,FALSE)</f>
        <v>-66.260000000000005</v>
      </c>
      <c r="X559">
        <f t="shared" si="41"/>
        <v>0</v>
      </c>
      <c r="Y559" t="s">
        <v>158</v>
      </c>
      <c r="Z559" t="str">
        <f>VLOOKUP(G559,'[2]Erogati mag-giu 2026_791_old'!$D:$T,11,FALSE)</f>
        <v>indiretto</v>
      </c>
      <c r="AA559" t="b">
        <v>1</v>
      </c>
      <c r="AF559" t="s">
        <v>20</v>
      </c>
      <c r="AG559" t="s">
        <v>20</v>
      </c>
    </row>
    <row r="560" spans="1:33">
      <c r="A560" s="13" t="s">
        <v>995</v>
      </c>
      <c r="B560" t="s">
        <v>1822</v>
      </c>
      <c r="C560" s="4">
        <v>202601307780619</v>
      </c>
      <c r="D560" s="4" t="b">
        <f t="shared" si="42"/>
        <v>1</v>
      </c>
      <c r="E560" t="s">
        <v>20</v>
      </c>
      <c r="F560" t="s">
        <v>21</v>
      </c>
      <c r="G560" t="s">
        <v>996</v>
      </c>
      <c r="H560" t="str">
        <f>VLOOKUP(C560,'[1]Erogati mag-giu 2026_791_old'!$B:$E,4,FALSE)</f>
        <v>C311450</v>
      </c>
      <c r="I560" t="b">
        <f t="shared" si="38"/>
        <v>1</v>
      </c>
      <c r="J560" s="14">
        <v>46179</v>
      </c>
      <c r="K560" s="14">
        <v>46179</v>
      </c>
      <c r="L560" t="s">
        <v>20</v>
      </c>
      <c r="M560" s="14">
        <v>46188</v>
      </c>
      <c r="N560" s="14">
        <v>46179</v>
      </c>
      <c r="O560" t="s">
        <v>20</v>
      </c>
      <c r="P560">
        <v>-143.88</v>
      </c>
      <c r="Q560">
        <f>VLOOKUP(G560,'[1]Erogati mag-giu 2026_791_old'!$A:$W,12,FALSE)</f>
        <v>-143.88</v>
      </c>
      <c r="R560">
        <f t="shared" si="39"/>
        <v>0</v>
      </c>
      <c r="S560">
        <v>-143.88</v>
      </c>
      <c r="T560">
        <f>VLOOKUP(G560,'[1]Erogati mag-giu 2026_791_old'!$A:$W,13,FALSE)</f>
        <v>-143.88</v>
      </c>
      <c r="U560">
        <f t="shared" si="40"/>
        <v>0</v>
      </c>
      <c r="V560">
        <v>-143.88</v>
      </c>
      <c r="W560">
        <f>VLOOKUP(G560,'[1]Erogati mag-giu 2026_791_old'!$A:$W,14,FALSE)</f>
        <v>-143.88</v>
      </c>
      <c r="X560">
        <f t="shared" si="41"/>
        <v>0</v>
      </c>
      <c r="Y560" t="s">
        <v>158</v>
      </c>
      <c r="Z560" t="str">
        <f>VLOOKUP(G560,'[2]Erogati mag-giu 2026_791_old'!$D:$T,11,FALSE)</f>
        <v>indiretto</v>
      </c>
      <c r="AA560" t="b">
        <v>1</v>
      </c>
      <c r="AF560" t="s">
        <v>20</v>
      </c>
      <c r="AG560" t="s">
        <v>20</v>
      </c>
    </row>
    <row r="561" spans="1:33">
      <c r="A561" s="13" t="s">
        <v>997</v>
      </c>
      <c r="B561" t="s">
        <v>1823</v>
      </c>
      <c r="C561" s="4">
        <v>202601307785037</v>
      </c>
      <c r="D561" s="4" t="b">
        <f t="shared" si="42"/>
        <v>1</v>
      </c>
      <c r="E561" t="s">
        <v>20</v>
      </c>
      <c r="F561" t="s">
        <v>21</v>
      </c>
      <c r="G561" t="s">
        <v>998</v>
      </c>
      <c r="H561" t="str">
        <f>VLOOKUP(C561,'[1]Erogati mag-giu 2026_791_old'!$B:$E,4,FALSE)</f>
        <v>C344299</v>
      </c>
      <c r="I561" t="b">
        <f t="shared" si="38"/>
        <v>1</v>
      </c>
      <c r="J561" s="14">
        <v>46179</v>
      </c>
      <c r="K561" s="14">
        <v>46179</v>
      </c>
      <c r="L561" t="s">
        <v>20</v>
      </c>
      <c r="M561" s="14">
        <v>46188</v>
      </c>
      <c r="N561" s="14">
        <v>46179</v>
      </c>
      <c r="O561" t="s">
        <v>20</v>
      </c>
      <c r="P561">
        <v>-66.260000000000005</v>
      </c>
      <c r="Q561">
        <f>VLOOKUP(G561,'[1]Erogati mag-giu 2026_791_old'!$A:$W,12,FALSE)</f>
        <v>-66.260000000000005</v>
      </c>
      <c r="R561">
        <f t="shared" si="39"/>
        <v>0</v>
      </c>
      <c r="S561">
        <v>-66.260000000000005</v>
      </c>
      <c r="T561">
        <f>VLOOKUP(G561,'[1]Erogati mag-giu 2026_791_old'!$A:$W,13,FALSE)</f>
        <v>-66.260000000000005</v>
      </c>
      <c r="U561">
        <f t="shared" si="40"/>
        <v>0</v>
      </c>
      <c r="V561">
        <v>-66.260000000000005</v>
      </c>
      <c r="W561">
        <f>VLOOKUP(G561,'[1]Erogati mag-giu 2026_791_old'!$A:$W,14,FALSE)</f>
        <v>-66.260000000000005</v>
      </c>
      <c r="X561">
        <f t="shared" si="41"/>
        <v>0</v>
      </c>
      <c r="Y561" t="s">
        <v>158</v>
      </c>
      <c r="Z561" t="str">
        <f>VLOOKUP(G561,'[2]Erogati mag-giu 2026_791_old'!$D:$T,11,FALSE)</f>
        <v>indiretto</v>
      </c>
      <c r="AA561" t="b">
        <v>1</v>
      </c>
      <c r="AF561" t="s">
        <v>20</v>
      </c>
      <c r="AG561" t="s">
        <v>20</v>
      </c>
    </row>
    <row r="562" spans="1:33">
      <c r="A562" s="13" t="s">
        <v>999</v>
      </c>
      <c r="B562" t="s">
        <v>1824</v>
      </c>
      <c r="C562" s="4">
        <v>202601307793187</v>
      </c>
      <c r="D562" s="4" t="b">
        <f t="shared" si="42"/>
        <v>1</v>
      </c>
      <c r="E562" t="s">
        <v>20</v>
      </c>
      <c r="F562" t="s">
        <v>21</v>
      </c>
      <c r="G562" t="s">
        <v>1000</v>
      </c>
      <c r="H562" t="str">
        <f>VLOOKUP(C562,'[1]Erogati mag-giu 2026_791_old'!$B:$E,4,FALSE)</f>
        <v>C344154</v>
      </c>
      <c r="I562" t="b">
        <f t="shared" si="38"/>
        <v>1</v>
      </c>
      <c r="J562" s="14">
        <v>46179</v>
      </c>
      <c r="K562" s="14">
        <v>46179</v>
      </c>
      <c r="L562" t="s">
        <v>20</v>
      </c>
      <c r="M562" s="14">
        <v>46188</v>
      </c>
      <c r="N562" s="14">
        <v>46179</v>
      </c>
      <c r="O562" t="s">
        <v>20</v>
      </c>
      <c r="P562">
        <v>-33.130000000000003</v>
      </c>
      <c r="Q562">
        <f>VLOOKUP(G562,'[1]Erogati mag-giu 2026_791_old'!$A:$W,12,FALSE)</f>
        <v>-33.130000000000003</v>
      </c>
      <c r="R562">
        <f t="shared" si="39"/>
        <v>0</v>
      </c>
      <c r="S562">
        <v>-33.130000000000003</v>
      </c>
      <c r="T562">
        <f>VLOOKUP(G562,'[1]Erogati mag-giu 2026_791_old'!$A:$W,13,FALSE)</f>
        <v>-33.130000000000003</v>
      </c>
      <c r="U562">
        <f t="shared" si="40"/>
        <v>0</v>
      </c>
      <c r="V562">
        <v>-33.130000000000003</v>
      </c>
      <c r="W562">
        <f>VLOOKUP(G562,'[1]Erogati mag-giu 2026_791_old'!$A:$W,14,FALSE)</f>
        <v>-33.130000000000003</v>
      </c>
      <c r="X562">
        <f t="shared" si="41"/>
        <v>0</v>
      </c>
      <c r="Y562" t="s">
        <v>158</v>
      </c>
      <c r="Z562" t="str">
        <f>VLOOKUP(G562,'[2]Erogati mag-giu 2026_791_old'!$D:$T,11,FALSE)</f>
        <v>indiretto</v>
      </c>
      <c r="AA562" t="b">
        <v>1</v>
      </c>
      <c r="AF562" t="s">
        <v>20</v>
      </c>
      <c r="AG562" t="s">
        <v>20</v>
      </c>
    </row>
    <row r="563" spans="1:33">
      <c r="A563" s="13" t="s">
        <v>1001</v>
      </c>
      <c r="B563" t="s">
        <v>1825</v>
      </c>
      <c r="C563" s="4">
        <v>202601307796150</v>
      </c>
      <c r="D563" s="4" t="b">
        <f t="shared" si="42"/>
        <v>1</v>
      </c>
      <c r="E563" t="s">
        <v>20</v>
      </c>
      <c r="F563" t="s">
        <v>21</v>
      </c>
      <c r="G563" t="s">
        <v>1002</v>
      </c>
      <c r="H563" t="str">
        <f>VLOOKUP(C563,'[1]Erogati mag-giu 2026_791_old'!$B:$E,4,FALSE)</f>
        <v>C002792</v>
      </c>
      <c r="I563" t="b">
        <f t="shared" si="38"/>
        <v>1</v>
      </c>
      <c r="J563" s="14">
        <v>46179</v>
      </c>
      <c r="K563" s="14">
        <v>46179</v>
      </c>
      <c r="L563" t="s">
        <v>20</v>
      </c>
      <c r="M563" s="14">
        <v>46188</v>
      </c>
      <c r="N563" s="14">
        <v>46179</v>
      </c>
      <c r="O563" t="s">
        <v>20</v>
      </c>
      <c r="P563">
        <v>-165.65</v>
      </c>
      <c r="Q563">
        <f>VLOOKUP(G563,'[1]Erogati mag-giu 2026_791_old'!$A:$W,12,FALSE)</f>
        <v>-165.65</v>
      </c>
      <c r="R563">
        <f t="shared" si="39"/>
        <v>0</v>
      </c>
      <c r="S563">
        <v>-165.65</v>
      </c>
      <c r="T563">
        <f>VLOOKUP(G563,'[1]Erogati mag-giu 2026_791_old'!$A:$W,13,FALSE)</f>
        <v>-165.65</v>
      </c>
      <c r="U563">
        <f t="shared" si="40"/>
        <v>0</v>
      </c>
      <c r="V563">
        <v>-165.65</v>
      </c>
      <c r="W563">
        <f>VLOOKUP(G563,'[1]Erogati mag-giu 2026_791_old'!$A:$W,14,FALSE)</f>
        <v>-165.65</v>
      </c>
      <c r="X563">
        <f t="shared" si="41"/>
        <v>0</v>
      </c>
      <c r="Y563" t="s">
        <v>158</v>
      </c>
      <c r="Z563" t="str">
        <f>VLOOKUP(G563,'[2]Erogati mag-giu 2026_791_old'!$D:$T,11,FALSE)</f>
        <v>indiretto</v>
      </c>
      <c r="AA563" t="b">
        <v>1</v>
      </c>
      <c r="AF563" t="s">
        <v>20</v>
      </c>
      <c r="AG563" t="s">
        <v>20</v>
      </c>
    </row>
    <row r="564" spans="1:33">
      <c r="A564" s="13" t="s">
        <v>1003</v>
      </c>
      <c r="B564" t="s">
        <v>1826</v>
      </c>
      <c r="C564" s="4">
        <v>202601307797038</v>
      </c>
      <c r="D564" s="4" t="b">
        <f t="shared" si="42"/>
        <v>1</v>
      </c>
      <c r="E564" t="s">
        <v>20</v>
      </c>
      <c r="F564" t="s">
        <v>21</v>
      </c>
      <c r="G564" t="s">
        <v>1004</v>
      </c>
      <c r="H564" t="str">
        <f>VLOOKUP(C564,'[1]Erogati mag-giu 2026_791_old'!$B:$E,4,FALSE)</f>
        <v>C310564</v>
      </c>
      <c r="I564" t="b">
        <f t="shared" si="38"/>
        <v>1</v>
      </c>
      <c r="J564" s="14">
        <v>46179</v>
      </c>
      <c r="K564" s="14">
        <v>46179</v>
      </c>
      <c r="L564" t="s">
        <v>20</v>
      </c>
      <c r="M564" s="14">
        <v>46188</v>
      </c>
      <c r="N564" s="14">
        <v>46179</v>
      </c>
      <c r="O564" t="s">
        <v>20</v>
      </c>
      <c r="P564">
        <v>-66.260000000000005</v>
      </c>
      <c r="Q564">
        <f>VLOOKUP(G564,'[1]Erogati mag-giu 2026_791_old'!$A:$W,12,FALSE)</f>
        <v>-66.260000000000005</v>
      </c>
      <c r="R564">
        <f t="shared" si="39"/>
        <v>0</v>
      </c>
      <c r="S564">
        <v>-66.260000000000005</v>
      </c>
      <c r="T564">
        <f>VLOOKUP(G564,'[1]Erogati mag-giu 2026_791_old'!$A:$W,13,FALSE)</f>
        <v>-66.260000000000005</v>
      </c>
      <c r="U564">
        <f t="shared" si="40"/>
        <v>0</v>
      </c>
      <c r="V564">
        <v>-66.260000000000005</v>
      </c>
      <c r="W564">
        <f>VLOOKUP(G564,'[1]Erogati mag-giu 2026_791_old'!$A:$W,14,FALSE)</f>
        <v>-66.260000000000005</v>
      </c>
      <c r="X564">
        <f t="shared" si="41"/>
        <v>0</v>
      </c>
      <c r="Y564" t="s">
        <v>158</v>
      </c>
      <c r="Z564" t="str">
        <f>VLOOKUP(G564,'[2]Erogati mag-giu 2026_791_old'!$D:$T,11,FALSE)</f>
        <v>indiretto</v>
      </c>
      <c r="AA564" t="b">
        <v>1</v>
      </c>
      <c r="AF564" t="s">
        <v>20</v>
      </c>
      <c r="AG564" t="s">
        <v>20</v>
      </c>
    </row>
    <row r="565" spans="1:33">
      <c r="A565" s="13" t="s">
        <v>1005</v>
      </c>
      <c r="B565" t="s">
        <v>1827</v>
      </c>
      <c r="C565" s="4">
        <v>202601307802089</v>
      </c>
      <c r="D565" s="4" t="b">
        <f t="shared" si="42"/>
        <v>1</v>
      </c>
      <c r="E565" t="s">
        <v>20</v>
      </c>
      <c r="F565" t="s">
        <v>21</v>
      </c>
      <c r="G565" t="s">
        <v>1006</v>
      </c>
      <c r="H565" t="str">
        <f>VLOOKUP(C565,'[1]Erogati mag-giu 2026_791_old'!$B:$E,4,FALSE)</f>
        <v>C344111</v>
      </c>
      <c r="I565" t="b">
        <f t="shared" si="38"/>
        <v>1</v>
      </c>
      <c r="J565" s="14">
        <v>46179</v>
      </c>
      <c r="K565" s="14">
        <v>46179</v>
      </c>
      <c r="L565" t="s">
        <v>20</v>
      </c>
      <c r="M565" s="14">
        <v>46188</v>
      </c>
      <c r="N565" s="14">
        <v>46179</v>
      </c>
      <c r="O565" t="s">
        <v>20</v>
      </c>
      <c r="P565">
        <v>-66.260000000000005</v>
      </c>
      <c r="Q565">
        <f>VLOOKUP(G565,'[1]Erogati mag-giu 2026_791_old'!$A:$W,12,FALSE)</f>
        <v>-66.260000000000005</v>
      </c>
      <c r="R565">
        <f t="shared" si="39"/>
        <v>0</v>
      </c>
      <c r="S565">
        <v>-66.260000000000005</v>
      </c>
      <c r="T565">
        <f>VLOOKUP(G565,'[1]Erogati mag-giu 2026_791_old'!$A:$W,13,FALSE)</f>
        <v>-66.260000000000005</v>
      </c>
      <c r="U565">
        <f t="shared" si="40"/>
        <v>0</v>
      </c>
      <c r="V565">
        <v>-66.260000000000005</v>
      </c>
      <c r="W565">
        <f>VLOOKUP(G565,'[1]Erogati mag-giu 2026_791_old'!$A:$W,14,FALSE)</f>
        <v>-66.260000000000005</v>
      </c>
      <c r="X565">
        <f t="shared" si="41"/>
        <v>0</v>
      </c>
      <c r="Y565" t="s">
        <v>158</v>
      </c>
      <c r="Z565" t="str">
        <f>VLOOKUP(G565,'[2]Erogati mag-giu 2026_791_old'!$D:$T,11,FALSE)</f>
        <v>indiretto</v>
      </c>
      <c r="AA565" t="b">
        <v>1</v>
      </c>
      <c r="AF565" t="s">
        <v>20</v>
      </c>
      <c r="AG565" t="s">
        <v>20</v>
      </c>
    </row>
    <row r="566" spans="1:33">
      <c r="A566" s="13" t="s">
        <v>1007</v>
      </c>
      <c r="B566" t="s">
        <v>1828</v>
      </c>
      <c r="C566" s="4">
        <v>202601307803786</v>
      </c>
      <c r="D566" s="4" t="b">
        <f t="shared" si="42"/>
        <v>1</v>
      </c>
      <c r="E566" t="s">
        <v>20</v>
      </c>
      <c r="F566" t="s">
        <v>21</v>
      </c>
      <c r="G566" t="s">
        <v>1008</v>
      </c>
      <c r="H566" t="str">
        <f>VLOOKUP(C566,'[1]Erogati mag-giu 2026_791_old'!$B:$E,4,FALSE)</f>
        <v>C314690</v>
      </c>
      <c r="I566" t="b">
        <f t="shared" si="38"/>
        <v>1</v>
      </c>
      <c r="J566" s="14">
        <v>46179</v>
      </c>
      <c r="K566" s="14">
        <v>46179</v>
      </c>
      <c r="L566" t="s">
        <v>20</v>
      </c>
      <c r="M566" s="14">
        <v>46188</v>
      </c>
      <c r="N566" s="14">
        <v>46179</v>
      </c>
      <c r="O566" t="s">
        <v>20</v>
      </c>
      <c r="P566">
        <v>-33.130000000000003</v>
      </c>
      <c r="Q566">
        <f>VLOOKUP(G566,'[1]Erogati mag-giu 2026_791_old'!$A:$W,12,FALSE)</f>
        <v>-33.130000000000003</v>
      </c>
      <c r="R566">
        <f t="shared" si="39"/>
        <v>0</v>
      </c>
      <c r="S566">
        <v>-33.130000000000003</v>
      </c>
      <c r="T566">
        <f>VLOOKUP(G566,'[1]Erogati mag-giu 2026_791_old'!$A:$W,13,FALSE)</f>
        <v>-33.130000000000003</v>
      </c>
      <c r="U566">
        <f t="shared" si="40"/>
        <v>0</v>
      </c>
      <c r="V566">
        <v>-33.130000000000003</v>
      </c>
      <c r="W566">
        <f>VLOOKUP(G566,'[1]Erogati mag-giu 2026_791_old'!$A:$W,14,FALSE)</f>
        <v>-33.130000000000003</v>
      </c>
      <c r="X566">
        <f t="shared" si="41"/>
        <v>0</v>
      </c>
      <c r="Y566" t="s">
        <v>158</v>
      </c>
      <c r="Z566" t="str">
        <f>VLOOKUP(G566,'[2]Erogati mag-giu 2026_791_old'!$D:$T,11,FALSE)</f>
        <v>indiretto</v>
      </c>
      <c r="AA566" t="b">
        <v>1</v>
      </c>
      <c r="AF566" t="s">
        <v>20</v>
      </c>
      <c r="AG566" t="s">
        <v>20</v>
      </c>
    </row>
    <row r="567" spans="1:33">
      <c r="A567" s="13" t="s">
        <v>1009</v>
      </c>
      <c r="B567" t="s">
        <v>1829</v>
      </c>
      <c r="C567" s="4">
        <v>202601307809314</v>
      </c>
      <c r="D567" s="4" t="b">
        <f t="shared" si="42"/>
        <v>1</v>
      </c>
      <c r="E567" t="s">
        <v>20</v>
      </c>
      <c r="F567" t="s">
        <v>21</v>
      </c>
      <c r="G567" t="s">
        <v>1010</v>
      </c>
      <c r="H567" t="str">
        <f>VLOOKUP(C567,'[1]Erogati mag-giu 2026_791_old'!$B:$E,4,FALSE)</f>
        <v>C337552</v>
      </c>
      <c r="I567" t="b">
        <f t="shared" si="38"/>
        <v>1</v>
      </c>
      <c r="J567" s="14">
        <v>46179</v>
      </c>
      <c r="K567" s="14">
        <v>46179</v>
      </c>
      <c r="L567" t="s">
        <v>20</v>
      </c>
      <c r="M567" s="14">
        <v>46188</v>
      </c>
      <c r="N567" s="14">
        <v>46179</v>
      </c>
      <c r="O567" t="s">
        <v>20</v>
      </c>
      <c r="P567">
        <v>-99.39</v>
      </c>
      <c r="Q567">
        <f>VLOOKUP(G567,'[1]Erogati mag-giu 2026_791_old'!$A:$W,12,FALSE)</f>
        <v>-99.39</v>
      </c>
      <c r="R567">
        <f t="shared" si="39"/>
        <v>0</v>
      </c>
      <c r="S567">
        <v>-99.39</v>
      </c>
      <c r="T567">
        <f>VLOOKUP(G567,'[1]Erogati mag-giu 2026_791_old'!$A:$W,13,FALSE)</f>
        <v>-99.39</v>
      </c>
      <c r="U567">
        <f t="shared" si="40"/>
        <v>0</v>
      </c>
      <c r="V567">
        <v>-99.39</v>
      </c>
      <c r="W567">
        <f>VLOOKUP(G567,'[1]Erogati mag-giu 2026_791_old'!$A:$W,14,FALSE)</f>
        <v>-99.39</v>
      </c>
      <c r="X567">
        <f t="shared" si="41"/>
        <v>0</v>
      </c>
      <c r="Y567" t="s">
        <v>158</v>
      </c>
      <c r="Z567" t="str">
        <f>VLOOKUP(G567,'[2]Erogati mag-giu 2026_791_old'!$D:$T,11,FALSE)</f>
        <v>indiretto</v>
      </c>
      <c r="AA567" t="b">
        <v>1</v>
      </c>
      <c r="AF567" t="s">
        <v>20</v>
      </c>
      <c r="AG567" t="s">
        <v>20</v>
      </c>
    </row>
    <row r="568" spans="1:33">
      <c r="A568" s="13" t="s">
        <v>1011</v>
      </c>
      <c r="B568" t="s">
        <v>1830</v>
      </c>
      <c r="C568" s="4">
        <v>202601307812705</v>
      </c>
      <c r="D568" s="4" t="b">
        <f t="shared" si="42"/>
        <v>1</v>
      </c>
      <c r="E568" t="s">
        <v>20</v>
      </c>
      <c r="F568" t="s">
        <v>21</v>
      </c>
      <c r="G568" t="s">
        <v>1012</v>
      </c>
      <c r="H568" t="str">
        <f>VLOOKUP(C568,'[1]Erogati mag-giu 2026_791_old'!$B:$E,4,FALSE)</f>
        <v>C320318</v>
      </c>
      <c r="I568" t="b">
        <f t="shared" si="38"/>
        <v>1</v>
      </c>
      <c r="J568" s="14">
        <v>46179</v>
      </c>
      <c r="K568" s="14">
        <v>46179</v>
      </c>
      <c r="L568" t="s">
        <v>20</v>
      </c>
      <c r="M568" s="14">
        <v>46188</v>
      </c>
      <c r="N568" s="14">
        <v>46179</v>
      </c>
      <c r="O568" t="s">
        <v>20</v>
      </c>
      <c r="P568">
        <v>-33.130000000000003</v>
      </c>
      <c r="Q568">
        <f>VLOOKUP(G568,'[1]Erogati mag-giu 2026_791_old'!$A:$W,12,FALSE)</f>
        <v>-33.130000000000003</v>
      </c>
      <c r="R568">
        <f t="shared" si="39"/>
        <v>0</v>
      </c>
      <c r="S568">
        <v>-33.130000000000003</v>
      </c>
      <c r="T568">
        <f>VLOOKUP(G568,'[1]Erogati mag-giu 2026_791_old'!$A:$W,13,FALSE)</f>
        <v>-33.130000000000003</v>
      </c>
      <c r="U568">
        <f t="shared" si="40"/>
        <v>0</v>
      </c>
      <c r="V568">
        <v>-33.130000000000003</v>
      </c>
      <c r="W568">
        <f>VLOOKUP(G568,'[1]Erogati mag-giu 2026_791_old'!$A:$W,14,FALSE)</f>
        <v>-33.130000000000003</v>
      </c>
      <c r="X568">
        <f t="shared" si="41"/>
        <v>0</v>
      </c>
      <c r="Y568" t="s">
        <v>158</v>
      </c>
      <c r="Z568" t="str">
        <f>VLOOKUP(G568,'[2]Erogati mag-giu 2026_791_old'!$D:$T,11,FALSE)</f>
        <v>indiretto</v>
      </c>
      <c r="AA568" t="b">
        <v>1</v>
      </c>
      <c r="AF568" t="s">
        <v>20</v>
      </c>
      <c r="AG568" t="s">
        <v>20</v>
      </c>
    </row>
    <row r="569" spans="1:33">
      <c r="A569" s="13" t="s">
        <v>1013</v>
      </c>
      <c r="B569" t="s">
        <v>1831</v>
      </c>
      <c r="C569" s="4">
        <v>202601307812912</v>
      </c>
      <c r="D569" s="4" t="b">
        <f t="shared" si="42"/>
        <v>1</v>
      </c>
      <c r="E569" t="s">
        <v>20</v>
      </c>
      <c r="F569" t="s">
        <v>21</v>
      </c>
      <c r="G569" t="s">
        <v>1014</v>
      </c>
      <c r="H569" t="str">
        <f>VLOOKUP(C569,'[1]Erogati mag-giu 2026_791_old'!$B:$E,4,FALSE)</f>
        <v>C307921</v>
      </c>
      <c r="I569" t="b">
        <f t="shared" si="38"/>
        <v>1</v>
      </c>
      <c r="J569" s="14">
        <v>46179</v>
      </c>
      <c r="K569" s="14">
        <v>46179</v>
      </c>
      <c r="L569" t="s">
        <v>20</v>
      </c>
      <c r="M569" s="14">
        <v>46188</v>
      </c>
      <c r="N569" s="14">
        <v>46179</v>
      </c>
      <c r="O569" t="s">
        <v>20</v>
      </c>
      <c r="P569">
        <v>-132.52000000000001</v>
      </c>
      <c r="Q569">
        <f>VLOOKUP(G569,'[1]Erogati mag-giu 2026_791_old'!$A:$W,12,FALSE)</f>
        <v>-132.52000000000001</v>
      </c>
      <c r="R569">
        <f t="shared" si="39"/>
        <v>0</v>
      </c>
      <c r="S569">
        <v>-132.52000000000001</v>
      </c>
      <c r="T569">
        <f>VLOOKUP(G569,'[1]Erogati mag-giu 2026_791_old'!$A:$W,13,FALSE)</f>
        <v>-132.52000000000001</v>
      </c>
      <c r="U569">
        <f t="shared" si="40"/>
        <v>0</v>
      </c>
      <c r="V569">
        <v>-132.52000000000001</v>
      </c>
      <c r="W569">
        <f>VLOOKUP(G569,'[1]Erogati mag-giu 2026_791_old'!$A:$W,14,FALSE)</f>
        <v>-132.52000000000001</v>
      </c>
      <c r="X569">
        <f t="shared" si="41"/>
        <v>0</v>
      </c>
      <c r="Y569" t="s">
        <v>158</v>
      </c>
      <c r="Z569" t="str">
        <f>VLOOKUP(G569,'[2]Erogati mag-giu 2026_791_old'!$D:$T,11,FALSE)</f>
        <v>indiretto</v>
      </c>
      <c r="AA569" t="b">
        <v>1</v>
      </c>
      <c r="AF569" t="s">
        <v>20</v>
      </c>
      <c r="AG569" t="s">
        <v>20</v>
      </c>
    </row>
    <row r="570" spans="1:33">
      <c r="A570" s="13" t="s">
        <v>1015</v>
      </c>
      <c r="B570" t="s">
        <v>1832</v>
      </c>
      <c r="C570" s="4">
        <v>202601307817002</v>
      </c>
      <c r="D570" s="4" t="b">
        <f t="shared" si="42"/>
        <v>1</v>
      </c>
      <c r="E570" t="s">
        <v>20</v>
      </c>
      <c r="F570" t="s">
        <v>21</v>
      </c>
      <c r="G570" t="s">
        <v>1016</v>
      </c>
      <c r="H570" t="str">
        <f>VLOOKUP(C570,'[1]Erogati mag-giu 2026_791_old'!$B:$E,4,FALSE)</f>
        <v>C344187</v>
      </c>
      <c r="I570" t="b">
        <f t="shared" si="38"/>
        <v>1</v>
      </c>
      <c r="J570" s="14">
        <v>46179</v>
      </c>
      <c r="K570" s="14">
        <v>46179</v>
      </c>
      <c r="L570" t="s">
        <v>20</v>
      </c>
      <c r="M570" s="14">
        <v>46188</v>
      </c>
      <c r="N570" s="14">
        <v>46179</v>
      </c>
      <c r="O570" t="s">
        <v>20</v>
      </c>
      <c r="P570">
        <v>-66.260000000000005</v>
      </c>
      <c r="Q570">
        <f>VLOOKUP(G570,'[1]Erogati mag-giu 2026_791_old'!$A:$W,12,FALSE)</f>
        <v>-66.260000000000005</v>
      </c>
      <c r="R570">
        <f t="shared" si="39"/>
        <v>0</v>
      </c>
      <c r="S570">
        <v>-66.260000000000005</v>
      </c>
      <c r="T570">
        <f>VLOOKUP(G570,'[1]Erogati mag-giu 2026_791_old'!$A:$W,13,FALSE)</f>
        <v>-66.260000000000005</v>
      </c>
      <c r="U570">
        <f t="shared" si="40"/>
        <v>0</v>
      </c>
      <c r="V570">
        <v>-66.260000000000005</v>
      </c>
      <c r="W570">
        <f>VLOOKUP(G570,'[1]Erogati mag-giu 2026_791_old'!$A:$W,14,FALSE)</f>
        <v>-66.260000000000005</v>
      </c>
      <c r="X570">
        <f t="shared" si="41"/>
        <v>0</v>
      </c>
      <c r="Y570" t="s">
        <v>158</v>
      </c>
      <c r="Z570" t="str">
        <f>VLOOKUP(G570,'[2]Erogati mag-giu 2026_791_old'!$D:$T,11,FALSE)</f>
        <v>indiretto</v>
      </c>
      <c r="AA570" t="b">
        <v>1</v>
      </c>
      <c r="AF570" t="s">
        <v>20</v>
      </c>
      <c r="AG570" t="s">
        <v>20</v>
      </c>
    </row>
    <row r="571" spans="1:33">
      <c r="A571" s="13" t="s">
        <v>1017</v>
      </c>
      <c r="B571" t="s">
        <v>1833</v>
      </c>
      <c r="C571" s="4">
        <v>202601307822953</v>
      </c>
      <c r="D571" s="4" t="b">
        <f t="shared" si="42"/>
        <v>1</v>
      </c>
      <c r="E571" t="s">
        <v>20</v>
      </c>
      <c r="F571" t="s">
        <v>21</v>
      </c>
      <c r="G571" t="s">
        <v>1018</v>
      </c>
      <c r="H571" t="str">
        <f>VLOOKUP(C571,'[1]Erogati mag-giu 2026_791_old'!$B:$E,4,FALSE)</f>
        <v>C344186</v>
      </c>
      <c r="I571" t="b">
        <f t="shared" si="38"/>
        <v>1</v>
      </c>
      <c r="J571" s="14">
        <v>46179</v>
      </c>
      <c r="K571" s="14">
        <v>46179</v>
      </c>
      <c r="L571" t="s">
        <v>20</v>
      </c>
      <c r="M571" s="14">
        <v>46188</v>
      </c>
      <c r="N571" s="14">
        <v>46179</v>
      </c>
      <c r="O571" t="s">
        <v>20</v>
      </c>
      <c r="P571">
        <v>-26.26</v>
      </c>
      <c r="Q571">
        <f>VLOOKUP(G571,'[1]Erogati mag-giu 2026_791_old'!$A:$W,12,FALSE)</f>
        <v>-26.26</v>
      </c>
      <c r="R571">
        <f t="shared" si="39"/>
        <v>0</v>
      </c>
      <c r="S571">
        <v>-26.26</v>
      </c>
      <c r="T571">
        <f>VLOOKUP(G571,'[1]Erogati mag-giu 2026_791_old'!$A:$W,13,FALSE)</f>
        <v>-26.26</v>
      </c>
      <c r="U571">
        <f t="shared" si="40"/>
        <v>0</v>
      </c>
      <c r="V571">
        <v>-26.26</v>
      </c>
      <c r="W571">
        <f>VLOOKUP(G571,'[1]Erogati mag-giu 2026_791_old'!$A:$W,14,FALSE)</f>
        <v>-26.26</v>
      </c>
      <c r="X571">
        <f t="shared" si="41"/>
        <v>0</v>
      </c>
      <c r="Y571" t="s">
        <v>158</v>
      </c>
      <c r="Z571" t="str">
        <f>VLOOKUP(G571,'[2]Erogati mag-giu 2026_791_old'!$D:$T,11,FALSE)</f>
        <v>indiretto</v>
      </c>
      <c r="AA571" t="b">
        <v>1</v>
      </c>
      <c r="AF571" t="s">
        <v>20</v>
      </c>
      <c r="AG571" t="s">
        <v>20</v>
      </c>
    </row>
    <row r="572" spans="1:33">
      <c r="A572" s="13" t="s">
        <v>1019</v>
      </c>
      <c r="B572" t="s">
        <v>1834</v>
      </c>
      <c r="C572" s="4">
        <v>202601307823185</v>
      </c>
      <c r="D572" s="4" t="b">
        <f t="shared" si="42"/>
        <v>1</v>
      </c>
      <c r="E572" t="s">
        <v>20</v>
      </c>
      <c r="F572" t="s">
        <v>21</v>
      </c>
      <c r="G572" t="s">
        <v>1020</v>
      </c>
      <c r="H572" t="str">
        <f>VLOOKUP(C572,'[1]Erogati mag-giu 2026_791_old'!$B:$E,4,FALSE)</f>
        <v>C312441</v>
      </c>
      <c r="I572" t="b">
        <f t="shared" si="38"/>
        <v>1</v>
      </c>
      <c r="J572" s="14">
        <v>46179</v>
      </c>
      <c r="K572" s="14">
        <v>46179</v>
      </c>
      <c r="L572" t="s">
        <v>20</v>
      </c>
      <c r="M572" s="14">
        <v>46188</v>
      </c>
      <c r="N572" s="14">
        <v>46179</v>
      </c>
      <c r="O572" t="s">
        <v>20</v>
      </c>
      <c r="P572">
        <v>-29.82</v>
      </c>
      <c r="Q572">
        <f>VLOOKUP(G572,'[1]Erogati mag-giu 2026_791_old'!$A:$W,12,FALSE)</f>
        <v>-29.82</v>
      </c>
      <c r="R572">
        <f t="shared" si="39"/>
        <v>0</v>
      </c>
      <c r="S572">
        <v>-29.82</v>
      </c>
      <c r="T572">
        <f>VLOOKUP(G572,'[1]Erogati mag-giu 2026_791_old'!$A:$W,13,FALSE)</f>
        <v>-29.82</v>
      </c>
      <c r="U572">
        <f t="shared" si="40"/>
        <v>0</v>
      </c>
      <c r="V572">
        <v>-29.82</v>
      </c>
      <c r="W572">
        <f>VLOOKUP(G572,'[1]Erogati mag-giu 2026_791_old'!$A:$W,14,FALSE)</f>
        <v>-29.82</v>
      </c>
      <c r="X572">
        <f t="shared" si="41"/>
        <v>0</v>
      </c>
      <c r="Y572" t="s">
        <v>158</v>
      </c>
      <c r="Z572" t="str">
        <f>VLOOKUP(G572,'[2]Erogati mag-giu 2026_791_old'!$D:$T,11,FALSE)</f>
        <v>indiretto</v>
      </c>
      <c r="AA572" t="b">
        <v>1</v>
      </c>
      <c r="AF572" t="s">
        <v>20</v>
      </c>
      <c r="AG572" t="s">
        <v>20</v>
      </c>
    </row>
    <row r="573" spans="1:33">
      <c r="A573" s="13" t="s">
        <v>1021</v>
      </c>
      <c r="B573" t="s">
        <v>1835</v>
      </c>
      <c r="C573" s="4">
        <v>202601307825703</v>
      </c>
      <c r="D573" s="4" t="b">
        <f t="shared" si="42"/>
        <v>1</v>
      </c>
      <c r="E573" t="s">
        <v>20</v>
      </c>
      <c r="F573" t="s">
        <v>21</v>
      </c>
      <c r="G573" t="s">
        <v>1022</v>
      </c>
      <c r="H573" t="str">
        <f>VLOOKUP(C573,'[1]Erogati mag-giu 2026_791_old'!$B:$E,4,FALSE)</f>
        <v>C315027</v>
      </c>
      <c r="I573" t="b">
        <f t="shared" si="38"/>
        <v>1</v>
      </c>
      <c r="J573" s="14">
        <v>46179</v>
      </c>
      <c r="K573" s="14">
        <v>46179</v>
      </c>
      <c r="L573" t="s">
        <v>20</v>
      </c>
      <c r="M573" s="14">
        <v>46188</v>
      </c>
      <c r="N573" s="14">
        <v>46179</v>
      </c>
      <c r="O573" t="s">
        <v>20</v>
      </c>
      <c r="P573">
        <v>-33.130000000000003</v>
      </c>
      <c r="Q573">
        <f>VLOOKUP(G573,'[1]Erogati mag-giu 2026_791_old'!$A:$W,12,FALSE)</f>
        <v>-33.130000000000003</v>
      </c>
      <c r="R573">
        <f t="shared" si="39"/>
        <v>0</v>
      </c>
      <c r="S573">
        <v>-33.130000000000003</v>
      </c>
      <c r="T573">
        <f>VLOOKUP(G573,'[1]Erogati mag-giu 2026_791_old'!$A:$W,13,FALSE)</f>
        <v>-33.130000000000003</v>
      </c>
      <c r="U573">
        <f t="shared" si="40"/>
        <v>0</v>
      </c>
      <c r="V573">
        <v>-33.130000000000003</v>
      </c>
      <c r="W573">
        <f>VLOOKUP(G573,'[1]Erogati mag-giu 2026_791_old'!$A:$W,14,FALSE)</f>
        <v>-33.130000000000003</v>
      </c>
      <c r="X573">
        <f t="shared" si="41"/>
        <v>0</v>
      </c>
      <c r="Y573" t="s">
        <v>158</v>
      </c>
      <c r="Z573" t="str">
        <f>VLOOKUP(G573,'[2]Erogati mag-giu 2026_791_old'!$D:$T,11,FALSE)</f>
        <v>indiretto</v>
      </c>
      <c r="AA573" t="b">
        <v>1</v>
      </c>
      <c r="AF573" t="s">
        <v>20</v>
      </c>
      <c r="AG573" t="s">
        <v>20</v>
      </c>
    </row>
    <row r="574" spans="1:33">
      <c r="A574" s="13" t="s">
        <v>1023</v>
      </c>
      <c r="B574" t="s">
        <v>1836</v>
      </c>
      <c r="C574" s="4">
        <v>202601307832578</v>
      </c>
      <c r="D574" s="4" t="b">
        <f t="shared" si="42"/>
        <v>1</v>
      </c>
      <c r="E574" t="s">
        <v>20</v>
      </c>
      <c r="F574" t="s">
        <v>21</v>
      </c>
      <c r="G574" t="s">
        <v>1024</v>
      </c>
      <c r="H574" t="str">
        <f>VLOOKUP(C574,'[1]Erogati mag-giu 2026_791_old'!$B:$E,4,FALSE)</f>
        <v>C344185</v>
      </c>
      <c r="I574" t="b">
        <f t="shared" si="38"/>
        <v>1</v>
      </c>
      <c r="J574" s="14">
        <v>46179</v>
      </c>
      <c r="K574" s="14">
        <v>46179</v>
      </c>
      <c r="L574" t="s">
        <v>20</v>
      </c>
      <c r="M574" s="14">
        <v>46188</v>
      </c>
      <c r="N574" s="14">
        <v>46179</v>
      </c>
      <c r="O574" t="s">
        <v>20</v>
      </c>
      <c r="P574">
        <v>-26.26</v>
      </c>
      <c r="Q574">
        <f>VLOOKUP(G574,'[1]Erogati mag-giu 2026_791_old'!$A:$W,12,FALSE)</f>
        <v>-26.26</v>
      </c>
      <c r="R574">
        <f t="shared" si="39"/>
        <v>0</v>
      </c>
      <c r="S574">
        <v>-26.26</v>
      </c>
      <c r="T574">
        <f>VLOOKUP(G574,'[1]Erogati mag-giu 2026_791_old'!$A:$W,13,FALSE)</f>
        <v>-26.26</v>
      </c>
      <c r="U574">
        <f t="shared" si="40"/>
        <v>0</v>
      </c>
      <c r="V574">
        <v>-26.26</v>
      </c>
      <c r="W574">
        <f>VLOOKUP(G574,'[1]Erogati mag-giu 2026_791_old'!$A:$W,14,FALSE)</f>
        <v>-26.26</v>
      </c>
      <c r="X574">
        <f t="shared" si="41"/>
        <v>0</v>
      </c>
      <c r="Y574" t="s">
        <v>158</v>
      </c>
      <c r="Z574" t="str">
        <f>VLOOKUP(G574,'[2]Erogati mag-giu 2026_791_old'!$D:$T,11,FALSE)</f>
        <v>indiretto</v>
      </c>
      <c r="AA574" t="b">
        <v>1</v>
      </c>
      <c r="AF574" t="s">
        <v>20</v>
      </c>
      <c r="AG574" t="s">
        <v>20</v>
      </c>
    </row>
    <row r="575" spans="1:33">
      <c r="A575" s="13" t="s">
        <v>1025</v>
      </c>
      <c r="B575" t="s">
        <v>1837</v>
      </c>
      <c r="C575" s="4">
        <v>202601307840877</v>
      </c>
      <c r="D575" s="4" t="b">
        <f t="shared" si="42"/>
        <v>1</v>
      </c>
      <c r="E575" t="s">
        <v>20</v>
      </c>
      <c r="F575" t="s">
        <v>21</v>
      </c>
      <c r="G575" t="s">
        <v>1026</v>
      </c>
      <c r="H575" t="str">
        <f>VLOOKUP(C575,'[1]Erogati mag-giu 2026_791_old'!$B:$E,4,FALSE)</f>
        <v>C316522</v>
      </c>
      <c r="I575" t="b">
        <f t="shared" si="38"/>
        <v>1</v>
      </c>
      <c r="J575" s="14">
        <v>46179</v>
      </c>
      <c r="K575" s="14">
        <v>46179</v>
      </c>
      <c r="L575" t="s">
        <v>20</v>
      </c>
      <c r="M575" s="14">
        <v>46188</v>
      </c>
      <c r="N575" s="14">
        <v>46179</v>
      </c>
      <c r="O575" t="s">
        <v>20</v>
      </c>
      <c r="P575">
        <v>-66.260000000000005</v>
      </c>
      <c r="Q575">
        <f>VLOOKUP(G575,'[1]Erogati mag-giu 2026_791_old'!$A:$W,12,FALSE)</f>
        <v>-66.260000000000005</v>
      </c>
      <c r="R575">
        <f t="shared" si="39"/>
        <v>0</v>
      </c>
      <c r="S575">
        <v>-66.260000000000005</v>
      </c>
      <c r="T575">
        <f>VLOOKUP(G575,'[1]Erogati mag-giu 2026_791_old'!$A:$W,13,FALSE)</f>
        <v>-66.260000000000005</v>
      </c>
      <c r="U575">
        <f t="shared" si="40"/>
        <v>0</v>
      </c>
      <c r="V575">
        <v>-66.260000000000005</v>
      </c>
      <c r="W575">
        <f>VLOOKUP(G575,'[1]Erogati mag-giu 2026_791_old'!$A:$W,14,FALSE)</f>
        <v>-66.260000000000005</v>
      </c>
      <c r="X575">
        <f t="shared" si="41"/>
        <v>0</v>
      </c>
      <c r="Y575" t="s">
        <v>158</v>
      </c>
      <c r="Z575" t="str">
        <f>VLOOKUP(G575,'[2]Erogati mag-giu 2026_791_old'!$D:$T,11,FALSE)</f>
        <v>indiretto</v>
      </c>
      <c r="AA575" t="b">
        <v>1</v>
      </c>
      <c r="AF575" t="s">
        <v>20</v>
      </c>
      <c r="AG575" t="s">
        <v>20</v>
      </c>
    </row>
    <row r="576" spans="1:33">
      <c r="A576" s="13" t="s">
        <v>1027</v>
      </c>
      <c r="B576" t="s">
        <v>1838</v>
      </c>
      <c r="C576" s="4">
        <v>202601307847853</v>
      </c>
      <c r="D576" s="4" t="b">
        <f t="shared" si="42"/>
        <v>1</v>
      </c>
      <c r="E576" t="s">
        <v>20</v>
      </c>
      <c r="F576" t="s">
        <v>21</v>
      </c>
      <c r="G576" t="s">
        <v>1028</v>
      </c>
      <c r="H576" t="str">
        <f>VLOOKUP(C576,'[1]Erogati mag-giu 2026_791_old'!$B:$E,4,FALSE)</f>
        <v>C314978</v>
      </c>
      <c r="I576" t="b">
        <f t="shared" si="38"/>
        <v>1</v>
      </c>
      <c r="J576" s="14">
        <v>46179</v>
      </c>
      <c r="K576" s="14">
        <v>46179</v>
      </c>
      <c r="L576" t="s">
        <v>20</v>
      </c>
      <c r="M576" s="14">
        <v>46188</v>
      </c>
      <c r="N576" s="14">
        <v>46179</v>
      </c>
      <c r="O576" t="s">
        <v>20</v>
      </c>
      <c r="P576">
        <v>-98.48</v>
      </c>
      <c r="Q576">
        <f>VLOOKUP(G576,'[1]Erogati mag-giu 2026_791_old'!$A:$W,12,FALSE)</f>
        <v>-98.48</v>
      </c>
      <c r="R576">
        <f t="shared" si="39"/>
        <v>0</v>
      </c>
      <c r="S576">
        <v>-98.48</v>
      </c>
      <c r="T576">
        <f>VLOOKUP(G576,'[1]Erogati mag-giu 2026_791_old'!$A:$W,13,FALSE)</f>
        <v>-98.48</v>
      </c>
      <c r="U576">
        <f t="shared" si="40"/>
        <v>0</v>
      </c>
      <c r="V576">
        <v>-98.48</v>
      </c>
      <c r="W576">
        <f>VLOOKUP(G576,'[1]Erogati mag-giu 2026_791_old'!$A:$W,14,FALSE)</f>
        <v>-98.48</v>
      </c>
      <c r="X576">
        <f t="shared" si="41"/>
        <v>0</v>
      </c>
      <c r="Y576" t="s">
        <v>158</v>
      </c>
      <c r="Z576" t="str">
        <f>VLOOKUP(G576,'[2]Erogati mag-giu 2026_791_old'!$D:$T,11,FALSE)</f>
        <v>indiretto</v>
      </c>
      <c r="AA576" t="b">
        <v>1</v>
      </c>
      <c r="AF576" t="s">
        <v>20</v>
      </c>
      <c r="AG576" t="s">
        <v>20</v>
      </c>
    </row>
    <row r="577" spans="1:33">
      <c r="A577" s="13" t="s">
        <v>1029</v>
      </c>
      <c r="B577" t="s">
        <v>1839</v>
      </c>
      <c r="C577" s="4">
        <v>202601307852880</v>
      </c>
      <c r="D577" s="4" t="b">
        <f t="shared" si="42"/>
        <v>1</v>
      </c>
      <c r="E577" t="s">
        <v>20</v>
      </c>
      <c r="F577" t="s">
        <v>21</v>
      </c>
      <c r="G577" t="s">
        <v>1030</v>
      </c>
      <c r="H577" t="str">
        <f>VLOOKUP(C577,'[1]Erogati mag-giu 2026_791_old'!$B:$E,4,FALSE)</f>
        <v>C123185</v>
      </c>
      <c r="I577" t="b">
        <f t="shared" si="38"/>
        <v>1</v>
      </c>
      <c r="J577" s="14">
        <v>46179</v>
      </c>
      <c r="K577" s="14">
        <v>46179</v>
      </c>
      <c r="L577" t="s">
        <v>20</v>
      </c>
      <c r="M577" s="14">
        <v>46188</v>
      </c>
      <c r="N577" s="14">
        <v>46179</v>
      </c>
      <c r="O577" t="s">
        <v>20</v>
      </c>
      <c r="P577">
        <v>-66.260000000000005</v>
      </c>
      <c r="Q577">
        <f>VLOOKUP(G577,'[1]Erogati mag-giu 2026_791_old'!$A:$W,12,FALSE)</f>
        <v>-66.260000000000005</v>
      </c>
      <c r="R577">
        <f t="shared" si="39"/>
        <v>0</v>
      </c>
      <c r="S577">
        <v>-66.260000000000005</v>
      </c>
      <c r="T577">
        <f>VLOOKUP(G577,'[1]Erogati mag-giu 2026_791_old'!$A:$W,13,FALSE)</f>
        <v>-66.260000000000005</v>
      </c>
      <c r="U577">
        <f t="shared" si="40"/>
        <v>0</v>
      </c>
      <c r="V577">
        <v>-66.260000000000005</v>
      </c>
      <c r="W577">
        <f>VLOOKUP(G577,'[1]Erogati mag-giu 2026_791_old'!$A:$W,14,FALSE)</f>
        <v>-66.260000000000005</v>
      </c>
      <c r="X577">
        <f t="shared" si="41"/>
        <v>0</v>
      </c>
      <c r="Y577" t="s">
        <v>158</v>
      </c>
      <c r="Z577" t="str">
        <f>VLOOKUP(G577,'[2]Erogati mag-giu 2026_791_old'!$D:$T,11,FALSE)</f>
        <v>indiretto</v>
      </c>
      <c r="AA577" t="b">
        <v>1</v>
      </c>
      <c r="AF577" t="s">
        <v>20</v>
      </c>
      <c r="AG577" t="s">
        <v>20</v>
      </c>
    </row>
    <row r="578" spans="1:33">
      <c r="A578" s="13" t="s">
        <v>1031</v>
      </c>
      <c r="B578" t="s">
        <v>1840</v>
      </c>
      <c r="C578" s="4">
        <v>202601307858658</v>
      </c>
      <c r="D578" s="4" t="b">
        <f t="shared" si="42"/>
        <v>1</v>
      </c>
      <c r="E578" t="s">
        <v>20</v>
      </c>
      <c r="F578" t="s">
        <v>21</v>
      </c>
      <c r="G578" t="s">
        <v>1032</v>
      </c>
      <c r="H578" t="str">
        <f>VLOOKUP(C578,'[1]Erogati mag-giu 2026_791_old'!$B:$E,4,FALSE)</f>
        <v>IN18932</v>
      </c>
      <c r="I578" t="b">
        <f t="shared" si="38"/>
        <v>1</v>
      </c>
      <c r="J578" s="14">
        <v>46179</v>
      </c>
      <c r="K578" s="14">
        <v>46179</v>
      </c>
      <c r="L578" t="s">
        <v>20</v>
      </c>
      <c r="M578" s="14">
        <v>46188</v>
      </c>
      <c r="N578" s="14">
        <v>46179</v>
      </c>
      <c r="O578" t="s">
        <v>20</v>
      </c>
      <c r="P578">
        <v>-24.62</v>
      </c>
      <c r="Q578">
        <f>VLOOKUP(G578,'[1]Erogati mag-giu 2026_791_old'!$A:$W,12,FALSE)</f>
        <v>-24.62</v>
      </c>
      <c r="R578">
        <f t="shared" si="39"/>
        <v>0</v>
      </c>
      <c r="S578">
        <v>-24.62</v>
      </c>
      <c r="T578">
        <f>VLOOKUP(G578,'[1]Erogati mag-giu 2026_791_old'!$A:$W,13,FALSE)</f>
        <v>-24.62</v>
      </c>
      <c r="U578">
        <f t="shared" si="40"/>
        <v>0</v>
      </c>
      <c r="V578">
        <v>-24.62</v>
      </c>
      <c r="W578">
        <f>VLOOKUP(G578,'[1]Erogati mag-giu 2026_791_old'!$A:$W,14,FALSE)</f>
        <v>-24.62</v>
      </c>
      <c r="X578">
        <f t="shared" si="41"/>
        <v>0</v>
      </c>
      <c r="Y578" t="s">
        <v>158</v>
      </c>
      <c r="Z578" t="str">
        <f>VLOOKUP(G578,'[2]Erogati mag-giu 2026_791_old'!$D:$T,11,FALSE)</f>
        <v>indiretto</v>
      </c>
      <c r="AA578" t="b">
        <v>1</v>
      </c>
      <c r="AF578" t="s">
        <v>20</v>
      </c>
      <c r="AG578" t="s">
        <v>20</v>
      </c>
    </row>
    <row r="579" spans="1:33">
      <c r="A579" s="13" t="s">
        <v>1033</v>
      </c>
      <c r="B579" t="s">
        <v>1841</v>
      </c>
      <c r="C579" s="4">
        <v>202601307860580</v>
      </c>
      <c r="D579" s="4" t="b">
        <f t="shared" si="42"/>
        <v>1</v>
      </c>
      <c r="E579" t="s">
        <v>20</v>
      </c>
      <c r="F579" t="s">
        <v>21</v>
      </c>
      <c r="G579" t="s">
        <v>1034</v>
      </c>
      <c r="H579" t="str">
        <f>VLOOKUP(C579,'[1]Erogati mag-giu 2026_791_old'!$B:$E,4,FALSE)</f>
        <v>C344297</v>
      </c>
      <c r="I579" t="b">
        <f t="shared" si="38"/>
        <v>1</v>
      </c>
      <c r="J579" s="14">
        <v>46179</v>
      </c>
      <c r="K579" s="14">
        <v>46179</v>
      </c>
      <c r="L579" t="s">
        <v>20</v>
      </c>
      <c r="M579" s="14">
        <v>46188</v>
      </c>
      <c r="N579" s="14">
        <v>46179</v>
      </c>
      <c r="O579" t="s">
        <v>20</v>
      </c>
      <c r="P579">
        <v>-33.130000000000003</v>
      </c>
      <c r="Q579">
        <f>VLOOKUP(G579,'[1]Erogati mag-giu 2026_791_old'!$A:$W,12,FALSE)</f>
        <v>-33.130000000000003</v>
      </c>
      <c r="R579">
        <f t="shared" si="39"/>
        <v>0</v>
      </c>
      <c r="S579">
        <v>-33.130000000000003</v>
      </c>
      <c r="T579">
        <f>VLOOKUP(G579,'[1]Erogati mag-giu 2026_791_old'!$A:$W,13,FALSE)</f>
        <v>-33.130000000000003</v>
      </c>
      <c r="U579">
        <f t="shared" si="40"/>
        <v>0</v>
      </c>
      <c r="V579">
        <v>-33.130000000000003</v>
      </c>
      <c r="W579">
        <f>VLOOKUP(G579,'[1]Erogati mag-giu 2026_791_old'!$A:$W,14,FALSE)</f>
        <v>-33.130000000000003</v>
      </c>
      <c r="X579">
        <f t="shared" si="41"/>
        <v>0</v>
      </c>
      <c r="Y579" t="s">
        <v>158</v>
      </c>
      <c r="Z579" t="str">
        <f>VLOOKUP(G579,'[2]Erogati mag-giu 2026_791_old'!$D:$T,11,FALSE)</f>
        <v>indiretto</v>
      </c>
      <c r="AA579" t="b">
        <v>1</v>
      </c>
      <c r="AF579" t="s">
        <v>20</v>
      </c>
      <c r="AG579" t="s">
        <v>20</v>
      </c>
    </row>
    <row r="580" spans="1:33">
      <c r="A580" s="13" t="s">
        <v>1035</v>
      </c>
      <c r="B580" t="s">
        <v>1842</v>
      </c>
      <c r="C580" s="4">
        <v>202601307862724</v>
      </c>
      <c r="D580" s="4" t="b">
        <f t="shared" si="42"/>
        <v>1</v>
      </c>
      <c r="E580" t="s">
        <v>20</v>
      </c>
      <c r="F580" t="s">
        <v>21</v>
      </c>
      <c r="G580" t="s">
        <v>1036</v>
      </c>
      <c r="H580" t="str">
        <f>VLOOKUP(C580,'[1]Erogati mag-giu 2026_791_old'!$B:$E,4,FALSE)</f>
        <v>C313890</v>
      </c>
      <c r="I580" t="b">
        <f t="shared" ref="I580:I643" si="43">EXACT(G580,H580)</f>
        <v>1</v>
      </c>
      <c r="J580" s="14">
        <v>46179</v>
      </c>
      <c r="K580" s="14">
        <v>46179</v>
      </c>
      <c r="L580" t="s">
        <v>20</v>
      </c>
      <c r="M580" s="14">
        <v>46188</v>
      </c>
      <c r="N580" s="14">
        <v>46179</v>
      </c>
      <c r="O580" t="s">
        <v>20</v>
      </c>
      <c r="P580">
        <v>-47.94</v>
      </c>
      <c r="Q580">
        <f>VLOOKUP(G580,'[1]Erogati mag-giu 2026_791_old'!$A:$W,12,FALSE)</f>
        <v>-47.94</v>
      </c>
      <c r="R580">
        <f t="shared" ref="R580:R643" si="44">P580-Q580</f>
        <v>0</v>
      </c>
      <c r="S580">
        <v>-47.94</v>
      </c>
      <c r="T580">
        <f>VLOOKUP(G580,'[1]Erogati mag-giu 2026_791_old'!$A:$W,13,FALSE)</f>
        <v>-47.94</v>
      </c>
      <c r="U580">
        <f t="shared" ref="U580:U643" si="45">S580-T580</f>
        <v>0</v>
      </c>
      <c r="V580">
        <v>-47.94</v>
      </c>
      <c r="W580">
        <f>VLOOKUP(G580,'[1]Erogati mag-giu 2026_791_old'!$A:$W,14,FALSE)</f>
        <v>-47.94</v>
      </c>
      <c r="X580">
        <f t="shared" ref="X580:X643" si="46">V580-W580</f>
        <v>0</v>
      </c>
      <c r="Y580" t="s">
        <v>158</v>
      </c>
      <c r="Z580" t="str">
        <f>VLOOKUP(G580,'[2]Erogati mag-giu 2026_791_old'!$D:$T,11,FALSE)</f>
        <v>indiretto</v>
      </c>
      <c r="AA580" t="b">
        <v>1</v>
      </c>
      <c r="AF580" t="s">
        <v>20</v>
      </c>
      <c r="AG580" t="s">
        <v>20</v>
      </c>
    </row>
    <row r="581" spans="1:33">
      <c r="A581" s="13" t="s">
        <v>1037</v>
      </c>
      <c r="B581" t="s">
        <v>1843</v>
      </c>
      <c r="C581" s="4">
        <v>202601307868166</v>
      </c>
      <c r="D581" s="4" t="b">
        <f t="shared" si="42"/>
        <v>1</v>
      </c>
      <c r="E581" t="s">
        <v>20</v>
      </c>
      <c r="F581" t="s">
        <v>21</v>
      </c>
      <c r="G581" t="s">
        <v>1038</v>
      </c>
      <c r="H581" t="str">
        <f>VLOOKUP(C581,'[1]Erogati mag-giu 2026_791_old'!$B:$E,4,FALSE)</f>
        <v>C344164</v>
      </c>
      <c r="I581" t="b">
        <f t="shared" si="43"/>
        <v>1</v>
      </c>
      <c r="J581" s="14">
        <v>46179</v>
      </c>
      <c r="K581" s="14">
        <v>46179</v>
      </c>
      <c r="L581" t="s">
        <v>20</v>
      </c>
      <c r="M581" s="14">
        <v>46188</v>
      </c>
      <c r="N581" s="14">
        <v>46179</v>
      </c>
      <c r="O581" t="s">
        <v>20</v>
      </c>
      <c r="P581">
        <v>-70.22</v>
      </c>
      <c r="Q581">
        <f>VLOOKUP(G581,'[1]Erogati mag-giu 2026_791_old'!$A:$W,12,FALSE)</f>
        <v>-70.22</v>
      </c>
      <c r="R581">
        <f t="shared" si="44"/>
        <v>0</v>
      </c>
      <c r="S581">
        <v>-70.22</v>
      </c>
      <c r="T581">
        <f>VLOOKUP(G581,'[1]Erogati mag-giu 2026_791_old'!$A:$W,13,FALSE)</f>
        <v>-70.22</v>
      </c>
      <c r="U581">
        <f t="shared" si="45"/>
        <v>0</v>
      </c>
      <c r="V581">
        <v>-70.22</v>
      </c>
      <c r="W581">
        <f>VLOOKUP(G581,'[1]Erogati mag-giu 2026_791_old'!$A:$W,14,FALSE)</f>
        <v>-70.22</v>
      </c>
      <c r="X581">
        <f t="shared" si="46"/>
        <v>0</v>
      </c>
      <c r="Y581" t="s">
        <v>158</v>
      </c>
      <c r="Z581" t="str">
        <f>VLOOKUP(G581,'[2]Erogati mag-giu 2026_791_old'!$D:$T,11,FALSE)</f>
        <v>indiretto</v>
      </c>
      <c r="AA581" t="b">
        <v>1</v>
      </c>
      <c r="AF581" t="s">
        <v>20</v>
      </c>
      <c r="AG581" t="s">
        <v>20</v>
      </c>
    </row>
    <row r="582" spans="1:33">
      <c r="A582" s="13" t="s">
        <v>1039</v>
      </c>
      <c r="B582" t="s">
        <v>1844</v>
      </c>
      <c r="C582" s="4">
        <v>202601307868990</v>
      </c>
      <c r="D582" s="4" t="b">
        <f t="shared" si="42"/>
        <v>1</v>
      </c>
      <c r="E582" t="s">
        <v>20</v>
      </c>
      <c r="F582" t="s">
        <v>21</v>
      </c>
      <c r="G582" t="s">
        <v>1040</v>
      </c>
      <c r="H582" t="str">
        <f>VLOOKUP(C582,'[1]Erogati mag-giu 2026_791_old'!$B:$E,4,FALSE)</f>
        <v>C309998</v>
      </c>
      <c r="I582" t="b">
        <f t="shared" si="43"/>
        <v>1</v>
      </c>
      <c r="J582" s="14">
        <v>46179</v>
      </c>
      <c r="K582" s="14">
        <v>46179</v>
      </c>
      <c r="L582" t="s">
        <v>20</v>
      </c>
      <c r="M582" s="14">
        <v>46188</v>
      </c>
      <c r="N582" s="14">
        <v>46179</v>
      </c>
      <c r="O582" t="s">
        <v>20</v>
      </c>
      <c r="P582">
        <v>-18.16</v>
      </c>
      <c r="Q582">
        <f>VLOOKUP(G582,'[1]Erogati mag-giu 2026_791_old'!$A:$W,12,FALSE)</f>
        <v>-18.16</v>
      </c>
      <c r="R582">
        <f t="shared" si="44"/>
        <v>0</v>
      </c>
      <c r="S582">
        <v>-18.16</v>
      </c>
      <c r="T582">
        <f>VLOOKUP(G582,'[1]Erogati mag-giu 2026_791_old'!$A:$W,13,FALSE)</f>
        <v>-18.16</v>
      </c>
      <c r="U582">
        <f t="shared" si="45"/>
        <v>0</v>
      </c>
      <c r="V582">
        <v>-18.16</v>
      </c>
      <c r="W582">
        <f>VLOOKUP(G582,'[1]Erogati mag-giu 2026_791_old'!$A:$W,14,FALSE)</f>
        <v>-18.16</v>
      </c>
      <c r="X582">
        <f t="shared" si="46"/>
        <v>0</v>
      </c>
      <c r="Y582" t="s">
        <v>158</v>
      </c>
      <c r="Z582" t="str">
        <f>VLOOKUP(G582,'[2]Erogati mag-giu 2026_791_old'!$D:$T,11,FALSE)</f>
        <v>indiretto</v>
      </c>
      <c r="AA582" t="b">
        <v>1</v>
      </c>
      <c r="AF582" t="s">
        <v>20</v>
      </c>
      <c r="AG582" t="s">
        <v>20</v>
      </c>
    </row>
    <row r="583" spans="1:33">
      <c r="A583" s="13" t="s">
        <v>1041</v>
      </c>
      <c r="B583" t="s">
        <v>1845</v>
      </c>
      <c r="C583" s="4">
        <v>202601307871245</v>
      </c>
      <c r="D583" s="4" t="b">
        <f t="shared" si="42"/>
        <v>1</v>
      </c>
      <c r="E583" t="s">
        <v>20</v>
      </c>
      <c r="F583" t="s">
        <v>21</v>
      </c>
      <c r="G583" t="s">
        <v>1042</v>
      </c>
      <c r="H583" t="str">
        <f>VLOOKUP(C583,'[1]Erogati mag-giu 2026_791_old'!$B:$E,4,FALSE)</f>
        <v>C344295</v>
      </c>
      <c r="I583" t="b">
        <f t="shared" si="43"/>
        <v>1</v>
      </c>
      <c r="J583" s="14">
        <v>46179</v>
      </c>
      <c r="K583" s="14">
        <v>46179</v>
      </c>
      <c r="L583" t="s">
        <v>20</v>
      </c>
      <c r="M583" s="14">
        <v>46188</v>
      </c>
      <c r="N583" s="14">
        <v>46179</v>
      </c>
      <c r="O583" t="s">
        <v>20</v>
      </c>
      <c r="P583">
        <v>-131.29</v>
      </c>
      <c r="Q583">
        <f>VLOOKUP(G583,'[1]Erogati mag-giu 2026_791_old'!$A:$W,12,FALSE)</f>
        <v>-131.29</v>
      </c>
      <c r="R583">
        <f t="shared" si="44"/>
        <v>0</v>
      </c>
      <c r="S583">
        <v>-131.29</v>
      </c>
      <c r="T583">
        <f>VLOOKUP(G583,'[1]Erogati mag-giu 2026_791_old'!$A:$W,13,FALSE)</f>
        <v>-131.29</v>
      </c>
      <c r="U583">
        <f t="shared" si="45"/>
        <v>0</v>
      </c>
      <c r="V583">
        <v>-131.29</v>
      </c>
      <c r="W583">
        <f>VLOOKUP(G583,'[1]Erogati mag-giu 2026_791_old'!$A:$W,14,FALSE)</f>
        <v>-131.29</v>
      </c>
      <c r="X583">
        <f t="shared" si="46"/>
        <v>0</v>
      </c>
      <c r="Y583" t="s">
        <v>158</v>
      </c>
      <c r="Z583" t="str">
        <f>VLOOKUP(G583,'[2]Erogati mag-giu 2026_791_old'!$D:$T,11,FALSE)</f>
        <v>indiretto</v>
      </c>
      <c r="AA583" t="b">
        <v>1</v>
      </c>
      <c r="AF583" t="s">
        <v>20</v>
      </c>
      <c r="AG583" t="s">
        <v>20</v>
      </c>
    </row>
    <row r="584" spans="1:33">
      <c r="A584" s="13" t="s">
        <v>1043</v>
      </c>
      <c r="B584" t="s">
        <v>1846</v>
      </c>
      <c r="C584" s="4">
        <v>202601307874504</v>
      </c>
      <c r="D584" s="4" t="b">
        <f t="shared" si="42"/>
        <v>1</v>
      </c>
      <c r="E584" t="s">
        <v>20</v>
      </c>
      <c r="F584" t="s">
        <v>21</v>
      </c>
      <c r="G584" t="s">
        <v>1044</v>
      </c>
      <c r="H584" t="str">
        <f>VLOOKUP(C584,'[1]Erogati mag-giu 2026_791_old'!$B:$E,4,FALSE)</f>
        <v>C315074</v>
      </c>
      <c r="I584" t="b">
        <f t="shared" si="43"/>
        <v>1</v>
      </c>
      <c r="J584" s="14">
        <v>46179</v>
      </c>
      <c r="K584" s="14">
        <v>46179</v>
      </c>
      <c r="L584" t="s">
        <v>20</v>
      </c>
      <c r="M584" s="14">
        <v>46188</v>
      </c>
      <c r="N584" s="14">
        <v>46179</v>
      </c>
      <c r="O584" t="s">
        <v>20</v>
      </c>
      <c r="P584">
        <v>-99.39</v>
      </c>
      <c r="Q584">
        <f>VLOOKUP(G584,'[1]Erogati mag-giu 2026_791_old'!$A:$W,12,FALSE)</f>
        <v>-99.39</v>
      </c>
      <c r="R584">
        <f t="shared" si="44"/>
        <v>0</v>
      </c>
      <c r="S584">
        <v>-99.39</v>
      </c>
      <c r="T584">
        <f>VLOOKUP(G584,'[1]Erogati mag-giu 2026_791_old'!$A:$W,13,FALSE)</f>
        <v>-99.39</v>
      </c>
      <c r="U584">
        <f t="shared" si="45"/>
        <v>0</v>
      </c>
      <c r="V584">
        <v>-99.39</v>
      </c>
      <c r="W584">
        <f>VLOOKUP(G584,'[1]Erogati mag-giu 2026_791_old'!$A:$W,14,FALSE)</f>
        <v>-99.39</v>
      </c>
      <c r="X584">
        <f t="shared" si="46"/>
        <v>0</v>
      </c>
      <c r="Y584" t="s">
        <v>158</v>
      </c>
      <c r="Z584" t="str">
        <f>VLOOKUP(G584,'[2]Erogati mag-giu 2026_791_old'!$D:$T,11,FALSE)</f>
        <v>indiretto</v>
      </c>
      <c r="AA584" t="b">
        <v>1</v>
      </c>
      <c r="AF584" t="s">
        <v>20</v>
      </c>
      <c r="AG584" t="s">
        <v>20</v>
      </c>
    </row>
    <row r="585" spans="1:33">
      <c r="A585" s="13" t="s">
        <v>1045</v>
      </c>
      <c r="B585" t="s">
        <v>1847</v>
      </c>
      <c r="C585" s="4">
        <v>202601307876782</v>
      </c>
      <c r="D585" s="4" t="b">
        <f t="shared" ref="D585:D648" si="47">EXACT(B585,C585)</f>
        <v>1</v>
      </c>
      <c r="E585" t="s">
        <v>20</v>
      </c>
      <c r="F585" t="s">
        <v>21</v>
      </c>
      <c r="G585" t="s">
        <v>1046</v>
      </c>
      <c r="H585" t="str">
        <f>VLOOKUP(C585,'[1]Erogati mag-giu 2026_791_old'!$B:$E,4,FALSE)</f>
        <v>C313631</v>
      </c>
      <c r="I585" t="b">
        <f t="shared" si="43"/>
        <v>1</v>
      </c>
      <c r="J585" s="14">
        <v>46179</v>
      </c>
      <c r="K585" s="14">
        <v>46179</v>
      </c>
      <c r="L585" t="s">
        <v>20</v>
      </c>
      <c r="M585" s="14">
        <v>46188</v>
      </c>
      <c r="N585" s="14">
        <v>46179</v>
      </c>
      <c r="O585" t="s">
        <v>20</v>
      </c>
      <c r="P585">
        <v>-123.1</v>
      </c>
      <c r="Q585">
        <f>VLOOKUP(G585,'[1]Erogati mag-giu 2026_791_old'!$A:$W,12,FALSE)</f>
        <v>-123.1</v>
      </c>
      <c r="R585">
        <f t="shared" si="44"/>
        <v>0</v>
      </c>
      <c r="S585">
        <v>-123.1</v>
      </c>
      <c r="T585">
        <f>VLOOKUP(G585,'[1]Erogati mag-giu 2026_791_old'!$A:$W,13,FALSE)</f>
        <v>-123.1</v>
      </c>
      <c r="U585">
        <f t="shared" si="45"/>
        <v>0</v>
      </c>
      <c r="V585">
        <v>-123.1</v>
      </c>
      <c r="W585">
        <f>VLOOKUP(G585,'[1]Erogati mag-giu 2026_791_old'!$A:$W,14,FALSE)</f>
        <v>-123.1</v>
      </c>
      <c r="X585">
        <f t="shared" si="46"/>
        <v>0</v>
      </c>
      <c r="Y585" t="s">
        <v>158</v>
      </c>
      <c r="Z585" t="str">
        <f>VLOOKUP(G585,'[2]Erogati mag-giu 2026_791_old'!$D:$T,11,FALSE)</f>
        <v>indiretto</v>
      </c>
      <c r="AA585" t="b">
        <v>1</v>
      </c>
      <c r="AF585" t="s">
        <v>20</v>
      </c>
      <c r="AG585" t="s">
        <v>20</v>
      </c>
    </row>
    <row r="586" spans="1:33">
      <c r="A586" s="13" t="s">
        <v>1047</v>
      </c>
      <c r="B586" t="s">
        <v>1848</v>
      </c>
      <c r="C586" s="4">
        <v>202601307878808</v>
      </c>
      <c r="D586" s="4" t="b">
        <f t="shared" si="47"/>
        <v>1</v>
      </c>
      <c r="E586" t="s">
        <v>20</v>
      </c>
      <c r="F586" t="s">
        <v>21</v>
      </c>
      <c r="G586" t="s">
        <v>1048</v>
      </c>
      <c r="H586" t="str">
        <f>VLOOKUP(C586,'[1]Erogati mag-giu 2026_791_old'!$B:$E,4,FALSE)</f>
        <v>C314344</v>
      </c>
      <c r="I586" t="b">
        <f t="shared" si="43"/>
        <v>1</v>
      </c>
      <c r="J586" s="14">
        <v>46179</v>
      </c>
      <c r="K586" s="14">
        <v>46179</v>
      </c>
      <c r="L586" t="s">
        <v>20</v>
      </c>
      <c r="M586" s="14">
        <v>46188</v>
      </c>
      <c r="N586" s="14">
        <v>46179</v>
      </c>
      <c r="O586" t="s">
        <v>20</v>
      </c>
      <c r="P586">
        <v>-66.260000000000005</v>
      </c>
      <c r="Q586">
        <f>VLOOKUP(G586,'[1]Erogati mag-giu 2026_791_old'!$A:$W,12,FALSE)</f>
        <v>-66.260000000000005</v>
      </c>
      <c r="R586">
        <f t="shared" si="44"/>
        <v>0</v>
      </c>
      <c r="S586">
        <v>-66.260000000000005</v>
      </c>
      <c r="T586">
        <f>VLOOKUP(G586,'[1]Erogati mag-giu 2026_791_old'!$A:$W,13,FALSE)</f>
        <v>-66.260000000000005</v>
      </c>
      <c r="U586">
        <f t="shared" si="45"/>
        <v>0</v>
      </c>
      <c r="V586">
        <v>-66.260000000000005</v>
      </c>
      <c r="W586">
        <f>VLOOKUP(G586,'[1]Erogati mag-giu 2026_791_old'!$A:$W,14,FALSE)</f>
        <v>-66.260000000000005</v>
      </c>
      <c r="X586">
        <f t="shared" si="46"/>
        <v>0</v>
      </c>
      <c r="Y586" t="s">
        <v>158</v>
      </c>
      <c r="Z586" t="str">
        <f>VLOOKUP(G586,'[2]Erogati mag-giu 2026_791_old'!$D:$T,11,FALSE)</f>
        <v>indiretto</v>
      </c>
      <c r="AA586" t="b">
        <v>1</v>
      </c>
      <c r="AF586" t="s">
        <v>20</v>
      </c>
      <c r="AG586" t="s">
        <v>20</v>
      </c>
    </row>
    <row r="587" spans="1:33">
      <c r="A587" s="13" t="s">
        <v>1049</v>
      </c>
      <c r="B587" t="s">
        <v>1849</v>
      </c>
      <c r="C587" s="4">
        <v>202601307883576</v>
      </c>
      <c r="D587" s="4" t="b">
        <f t="shared" si="47"/>
        <v>1</v>
      </c>
      <c r="E587" t="s">
        <v>20</v>
      </c>
      <c r="F587" t="s">
        <v>21</v>
      </c>
      <c r="G587" t="s">
        <v>1050</v>
      </c>
      <c r="H587" t="str">
        <f>VLOOKUP(C587,'[1]Erogati mag-giu 2026_791_old'!$B:$E,4,FALSE)</f>
        <v>C117764</v>
      </c>
      <c r="I587" t="b">
        <f t="shared" si="43"/>
        <v>1</v>
      </c>
      <c r="J587" s="14">
        <v>46179</v>
      </c>
      <c r="K587" s="14">
        <v>46179</v>
      </c>
      <c r="L587" t="s">
        <v>20</v>
      </c>
      <c r="M587" s="14">
        <v>46188</v>
      </c>
      <c r="N587" s="14">
        <v>46179</v>
      </c>
      <c r="O587" t="s">
        <v>20</v>
      </c>
      <c r="P587">
        <v>-99.39</v>
      </c>
      <c r="Q587">
        <f>VLOOKUP(G587,'[1]Erogati mag-giu 2026_791_old'!$A:$W,12,FALSE)</f>
        <v>-99.39</v>
      </c>
      <c r="R587">
        <f t="shared" si="44"/>
        <v>0</v>
      </c>
      <c r="S587">
        <v>-99.39</v>
      </c>
      <c r="T587">
        <f>VLOOKUP(G587,'[1]Erogati mag-giu 2026_791_old'!$A:$W,13,FALSE)</f>
        <v>-99.39</v>
      </c>
      <c r="U587">
        <f t="shared" si="45"/>
        <v>0</v>
      </c>
      <c r="V587">
        <v>-99.39</v>
      </c>
      <c r="W587">
        <f>VLOOKUP(G587,'[1]Erogati mag-giu 2026_791_old'!$A:$W,14,FALSE)</f>
        <v>-99.39</v>
      </c>
      <c r="X587">
        <f t="shared" si="46"/>
        <v>0</v>
      </c>
      <c r="Y587" t="s">
        <v>158</v>
      </c>
      <c r="Z587" t="str">
        <f>VLOOKUP(G587,'[2]Erogati mag-giu 2026_791_old'!$D:$T,11,FALSE)</f>
        <v>indiretto</v>
      </c>
      <c r="AA587" t="b">
        <v>1</v>
      </c>
      <c r="AF587" t="s">
        <v>20</v>
      </c>
      <c r="AG587" t="s">
        <v>20</v>
      </c>
    </row>
    <row r="588" spans="1:33">
      <c r="A588" s="13" t="s">
        <v>1051</v>
      </c>
      <c r="B588" t="s">
        <v>1850</v>
      </c>
      <c r="C588" s="4">
        <v>202601307889401</v>
      </c>
      <c r="D588" s="4" t="b">
        <f t="shared" si="47"/>
        <v>1</v>
      </c>
      <c r="E588" t="s">
        <v>20</v>
      </c>
      <c r="F588" t="s">
        <v>21</v>
      </c>
      <c r="G588" t="s">
        <v>1052</v>
      </c>
      <c r="H588" t="str">
        <f>VLOOKUP(C588,'[1]Erogati mag-giu 2026_791_old'!$B:$E,4,FALSE)</f>
        <v>C344298</v>
      </c>
      <c r="I588" t="b">
        <f t="shared" si="43"/>
        <v>1</v>
      </c>
      <c r="J588" s="14">
        <v>46179</v>
      </c>
      <c r="K588" s="14">
        <v>46179</v>
      </c>
      <c r="L588" t="s">
        <v>20</v>
      </c>
      <c r="M588" s="14">
        <v>46188</v>
      </c>
      <c r="N588" s="14">
        <v>46179</v>
      </c>
      <c r="O588" t="s">
        <v>20</v>
      </c>
      <c r="P588">
        <v>-99.39</v>
      </c>
      <c r="Q588">
        <f>VLOOKUP(G588,'[1]Erogati mag-giu 2026_791_old'!$A:$W,12,FALSE)</f>
        <v>-99.39</v>
      </c>
      <c r="R588">
        <f t="shared" si="44"/>
        <v>0</v>
      </c>
      <c r="S588">
        <v>-99.39</v>
      </c>
      <c r="T588">
        <f>VLOOKUP(G588,'[1]Erogati mag-giu 2026_791_old'!$A:$W,13,FALSE)</f>
        <v>-99.39</v>
      </c>
      <c r="U588">
        <f t="shared" si="45"/>
        <v>0</v>
      </c>
      <c r="V588">
        <v>-99.39</v>
      </c>
      <c r="W588">
        <f>VLOOKUP(G588,'[1]Erogati mag-giu 2026_791_old'!$A:$W,14,FALSE)</f>
        <v>-99.39</v>
      </c>
      <c r="X588">
        <f t="shared" si="46"/>
        <v>0</v>
      </c>
      <c r="Y588" t="s">
        <v>158</v>
      </c>
      <c r="Z588" t="str">
        <f>VLOOKUP(G588,'[2]Erogati mag-giu 2026_791_old'!$D:$T,11,FALSE)</f>
        <v>indiretto</v>
      </c>
      <c r="AA588" t="b">
        <v>1</v>
      </c>
      <c r="AF588" t="s">
        <v>20</v>
      </c>
      <c r="AG588" t="s">
        <v>20</v>
      </c>
    </row>
    <row r="589" spans="1:33">
      <c r="A589" s="13" t="s">
        <v>1053</v>
      </c>
      <c r="B589" t="s">
        <v>1851</v>
      </c>
      <c r="C589" s="4">
        <v>202601307891135</v>
      </c>
      <c r="D589" s="4" t="b">
        <f t="shared" si="47"/>
        <v>1</v>
      </c>
      <c r="E589" t="s">
        <v>20</v>
      </c>
      <c r="F589" t="s">
        <v>21</v>
      </c>
      <c r="G589" t="s">
        <v>1054</v>
      </c>
      <c r="H589" t="str">
        <f>VLOOKUP(C589,'[1]Erogati mag-giu 2026_791_old'!$B:$E,4,FALSE)</f>
        <v>C344153</v>
      </c>
      <c r="I589" t="b">
        <f t="shared" si="43"/>
        <v>1</v>
      </c>
      <c r="J589" s="14">
        <v>46179</v>
      </c>
      <c r="K589" s="14">
        <v>46179</v>
      </c>
      <c r="L589" t="s">
        <v>20</v>
      </c>
      <c r="M589" s="14">
        <v>46188</v>
      </c>
      <c r="N589" s="14">
        <v>46179</v>
      </c>
      <c r="O589" t="s">
        <v>20</v>
      </c>
      <c r="P589">
        <v>-33.130000000000003</v>
      </c>
      <c r="Q589">
        <f>VLOOKUP(G589,'[1]Erogati mag-giu 2026_791_old'!$A:$W,12,FALSE)</f>
        <v>-33.130000000000003</v>
      </c>
      <c r="R589">
        <f t="shared" si="44"/>
        <v>0</v>
      </c>
      <c r="S589">
        <v>-33.130000000000003</v>
      </c>
      <c r="T589">
        <f>VLOOKUP(G589,'[1]Erogati mag-giu 2026_791_old'!$A:$W,13,FALSE)</f>
        <v>-33.130000000000003</v>
      </c>
      <c r="U589">
        <f t="shared" si="45"/>
        <v>0</v>
      </c>
      <c r="V589">
        <v>-33.130000000000003</v>
      </c>
      <c r="W589">
        <f>VLOOKUP(G589,'[1]Erogati mag-giu 2026_791_old'!$A:$W,14,FALSE)</f>
        <v>-33.130000000000003</v>
      </c>
      <c r="X589">
        <f t="shared" si="46"/>
        <v>0</v>
      </c>
      <c r="Y589" t="s">
        <v>158</v>
      </c>
      <c r="Z589" t="str">
        <f>VLOOKUP(G589,'[2]Erogati mag-giu 2026_791_old'!$D:$T,11,FALSE)</f>
        <v>indiretto</v>
      </c>
      <c r="AA589" t="b">
        <v>1</v>
      </c>
      <c r="AF589" t="s">
        <v>20</v>
      </c>
      <c r="AG589" t="s">
        <v>20</v>
      </c>
    </row>
    <row r="590" spans="1:33">
      <c r="A590" s="13" t="s">
        <v>1055</v>
      </c>
      <c r="B590" t="s">
        <v>1852</v>
      </c>
      <c r="C590" s="4">
        <v>202601307897778</v>
      </c>
      <c r="D590" s="4" t="b">
        <f t="shared" si="47"/>
        <v>1</v>
      </c>
      <c r="E590" t="s">
        <v>20</v>
      </c>
      <c r="F590" t="s">
        <v>21</v>
      </c>
      <c r="G590" t="s">
        <v>1056</v>
      </c>
      <c r="H590" t="str">
        <f>VLOOKUP(C590,'[1]Erogati mag-giu 2026_791_old'!$B:$E,4,FALSE)</f>
        <v>C316391</v>
      </c>
      <c r="I590" t="b">
        <f t="shared" si="43"/>
        <v>1</v>
      </c>
      <c r="J590" s="14">
        <v>46179</v>
      </c>
      <c r="K590" s="14">
        <v>46179</v>
      </c>
      <c r="L590" t="s">
        <v>20</v>
      </c>
      <c r="M590" s="14">
        <v>46188</v>
      </c>
      <c r="N590" s="14">
        <v>46179</v>
      </c>
      <c r="O590" t="s">
        <v>20</v>
      </c>
      <c r="P590">
        <v>-165.65</v>
      </c>
      <c r="Q590">
        <f>VLOOKUP(G590,'[1]Erogati mag-giu 2026_791_old'!$A:$W,12,FALSE)</f>
        <v>-165.65</v>
      </c>
      <c r="R590">
        <f t="shared" si="44"/>
        <v>0</v>
      </c>
      <c r="S590">
        <v>-165.65</v>
      </c>
      <c r="T590">
        <f>VLOOKUP(G590,'[1]Erogati mag-giu 2026_791_old'!$A:$W,13,FALSE)</f>
        <v>-165.65</v>
      </c>
      <c r="U590">
        <f t="shared" si="45"/>
        <v>0</v>
      </c>
      <c r="V590">
        <v>-165.65</v>
      </c>
      <c r="W590">
        <f>VLOOKUP(G590,'[1]Erogati mag-giu 2026_791_old'!$A:$W,14,FALSE)</f>
        <v>-165.65</v>
      </c>
      <c r="X590">
        <f t="shared" si="46"/>
        <v>0</v>
      </c>
      <c r="Y590" t="s">
        <v>158</v>
      </c>
      <c r="Z590" t="str">
        <f>VLOOKUP(G590,'[2]Erogati mag-giu 2026_791_old'!$D:$T,11,FALSE)</f>
        <v>indiretto</v>
      </c>
      <c r="AA590" t="b">
        <v>1</v>
      </c>
      <c r="AF590" t="s">
        <v>20</v>
      </c>
      <c r="AG590" t="s">
        <v>20</v>
      </c>
    </row>
    <row r="591" spans="1:33">
      <c r="A591" s="13" t="s">
        <v>1057</v>
      </c>
      <c r="B591" t="s">
        <v>1853</v>
      </c>
      <c r="C591" s="4">
        <v>202601307904352</v>
      </c>
      <c r="D591" s="4" t="b">
        <f t="shared" si="47"/>
        <v>1</v>
      </c>
      <c r="E591" t="s">
        <v>20</v>
      </c>
      <c r="F591" t="s">
        <v>21</v>
      </c>
      <c r="G591" t="s">
        <v>1058</v>
      </c>
      <c r="H591" t="str">
        <f>VLOOKUP(C591,'[1]Erogati mag-giu 2026_791_old'!$B:$E,4,FALSE)</f>
        <v>C344193</v>
      </c>
      <c r="I591" t="b">
        <f t="shared" si="43"/>
        <v>1</v>
      </c>
      <c r="J591" s="14">
        <v>46179</v>
      </c>
      <c r="K591" s="14">
        <v>46179</v>
      </c>
      <c r="L591" t="s">
        <v>20</v>
      </c>
      <c r="M591" s="14">
        <v>46188</v>
      </c>
      <c r="N591" s="14">
        <v>46179</v>
      </c>
      <c r="O591" t="s">
        <v>20</v>
      </c>
      <c r="P591">
        <v>-26.26</v>
      </c>
      <c r="Q591">
        <f>VLOOKUP(G591,'[1]Erogati mag-giu 2026_791_old'!$A:$W,12,FALSE)</f>
        <v>-26.26</v>
      </c>
      <c r="R591">
        <f t="shared" si="44"/>
        <v>0</v>
      </c>
      <c r="S591">
        <v>-26.26</v>
      </c>
      <c r="T591">
        <f>VLOOKUP(G591,'[1]Erogati mag-giu 2026_791_old'!$A:$W,13,FALSE)</f>
        <v>-26.26</v>
      </c>
      <c r="U591">
        <f t="shared" si="45"/>
        <v>0</v>
      </c>
      <c r="V591">
        <v>-26.26</v>
      </c>
      <c r="W591">
        <f>VLOOKUP(G591,'[1]Erogati mag-giu 2026_791_old'!$A:$W,14,FALSE)</f>
        <v>-26.26</v>
      </c>
      <c r="X591">
        <f t="shared" si="46"/>
        <v>0</v>
      </c>
      <c r="Y591" t="s">
        <v>158</v>
      </c>
      <c r="Z591" t="str">
        <f>VLOOKUP(G591,'[2]Erogati mag-giu 2026_791_old'!$D:$T,11,FALSE)</f>
        <v>indiretto</v>
      </c>
      <c r="AA591" t="b">
        <v>1</v>
      </c>
      <c r="AF591" t="s">
        <v>20</v>
      </c>
      <c r="AG591" t="s">
        <v>20</v>
      </c>
    </row>
    <row r="592" spans="1:33">
      <c r="A592" s="13" t="s">
        <v>1059</v>
      </c>
      <c r="B592" t="s">
        <v>1854</v>
      </c>
      <c r="C592" s="4">
        <v>202601307906906</v>
      </c>
      <c r="D592" s="4" t="b">
        <f t="shared" si="47"/>
        <v>1</v>
      </c>
      <c r="E592" t="s">
        <v>20</v>
      </c>
      <c r="F592" t="s">
        <v>21</v>
      </c>
      <c r="G592" t="s">
        <v>1060</v>
      </c>
      <c r="H592" t="str">
        <f>VLOOKUP(C592,'[1]Erogati mag-giu 2026_791_old'!$B:$E,4,FALSE)</f>
        <v>C120965</v>
      </c>
      <c r="I592" t="b">
        <f t="shared" si="43"/>
        <v>1</v>
      </c>
      <c r="J592" s="14">
        <v>46179</v>
      </c>
      <c r="K592" s="14">
        <v>46179</v>
      </c>
      <c r="L592" t="s">
        <v>20</v>
      </c>
      <c r="M592" s="14">
        <v>46188</v>
      </c>
      <c r="N592" s="14">
        <v>46179</v>
      </c>
      <c r="O592" t="s">
        <v>20</v>
      </c>
      <c r="P592">
        <v>-132.52000000000001</v>
      </c>
      <c r="Q592">
        <f>VLOOKUP(G592,'[1]Erogati mag-giu 2026_791_old'!$A:$W,12,FALSE)</f>
        <v>-132.52000000000001</v>
      </c>
      <c r="R592">
        <f t="shared" si="44"/>
        <v>0</v>
      </c>
      <c r="S592">
        <v>-132.52000000000001</v>
      </c>
      <c r="T592">
        <f>VLOOKUP(G592,'[1]Erogati mag-giu 2026_791_old'!$A:$W,13,FALSE)</f>
        <v>-132.52000000000001</v>
      </c>
      <c r="U592">
        <f t="shared" si="45"/>
        <v>0</v>
      </c>
      <c r="V592">
        <v>-132.52000000000001</v>
      </c>
      <c r="W592">
        <f>VLOOKUP(G592,'[1]Erogati mag-giu 2026_791_old'!$A:$W,14,FALSE)</f>
        <v>-132.52000000000001</v>
      </c>
      <c r="X592">
        <f t="shared" si="46"/>
        <v>0</v>
      </c>
      <c r="Y592" t="s">
        <v>158</v>
      </c>
      <c r="Z592" t="str">
        <f>VLOOKUP(G592,'[2]Erogati mag-giu 2026_791_old'!$D:$T,11,FALSE)</f>
        <v>indiretto</v>
      </c>
      <c r="AA592" t="b">
        <v>1</v>
      </c>
      <c r="AF592" t="s">
        <v>20</v>
      </c>
      <c r="AG592" t="s">
        <v>20</v>
      </c>
    </row>
    <row r="593" spans="1:33">
      <c r="A593" s="13" t="s">
        <v>1061</v>
      </c>
      <c r="B593" t="s">
        <v>1855</v>
      </c>
      <c r="C593" s="4">
        <v>202601307914889</v>
      </c>
      <c r="D593" s="4" t="b">
        <f t="shared" si="47"/>
        <v>1</v>
      </c>
      <c r="E593" t="s">
        <v>20</v>
      </c>
      <c r="F593" t="s">
        <v>21</v>
      </c>
      <c r="G593" t="s">
        <v>1062</v>
      </c>
      <c r="H593" t="str">
        <f>VLOOKUP(C593,'[1]Erogati mag-giu 2026_791_old'!$B:$E,4,FALSE)</f>
        <v>C314970</v>
      </c>
      <c r="I593" t="b">
        <f t="shared" si="43"/>
        <v>1</v>
      </c>
      <c r="J593" s="14">
        <v>46179</v>
      </c>
      <c r="K593" s="14">
        <v>46179</v>
      </c>
      <c r="L593" t="s">
        <v>20</v>
      </c>
      <c r="M593" s="14">
        <v>46188</v>
      </c>
      <c r="N593" s="14">
        <v>46179</v>
      </c>
      <c r="O593" t="s">
        <v>20</v>
      </c>
      <c r="P593">
        <v>-147.72</v>
      </c>
      <c r="Q593">
        <f>VLOOKUP(G593,'[1]Erogati mag-giu 2026_791_old'!$A:$W,12,FALSE)</f>
        <v>-147.72</v>
      </c>
      <c r="R593">
        <f t="shared" si="44"/>
        <v>0</v>
      </c>
      <c r="S593">
        <v>-147.72</v>
      </c>
      <c r="T593">
        <f>VLOOKUP(G593,'[1]Erogati mag-giu 2026_791_old'!$A:$W,13,FALSE)</f>
        <v>-147.72</v>
      </c>
      <c r="U593">
        <f t="shared" si="45"/>
        <v>0</v>
      </c>
      <c r="V593">
        <v>-147.72</v>
      </c>
      <c r="W593">
        <f>VLOOKUP(G593,'[1]Erogati mag-giu 2026_791_old'!$A:$W,14,FALSE)</f>
        <v>-147.72</v>
      </c>
      <c r="X593">
        <f t="shared" si="46"/>
        <v>0</v>
      </c>
      <c r="Y593" t="s">
        <v>158</v>
      </c>
      <c r="Z593" t="str">
        <f>VLOOKUP(G593,'[2]Erogati mag-giu 2026_791_old'!$D:$T,11,FALSE)</f>
        <v>indiretto</v>
      </c>
      <c r="AA593" t="b">
        <v>1</v>
      </c>
      <c r="AF593" t="s">
        <v>20</v>
      </c>
      <c r="AG593" t="s">
        <v>20</v>
      </c>
    </row>
    <row r="594" spans="1:33">
      <c r="A594" s="13" t="s">
        <v>1063</v>
      </c>
      <c r="B594" t="s">
        <v>1856</v>
      </c>
      <c r="C594" s="4">
        <v>202601307915434</v>
      </c>
      <c r="D594" s="4" t="b">
        <f t="shared" si="47"/>
        <v>1</v>
      </c>
      <c r="E594" t="s">
        <v>20</v>
      </c>
      <c r="F594" t="s">
        <v>21</v>
      </c>
      <c r="G594" t="s">
        <v>1064</v>
      </c>
      <c r="H594" t="str">
        <f>VLOOKUP(C594,'[1]Erogati mag-giu 2026_791_old'!$B:$E,4,FALSE)</f>
        <v>C320016</v>
      </c>
      <c r="I594" t="b">
        <f t="shared" si="43"/>
        <v>1</v>
      </c>
      <c r="J594" s="14">
        <v>46179</v>
      </c>
      <c r="K594" s="14">
        <v>46179</v>
      </c>
      <c r="L594" t="s">
        <v>20</v>
      </c>
      <c r="M594" s="14">
        <v>46188</v>
      </c>
      <c r="N594" s="14">
        <v>46179</v>
      </c>
      <c r="O594" t="s">
        <v>20</v>
      </c>
      <c r="P594">
        <v>-99.39</v>
      </c>
      <c r="Q594">
        <f>VLOOKUP(G594,'[1]Erogati mag-giu 2026_791_old'!$A:$W,12,FALSE)</f>
        <v>-99.39</v>
      </c>
      <c r="R594">
        <f t="shared" si="44"/>
        <v>0</v>
      </c>
      <c r="S594">
        <v>-99.39</v>
      </c>
      <c r="T594">
        <f>VLOOKUP(G594,'[1]Erogati mag-giu 2026_791_old'!$A:$W,13,FALSE)</f>
        <v>-99.39</v>
      </c>
      <c r="U594">
        <f t="shared" si="45"/>
        <v>0</v>
      </c>
      <c r="V594">
        <v>-99.39</v>
      </c>
      <c r="W594">
        <f>VLOOKUP(G594,'[1]Erogati mag-giu 2026_791_old'!$A:$W,14,FALSE)</f>
        <v>-99.39</v>
      </c>
      <c r="X594">
        <f t="shared" si="46"/>
        <v>0</v>
      </c>
      <c r="Y594" t="s">
        <v>158</v>
      </c>
      <c r="Z594" t="str">
        <f>VLOOKUP(G594,'[2]Erogati mag-giu 2026_791_old'!$D:$T,11,FALSE)</f>
        <v>indiretto</v>
      </c>
      <c r="AA594" t="b">
        <v>1</v>
      </c>
      <c r="AF594" t="s">
        <v>20</v>
      </c>
      <c r="AG594" t="s">
        <v>20</v>
      </c>
    </row>
    <row r="595" spans="1:33">
      <c r="A595" s="13" t="s">
        <v>1065</v>
      </c>
      <c r="B595" t="s">
        <v>1857</v>
      </c>
      <c r="C595" s="4">
        <v>202601307921801</v>
      </c>
      <c r="D595" s="4" t="b">
        <f t="shared" si="47"/>
        <v>1</v>
      </c>
      <c r="E595" t="s">
        <v>20</v>
      </c>
      <c r="F595" t="s">
        <v>21</v>
      </c>
      <c r="G595" t="s">
        <v>1066</v>
      </c>
      <c r="H595" t="str">
        <f>VLOOKUP(C595,'[1]Erogati mag-giu 2026_791_old'!$B:$E,4,FALSE)</f>
        <v>C344244</v>
      </c>
      <c r="I595" t="b">
        <f t="shared" si="43"/>
        <v>1</v>
      </c>
      <c r="J595" s="14">
        <v>46179</v>
      </c>
      <c r="K595" s="14">
        <v>46179</v>
      </c>
      <c r="L595" t="s">
        <v>20</v>
      </c>
      <c r="M595" s="14">
        <v>46188</v>
      </c>
      <c r="N595" s="14">
        <v>46179</v>
      </c>
      <c r="O595" t="s">
        <v>20</v>
      </c>
      <c r="P595">
        <v>-99.39</v>
      </c>
      <c r="Q595">
        <f>VLOOKUP(G595,'[1]Erogati mag-giu 2026_791_old'!$A:$W,12,FALSE)</f>
        <v>-99.39</v>
      </c>
      <c r="R595">
        <f t="shared" si="44"/>
        <v>0</v>
      </c>
      <c r="S595">
        <v>-99.39</v>
      </c>
      <c r="T595">
        <f>VLOOKUP(G595,'[1]Erogati mag-giu 2026_791_old'!$A:$W,13,FALSE)</f>
        <v>-99.39</v>
      </c>
      <c r="U595">
        <f t="shared" si="45"/>
        <v>0</v>
      </c>
      <c r="V595">
        <v>-99.39</v>
      </c>
      <c r="W595">
        <f>VLOOKUP(G595,'[1]Erogati mag-giu 2026_791_old'!$A:$W,14,FALSE)</f>
        <v>-99.39</v>
      </c>
      <c r="X595">
        <f t="shared" si="46"/>
        <v>0</v>
      </c>
      <c r="Y595" t="s">
        <v>158</v>
      </c>
      <c r="Z595" t="str">
        <f>VLOOKUP(G595,'[2]Erogati mag-giu 2026_791_old'!$D:$T,11,FALSE)</f>
        <v>indiretto</v>
      </c>
      <c r="AA595" t="b">
        <v>1</v>
      </c>
      <c r="AF595" t="s">
        <v>20</v>
      </c>
      <c r="AG595" t="s">
        <v>20</v>
      </c>
    </row>
    <row r="596" spans="1:33">
      <c r="A596" s="13" t="s">
        <v>1067</v>
      </c>
      <c r="B596" t="s">
        <v>1858</v>
      </c>
      <c r="C596" s="4">
        <v>202601307924683</v>
      </c>
      <c r="D596" s="4" t="b">
        <f t="shared" si="47"/>
        <v>1</v>
      </c>
      <c r="E596" t="s">
        <v>20</v>
      </c>
      <c r="F596" t="s">
        <v>21</v>
      </c>
      <c r="G596" t="s">
        <v>1068</v>
      </c>
      <c r="H596" t="str">
        <f>VLOOKUP(C596,'[1]Erogati mag-giu 2026_791_old'!$B:$E,4,FALSE)</f>
        <v>C307060</v>
      </c>
      <c r="I596" t="b">
        <f t="shared" si="43"/>
        <v>1</v>
      </c>
      <c r="J596" s="14">
        <v>46179</v>
      </c>
      <c r="K596" s="14">
        <v>46179</v>
      </c>
      <c r="L596" t="s">
        <v>20</v>
      </c>
      <c r="M596" s="14">
        <v>46188</v>
      </c>
      <c r="N596" s="14">
        <v>46179</v>
      </c>
      <c r="O596" t="s">
        <v>20</v>
      </c>
      <c r="P596">
        <v>-24.62</v>
      </c>
      <c r="Q596">
        <f>VLOOKUP(G596,'[1]Erogati mag-giu 2026_791_old'!$A:$W,12,FALSE)</f>
        <v>-24.62</v>
      </c>
      <c r="R596">
        <f t="shared" si="44"/>
        <v>0</v>
      </c>
      <c r="S596">
        <v>-24.62</v>
      </c>
      <c r="T596">
        <f>VLOOKUP(G596,'[1]Erogati mag-giu 2026_791_old'!$A:$W,13,FALSE)</f>
        <v>-24.62</v>
      </c>
      <c r="U596">
        <f t="shared" si="45"/>
        <v>0</v>
      </c>
      <c r="V596">
        <v>-24.62</v>
      </c>
      <c r="W596">
        <f>VLOOKUP(G596,'[1]Erogati mag-giu 2026_791_old'!$A:$W,14,FALSE)</f>
        <v>-24.62</v>
      </c>
      <c r="X596">
        <f t="shared" si="46"/>
        <v>0</v>
      </c>
      <c r="Y596" t="s">
        <v>158</v>
      </c>
      <c r="Z596" t="str">
        <f>VLOOKUP(G596,'[2]Erogati mag-giu 2026_791_old'!$D:$T,11,FALSE)</f>
        <v>indiretto</v>
      </c>
      <c r="AA596" t="b">
        <v>1</v>
      </c>
      <c r="AF596" t="s">
        <v>20</v>
      </c>
      <c r="AG596" t="s">
        <v>20</v>
      </c>
    </row>
    <row r="597" spans="1:33">
      <c r="A597" s="13" t="s">
        <v>1069</v>
      </c>
      <c r="B597" t="s">
        <v>1859</v>
      </c>
      <c r="C597" s="4">
        <v>202601307928160</v>
      </c>
      <c r="D597" s="4" t="b">
        <f t="shared" si="47"/>
        <v>1</v>
      </c>
      <c r="E597" t="s">
        <v>20</v>
      </c>
      <c r="F597" t="s">
        <v>21</v>
      </c>
      <c r="G597" t="s">
        <v>1070</v>
      </c>
      <c r="H597" t="str">
        <f>VLOOKUP(C597,'[1]Erogati mag-giu 2026_791_old'!$B:$E,4,FALSE)</f>
        <v>C344194</v>
      </c>
      <c r="I597" t="b">
        <f t="shared" si="43"/>
        <v>1</v>
      </c>
      <c r="J597" s="14">
        <v>46179</v>
      </c>
      <c r="K597" s="14">
        <v>46179</v>
      </c>
      <c r="L597" t="s">
        <v>20</v>
      </c>
      <c r="M597" s="14">
        <v>46188</v>
      </c>
      <c r="N597" s="14">
        <v>46179</v>
      </c>
      <c r="O597" t="s">
        <v>20</v>
      </c>
      <c r="P597">
        <v>-33.130000000000003</v>
      </c>
      <c r="Q597">
        <f>VLOOKUP(G597,'[1]Erogati mag-giu 2026_791_old'!$A:$W,12,FALSE)</f>
        <v>-33.130000000000003</v>
      </c>
      <c r="R597">
        <f t="shared" si="44"/>
        <v>0</v>
      </c>
      <c r="S597">
        <v>-33.130000000000003</v>
      </c>
      <c r="T597">
        <f>VLOOKUP(G597,'[1]Erogati mag-giu 2026_791_old'!$A:$W,13,FALSE)</f>
        <v>-33.130000000000003</v>
      </c>
      <c r="U597">
        <f t="shared" si="45"/>
        <v>0</v>
      </c>
      <c r="V597">
        <v>-33.130000000000003</v>
      </c>
      <c r="W597">
        <f>VLOOKUP(G597,'[1]Erogati mag-giu 2026_791_old'!$A:$W,14,FALSE)</f>
        <v>-33.130000000000003</v>
      </c>
      <c r="X597">
        <f t="shared" si="46"/>
        <v>0</v>
      </c>
      <c r="Y597" t="s">
        <v>158</v>
      </c>
      <c r="Z597" t="str">
        <f>VLOOKUP(G597,'[2]Erogati mag-giu 2026_791_old'!$D:$T,11,FALSE)</f>
        <v>indiretto</v>
      </c>
      <c r="AA597" t="b">
        <v>1</v>
      </c>
      <c r="AF597" t="s">
        <v>20</v>
      </c>
      <c r="AG597" t="s">
        <v>20</v>
      </c>
    </row>
    <row r="598" spans="1:33">
      <c r="A598" s="13" t="s">
        <v>1071</v>
      </c>
      <c r="B598" t="s">
        <v>1860</v>
      </c>
      <c r="C598" s="4">
        <v>202601307931961</v>
      </c>
      <c r="D598" s="4" t="b">
        <f t="shared" si="47"/>
        <v>1</v>
      </c>
      <c r="E598" t="s">
        <v>20</v>
      </c>
      <c r="F598" t="s">
        <v>21</v>
      </c>
      <c r="G598" t="s">
        <v>1072</v>
      </c>
      <c r="H598" t="str">
        <f>VLOOKUP(C598,'[1]Erogati mag-giu 2026_791_old'!$B:$E,4,FALSE)</f>
        <v>C337645</v>
      </c>
      <c r="I598" t="b">
        <f t="shared" si="43"/>
        <v>1</v>
      </c>
      <c r="J598" s="14">
        <v>46179</v>
      </c>
      <c r="K598" s="14">
        <v>46179</v>
      </c>
      <c r="L598" t="s">
        <v>20</v>
      </c>
      <c r="M598" s="14">
        <v>46188</v>
      </c>
      <c r="N598" s="14">
        <v>46179</v>
      </c>
      <c r="O598" t="s">
        <v>20</v>
      </c>
      <c r="P598">
        <v>-53.01</v>
      </c>
      <c r="Q598">
        <f>VLOOKUP(G598,'[1]Erogati mag-giu 2026_791_old'!$A:$W,12,FALSE)</f>
        <v>-53.01</v>
      </c>
      <c r="R598">
        <f t="shared" si="44"/>
        <v>0</v>
      </c>
      <c r="S598">
        <v>-53.01</v>
      </c>
      <c r="T598">
        <f>VLOOKUP(G598,'[1]Erogati mag-giu 2026_791_old'!$A:$W,13,FALSE)</f>
        <v>-53.01</v>
      </c>
      <c r="U598">
        <f t="shared" si="45"/>
        <v>0</v>
      </c>
      <c r="V598">
        <v>-53.01</v>
      </c>
      <c r="W598">
        <f>VLOOKUP(G598,'[1]Erogati mag-giu 2026_791_old'!$A:$W,14,FALSE)</f>
        <v>-53.01</v>
      </c>
      <c r="X598">
        <f t="shared" si="46"/>
        <v>0</v>
      </c>
      <c r="Y598" t="s">
        <v>158</v>
      </c>
      <c r="Z598" t="str">
        <f>VLOOKUP(G598,'[2]Erogati mag-giu 2026_791_old'!$D:$T,11,FALSE)</f>
        <v>indiretto</v>
      </c>
      <c r="AA598" t="b">
        <v>1</v>
      </c>
      <c r="AF598" t="s">
        <v>20</v>
      </c>
      <c r="AG598" t="s">
        <v>20</v>
      </c>
    </row>
    <row r="599" spans="1:33">
      <c r="A599" s="13" t="s">
        <v>1073</v>
      </c>
      <c r="B599" t="s">
        <v>1861</v>
      </c>
      <c r="C599" s="4">
        <v>202601307937354</v>
      </c>
      <c r="D599" s="4" t="b">
        <f t="shared" si="47"/>
        <v>1</v>
      </c>
      <c r="E599" t="s">
        <v>20</v>
      </c>
      <c r="F599" t="s">
        <v>21</v>
      </c>
      <c r="G599" t="s">
        <v>1074</v>
      </c>
      <c r="H599" t="str">
        <f>VLOOKUP(C599,'[1]Erogati mag-giu 2026_791_old'!$B:$E,4,FALSE)</f>
        <v>C321164</v>
      </c>
      <c r="I599" t="b">
        <f t="shared" si="43"/>
        <v>1</v>
      </c>
      <c r="J599" s="14">
        <v>46179</v>
      </c>
      <c r="K599" s="14">
        <v>46179</v>
      </c>
      <c r="L599" t="s">
        <v>20</v>
      </c>
      <c r="M599" s="14">
        <v>46188</v>
      </c>
      <c r="N599" s="14">
        <v>46179</v>
      </c>
      <c r="O599" t="s">
        <v>20</v>
      </c>
      <c r="P599">
        <v>-33.130000000000003</v>
      </c>
      <c r="Q599">
        <f>VLOOKUP(G599,'[1]Erogati mag-giu 2026_791_old'!$A:$W,12,FALSE)</f>
        <v>-33.130000000000003</v>
      </c>
      <c r="R599">
        <f t="shared" si="44"/>
        <v>0</v>
      </c>
      <c r="S599">
        <v>-33.130000000000003</v>
      </c>
      <c r="T599">
        <f>VLOOKUP(G599,'[1]Erogati mag-giu 2026_791_old'!$A:$W,13,FALSE)</f>
        <v>-33.130000000000003</v>
      </c>
      <c r="U599">
        <f t="shared" si="45"/>
        <v>0</v>
      </c>
      <c r="V599">
        <v>-33.130000000000003</v>
      </c>
      <c r="W599">
        <f>VLOOKUP(G599,'[1]Erogati mag-giu 2026_791_old'!$A:$W,14,FALSE)</f>
        <v>-33.130000000000003</v>
      </c>
      <c r="X599">
        <f t="shared" si="46"/>
        <v>0</v>
      </c>
      <c r="Y599" t="s">
        <v>158</v>
      </c>
      <c r="Z599" t="str">
        <f>VLOOKUP(G599,'[2]Erogati mag-giu 2026_791_old'!$D:$T,11,FALSE)</f>
        <v>indiretto</v>
      </c>
      <c r="AA599" t="b">
        <v>1</v>
      </c>
      <c r="AF599" t="s">
        <v>20</v>
      </c>
      <c r="AG599" t="s">
        <v>20</v>
      </c>
    </row>
    <row r="600" spans="1:33">
      <c r="A600" s="13" t="s">
        <v>1075</v>
      </c>
      <c r="B600" t="s">
        <v>1862</v>
      </c>
      <c r="C600" s="4">
        <v>202601307945501</v>
      </c>
      <c r="D600" s="4" t="b">
        <f t="shared" si="47"/>
        <v>1</v>
      </c>
      <c r="E600" t="s">
        <v>20</v>
      </c>
      <c r="F600" t="s">
        <v>21</v>
      </c>
      <c r="G600" t="s">
        <v>1076</v>
      </c>
      <c r="H600" t="str">
        <f>VLOOKUP(C600,'[1]Erogati mag-giu 2026_791_old'!$B:$E,4,FALSE)</f>
        <v>C129666</v>
      </c>
      <c r="I600" t="b">
        <f t="shared" si="43"/>
        <v>1</v>
      </c>
      <c r="J600" s="14">
        <v>46179</v>
      </c>
      <c r="K600" s="14">
        <v>46179</v>
      </c>
      <c r="L600" t="s">
        <v>20</v>
      </c>
      <c r="M600" s="14">
        <v>46188</v>
      </c>
      <c r="N600" s="14">
        <v>46179</v>
      </c>
      <c r="O600" t="s">
        <v>20</v>
      </c>
      <c r="P600">
        <v>-99.39</v>
      </c>
      <c r="Q600">
        <f>VLOOKUP(G600,'[1]Erogati mag-giu 2026_791_old'!$A:$W,12,FALSE)</f>
        <v>-99.39</v>
      </c>
      <c r="R600">
        <f t="shared" si="44"/>
        <v>0</v>
      </c>
      <c r="S600">
        <v>-99.39</v>
      </c>
      <c r="T600">
        <f>VLOOKUP(G600,'[1]Erogati mag-giu 2026_791_old'!$A:$W,13,FALSE)</f>
        <v>-99.39</v>
      </c>
      <c r="U600">
        <f t="shared" si="45"/>
        <v>0</v>
      </c>
      <c r="V600">
        <v>-99.39</v>
      </c>
      <c r="W600">
        <f>VLOOKUP(G600,'[1]Erogati mag-giu 2026_791_old'!$A:$W,14,FALSE)</f>
        <v>-99.39</v>
      </c>
      <c r="X600">
        <f t="shared" si="46"/>
        <v>0</v>
      </c>
      <c r="Y600" t="s">
        <v>158</v>
      </c>
      <c r="Z600" t="str">
        <f>VLOOKUP(G600,'[2]Erogati mag-giu 2026_791_old'!$D:$T,11,FALSE)</f>
        <v>indiretto</v>
      </c>
      <c r="AA600" t="b">
        <v>1</v>
      </c>
      <c r="AF600" t="s">
        <v>20</v>
      </c>
      <c r="AG600" t="s">
        <v>20</v>
      </c>
    </row>
    <row r="601" spans="1:33">
      <c r="A601" s="13" t="s">
        <v>1077</v>
      </c>
      <c r="B601" t="s">
        <v>1863</v>
      </c>
      <c r="C601" s="4">
        <v>202601307946431</v>
      </c>
      <c r="D601" s="4" t="b">
        <f t="shared" si="47"/>
        <v>1</v>
      </c>
      <c r="E601" t="s">
        <v>20</v>
      </c>
      <c r="F601" t="s">
        <v>21</v>
      </c>
      <c r="G601" t="s">
        <v>1078</v>
      </c>
      <c r="H601" t="str">
        <f>VLOOKUP(C601,'[1]Erogati mag-giu 2026_791_old'!$B:$E,4,FALSE)</f>
        <v>C336881</v>
      </c>
      <c r="I601" t="b">
        <f t="shared" si="43"/>
        <v>1</v>
      </c>
      <c r="J601" s="14">
        <v>46179</v>
      </c>
      <c r="K601" s="14">
        <v>46179</v>
      </c>
      <c r="L601" t="s">
        <v>20</v>
      </c>
      <c r="M601" s="14">
        <v>46188</v>
      </c>
      <c r="N601" s="14">
        <v>46179</v>
      </c>
      <c r="O601" t="s">
        <v>20</v>
      </c>
      <c r="P601">
        <v>-71.900000000000006</v>
      </c>
      <c r="Q601">
        <f>VLOOKUP(G601,'[1]Erogati mag-giu 2026_791_old'!$A:$W,12,FALSE)</f>
        <v>-71.900000000000006</v>
      </c>
      <c r="R601">
        <f t="shared" si="44"/>
        <v>0</v>
      </c>
      <c r="S601">
        <v>-71.900000000000006</v>
      </c>
      <c r="T601">
        <f>VLOOKUP(G601,'[1]Erogati mag-giu 2026_791_old'!$A:$W,13,FALSE)</f>
        <v>-71.900000000000006</v>
      </c>
      <c r="U601">
        <f t="shared" si="45"/>
        <v>0</v>
      </c>
      <c r="V601">
        <v>-71.900000000000006</v>
      </c>
      <c r="W601">
        <f>VLOOKUP(G601,'[1]Erogati mag-giu 2026_791_old'!$A:$W,14,FALSE)</f>
        <v>-71.900000000000006</v>
      </c>
      <c r="X601">
        <f t="shared" si="46"/>
        <v>0</v>
      </c>
      <c r="Y601" t="s">
        <v>158</v>
      </c>
      <c r="Z601" t="str">
        <f>VLOOKUP(G601,'[2]Erogati mag-giu 2026_791_old'!$D:$T,11,FALSE)</f>
        <v>indiretto</v>
      </c>
      <c r="AA601" t="b">
        <v>1</v>
      </c>
      <c r="AF601" t="s">
        <v>20</v>
      </c>
      <c r="AG601" t="s">
        <v>20</v>
      </c>
    </row>
    <row r="602" spans="1:33">
      <c r="A602" s="13" t="s">
        <v>1079</v>
      </c>
      <c r="B602" t="s">
        <v>1864</v>
      </c>
      <c r="C602" s="4">
        <v>202601307947350</v>
      </c>
      <c r="D602" s="4" t="b">
        <f t="shared" si="47"/>
        <v>1</v>
      </c>
      <c r="E602" t="s">
        <v>20</v>
      </c>
      <c r="F602" t="s">
        <v>21</v>
      </c>
      <c r="G602" t="s">
        <v>1080</v>
      </c>
      <c r="H602" t="str">
        <f>VLOOKUP(C602,'[1]Erogati mag-giu 2026_791_old'!$B:$E,4,FALSE)</f>
        <v>C337646</v>
      </c>
      <c r="I602" t="b">
        <f t="shared" si="43"/>
        <v>1</v>
      </c>
      <c r="J602" s="14">
        <v>46179</v>
      </c>
      <c r="K602" s="14">
        <v>46179</v>
      </c>
      <c r="L602" t="s">
        <v>20</v>
      </c>
      <c r="M602" s="14">
        <v>46188</v>
      </c>
      <c r="N602" s="14">
        <v>46179</v>
      </c>
      <c r="O602" t="s">
        <v>20</v>
      </c>
      <c r="P602">
        <v>-165.65</v>
      </c>
      <c r="Q602">
        <f>VLOOKUP(G602,'[1]Erogati mag-giu 2026_791_old'!$A:$W,12,FALSE)</f>
        <v>-165.65</v>
      </c>
      <c r="R602">
        <f t="shared" si="44"/>
        <v>0</v>
      </c>
      <c r="S602">
        <v>-165.65</v>
      </c>
      <c r="T602">
        <f>VLOOKUP(G602,'[1]Erogati mag-giu 2026_791_old'!$A:$W,13,FALSE)</f>
        <v>-165.65</v>
      </c>
      <c r="U602">
        <f t="shared" si="45"/>
        <v>0</v>
      </c>
      <c r="V602">
        <v>-165.65</v>
      </c>
      <c r="W602">
        <f>VLOOKUP(G602,'[1]Erogati mag-giu 2026_791_old'!$A:$W,14,FALSE)</f>
        <v>-165.65</v>
      </c>
      <c r="X602">
        <f t="shared" si="46"/>
        <v>0</v>
      </c>
      <c r="Y602" t="s">
        <v>158</v>
      </c>
      <c r="Z602" t="str">
        <f>VLOOKUP(G602,'[2]Erogati mag-giu 2026_791_old'!$D:$T,11,FALSE)</f>
        <v>indiretto</v>
      </c>
      <c r="AA602" t="b">
        <v>1</v>
      </c>
      <c r="AF602" t="s">
        <v>20</v>
      </c>
      <c r="AG602" t="s">
        <v>20</v>
      </c>
    </row>
    <row r="603" spans="1:33">
      <c r="A603" s="13" t="s">
        <v>1081</v>
      </c>
      <c r="B603" t="s">
        <v>1865</v>
      </c>
      <c r="C603" s="4">
        <v>202601307952009</v>
      </c>
      <c r="D603" s="4" t="b">
        <f t="shared" si="47"/>
        <v>1</v>
      </c>
      <c r="E603" t="s">
        <v>20</v>
      </c>
      <c r="F603" t="s">
        <v>21</v>
      </c>
      <c r="G603" t="s">
        <v>1082</v>
      </c>
      <c r="H603" t="str">
        <f>VLOOKUP(C603,'[1]Erogati mag-giu 2026_791_old'!$B:$E,4,FALSE)</f>
        <v>C344301</v>
      </c>
      <c r="I603" t="b">
        <f t="shared" si="43"/>
        <v>1</v>
      </c>
      <c r="J603" s="14">
        <v>46179</v>
      </c>
      <c r="K603" s="14">
        <v>46179</v>
      </c>
      <c r="L603" t="s">
        <v>20</v>
      </c>
      <c r="M603" s="14">
        <v>46188</v>
      </c>
      <c r="N603" s="14">
        <v>46179</v>
      </c>
      <c r="O603" t="s">
        <v>20</v>
      </c>
      <c r="P603">
        <v>-66.260000000000005</v>
      </c>
      <c r="Q603">
        <f>VLOOKUP(G603,'[1]Erogati mag-giu 2026_791_old'!$A:$W,12,FALSE)</f>
        <v>-66.260000000000005</v>
      </c>
      <c r="R603">
        <f t="shared" si="44"/>
        <v>0</v>
      </c>
      <c r="S603">
        <v>-66.260000000000005</v>
      </c>
      <c r="T603">
        <f>VLOOKUP(G603,'[1]Erogati mag-giu 2026_791_old'!$A:$W,13,FALSE)</f>
        <v>-66.260000000000005</v>
      </c>
      <c r="U603">
        <f t="shared" si="45"/>
        <v>0</v>
      </c>
      <c r="V603">
        <v>-66.260000000000005</v>
      </c>
      <c r="W603">
        <f>VLOOKUP(G603,'[1]Erogati mag-giu 2026_791_old'!$A:$W,14,FALSE)</f>
        <v>-66.260000000000005</v>
      </c>
      <c r="X603">
        <f t="shared" si="46"/>
        <v>0</v>
      </c>
      <c r="Y603" t="s">
        <v>158</v>
      </c>
      <c r="Z603" t="str">
        <f>VLOOKUP(G603,'[2]Erogati mag-giu 2026_791_old'!$D:$T,11,FALSE)</f>
        <v>indiretto</v>
      </c>
      <c r="AA603" t="b">
        <v>1</v>
      </c>
      <c r="AF603" t="s">
        <v>20</v>
      </c>
      <c r="AG603" t="s">
        <v>20</v>
      </c>
    </row>
    <row r="604" spans="1:33">
      <c r="A604" s="13" t="s">
        <v>1083</v>
      </c>
      <c r="B604" t="s">
        <v>1866</v>
      </c>
      <c r="C604" s="4">
        <v>202601307960193</v>
      </c>
      <c r="D604" s="4" t="b">
        <f t="shared" si="47"/>
        <v>1</v>
      </c>
      <c r="E604" t="s">
        <v>20</v>
      </c>
      <c r="F604" t="s">
        <v>21</v>
      </c>
      <c r="G604" t="s">
        <v>1084</v>
      </c>
      <c r="H604" t="str">
        <f>VLOOKUP(C604,'[1]Erogati mag-giu 2026_791_old'!$B:$E,4,FALSE)</f>
        <v>C344243</v>
      </c>
      <c r="I604" t="b">
        <f t="shared" si="43"/>
        <v>1</v>
      </c>
      <c r="J604" s="14">
        <v>46179</v>
      </c>
      <c r="K604" s="14">
        <v>46179</v>
      </c>
      <c r="L604" t="s">
        <v>20</v>
      </c>
      <c r="M604" s="14">
        <v>46188</v>
      </c>
      <c r="N604" s="14">
        <v>46179</v>
      </c>
      <c r="O604" t="s">
        <v>20</v>
      </c>
      <c r="P604">
        <v>-52.52</v>
      </c>
      <c r="Q604">
        <f>VLOOKUP(G604,'[1]Erogati mag-giu 2026_791_old'!$A:$W,12,FALSE)</f>
        <v>-52.52</v>
      </c>
      <c r="R604">
        <f t="shared" si="44"/>
        <v>0</v>
      </c>
      <c r="S604">
        <v>-52.52</v>
      </c>
      <c r="T604">
        <f>VLOOKUP(G604,'[1]Erogati mag-giu 2026_791_old'!$A:$W,13,FALSE)</f>
        <v>-52.52</v>
      </c>
      <c r="U604">
        <f t="shared" si="45"/>
        <v>0</v>
      </c>
      <c r="V604">
        <v>-52.52</v>
      </c>
      <c r="W604">
        <f>VLOOKUP(G604,'[1]Erogati mag-giu 2026_791_old'!$A:$W,14,FALSE)</f>
        <v>-52.52</v>
      </c>
      <c r="X604">
        <f t="shared" si="46"/>
        <v>0</v>
      </c>
      <c r="Y604" t="s">
        <v>158</v>
      </c>
      <c r="Z604" t="str">
        <f>VLOOKUP(G604,'[2]Erogati mag-giu 2026_791_old'!$D:$T,11,FALSE)</f>
        <v>indiretto</v>
      </c>
      <c r="AA604" t="b">
        <v>1</v>
      </c>
      <c r="AF604" t="s">
        <v>20</v>
      </c>
      <c r="AG604" t="s">
        <v>20</v>
      </c>
    </row>
    <row r="605" spans="1:33">
      <c r="A605" s="13" t="s">
        <v>1085</v>
      </c>
      <c r="B605" t="s">
        <v>1867</v>
      </c>
      <c r="C605" s="4">
        <v>202601307965218</v>
      </c>
      <c r="D605" s="4" t="b">
        <f t="shared" si="47"/>
        <v>1</v>
      </c>
      <c r="E605" t="s">
        <v>20</v>
      </c>
      <c r="F605" t="s">
        <v>21</v>
      </c>
      <c r="G605" t="s">
        <v>1086</v>
      </c>
      <c r="H605" t="str">
        <f>VLOOKUP(C605,'[1]Erogati mag-giu 2026_791_old'!$B:$E,4,FALSE)</f>
        <v>C344213</v>
      </c>
      <c r="I605" t="b">
        <f t="shared" si="43"/>
        <v>1</v>
      </c>
      <c r="J605" s="14">
        <v>46179</v>
      </c>
      <c r="K605" s="14">
        <v>46179</v>
      </c>
      <c r="L605" t="s">
        <v>20</v>
      </c>
      <c r="M605" s="14">
        <v>46188</v>
      </c>
      <c r="N605" s="14">
        <v>46179</v>
      </c>
      <c r="O605" t="s">
        <v>20</v>
      </c>
      <c r="P605">
        <v>-33.130000000000003</v>
      </c>
      <c r="Q605">
        <f>VLOOKUP(G605,'[1]Erogati mag-giu 2026_791_old'!$A:$W,12,FALSE)</f>
        <v>-33.130000000000003</v>
      </c>
      <c r="R605">
        <f t="shared" si="44"/>
        <v>0</v>
      </c>
      <c r="S605">
        <v>-33.130000000000003</v>
      </c>
      <c r="T605">
        <f>VLOOKUP(G605,'[1]Erogati mag-giu 2026_791_old'!$A:$W,13,FALSE)</f>
        <v>-33.130000000000003</v>
      </c>
      <c r="U605">
        <f t="shared" si="45"/>
        <v>0</v>
      </c>
      <c r="V605">
        <v>-33.130000000000003</v>
      </c>
      <c r="W605">
        <f>VLOOKUP(G605,'[1]Erogati mag-giu 2026_791_old'!$A:$W,14,FALSE)</f>
        <v>-33.130000000000003</v>
      </c>
      <c r="X605">
        <f t="shared" si="46"/>
        <v>0</v>
      </c>
      <c r="Y605" t="s">
        <v>158</v>
      </c>
      <c r="Z605" t="str">
        <f>VLOOKUP(G605,'[2]Erogati mag-giu 2026_791_old'!$D:$T,11,FALSE)</f>
        <v>indiretto</v>
      </c>
      <c r="AA605" t="b">
        <v>1</v>
      </c>
      <c r="AF605" t="s">
        <v>20</v>
      </c>
      <c r="AG605" t="s">
        <v>20</v>
      </c>
    </row>
    <row r="606" spans="1:33">
      <c r="A606" s="13" t="s">
        <v>1087</v>
      </c>
      <c r="B606" t="s">
        <v>1868</v>
      </c>
      <c r="C606" s="4">
        <v>202601307966315</v>
      </c>
      <c r="D606" s="4" t="b">
        <f t="shared" si="47"/>
        <v>1</v>
      </c>
      <c r="E606" t="s">
        <v>20</v>
      </c>
      <c r="F606" t="s">
        <v>21</v>
      </c>
      <c r="G606" t="s">
        <v>1088</v>
      </c>
      <c r="H606" t="str">
        <f>VLOOKUP(C606,'[1]Erogati mag-giu 2026_791_old'!$B:$E,4,FALSE)</f>
        <v>C344212</v>
      </c>
      <c r="I606" t="b">
        <f t="shared" si="43"/>
        <v>1</v>
      </c>
      <c r="J606" s="14">
        <v>46179</v>
      </c>
      <c r="K606" s="14">
        <v>46179</v>
      </c>
      <c r="L606" t="s">
        <v>20</v>
      </c>
      <c r="M606" s="14">
        <v>46188</v>
      </c>
      <c r="N606" s="14">
        <v>46179</v>
      </c>
      <c r="O606" t="s">
        <v>20</v>
      </c>
      <c r="P606">
        <v>-78.78</v>
      </c>
      <c r="Q606">
        <f>VLOOKUP(G606,'[1]Erogati mag-giu 2026_791_old'!$A:$W,12,FALSE)</f>
        <v>-78.78</v>
      </c>
      <c r="R606">
        <f t="shared" si="44"/>
        <v>0</v>
      </c>
      <c r="S606">
        <v>-78.78</v>
      </c>
      <c r="T606">
        <f>VLOOKUP(G606,'[1]Erogati mag-giu 2026_791_old'!$A:$W,13,FALSE)</f>
        <v>-78.78</v>
      </c>
      <c r="U606">
        <f t="shared" si="45"/>
        <v>0</v>
      </c>
      <c r="V606">
        <v>-78.78</v>
      </c>
      <c r="W606">
        <f>VLOOKUP(G606,'[1]Erogati mag-giu 2026_791_old'!$A:$W,14,FALSE)</f>
        <v>-78.78</v>
      </c>
      <c r="X606">
        <f t="shared" si="46"/>
        <v>0</v>
      </c>
      <c r="Y606" t="s">
        <v>158</v>
      </c>
      <c r="Z606" t="str">
        <f>VLOOKUP(G606,'[2]Erogati mag-giu 2026_791_old'!$D:$T,11,FALSE)</f>
        <v>indiretto</v>
      </c>
      <c r="AA606" t="b">
        <v>1</v>
      </c>
      <c r="AF606" t="s">
        <v>20</v>
      </c>
      <c r="AG606" t="s">
        <v>20</v>
      </c>
    </row>
    <row r="607" spans="1:33">
      <c r="A607" s="13" t="s">
        <v>1089</v>
      </c>
      <c r="B607" t="s">
        <v>1869</v>
      </c>
      <c r="C607" s="4">
        <v>202601307969749</v>
      </c>
      <c r="D607" s="4" t="b">
        <f t="shared" si="47"/>
        <v>1</v>
      </c>
      <c r="E607" t="s">
        <v>20</v>
      </c>
      <c r="F607" t="s">
        <v>21</v>
      </c>
      <c r="G607" t="s">
        <v>1090</v>
      </c>
      <c r="H607" t="str">
        <f>VLOOKUP(C607,'[1]Erogati mag-giu 2026_791_old'!$B:$E,4,FALSE)</f>
        <v>C344291</v>
      </c>
      <c r="I607" t="b">
        <f t="shared" si="43"/>
        <v>1</v>
      </c>
      <c r="J607" s="14">
        <v>46179</v>
      </c>
      <c r="K607" s="14">
        <v>46179</v>
      </c>
      <c r="L607" t="s">
        <v>20</v>
      </c>
      <c r="M607" s="14">
        <v>46188</v>
      </c>
      <c r="N607" s="14">
        <v>46179</v>
      </c>
      <c r="O607" t="s">
        <v>20</v>
      </c>
      <c r="P607">
        <v>-198.78</v>
      </c>
      <c r="Q607">
        <f>VLOOKUP(G607,'[1]Erogati mag-giu 2026_791_old'!$A:$W,12,FALSE)</f>
        <v>-198.78</v>
      </c>
      <c r="R607">
        <f t="shared" si="44"/>
        <v>0</v>
      </c>
      <c r="S607">
        <v>-198.78</v>
      </c>
      <c r="T607">
        <f>VLOOKUP(G607,'[1]Erogati mag-giu 2026_791_old'!$A:$W,13,FALSE)</f>
        <v>-198.78</v>
      </c>
      <c r="U607">
        <f t="shared" si="45"/>
        <v>0</v>
      </c>
      <c r="V607">
        <v>-198.78</v>
      </c>
      <c r="W607">
        <f>VLOOKUP(G607,'[1]Erogati mag-giu 2026_791_old'!$A:$W,14,FALSE)</f>
        <v>-198.78</v>
      </c>
      <c r="X607">
        <f t="shared" si="46"/>
        <v>0</v>
      </c>
      <c r="Y607" t="s">
        <v>158</v>
      </c>
      <c r="Z607" t="str">
        <f>VLOOKUP(G607,'[2]Erogati mag-giu 2026_791_old'!$D:$T,11,FALSE)</f>
        <v>indiretto</v>
      </c>
      <c r="AA607" t="b">
        <v>1</v>
      </c>
      <c r="AF607" t="s">
        <v>20</v>
      </c>
      <c r="AG607" t="s">
        <v>20</v>
      </c>
    </row>
    <row r="608" spans="1:33">
      <c r="A608" s="13" t="s">
        <v>1091</v>
      </c>
      <c r="B608" t="s">
        <v>1870</v>
      </c>
      <c r="C608" s="4">
        <v>202601307976646</v>
      </c>
      <c r="D608" s="4" t="b">
        <f t="shared" si="47"/>
        <v>1</v>
      </c>
      <c r="E608" t="s">
        <v>20</v>
      </c>
      <c r="F608" t="s">
        <v>21</v>
      </c>
      <c r="G608" t="s">
        <v>1092</v>
      </c>
      <c r="H608" t="str">
        <f>VLOOKUP(C608,'[1]Erogati mag-giu 2026_791_old'!$B:$E,4,FALSE)</f>
        <v>C313430</v>
      </c>
      <c r="I608" t="b">
        <f t="shared" si="43"/>
        <v>1</v>
      </c>
      <c r="J608" s="14">
        <v>46179</v>
      </c>
      <c r="K608" s="14">
        <v>46179</v>
      </c>
      <c r="L608" t="s">
        <v>20</v>
      </c>
      <c r="M608" s="14">
        <v>46188</v>
      </c>
      <c r="N608" s="14">
        <v>46179</v>
      </c>
      <c r="O608" t="s">
        <v>20</v>
      </c>
      <c r="P608">
        <v>-23.97</v>
      </c>
      <c r="Q608">
        <f>VLOOKUP(G608,'[1]Erogati mag-giu 2026_791_old'!$A:$W,12,FALSE)</f>
        <v>-23.97</v>
      </c>
      <c r="R608">
        <f t="shared" si="44"/>
        <v>0</v>
      </c>
      <c r="S608">
        <v>-23.97</v>
      </c>
      <c r="T608">
        <f>VLOOKUP(G608,'[1]Erogati mag-giu 2026_791_old'!$A:$W,13,FALSE)</f>
        <v>-23.97</v>
      </c>
      <c r="U608">
        <f t="shared" si="45"/>
        <v>0</v>
      </c>
      <c r="V608">
        <v>-23.97</v>
      </c>
      <c r="W608">
        <f>VLOOKUP(G608,'[1]Erogati mag-giu 2026_791_old'!$A:$W,14,FALSE)</f>
        <v>-23.97</v>
      </c>
      <c r="X608">
        <f t="shared" si="46"/>
        <v>0</v>
      </c>
      <c r="Y608" t="s">
        <v>158</v>
      </c>
      <c r="Z608" t="str">
        <f>VLOOKUP(G608,'[2]Erogati mag-giu 2026_791_old'!$D:$T,11,FALSE)</f>
        <v>indiretto</v>
      </c>
      <c r="AA608" t="b">
        <v>1</v>
      </c>
      <c r="AF608" t="s">
        <v>20</v>
      </c>
      <c r="AG608" t="s">
        <v>20</v>
      </c>
    </row>
    <row r="609" spans="1:33">
      <c r="A609" s="13" t="s">
        <v>1093</v>
      </c>
      <c r="B609" t="s">
        <v>1871</v>
      </c>
      <c r="C609" s="4">
        <v>202601307984690</v>
      </c>
      <c r="D609" s="4" t="b">
        <f t="shared" si="47"/>
        <v>1</v>
      </c>
      <c r="E609" t="s">
        <v>20</v>
      </c>
      <c r="F609" t="s">
        <v>21</v>
      </c>
      <c r="G609" t="s">
        <v>1094</v>
      </c>
      <c r="H609" t="str">
        <f>VLOOKUP(C609,'[1]Erogati mag-giu 2026_791_old'!$B:$E,4,FALSE)</f>
        <v>C308916</v>
      </c>
      <c r="I609" t="b">
        <f t="shared" si="43"/>
        <v>1</v>
      </c>
      <c r="J609" s="14">
        <v>46179</v>
      </c>
      <c r="K609" s="14">
        <v>46179</v>
      </c>
      <c r="L609" t="s">
        <v>20</v>
      </c>
      <c r="M609" s="14">
        <v>46188</v>
      </c>
      <c r="N609" s="14">
        <v>46179</v>
      </c>
      <c r="O609" t="s">
        <v>20</v>
      </c>
      <c r="P609">
        <v>-33.130000000000003</v>
      </c>
      <c r="Q609">
        <f>VLOOKUP(G609,'[1]Erogati mag-giu 2026_791_old'!$A:$W,12,FALSE)</f>
        <v>-33.130000000000003</v>
      </c>
      <c r="R609">
        <f t="shared" si="44"/>
        <v>0</v>
      </c>
      <c r="S609">
        <v>-33.130000000000003</v>
      </c>
      <c r="T609">
        <f>VLOOKUP(G609,'[1]Erogati mag-giu 2026_791_old'!$A:$W,13,FALSE)</f>
        <v>-33.130000000000003</v>
      </c>
      <c r="U609">
        <f t="shared" si="45"/>
        <v>0</v>
      </c>
      <c r="V609">
        <v>-33.130000000000003</v>
      </c>
      <c r="W609">
        <f>VLOOKUP(G609,'[1]Erogati mag-giu 2026_791_old'!$A:$W,14,FALSE)</f>
        <v>-33.130000000000003</v>
      </c>
      <c r="X609">
        <f t="shared" si="46"/>
        <v>0</v>
      </c>
      <c r="Y609" t="s">
        <v>158</v>
      </c>
      <c r="Z609" t="str">
        <f>VLOOKUP(G609,'[2]Erogati mag-giu 2026_791_old'!$D:$T,11,FALSE)</f>
        <v>indiretto</v>
      </c>
      <c r="AA609" t="b">
        <v>1</v>
      </c>
      <c r="AF609" t="s">
        <v>20</v>
      </c>
      <c r="AG609" t="s">
        <v>20</v>
      </c>
    </row>
    <row r="610" spans="1:33">
      <c r="A610" s="13" t="s">
        <v>1095</v>
      </c>
      <c r="B610" t="s">
        <v>1872</v>
      </c>
      <c r="C610" s="4">
        <v>202601307991233</v>
      </c>
      <c r="D610" s="4" t="b">
        <f t="shared" si="47"/>
        <v>1</v>
      </c>
      <c r="E610" t="s">
        <v>20</v>
      </c>
      <c r="F610" t="s">
        <v>21</v>
      </c>
      <c r="G610" t="s">
        <v>1096</v>
      </c>
      <c r="H610" t="str">
        <f>VLOOKUP(C610,'[1]Erogati mag-giu 2026_791_old'!$B:$E,4,FALSE)</f>
        <v>C314934</v>
      </c>
      <c r="I610" t="b">
        <f t="shared" si="43"/>
        <v>1</v>
      </c>
      <c r="J610" s="14">
        <v>46179</v>
      </c>
      <c r="K610" s="14">
        <v>46179</v>
      </c>
      <c r="L610" t="s">
        <v>20</v>
      </c>
      <c r="M610" s="14">
        <v>46188</v>
      </c>
      <c r="N610" s="14">
        <v>46179</v>
      </c>
      <c r="O610" t="s">
        <v>20</v>
      </c>
      <c r="P610">
        <v>-77.319999999999993</v>
      </c>
      <c r="Q610">
        <f>VLOOKUP(G610,'[1]Erogati mag-giu 2026_791_old'!$A:$W,12,FALSE)</f>
        <v>-77.319999999999993</v>
      </c>
      <c r="R610">
        <f t="shared" si="44"/>
        <v>0</v>
      </c>
      <c r="S610">
        <v>-77.319999999999993</v>
      </c>
      <c r="T610">
        <f>VLOOKUP(G610,'[1]Erogati mag-giu 2026_791_old'!$A:$W,13,FALSE)</f>
        <v>-77.319999999999993</v>
      </c>
      <c r="U610">
        <f t="shared" si="45"/>
        <v>0</v>
      </c>
      <c r="V610">
        <v>-77.319999999999993</v>
      </c>
      <c r="W610">
        <f>VLOOKUP(G610,'[1]Erogati mag-giu 2026_791_old'!$A:$W,14,FALSE)</f>
        <v>-77.319999999999993</v>
      </c>
      <c r="X610">
        <f t="shared" si="46"/>
        <v>0</v>
      </c>
      <c r="Y610" t="s">
        <v>158</v>
      </c>
      <c r="Z610" t="str">
        <f>VLOOKUP(G610,'[2]Erogati mag-giu 2026_791_old'!$D:$T,11,FALSE)</f>
        <v>indiretto</v>
      </c>
      <c r="AA610" t="b">
        <v>1</v>
      </c>
      <c r="AF610" t="s">
        <v>20</v>
      </c>
      <c r="AG610" t="s">
        <v>20</v>
      </c>
    </row>
    <row r="611" spans="1:33">
      <c r="A611" s="13" t="s">
        <v>1097</v>
      </c>
      <c r="B611" t="s">
        <v>1873</v>
      </c>
      <c r="C611" s="4">
        <v>202601307997489</v>
      </c>
      <c r="D611" s="4" t="b">
        <f t="shared" si="47"/>
        <v>1</v>
      </c>
      <c r="E611" t="s">
        <v>20</v>
      </c>
      <c r="F611" t="s">
        <v>21</v>
      </c>
      <c r="G611" t="s">
        <v>1098</v>
      </c>
      <c r="H611" t="str">
        <f>VLOOKUP(C611,'[1]Erogati mag-giu 2026_791_old'!$B:$E,4,FALSE)</f>
        <v>C344183</v>
      </c>
      <c r="I611" t="b">
        <f t="shared" si="43"/>
        <v>1</v>
      </c>
      <c r="J611" s="14">
        <v>46179</v>
      </c>
      <c r="K611" s="14">
        <v>46179</v>
      </c>
      <c r="L611" t="s">
        <v>20</v>
      </c>
      <c r="M611" s="14">
        <v>46188</v>
      </c>
      <c r="N611" s="14">
        <v>46179</v>
      </c>
      <c r="O611" t="s">
        <v>20</v>
      </c>
      <c r="P611">
        <v>-86.33</v>
      </c>
      <c r="Q611">
        <f>VLOOKUP(G611,'[1]Erogati mag-giu 2026_791_old'!$A:$W,12,FALSE)</f>
        <v>-86.33</v>
      </c>
      <c r="R611">
        <f t="shared" si="44"/>
        <v>0</v>
      </c>
      <c r="S611">
        <v>-86.33</v>
      </c>
      <c r="T611">
        <f>VLOOKUP(G611,'[1]Erogati mag-giu 2026_791_old'!$A:$W,13,FALSE)</f>
        <v>-86.33</v>
      </c>
      <c r="U611">
        <f t="shared" si="45"/>
        <v>0</v>
      </c>
      <c r="V611">
        <v>-86.33</v>
      </c>
      <c r="W611">
        <f>VLOOKUP(G611,'[1]Erogati mag-giu 2026_791_old'!$A:$W,14,FALSE)</f>
        <v>-86.33</v>
      </c>
      <c r="X611">
        <f t="shared" si="46"/>
        <v>0</v>
      </c>
      <c r="Y611" t="s">
        <v>158</v>
      </c>
      <c r="Z611" t="str">
        <f>VLOOKUP(G611,'[2]Erogati mag-giu 2026_791_old'!$D:$T,11,FALSE)</f>
        <v>indiretto</v>
      </c>
      <c r="AA611" t="b">
        <v>1</v>
      </c>
      <c r="AF611" t="s">
        <v>20</v>
      </c>
      <c r="AG611" t="s">
        <v>20</v>
      </c>
    </row>
    <row r="612" spans="1:33">
      <c r="A612" s="13" t="s">
        <v>1099</v>
      </c>
      <c r="B612" t="s">
        <v>1874</v>
      </c>
      <c r="C612" s="4">
        <v>202601308005352</v>
      </c>
      <c r="D612" s="4" t="b">
        <f t="shared" si="47"/>
        <v>1</v>
      </c>
      <c r="E612" t="s">
        <v>20</v>
      </c>
      <c r="F612" t="s">
        <v>21</v>
      </c>
      <c r="G612" t="s">
        <v>1100</v>
      </c>
      <c r="H612" t="str">
        <f>VLOOKUP(C612,'[1]Erogati mag-giu 2026_791_old'!$B:$E,4,FALSE)</f>
        <v>C344284</v>
      </c>
      <c r="I612" t="b">
        <f t="shared" si="43"/>
        <v>1</v>
      </c>
      <c r="J612" s="14">
        <v>46179</v>
      </c>
      <c r="K612" s="14">
        <v>46179</v>
      </c>
      <c r="L612" t="s">
        <v>20</v>
      </c>
      <c r="M612" s="14">
        <v>46188</v>
      </c>
      <c r="N612" s="14">
        <v>46179</v>
      </c>
      <c r="O612" t="s">
        <v>20</v>
      </c>
      <c r="P612">
        <v>-78.78</v>
      </c>
      <c r="Q612">
        <f>VLOOKUP(G612,'[1]Erogati mag-giu 2026_791_old'!$A:$W,12,FALSE)</f>
        <v>-78.78</v>
      </c>
      <c r="R612">
        <f t="shared" si="44"/>
        <v>0</v>
      </c>
      <c r="S612">
        <v>-78.78</v>
      </c>
      <c r="T612">
        <f>VLOOKUP(G612,'[1]Erogati mag-giu 2026_791_old'!$A:$W,13,FALSE)</f>
        <v>-78.78</v>
      </c>
      <c r="U612">
        <f t="shared" si="45"/>
        <v>0</v>
      </c>
      <c r="V612">
        <v>-78.78</v>
      </c>
      <c r="W612">
        <f>VLOOKUP(G612,'[1]Erogati mag-giu 2026_791_old'!$A:$W,14,FALSE)</f>
        <v>-78.78</v>
      </c>
      <c r="X612">
        <f t="shared" si="46"/>
        <v>0</v>
      </c>
      <c r="Y612" t="s">
        <v>158</v>
      </c>
      <c r="Z612" t="str">
        <f>VLOOKUP(G612,'[2]Erogati mag-giu 2026_791_old'!$D:$T,11,FALSE)</f>
        <v>indiretto</v>
      </c>
      <c r="AA612" t="b">
        <v>1</v>
      </c>
      <c r="AF612" t="s">
        <v>20</v>
      </c>
      <c r="AG612" t="s">
        <v>20</v>
      </c>
    </row>
    <row r="613" spans="1:33">
      <c r="A613" s="13" t="s">
        <v>1101</v>
      </c>
      <c r="B613" t="s">
        <v>1875</v>
      </c>
      <c r="C613" s="4">
        <v>202601308006460</v>
      </c>
      <c r="D613" s="4" t="b">
        <f t="shared" si="47"/>
        <v>1</v>
      </c>
      <c r="E613" t="s">
        <v>20</v>
      </c>
      <c r="F613" t="s">
        <v>21</v>
      </c>
      <c r="G613" t="s">
        <v>1102</v>
      </c>
      <c r="H613" t="str">
        <f>VLOOKUP(C613,'[1]Erogati mag-giu 2026_791_old'!$B:$E,4,FALSE)</f>
        <v>C317119</v>
      </c>
      <c r="I613" t="b">
        <f t="shared" si="43"/>
        <v>1</v>
      </c>
      <c r="J613" s="14">
        <v>46179</v>
      </c>
      <c r="K613" s="14">
        <v>46179</v>
      </c>
      <c r="L613" t="s">
        <v>20</v>
      </c>
      <c r="M613" s="14">
        <v>46188</v>
      </c>
      <c r="N613" s="14">
        <v>46179</v>
      </c>
      <c r="O613" t="s">
        <v>20</v>
      </c>
      <c r="P613">
        <v>-86.33</v>
      </c>
      <c r="Q613">
        <f>VLOOKUP(G613,'[1]Erogati mag-giu 2026_791_old'!$A:$W,12,FALSE)</f>
        <v>-86.33</v>
      </c>
      <c r="R613">
        <f t="shared" si="44"/>
        <v>0</v>
      </c>
      <c r="S613">
        <v>-86.33</v>
      </c>
      <c r="T613">
        <f>VLOOKUP(G613,'[1]Erogati mag-giu 2026_791_old'!$A:$W,13,FALSE)</f>
        <v>-86.33</v>
      </c>
      <c r="U613">
        <f t="shared" si="45"/>
        <v>0</v>
      </c>
      <c r="V613">
        <v>-86.33</v>
      </c>
      <c r="W613">
        <f>VLOOKUP(G613,'[1]Erogati mag-giu 2026_791_old'!$A:$W,14,FALSE)</f>
        <v>-86.33</v>
      </c>
      <c r="X613">
        <f t="shared" si="46"/>
        <v>0</v>
      </c>
      <c r="Y613" t="s">
        <v>158</v>
      </c>
      <c r="Z613" t="str">
        <f>VLOOKUP(G613,'[2]Erogati mag-giu 2026_791_old'!$D:$T,11,FALSE)</f>
        <v>indiretto</v>
      </c>
      <c r="AA613" t="b">
        <v>1</v>
      </c>
      <c r="AF613" t="s">
        <v>20</v>
      </c>
      <c r="AG613" t="s">
        <v>20</v>
      </c>
    </row>
    <row r="614" spans="1:33">
      <c r="A614" s="13" t="s">
        <v>1103</v>
      </c>
      <c r="B614" t="s">
        <v>1876</v>
      </c>
      <c r="C614" s="4">
        <v>202601308007051</v>
      </c>
      <c r="D614" s="4" t="b">
        <f t="shared" si="47"/>
        <v>1</v>
      </c>
      <c r="E614" t="s">
        <v>20</v>
      </c>
      <c r="F614" t="s">
        <v>21</v>
      </c>
      <c r="G614" t="s">
        <v>1104</v>
      </c>
      <c r="H614" t="str">
        <f>VLOOKUP(C614,'[1]Erogati mag-giu 2026_791_old'!$B:$E,4,FALSE)</f>
        <v>C344285</v>
      </c>
      <c r="I614" t="b">
        <f t="shared" si="43"/>
        <v>1</v>
      </c>
      <c r="J614" s="14">
        <v>46179</v>
      </c>
      <c r="K614" s="14">
        <v>46179</v>
      </c>
      <c r="L614" t="s">
        <v>20</v>
      </c>
      <c r="M614" s="14">
        <v>46188</v>
      </c>
      <c r="N614" s="14">
        <v>46179</v>
      </c>
      <c r="O614" t="s">
        <v>20</v>
      </c>
      <c r="P614">
        <v>-73.86</v>
      </c>
      <c r="Q614">
        <f>VLOOKUP(G614,'[1]Erogati mag-giu 2026_791_old'!$A:$W,12,FALSE)</f>
        <v>-73.86</v>
      </c>
      <c r="R614">
        <f t="shared" si="44"/>
        <v>0</v>
      </c>
      <c r="S614">
        <v>-73.86</v>
      </c>
      <c r="T614">
        <f>VLOOKUP(G614,'[1]Erogati mag-giu 2026_791_old'!$A:$W,13,FALSE)</f>
        <v>-73.86</v>
      </c>
      <c r="U614">
        <f t="shared" si="45"/>
        <v>0</v>
      </c>
      <c r="V614">
        <v>-73.86</v>
      </c>
      <c r="W614">
        <f>VLOOKUP(G614,'[1]Erogati mag-giu 2026_791_old'!$A:$W,14,FALSE)</f>
        <v>-73.86</v>
      </c>
      <c r="X614">
        <f t="shared" si="46"/>
        <v>0</v>
      </c>
      <c r="Y614" t="s">
        <v>158</v>
      </c>
      <c r="Z614" t="str">
        <f>VLOOKUP(G614,'[2]Erogati mag-giu 2026_791_old'!$D:$T,11,FALSE)</f>
        <v>indiretto</v>
      </c>
      <c r="AA614" t="b">
        <v>1</v>
      </c>
      <c r="AF614" t="s">
        <v>20</v>
      </c>
      <c r="AG614" t="s">
        <v>20</v>
      </c>
    </row>
    <row r="615" spans="1:33">
      <c r="A615" s="13" t="s">
        <v>1105</v>
      </c>
      <c r="B615" t="s">
        <v>1877</v>
      </c>
      <c r="C615" s="4">
        <v>202601308007943</v>
      </c>
      <c r="D615" s="4" t="b">
        <f t="shared" si="47"/>
        <v>1</v>
      </c>
      <c r="E615" t="s">
        <v>20</v>
      </c>
      <c r="F615" t="s">
        <v>21</v>
      </c>
      <c r="G615" t="s">
        <v>1106</v>
      </c>
      <c r="H615" t="str">
        <f>VLOOKUP(C615,'[1]Erogati mag-giu 2026_791_old'!$B:$E,4,FALSE)</f>
        <v>C344145</v>
      </c>
      <c r="I615" t="b">
        <f t="shared" si="43"/>
        <v>1</v>
      </c>
      <c r="J615" s="14">
        <v>46179</v>
      </c>
      <c r="K615" s="14">
        <v>46179</v>
      </c>
      <c r="L615" t="s">
        <v>20</v>
      </c>
      <c r="M615" s="14">
        <v>46188</v>
      </c>
      <c r="N615" s="14">
        <v>46179</v>
      </c>
      <c r="O615" t="s">
        <v>20</v>
      </c>
      <c r="P615">
        <v>-132.52000000000001</v>
      </c>
      <c r="Q615">
        <f>VLOOKUP(G615,'[1]Erogati mag-giu 2026_791_old'!$A:$W,12,FALSE)</f>
        <v>-132.52000000000001</v>
      </c>
      <c r="R615">
        <f t="shared" si="44"/>
        <v>0</v>
      </c>
      <c r="S615">
        <v>-132.52000000000001</v>
      </c>
      <c r="T615">
        <f>VLOOKUP(G615,'[1]Erogati mag-giu 2026_791_old'!$A:$W,13,FALSE)</f>
        <v>-132.52000000000001</v>
      </c>
      <c r="U615">
        <f t="shared" si="45"/>
        <v>0</v>
      </c>
      <c r="V615">
        <v>-132.52000000000001</v>
      </c>
      <c r="W615">
        <f>VLOOKUP(G615,'[1]Erogati mag-giu 2026_791_old'!$A:$W,14,FALSE)</f>
        <v>-132.52000000000001</v>
      </c>
      <c r="X615">
        <f t="shared" si="46"/>
        <v>0</v>
      </c>
      <c r="Y615" t="s">
        <v>158</v>
      </c>
      <c r="Z615" t="str">
        <f>VLOOKUP(G615,'[2]Erogati mag-giu 2026_791_old'!$D:$T,11,FALSE)</f>
        <v>indiretto</v>
      </c>
      <c r="AA615" t="b">
        <v>1</v>
      </c>
      <c r="AF615" t="s">
        <v>20</v>
      </c>
      <c r="AG615" t="s">
        <v>20</v>
      </c>
    </row>
    <row r="616" spans="1:33">
      <c r="A616" s="13" t="s">
        <v>1107</v>
      </c>
      <c r="B616" t="s">
        <v>1878</v>
      </c>
      <c r="C616" s="4">
        <v>202601308008238</v>
      </c>
      <c r="D616" s="4" t="b">
        <f t="shared" si="47"/>
        <v>1</v>
      </c>
      <c r="E616" t="s">
        <v>20</v>
      </c>
      <c r="F616" t="s">
        <v>21</v>
      </c>
      <c r="G616" t="s">
        <v>1108</v>
      </c>
      <c r="H616" t="str">
        <f>VLOOKUP(C616,'[1]Erogati mag-giu 2026_791_old'!$B:$E,4,FALSE)</f>
        <v>C311826</v>
      </c>
      <c r="I616" t="b">
        <f t="shared" si="43"/>
        <v>1</v>
      </c>
      <c r="J616" s="14">
        <v>46179</v>
      </c>
      <c r="K616" s="14">
        <v>46179</v>
      </c>
      <c r="L616" t="s">
        <v>20</v>
      </c>
      <c r="M616" s="14">
        <v>46188</v>
      </c>
      <c r="N616" s="14">
        <v>46179</v>
      </c>
      <c r="O616" t="s">
        <v>20</v>
      </c>
      <c r="P616">
        <v>-149.09</v>
      </c>
      <c r="Q616">
        <f>VLOOKUP(G616,'[1]Erogati mag-giu 2026_791_old'!$A:$W,12,FALSE)</f>
        <v>-149.09</v>
      </c>
      <c r="R616">
        <f t="shared" si="44"/>
        <v>0</v>
      </c>
      <c r="S616">
        <v>-149.09</v>
      </c>
      <c r="T616">
        <f>VLOOKUP(G616,'[1]Erogati mag-giu 2026_791_old'!$A:$W,13,FALSE)</f>
        <v>-149.09</v>
      </c>
      <c r="U616">
        <f t="shared" si="45"/>
        <v>0</v>
      </c>
      <c r="V616">
        <v>-149.09</v>
      </c>
      <c r="W616">
        <f>VLOOKUP(G616,'[1]Erogati mag-giu 2026_791_old'!$A:$W,14,FALSE)</f>
        <v>-149.09</v>
      </c>
      <c r="X616">
        <f t="shared" si="46"/>
        <v>0</v>
      </c>
      <c r="Y616" t="s">
        <v>158</v>
      </c>
      <c r="Z616" t="str">
        <f>VLOOKUP(G616,'[2]Erogati mag-giu 2026_791_old'!$D:$T,11,FALSE)</f>
        <v>indiretto</v>
      </c>
      <c r="AA616" t="b">
        <v>1</v>
      </c>
      <c r="AF616" t="s">
        <v>20</v>
      </c>
      <c r="AG616" t="s">
        <v>20</v>
      </c>
    </row>
    <row r="617" spans="1:33">
      <c r="A617" s="13" t="s">
        <v>1109</v>
      </c>
      <c r="B617" t="s">
        <v>1879</v>
      </c>
      <c r="C617" s="4">
        <v>202601308012909</v>
      </c>
      <c r="D617" s="4" t="b">
        <f t="shared" si="47"/>
        <v>1</v>
      </c>
      <c r="E617" t="s">
        <v>20</v>
      </c>
      <c r="F617" t="s">
        <v>21</v>
      </c>
      <c r="G617" t="s">
        <v>1110</v>
      </c>
      <c r="H617" t="str">
        <f>VLOOKUP(C617,'[1]Erogati mag-giu 2026_791_old'!$B:$E,4,FALSE)</f>
        <v>C344184</v>
      </c>
      <c r="I617" t="b">
        <f t="shared" si="43"/>
        <v>1</v>
      </c>
      <c r="J617" s="14">
        <v>46179</v>
      </c>
      <c r="K617" s="14">
        <v>46179</v>
      </c>
      <c r="L617" t="s">
        <v>20</v>
      </c>
      <c r="M617" s="14">
        <v>46188</v>
      </c>
      <c r="N617" s="14">
        <v>46179</v>
      </c>
      <c r="O617" t="s">
        <v>20</v>
      </c>
      <c r="P617">
        <v>-99.39</v>
      </c>
      <c r="Q617">
        <f>VLOOKUP(G617,'[1]Erogati mag-giu 2026_791_old'!$A:$W,12,FALSE)</f>
        <v>-99.39</v>
      </c>
      <c r="R617">
        <f t="shared" si="44"/>
        <v>0</v>
      </c>
      <c r="S617">
        <v>-99.39</v>
      </c>
      <c r="T617">
        <f>VLOOKUP(G617,'[1]Erogati mag-giu 2026_791_old'!$A:$W,13,FALSE)</f>
        <v>-99.39</v>
      </c>
      <c r="U617">
        <f t="shared" si="45"/>
        <v>0</v>
      </c>
      <c r="V617">
        <v>-99.39</v>
      </c>
      <c r="W617">
        <f>VLOOKUP(G617,'[1]Erogati mag-giu 2026_791_old'!$A:$W,14,FALSE)</f>
        <v>-99.39</v>
      </c>
      <c r="X617">
        <f t="shared" si="46"/>
        <v>0</v>
      </c>
      <c r="Y617" t="s">
        <v>158</v>
      </c>
      <c r="Z617" t="str">
        <f>VLOOKUP(G617,'[2]Erogati mag-giu 2026_791_old'!$D:$T,11,FALSE)</f>
        <v>indiretto</v>
      </c>
      <c r="AA617" t="b">
        <v>1</v>
      </c>
      <c r="AF617" t="s">
        <v>20</v>
      </c>
      <c r="AG617" t="s">
        <v>20</v>
      </c>
    </row>
    <row r="618" spans="1:33">
      <c r="A618" s="13" t="s">
        <v>1111</v>
      </c>
      <c r="B618" t="s">
        <v>1880</v>
      </c>
      <c r="C618" s="4">
        <v>202601308015954</v>
      </c>
      <c r="D618" s="4" t="b">
        <f t="shared" si="47"/>
        <v>1</v>
      </c>
      <c r="E618" t="s">
        <v>20</v>
      </c>
      <c r="F618" t="s">
        <v>21</v>
      </c>
      <c r="G618" t="s">
        <v>1112</v>
      </c>
      <c r="H618" t="str">
        <f>VLOOKUP(C618,'[1]Erogati mag-giu 2026_791_old'!$B:$E,4,FALSE)</f>
        <v>C320295</v>
      </c>
      <c r="I618" t="b">
        <f t="shared" si="43"/>
        <v>1</v>
      </c>
      <c r="J618" s="14">
        <v>46179</v>
      </c>
      <c r="K618" s="14">
        <v>46179</v>
      </c>
      <c r="L618" t="s">
        <v>20</v>
      </c>
      <c r="M618" s="14">
        <v>46188</v>
      </c>
      <c r="N618" s="14">
        <v>46179</v>
      </c>
      <c r="O618" t="s">
        <v>20</v>
      </c>
      <c r="P618">
        <v>-71.900000000000006</v>
      </c>
      <c r="Q618">
        <f>VLOOKUP(G618,'[1]Erogati mag-giu 2026_791_old'!$A:$W,12,FALSE)</f>
        <v>-71.900000000000006</v>
      </c>
      <c r="R618">
        <f t="shared" si="44"/>
        <v>0</v>
      </c>
      <c r="S618">
        <v>-71.900000000000006</v>
      </c>
      <c r="T618">
        <f>VLOOKUP(G618,'[1]Erogati mag-giu 2026_791_old'!$A:$W,13,FALSE)</f>
        <v>-71.900000000000006</v>
      </c>
      <c r="U618">
        <f t="shared" si="45"/>
        <v>0</v>
      </c>
      <c r="V618">
        <v>-71.900000000000006</v>
      </c>
      <c r="W618">
        <f>VLOOKUP(G618,'[1]Erogati mag-giu 2026_791_old'!$A:$W,14,FALSE)</f>
        <v>-71.900000000000006</v>
      </c>
      <c r="X618">
        <f t="shared" si="46"/>
        <v>0</v>
      </c>
      <c r="Y618" t="s">
        <v>158</v>
      </c>
      <c r="Z618" t="str">
        <f>VLOOKUP(G618,'[2]Erogati mag-giu 2026_791_old'!$D:$T,11,FALSE)</f>
        <v>indiretto</v>
      </c>
      <c r="AA618" t="b">
        <v>1</v>
      </c>
      <c r="AF618" t="s">
        <v>20</v>
      </c>
      <c r="AG618" t="s">
        <v>20</v>
      </c>
    </row>
    <row r="619" spans="1:33">
      <c r="A619" s="13" t="s">
        <v>1113</v>
      </c>
      <c r="B619" t="s">
        <v>1881</v>
      </c>
      <c r="C619" s="4">
        <v>202601308018337</v>
      </c>
      <c r="D619" s="4" t="b">
        <f t="shared" si="47"/>
        <v>1</v>
      </c>
      <c r="E619" t="s">
        <v>20</v>
      </c>
      <c r="F619" t="s">
        <v>21</v>
      </c>
      <c r="G619" t="s">
        <v>1114</v>
      </c>
      <c r="H619" t="str">
        <f>VLOOKUP(C619,'[1]Erogati mag-giu 2026_791_old'!$B:$E,4,FALSE)</f>
        <v>C344286</v>
      </c>
      <c r="I619" t="b">
        <f t="shared" si="43"/>
        <v>1</v>
      </c>
      <c r="J619" s="14">
        <v>46179</v>
      </c>
      <c r="K619" s="14">
        <v>46179</v>
      </c>
      <c r="L619" t="s">
        <v>20</v>
      </c>
      <c r="M619" s="14">
        <v>46188</v>
      </c>
      <c r="N619" s="14">
        <v>46179</v>
      </c>
      <c r="O619" t="s">
        <v>20</v>
      </c>
      <c r="P619">
        <v>-33.130000000000003</v>
      </c>
      <c r="Q619">
        <f>VLOOKUP(G619,'[1]Erogati mag-giu 2026_791_old'!$A:$W,12,FALSE)</f>
        <v>-33.130000000000003</v>
      </c>
      <c r="R619">
        <f t="shared" si="44"/>
        <v>0</v>
      </c>
      <c r="S619">
        <v>-33.130000000000003</v>
      </c>
      <c r="T619">
        <f>VLOOKUP(G619,'[1]Erogati mag-giu 2026_791_old'!$A:$W,13,FALSE)</f>
        <v>-33.130000000000003</v>
      </c>
      <c r="U619">
        <f t="shared" si="45"/>
        <v>0</v>
      </c>
      <c r="V619">
        <v>-33.130000000000003</v>
      </c>
      <c r="W619">
        <f>VLOOKUP(G619,'[1]Erogati mag-giu 2026_791_old'!$A:$W,14,FALSE)</f>
        <v>-33.130000000000003</v>
      </c>
      <c r="X619">
        <f t="shared" si="46"/>
        <v>0</v>
      </c>
      <c r="Y619" t="s">
        <v>158</v>
      </c>
      <c r="Z619" t="str">
        <f>VLOOKUP(G619,'[2]Erogati mag-giu 2026_791_old'!$D:$T,11,FALSE)</f>
        <v>indiretto</v>
      </c>
      <c r="AA619" t="b">
        <v>1</v>
      </c>
      <c r="AF619" t="s">
        <v>20</v>
      </c>
      <c r="AG619" t="s">
        <v>20</v>
      </c>
    </row>
    <row r="620" spans="1:33">
      <c r="A620" s="13" t="s">
        <v>1115</v>
      </c>
      <c r="B620" t="s">
        <v>1882</v>
      </c>
      <c r="C620" s="4">
        <v>202601308018868</v>
      </c>
      <c r="D620" s="4" t="b">
        <f t="shared" si="47"/>
        <v>1</v>
      </c>
      <c r="E620" t="s">
        <v>20</v>
      </c>
      <c r="F620" t="s">
        <v>21</v>
      </c>
      <c r="G620" t="s">
        <v>1116</v>
      </c>
      <c r="H620" t="str">
        <f>VLOOKUP(C620,'[1]Erogati mag-giu 2026_791_old'!$B:$E,4,FALSE)</f>
        <v>C310214</v>
      </c>
      <c r="I620" t="b">
        <f t="shared" si="43"/>
        <v>1</v>
      </c>
      <c r="J620" s="14">
        <v>46179</v>
      </c>
      <c r="K620" s="14">
        <v>46179</v>
      </c>
      <c r="L620" t="s">
        <v>20</v>
      </c>
      <c r="M620" s="14">
        <v>46188</v>
      </c>
      <c r="N620" s="14">
        <v>46179</v>
      </c>
      <c r="O620" t="s">
        <v>20</v>
      </c>
      <c r="P620">
        <v>-165.65</v>
      </c>
      <c r="Q620">
        <f>VLOOKUP(G620,'[1]Erogati mag-giu 2026_791_old'!$A:$W,12,FALSE)</f>
        <v>-165.65</v>
      </c>
      <c r="R620">
        <f t="shared" si="44"/>
        <v>0</v>
      </c>
      <c r="S620">
        <v>-165.65</v>
      </c>
      <c r="T620">
        <f>VLOOKUP(G620,'[1]Erogati mag-giu 2026_791_old'!$A:$W,13,FALSE)</f>
        <v>-165.65</v>
      </c>
      <c r="U620">
        <f t="shared" si="45"/>
        <v>0</v>
      </c>
      <c r="V620">
        <v>-165.65</v>
      </c>
      <c r="W620">
        <f>VLOOKUP(G620,'[1]Erogati mag-giu 2026_791_old'!$A:$W,14,FALSE)</f>
        <v>-165.65</v>
      </c>
      <c r="X620">
        <f t="shared" si="46"/>
        <v>0</v>
      </c>
      <c r="Y620" t="s">
        <v>158</v>
      </c>
      <c r="Z620" t="str">
        <f>VLOOKUP(G620,'[2]Erogati mag-giu 2026_791_old'!$D:$T,11,FALSE)</f>
        <v>indiretto</v>
      </c>
      <c r="AA620" t="b">
        <v>1</v>
      </c>
      <c r="AF620" t="s">
        <v>20</v>
      </c>
      <c r="AG620" t="s">
        <v>20</v>
      </c>
    </row>
    <row r="621" spans="1:33">
      <c r="A621" s="13" t="s">
        <v>1117</v>
      </c>
      <c r="B621" t="s">
        <v>1883</v>
      </c>
      <c r="C621" s="4">
        <v>202601308029548</v>
      </c>
      <c r="D621" s="4" t="b">
        <f t="shared" si="47"/>
        <v>1</v>
      </c>
      <c r="E621" t="s">
        <v>20</v>
      </c>
      <c r="F621" t="s">
        <v>21</v>
      </c>
      <c r="G621" t="s">
        <v>1118</v>
      </c>
      <c r="H621" t="str">
        <f>VLOOKUP(C621,'[1]Erogati mag-giu 2026_791_old'!$B:$E,4,FALSE)</f>
        <v>C344191</v>
      </c>
      <c r="I621" t="b">
        <f t="shared" si="43"/>
        <v>1</v>
      </c>
      <c r="J621" s="14">
        <v>46179</v>
      </c>
      <c r="K621" s="14">
        <v>46179</v>
      </c>
      <c r="L621" t="s">
        <v>20</v>
      </c>
      <c r="M621" s="14">
        <v>46188</v>
      </c>
      <c r="N621" s="14">
        <v>46179</v>
      </c>
      <c r="O621" t="s">
        <v>20</v>
      </c>
      <c r="P621">
        <v>-99.39</v>
      </c>
      <c r="Q621">
        <f>VLOOKUP(G621,'[1]Erogati mag-giu 2026_791_old'!$A:$W,12,FALSE)</f>
        <v>-99.39</v>
      </c>
      <c r="R621">
        <f t="shared" si="44"/>
        <v>0</v>
      </c>
      <c r="S621">
        <v>-99.39</v>
      </c>
      <c r="T621">
        <f>VLOOKUP(G621,'[1]Erogati mag-giu 2026_791_old'!$A:$W,13,FALSE)</f>
        <v>-99.39</v>
      </c>
      <c r="U621">
        <f t="shared" si="45"/>
        <v>0</v>
      </c>
      <c r="V621">
        <v>-99.39</v>
      </c>
      <c r="W621">
        <f>VLOOKUP(G621,'[1]Erogati mag-giu 2026_791_old'!$A:$W,14,FALSE)</f>
        <v>-99.39</v>
      </c>
      <c r="X621">
        <f t="shared" si="46"/>
        <v>0</v>
      </c>
      <c r="Y621" t="s">
        <v>158</v>
      </c>
      <c r="Z621" t="str">
        <f>VLOOKUP(G621,'[2]Erogati mag-giu 2026_791_old'!$D:$T,11,FALSE)</f>
        <v>indiretto</v>
      </c>
      <c r="AA621" t="b">
        <v>1</v>
      </c>
      <c r="AF621" t="s">
        <v>20</v>
      </c>
      <c r="AG621" t="s">
        <v>20</v>
      </c>
    </row>
    <row r="622" spans="1:33">
      <c r="A622" s="13" t="s">
        <v>1119</v>
      </c>
      <c r="B622" t="s">
        <v>1884</v>
      </c>
      <c r="C622" s="4">
        <v>202601308030761</v>
      </c>
      <c r="D622" s="4" t="b">
        <f t="shared" si="47"/>
        <v>1</v>
      </c>
      <c r="E622" t="s">
        <v>20</v>
      </c>
      <c r="F622" t="s">
        <v>21</v>
      </c>
      <c r="G622" t="s">
        <v>1120</v>
      </c>
      <c r="H622" t="str">
        <f>VLOOKUP(C622,'[1]Erogati mag-giu 2026_791_old'!$B:$E,4,FALSE)</f>
        <v>S003009</v>
      </c>
      <c r="I622" t="b">
        <f t="shared" si="43"/>
        <v>1</v>
      </c>
      <c r="J622" s="14">
        <v>46179</v>
      </c>
      <c r="K622" s="14">
        <v>46179</v>
      </c>
      <c r="L622" t="s">
        <v>20</v>
      </c>
      <c r="M622" s="14">
        <v>46188</v>
      </c>
      <c r="N622" s="14">
        <v>46179</v>
      </c>
      <c r="O622" t="s">
        <v>20</v>
      </c>
      <c r="P622">
        <v>-59.86</v>
      </c>
      <c r="Q622">
        <f>VLOOKUP(G622,'[1]Erogati mag-giu 2026_791_old'!$A:$W,12,FALSE)</f>
        <v>-59.86</v>
      </c>
      <c r="R622">
        <f t="shared" si="44"/>
        <v>0</v>
      </c>
      <c r="S622">
        <v>-59.86</v>
      </c>
      <c r="T622">
        <f>VLOOKUP(G622,'[1]Erogati mag-giu 2026_791_old'!$A:$W,13,FALSE)</f>
        <v>-59.86</v>
      </c>
      <c r="U622">
        <f t="shared" si="45"/>
        <v>0</v>
      </c>
      <c r="V622">
        <v>-59.86</v>
      </c>
      <c r="W622">
        <f>VLOOKUP(G622,'[1]Erogati mag-giu 2026_791_old'!$A:$W,14,FALSE)</f>
        <v>-59.86</v>
      </c>
      <c r="X622">
        <f t="shared" si="46"/>
        <v>0</v>
      </c>
      <c r="Y622" t="s">
        <v>158</v>
      </c>
      <c r="Z622" t="str">
        <f>VLOOKUP(G622,'[2]Erogati mag-giu 2026_791_old'!$D:$T,11,FALSE)</f>
        <v>indiretto</v>
      </c>
      <c r="AA622" t="b">
        <v>1</v>
      </c>
      <c r="AF622" t="s">
        <v>20</v>
      </c>
      <c r="AG622" t="s">
        <v>20</v>
      </c>
    </row>
    <row r="623" spans="1:33">
      <c r="A623" s="13" t="s">
        <v>1121</v>
      </c>
      <c r="B623" t="s">
        <v>1885</v>
      </c>
      <c r="C623" s="4">
        <v>202601308033813</v>
      </c>
      <c r="D623" s="4" t="b">
        <f t="shared" si="47"/>
        <v>1</v>
      </c>
      <c r="E623" t="s">
        <v>20</v>
      </c>
      <c r="F623" t="s">
        <v>21</v>
      </c>
      <c r="G623" t="s">
        <v>1122</v>
      </c>
      <c r="H623" t="str">
        <f>VLOOKUP(C623,'[1]Erogati mag-giu 2026_791_old'!$B:$E,4,FALSE)</f>
        <v>C344227</v>
      </c>
      <c r="I623" t="b">
        <f t="shared" si="43"/>
        <v>1</v>
      </c>
      <c r="J623" s="14">
        <v>46179</v>
      </c>
      <c r="K623" s="14">
        <v>46179</v>
      </c>
      <c r="L623" t="s">
        <v>20</v>
      </c>
      <c r="M623" s="14">
        <v>46188</v>
      </c>
      <c r="N623" s="14">
        <v>46179</v>
      </c>
      <c r="O623" t="s">
        <v>20</v>
      </c>
      <c r="P623">
        <v>-52.52</v>
      </c>
      <c r="Q623">
        <f>VLOOKUP(G623,'[1]Erogati mag-giu 2026_791_old'!$A:$W,12,FALSE)</f>
        <v>-52.52</v>
      </c>
      <c r="R623">
        <f t="shared" si="44"/>
        <v>0</v>
      </c>
      <c r="S623">
        <v>-52.52</v>
      </c>
      <c r="T623">
        <f>VLOOKUP(G623,'[1]Erogati mag-giu 2026_791_old'!$A:$W,13,FALSE)</f>
        <v>-52.52</v>
      </c>
      <c r="U623">
        <f t="shared" si="45"/>
        <v>0</v>
      </c>
      <c r="V623">
        <v>-52.52</v>
      </c>
      <c r="W623">
        <f>VLOOKUP(G623,'[1]Erogati mag-giu 2026_791_old'!$A:$W,14,FALSE)</f>
        <v>-52.52</v>
      </c>
      <c r="X623">
        <f t="shared" si="46"/>
        <v>0</v>
      </c>
      <c r="Y623" t="s">
        <v>158</v>
      </c>
      <c r="Z623" t="str">
        <f>VLOOKUP(G623,'[2]Erogati mag-giu 2026_791_old'!$D:$T,11,FALSE)</f>
        <v>indiretto</v>
      </c>
      <c r="AA623" t="b">
        <v>1</v>
      </c>
      <c r="AF623" t="s">
        <v>20</v>
      </c>
      <c r="AG623" t="s">
        <v>20</v>
      </c>
    </row>
    <row r="624" spans="1:33">
      <c r="A624" s="13" t="s">
        <v>1123</v>
      </c>
      <c r="B624" t="s">
        <v>1886</v>
      </c>
      <c r="C624" s="4">
        <v>202601308036463</v>
      </c>
      <c r="D624" s="4" t="b">
        <f t="shared" si="47"/>
        <v>1</v>
      </c>
      <c r="E624" t="s">
        <v>20</v>
      </c>
      <c r="F624" t="s">
        <v>21</v>
      </c>
      <c r="G624" t="s">
        <v>1124</v>
      </c>
      <c r="H624" t="str">
        <f>VLOOKUP(C624,'[1]Erogati mag-giu 2026_791_old'!$B:$E,4,FALSE)</f>
        <v>C344190</v>
      </c>
      <c r="I624" t="b">
        <f t="shared" si="43"/>
        <v>1</v>
      </c>
      <c r="J624" s="14">
        <v>46179</v>
      </c>
      <c r="K624" s="14">
        <v>46179</v>
      </c>
      <c r="L624" t="s">
        <v>20</v>
      </c>
      <c r="M624" s="14">
        <v>46188</v>
      </c>
      <c r="N624" s="14">
        <v>46179</v>
      </c>
      <c r="O624" t="s">
        <v>20</v>
      </c>
      <c r="P624">
        <v>-26.26</v>
      </c>
      <c r="Q624">
        <f>VLOOKUP(G624,'[1]Erogati mag-giu 2026_791_old'!$A:$W,12,FALSE)</f>
        <v>-26.26</v>
      </c>
      <c r="R624">
        <f t="shared" si="44"/>
        <v>0</v>
      </c>
      <c r="S624">
        <v>-26.26</v>
      </c>
      <c r="T624">
        <f>VLOOKUP(G624,'[1]Erogati mag-giu 2026_791_old'!$A:$W,13,FALSE)</f>
        <v>-26.26</v>
      </c>
      <c r="U624">
        <f t="shared" si="45"/>
        <v>0</v>
      </c>
      <c r="V624">
        <v>-26.26</v>
      </c>
      <c r="W624">
        <f>VLOOKUP(G624,'[1]Erogati mag-giu 2026_791_old'!$A:$W,14,FALSE)</f>
        <v>-26.26</v>
      </c>
      <c r="X624">
        <f t="shared" si="46"/>
        <v>0</v>
      </c>
      <c r="Y624" t="s">
        <v>158</v>
      </c>
      <c r="Z624" t="str">
        <f>VLOOKUP(G624,'[2]Erogati mag-giu 2026_791_old'!$D:$T,11,FALSE)</f>
        <v>indiretto</v>
      </c>
      <c r="AA624" t="b">
        <v>1</v>
      </c>
      <c r="AF624" t="s">
        <v>20</v>
      </c>
      <c r="AG624" t="s">
        <v>20</v>
      </c>
    </row>
    <row r="625" spans="1:33">
      <c r="A625" s="13" t="s">
        <v>1125</v>
      </c>
      <c r="B625" t="s">
        <v>1887</v>
      </c>
      <c r="C625" s="4">
        <v>202601308037393</v>
      </c>
      <c r="D625" s="4" t="b">
        <f t="shared" si="47"/>
        <v>1</v>
      </c>
      <c r="E625" t="s">
        <v>20</v>
      </c>
      <c r="F625" t="s">
        <v>21</v>
      </c>
      <c r="G625" t="s">
        <v>1126</v>
      </c>
      <c r="H625" t="str">
        <f>VLOOKUP(C625,'[1]Erogati mag-giu 2026_791_old'!$B:$E,4,FALSE)</f>
        <v>C126789</v>
      </c>
      <c r="I625" t="b">
        <f t="shared" si="43"/>
        <v>1</v>
      </c>
      <c r="J625" s="14">
        <v>46179</v>
      </c>
      <c r="K625" s="14">
        <v>46179</v>
      </c>
      <c r="L625" t="s">
        <v>20</v>
      </c>
      <c r="M625" s="14">
        <v>46188</v>
      </c>
      <c r="N625" s="14">
        <v>46179</v>
      </c>
      <c r="O625" t="s">
        <v>20</v>
      </c>
      <c r="P625">
        <v>-99.39</v>
      </c>
      <c r="Q625">
        <f>VLOOKUP(G625,'[1]Erogati mag-giu 2026_791_old'!$A:$W,12,FALSE)</f>
        <v>-99.39</v>
      </c>
      <c r="R625">
        <f t="shared" si="44"/>
        <v>0</v>
      </c>
      <c r="S625">
        <v>-99.39</v>
      </c>
      <c r="T625">
        <f>VLOOKUP(G625,'[1]Erogati mag-giu 2026_791_old'!$A:$W,13,FALSE)</f>
        <v>-99.39</v>
      </c>
      <c r="U625">
        <f t="shared" si="45"/>
        <v>0</v>
      </c>
      <c r="V625">
        <v>-99.39</v>
      </c>
      <c r="W625">
        <f>VLOOKUP(G625,'[1]Erogati mag-giu 2026_791_old'!$A:$W,14,FALSE)</f>
        <v>-99.39</v>
      </c>
      <c r="X625">
        <f t="shared" si="46"/>
        <v>0</v>
      </c>
      <c r="Y625" t="s">
        <v>158</v>
      </c>
      <c r="Z625" t="str">
        <f>VLOOKUP(G625,'[2]Erogati mag-giu 2026_791_old'!$D:$T,11,FALSE)</f>
        <v>indiretto</v>
      </c>
      <c r="AA625" t="b">
        <v>1</v>
      </c>
      <c r="AF625" t="s">
        <v>20</v>
      </c>
      <c r="AG625" t="s">
        <v>20</v>
      </c>
    </row>
    <row r="626" spans="1:33">
      <c r="A626" s="13" t="s">
        <v>1127</v>
      </c>
      <c r="B626" t="s">
        <v>1888</v>
      </c>
      <c r="C626" s="4">
        <v>202601308042346</v>
      </c>
      <c r="D626" s="4" t="b">
        <f t="shared" si="47"/>
        <v>1</v>
      </c>
      <c r="E626" t="s">
        <v>20</v>
      </c>
      <c r="F626" t="s">
        <v>21</v>
      </c>
      <c r="G626" t="s">
        <v>1128</v>
      </c>
      <c r="H626" t="str">
        <f>VLOOKUP(C626,'[1]Erogati mag-giu 2026_791_old'!$B:$E,4,FALSE)</f>
        <v>C091384</v>
      </c>
      <c r="I626" t="b">
        <f t="shared" si="43"/>
        <v>1</v>
      </c>
      <c r="J626" s="14">
        <v>46179</v>
      </c>
      <c r="K626" s="14">
        <v>46179</v>
      </c>
      <c r="L626" t="s">
        <v>20</v>
      </c>
      <c r="M626" s="14">
        <v>46188</v>
      </c>
      <c r="N626" s="14">
        <v>46179</v>
      </c>
      <c r="O626" t="s">
        <v>20</v>
      </c>
      <c r="P626">
        <v>-132.52000000000001</v>
      </c>
      <c r="Q626">
        <f>VLOOKUP(G626,'[1]Erogati mag-giu 2026_791_old'!$A:$W,12,FALSE)</f>
        <v>-132.52000000000001</v>
      </c>
      <c r="R626">
        <f t="shared" si="44"/>
        <v>0</v>
      </c>
      <c r="S626">
        <v>-132.52000000000001</v>
      </c>
      <c r="T626">
        <f>VLOOKUP(G626,'[1]Erogati mag-giu 2026_791_old'!$A:$W,13,FALSE)</f>
        <v>-132.52000000000001</v>
      </c>
      <c r="U626">
        <f t="shared" si="45"/>
        <v>0</v>
      </c>
      <c r="V626">
        <v>-132.52000000000001</v>
      </c>
      <c r="W626">
        <f>VLOOKUP(G626,'[1]Erogati mag-giu 2026_791_old'!$A:$W,14,FALSE)</f>
        <v>-132.52000000000001</v>
      </c>
      <c r="X626">
        <f t="shared" si="46"/>
        <v>0</v>
      </c>
      <c r="Y626" t="s">
        <v>158</v>
      </c>
      <c r="Z626" t="str">
        <f>VLOOKUP(G626,'[2]Erogati mag-giu 2026_791_old'!$D:$T,11,FALSE)</f>
        <v>indiretto</v>
      </c>
      <c r="AA626" t="b">
        <v>1</v>
      </c>
      <c r="AF626" t="s">
        <v>20</v>
      </c>
      <c r="AG626" t="s">
        <v>20</v>
      </c>
    </row>
    <row r="627" spans="1:33">
      <c r="A627" s="13" t="s">
        <v>1129</v>
      </c>
      <c r="B627" t="s">
        <v>1889</v>
      </c>
      <c r="C627" s="4">
        <v>202601308046202</v>
      </c>
      <c r="D627" s="4" t="b">
        <f t="shared" si="47"/>
        <v>1</v>
      </c>
      <c r="E627" t="s">
        <v>20</v>
      </c>
      <c r="F627" t="s">
        <v>21</v>
      </c>
      <c r="G627" t="s">
        <v>1130</v>
      </c>
      <c r="H627" t="str">
        <f>VLOOKUP(C627,'[1]Erogati mag-giu 2026_791_old'!$B:$E,4,FALSE)</f>
        <v>C344146</v>
      </c>
      <c r="I627" t="b">
        <f t="shared" si="43"/>
        <v>1</v>
      </c>
      <c r="J627" s="14">
        <v>46179</v>
      </c>
      <c r="K627" s="14">
        <v>46179</v>
      </c>
      <c r="L627" t="s">
        <v>20</v>
      </c>
      <c r="M627" s="14">
        <v>46188</v>
      </c>
      <c r="N627" s="14">
        <v>46179</v>
      </c>
      <c r="O627" t="s">
        <v>20</v>
      </c>
      <c r="P627">
        <v>-132.52000000000001</v>
      </c>
      <c r="Q627">
        <f>VLOOKUP(G627,'[1]Erogati mag-giu 2026_791_old'!$A:$W,12,FALSE)</f>
        <v>-132.52000000000001</v>
      </c>
      <c r="R627">
        <f t="shared" si="44"/>
        <v>0</v>
      </c>
      <c r="S627">
        <v>-132.52000000000001</v>
      </c>
      <c r="T627">
        <f>VLOOKUP(G627,'[1]Erogati mag-giu 2026_791_old'!$A:$W,13,FALSE)</f>
        <v>-132.52000000000001</v>
      </c>
      <c r="U627">
        <f t="shared" si="45"/>
        <v>0</v>
      </c>
      <c r="V627">
        <v>-132.52000000000001</v>
      </c>
      <c r="W627">
        <f>VLOOKUP(G627,'[1]Erogati mag-giu 2026_791_old'!$A:$W,14,FALSE)</f>
        <v>-132.52000000000001</v>
      </c>
      <c r="X627">
        <f t="shared" si="46"/>
        <v>0</v>
      </c>
      <c r="Y627" t="s">
        <v>158</v>
      </c>
      <c r="Z627" t="str">
        <f>VLOOKUP(G627,'[2]Erogati mag-giu 2026_791_old'!$D:$T,11,FALSE)</f>
        <v>indiretto</v>
      </c>
      <c r="AA627" t="b">
        <v>1</v>
      </c>
      <c r="AF627" t="s">
        <v>20</v>
      </c>
      <c r="AG627" t="s">
        <v>20</v>
      </c>
    </row>
    <row r="628" spans="1:33">
      <c r="A628" s="13" t="s">
        <v>1131</v>
      </c>
      <c r="B628" t="s">
        <v>1890</v>
      </c>
      <c r="C628" s="4">
        <v>202601308061841</v>
      </c>
      <c r="D628" s="4" t="b">
        <f t="shared" si="47"/>
        <v>1</v>
      </c>
      <c r="E628" t="s">
        <v>20</v>
      </c>
      <c r="F628" t="s">
        <v>21</v>
      </c>
      <c r="G628" t="s">
        <v>1132</v>
      </c>
      <c r="H628" t="str">
        <f>VLOOKUP(C628,'[1]Erogati mag-giu 2026_791_old'!$B:$E,4,FALSE)</f>
        <v>C308519</v>
      </c>
      <c r="I628" t="b">
        <f t="shared" si="43"/>
        <v>1</v>
      </c>
      <c r="J628" s="14">
        <v>46179</v>
      </c>
      <c r="K628" s="14">
        <v>46179</v>
      </c>
      <c r="L628" t="s">
        <v>20</v>
      </c>
      <c r="M628" s="14">
        <v>46188</v>
      </c>
      <c r="N628" s="14">
        <v>46179</v>
      </c>
      <c r="O628" t="s">
        <v>20</v>
      </c>
      <c r="P628">
        <v>-47.94</v>
      </c>
      <c r="Q628">
        <f>VLOOKUP(G628,'[1]Erogati mag-giu 2026_791_old'!$A:$W,12,FALSE)</f>
        <v>-47.94</v>
      </c>
      <c r="R628">
        <f t="shared" si="44"/>
        <v>0</v>
      </c>
      <c r="S628">
        <v>-47.94</v>
      </c>
      <c r="T628">
        <f>VLOOKUP(G628,'[1]Erogati mag-giu 2026_791_old'!$A:$W,13,FALSE)</f>
        <v>-47.94</v>
      </c>
      <c r="U628">
        <f t="shared" si="45"/>
        <v>0</v>
      </c>
      <c r="V628">
        <v>-47.94</v>
      </c>
      <c r="W628">
        <f>VLOOKUP(G628,'[1]Erogati mag-giu 2026_791_old'!$A:$W,14,FALSE)</f>
        <v>-47.94</v>
      </c>
      <c r="X628">
        <f t="shared" si="46"/>
        <v>0</v>
      </c>
      <c r="Y628" t="s">
        <v>158</v>
      </c>
      <c r="Z628" t="str">
        <f>VLOOKUP(G628,'[2]Erogati mag-giu 2026_791_old'!$D:$T,11,FALSE)</f>
        <v>indiretto</v>
      </c>
      <c r="AA628" t="b">
        <v>1</v>
      </c>
      <c r="AF628" t="s">
        <v>20</v>
      </c>
      <c r="AG628" t="s">
        <v>20</v>
      </c>
    </row>
    <row r="629" spans="1:33">
      <c r="A629" s="13" t="s">
        <v>1133</v>
      </c>
      <c r="B629" t="s">
        <v>1891</v>
      </c>
      <c r="C629" s="4">
        <v>202601308062669</v>
      </c>
      <c r="D629" s="4" t="b">
        <f t="shared" si="47"/>
        <v>1</v>
      </c>
      <c r="E629" t="s">
        <v>20</v>
      </c>
      <c r="F629" t="s">
        <v>21</v>
      </c>
      <c r="G629" t="s">
        <v>1134</v>
      </c>
      <c r="H629" t="str">
        <f>VLOOKUP(C629,'[1]Erogati mag-giu 2026_791_old'!$B:$E,4,FALSE)</f>
        <v>C337615</v>
      </c>
      <c r="I629" t="b">
        <f t="shared" si="43"/>
        <v>1</v>
      </c>
      <c r="J629" s="14">
        <v>46179</v>
      </c>
      <c r="K629" s="14">
        <v>46179</v>
      </c>
      <c r="L629" t="s">
        <v>20</v>
      </c>
      <c r="M629" s="14">
        <v>46188</v>
      </c>
      <c r="N629" s="14">
        <v>46179</v>
      </c>
      <c r="O629" t="s">
        <v>20</v>
      </c>
      <c r="P629">
        <v>-86.33</v>
      </c>
      <c r="Q629">
        <f>VLOOKUP(G629,'[1]Erogati mag-giu 2026_791_old'!$A:$W,12,FALSE)</f>
        <v>-86.33</v>
      </c>
      <c r="R629">
        <f t="shared" si="44"/>
        <v>0</v>
      </c>
      <c r="S629">
        <v>-86.33</v>
      </c>
      <c r="T629">
        <f>VLOOKUP(G629,'[1]Erogati mag-giu 2026_791_old'!$A:$W,13,FALSE)</f>
        <v>-86.33</v>
      </c>
      <c r="U629">
        <f t="shared" si="45"/>
        <v>0</v>
      </c>
      <c r="V629">
        <v>-86.33</v>
      </c>
      <c r="W629">
        <f>VLOOKUP(G629,'[1]Erogati mag-giu 2026_791_old'!$A:$W,14,FALSE)</f>
        <v>-86.33</v>
      </c>
      <c r="X629">
        <f t="shared" si="46"/>
        <v>0</v>
      </c>
      <c r="Y629" t="s">
        <v>158</v>
      </c>
      <c r="Z629" t="str">
        <f>VLOOKUP(G629,'[2]Erogati mag-giu 2026_791_old'!$D:$T,11,FALSE)</f>
        <v>indiretto</v>
      </c>
      <c r="AA629" t="b">
        <v>1</v>
      </c>
      <c r="AF629" t="s">
        <v>20</v>
      </c>
      <c r="AG629" t="s">
        <v>20</v>
      </c>
    </row>
    <row r="630" spans="1:33">
      <c r="A630" s="13" t="s">
        <v>1135</v>
      </c>
      <c r="B630" t="s">
        <v>1892</v>
      </c>
      <c r="C630" s="4">
        <v>202601308072760</v>
      </c>
      <c r="D630" s="4" t="b">
        <f t="shared" si="47"/>
        <v>1</v>
      </c>
      <c r="E630" t="s">
        <v>20</v>
      </c>
      <c r="F630" t="s">
        <v>21</v>
      </c>
      <c r="G630" t="s">
        <v>1136</v>
      </c>
      <c r="H630" t="str">
        <f>VLOOKUP(C630,'[1]Erogati mag-giu 2026_791_old'!$B:$E,4,FALSE)</f>
        <v>C322844</v>
      </c>
      <c r="I630" t="b">
        <f t="shared" si="43"/>
        <v>1</v>
      </c>
      <c r="J630" s="14">
        <v>46179</v>
      </c>
      <c r="K630" s="14">
        <v>46179</v>
      </c>
      <c r="L630" t="s">
        <v>20</v>
      </c>
      <c r="M630" s="14">
        <v>46188</v>
      </c>
      <c r="N630" s="14">
        <v>46179</v>
      </c>
      <c r="O630" t="s">
        <v>20</v>
      </c>
      <c r="P630">
        <v>-33.130000000000003</v>
      </c>
      <c r="Q630">
        <f>VLOOKUP(G630,'[1]Erogati mag-giu 2026_791_old'!$A:$W,12,FALSE)</f>
        <v>-33.130000000000003</v>
      </c>
      <c r="R630">
        <f t="shared" si="44"/>
        <v>0</v>
      </c>
      <c r="S630">
        <v>-33.130000000000003</v>
      </c>
      <c r="T630">
        <f>VLOOKUP(G630,'[1]Erogati mag-giu 2026_791_old'!$A:$W,13,FALSE)</f>
        <v>-33.130000000000003</v>
      </c>
      <c r="U630">
        <f t="shared" si="45"/>
        <v>0</v>
      </c>
      <c r="V630">
        <v>-33.130000000000003</v>
      </c>
      <c r="W630">
        <f>VLOOKUP(G630,'[1]Erogati mag-giu 2026_791_old'!$A:$W,14,FALSE)</f>
        <v>-33.130000000000003</v>
      </c>
      <c r="X630">
        <f t="shared" si="46"/>
        <v>0</v>
      </c>
      <c r="Y630" t="s">
        <v>158</v>
      </c>
      <c r="Z630" t="str">
        <f>VLOOKUP(G630,'[2]Erogati mag-giu 2026_791_old'!$D:$T,11,FALSE)</f>
        <v>indiretto</v>
      </c>
      <c r="AA630" t="b">
        <v>1</v>
      </c>
      <c r="AF630" t="s">
        <v>20</v>
      </c>
      <c r="AG630" t="s">
        <v>20</v>
      </c>
    </row>
    <row r="631" spans="1:33">
      <c r="A631" s="13" t="s">
        <v>1137</v>
      </c>
      <c r="B631" t="s">
        <v>1893</v>
      </c>
      <c r="C631" s="4">
        <v>202601308094547</v>
      </c>
      <c r="D631" s="4" t="b">
        <f t="shared" si="47"/>
        <v>1</v>
      </c>
      <c r="E631" t="s">
        <v>20</v>
      </c>
      <c r="F631" t="s">
        <v>21</v>
      </c>
      <c r="G631" t="s">
        <v>1138</v>
      </c>
      <c r="H631" t="str">
        <f>VLOOKUP(C631,'[1]Erogati mag-giu 2026_791_old'!$B:$E,4,FALSE)</f>
        <v>C344147</v>
      </c>
      <c r="I631" t="b">
        <f t="shared" si="43"/>
        <v>1</v>
      </c>
      <c r="J631" s="14">
        <v>46179</v>
      </c>
      <c r="K631" s="14">
        <v>46179</v>
      </c>
      <c r="L631" t="s">
        <v>20</v>
      </c>
      <c r="M631" s="14">
        <v>46188</v>
      </c>
      <c r="N631" s="14">
        <v>46179</v>
      </c>
      <c r="O631" t="s">
        <v>20</v>
      </c>
      <c r="P631">
        <v>-26.26</v>
      </c>
      <c r="Q631">
        <f>VLOOKUP(G631,'[1]Erogati mag-giu 2026_791_old'!$A:$W,12,FALSE)</f>
        <v>-26.26</v>
      </c>
      <c r="R631">
        <f t="shared" si="44"/>
        <v>0</v>
      </c>
      <c r="S631">
        <v>-26.26</v>
      </c>
      <c r="T631">
        <f>VLOOKUP(G631,'[1]Erogati mag-giu 2026_791_old'!$A:$W,13,FALSE)</f>
        <v>-26.26</v>
      </c>
      <c r="U631">
        <f t="shared" si="45"/>
        <v>0</v>
      </c>
      <c r="V631">
        <v>-26.26</v>
      </c>
      <c r="W631">
        <f>VLOOKUP(G631,'[1]Erogati mag-giu 2026_791_old'!$A:$W,14,FALSE)</f>
        <v>-26.26</v>
      </c>
      <c r="X631">
        <f t="shared" si="46"/>
        <v>0</v>
      </c>
      <c r="Y631" t="s">
        <v>158</v>
      </c>
      <c r="Z631" t="str">
        <f>VLOOKUP(G631,'[2]Erogati mag-giu 2026_791_old'!$D:$T,11,FALSE)</f>
        <v>indiretto</v>
      </c>
      <c r="AA631" t="b">
        <v>1</v>
      </c>
      <c r="AF631" t="s">
        <v>20</v>
      </c>
      <c r="AG631" t="s">
        <v>20</v>
      </c>
    </row>
    <row r="632" spans="1:33">
      <c r="A632" s="13" t="s">
        <v>1139</v>
      </c>
      <c r="B632" t="s">
        <v>1894</v>
      </c>
      <c r="C632" s="4">
        <v>202601308103176</v>
      </c>
      <c r="D632" s="4" t="b">
        <f t="shared" si="47"/>
        <v>1</v>
      </c>
      <c r="E632" t="s">
        <v>20</v>
      </c>
      <c r="F632" t="s">
        <v>21</v>
      </c>
      <c r="G632" t="s">
        <v>1140</v>
      </c>
      <c r="H632" t="str">
        <f>VLOOKUP(C632,'[1]Erogati mag-giu 2026_791_old'!$B:$E,4,FALSE)</f>
        <v>C314392</v>
      </c>
      <c r="I632" t="b">
        <f t="shared" si="43"/>
        <v>1</v>
      </c>
      <c r="J632" s="14">
        <v>46179</v>
      </c>
      <c r="K632" s="14">
        <v>46179</v>
      </c>
      <c r="L632" t="s">
        <v>20</v>
      </c>
      <c r="M632" s="14">
        <v>46188</v>
      </c>
      <c r="N632" s="14">
        <v>46179</v>
      </c>
      <c r="O632" t="s">
        <v>20</v>
      </c>
      <c r="P632">
        <v>-132.52000000000001</v>
      </c>
      <c r="Q632">
        <f>VLOOKUP(G632,'[1]Erogati mag-giu 2026_791_old'!$A:$W,12,FALSE)</f>
        <v>-132.52000000000001</v>
      </c>
      <c r="R632">
        <f t="shared" si="44"/>
        <v>0</v>
      </c>
      <c r="S632">
        <v>-132.52000000000001</v>
      </c>
      <c r="T632">
        <f>VLOOKUP(G632,'[1]Erogati mag-giu 2026_791_old'!$A:$W,13,FALSE)</f>
        <v>-132.52000000000001</v>
      </c>
      <c r="U632">
        <f t="shared" si="45"/>
        <v>0</v>
      </c>
      <c r="V632">
        <v>-132.52000000000001</v>
      </c>
      <c r="W632">
        <f>VLOOKUP(G632,'[1]Erogati mag-giu 2026_791_old'!$A:$W,14,FALSE)</f>
        <v>-132.52000000000001</v>
      </c>
      <c r="X632">
        <f t="shared" si="46"/>
        <v>0</v>
      </c>
      <c r="Y632" t="s">
        <v>158</v>
      </c>
      <c r="Z632" t="str">
        <f>VLOOKUP(G632,'[2]Erogati mag-giu 2026_791_old'!$D:$T,11,FALSE)</f>
        <v>indiretto</v>
      </c>
      <c r="AA632" t="b">
        <v>1</v>
      </c>
      <c r="AF632" t="s">
        <v>20</v>
      </c>
      <c r="AG632" t="s">
        <v>20</v>
      </c>
    </row>
    <row r="633" spans="1:33">
      <c r="A633" s="13" t="s">
        <v>1141</v>
      </c>
      <c r="B633" t="s">
        <v>1895</v>
      </c>
      <c r="C633" s="4">
        <v>202601308108280</v>
      </c>
      <c r="D633" s="4" t="b">
        <f t="shared" si="47"/>
        <v>1</v>
      </c>
      <c r="E633" t="s">
        <v>20</v>
      </c>
      <c r="F633" t="s">
        <v>21</v>
      </c>
      <c r="G633" t="s">
        <v>1142</v>
      </c>
      <c r="H633" t="str">
        <f>VLOOKUP(C633,'[1]Erogati mag-giu 2026_791_old'!$B:$E,4,FALSE)</f>
        <v>C307070</v>
      </c>
      <c r="I633" t="b">
        <f t="shared" si="43"/>
        <v>1</v>
      </c>
      <c r="J633" s="14">
        <v>46179</v>
      </c>
      <c r="K633" s="14">
        <v>46179</v>
      </c>
      <c r="L633" t="s">
        <v>20</v>
      </c>
      <c r="M633" s="14">
        <v>46188</v>
      </c>
      <c r="N633" s="14">
        <v>46179</v>
      </c>
      <c r="O633" t="s">
        <v>20</v>
      </c>
      <c r="P633">
        <v>-99.39</v>
      </c>
      <c r="Q633">
        <f>VLOOKUP(G633,'[1]Erogati mag-giu 2026_791_old'!$A:$W,12,FALSE)</f>
        <v>-99.39</v>
      </c>
      <c r="R633">
        <f t="shared" si="44"/>
        <v>0</v>
      </c>
      <c r="S633">
        <v>-99.39</v>
      </c>
      <c r="T633">
        <f>VLOOKUP(G633,'[1]Erogati mag-giu 2026_791_old'!$A:$W,13,FALSE)</f>
        <v>-99.39</v>
      </c>
      <c r="U633">
        <f t="shared" si="45"/>
        <v>0</v>
      </c>
      <c r="V633">
        <v>-99.39</v>
      </c>
      <c r="W633">
        <f>VLOOKUP(G633,'[1]Erogati mag-giu 2026_791_old'!$A:$W,14,FALSE)</f>
        <v>-99.39</v>
      </c>
      <c r="X633">
        <f t="shared" si="46"/>
        <v>0</v>
      </c>
      <c r="Y633" t="s">
        <v>158</v>
      </c>
      <c r="Z633" t="str">
        <f>VLOOKUP(G633,'[2]Erogati mag-giu 2026_791_old'!$D:$T,11,FALSE)</f>
        <v>indiretto</v>
      </c>
      <c r="AA633" t="b">
        <v>1</v>
      </c>
      <c r="AF633" t="s">
        <v>20</v>
      </c>
      <c r="AG633" t="s">
        <v>20</v>
      </c>
    </row>
    <row r="634" spans="1:33">
      <c r="A634" s="13" t="s">
        <v>1143</v>
      </c>
      <c r="B634" t="s">
        <v>1896</v>
      </c>
      <c r="C634" s="4">
        <v>202601308110803</v>
      </c>
      <c r="D634" s="4" t="b">
        <f t="shared" si="47"/>
        <v>1</v>
      </c>
      <c r="E634" t="s">
        <v>20</v>
      </c>
      <c r="F634" t="s">
        <v>21</v>
      </c>
      <c r="G634" t="s">
        <v>1144</v>
      </c>
      <c r="H634" t="str">
        <f>VLOOKUP(C634,'[1]Erogati mag-giu 2026_791_old'!$B:$E,4,FALSE)</f>
        <v>C316033</v>
      </c>
      <c r="I634" t="b">
        <f t="shared" si="43"/>
        <v>1</v>
      </c>
      <c r="J634" s="14">
        <v>46179</v>
      </c>
      <c r="K634" s="14">
        <v>46179</v>
      </c>
      <c r="L634" t="s">
        <v>20</v>
      </c>
      <c r="M634" s="14">
        <v>46188</v>
      </c>
      <c r="N634" s="14">
        <v>46179</v>
      </c>
      <c r="O634" t="s">
        <v>20</v>
      </c>
      <c r="P634">
        <v>-33.130000000000003</v>
      </c>
      <c r="Q634">
        <f>VLOOKUP(G634,'[1]Erogati mag-giu 2026_791_old'!$A:$W,12,FALSE)</f>
        <v>-33.130000000000003</v>
      </c>
      <c r="R634">
        <f t="shared" si="44"/>
        <v>0</v>
      </c>
      <c r="S634">
        <v>-33.130000000000003</v>
      </c>
      <c r="T634">
        <f>VLOOKUP(G634,'[1]Erogati mag-giu 2026_791_old'!$A:$W,13,FALSE)</f>
        <v>-33.130000000000003</v>
      </c>
      <c r="U634">
        <f t="shared" si="45"/>
        <v>0</v>
      </c>
      <c r="V634">
        <v>-33.130000000000003</v>
      </c>
      <c r="W634">
        <f>VLOOKUP(G634,'[1]Erogati mag-giu 2026_791_old'!$A:$W,14,FALSE)</f>
        <v>-33.130000000000003</v>
      </c>
      <c r="X634">
        <f t="shared" si="46"/>
        <v>0</v>
      </c>
      <c r="Y634" t="s">
        <v>158</v>
      </c>
      <c r="Z634" t="str">
        <f>VLOOKUP(G634,'[2]Erogati mag-giu 2026_791_old'!$D:$T,11,FALSE)</f>
        <v>indiretto</v>
      </c>
      <c r="AA634" t="b">
        <v>1</v>
      </c>
      <c r="AF634" t="s">
        <v>20</v>
      </c>
      <c r="AG634" t="s">
        <v>20</v>
      </c>
    </row>
    <row r="635" spans="1:33">
      <c r="A635" s="13" t="s">
        <v>1145</v>
      </c>
      <c r="B635" t="s">
        <v>1897</v>
      </c>
      <c r="C635" s="4">
        <v>202601308110985</v>
      </c>
      <c r="D635" s="4" t="b">
        <f t="shared" si="47"/>
        <v>1</v>
      </c>
      <c r="E635" t="s">
        <v>20</v>
      </c>
      <c r="F635" t="s">
        <v>21</v>
      </c>
      <c r="G635" t="s">
        <v>1146</v>
      </c>
      <c r="H635" t="str">
        <f>VLOOKUP(C635,'[1]Erogati mag-giu 2026_791_old'!$B:$E,4,FALSE)</f>
        <v>C310161</v>
      </c>
      <c r="I635" t="b">
        <f t="shared" si="43"/>
        <v>1</v>
      </c>
      <c r="J635" s="14">
        <v>46179</v>
      </c>
      <c r="K635" s="14">
        <v>46179</v>
      </c>
      <c r="L635" t="s">
        <v>20</v>
      </c>
      <c r="M635" s="14">
        <v>46188</v>
      </c>
      <c r="N635" s="14">
        <v>46179</v>
      </c>
      <c r="O635" t="s">
        <v>20</v>
      </c>
      <c r="P635">
        <v>-66.260000000000005</v>
      </c>
      <c r="Q635">
        <f>VLOOKUP(G635,'[1]Erogati mag-giu 2026_791_old'!$A:$W,12,FALSE)</f>
        <v>-66.260000000000005</v>
      </c>
      <c r="R635">
        <f t="shared" si="44"/>
        <v>0</v>
      </c>
      <c r="S635">
        <v>-66.260000000000005</v>
      </c>
      <c r="T635">
        <f>VLOOKUP(G635,'[1]Erogati mag-giu 2026_791_old'!$A:$W,13,FALSE)</f>
        <v>-66.260000000000005</v>
      </c>
      <c r="U635">
        <f t="shared" si="45"/>
        <v>0</v>
      </c>
      <c r="V635">
        <v>-66.260000000000005</v>
      </c>
      <c r="W635">
        <f>VLOOKUP(G635,'[1]Erogati mag-giu 2026_791_old'!$A:$W,14,FALSE)</f>
        <v>-66.260000000000005</v>
      </c>
      <c r="X635">
        <f t="shared" si="46"/>
        <v>0</v>
      </c>
      <c r="Y635" t="s">
        <v>158</v>
      </c>
      <c r="Z635" t="str">
        <f>VLOOKUP(G635,'[2]Erogati mag-giu 2026_791_old'!$D:$T,11,FALSE)</f>
        <v>indiretto</v>
      </c>
      <c r="AA635" t="b">
        <v>1</v>
      </c>
      <c r="AF635" t="s">
        <v>20</v>
      </c>
      <c r="AG635" t="s">
        <v>20</v>
      </c>
    </row>
    <row r="636" spans="1:33">
      <c r="A636" s="13" t="s">
        <v>1147</v>
      </c>
      <c r="B636" t="s">
        <v>1898</v>
      </c>
      <c r="C636" s="4">
        <v>202601308112816</v>
      </c>
      <c r="D636" s="4" t="b">
        <f t="shared" si="47"/>
        <v>1</v>
      </c>
      <c r="E636" t="s">
        <v>20</v>
      </c>
      <c r="F636" t="s">
        <v>21</v>
      </c>
      <c r="G636" t="s">
        <v>1148</v>
      </c>
      <c r="H636" t="str">
        <f>VLOOKUP(C636,'[1]Erogati mag-giu 2026_791_old'!$B:$E,4,FALSE)</f>
        <v>C320314</v>
      </c>
      <c r="I636" t="b">
        <f t="shared" si="43"/>
        <v>1</v>
      </c>
      <c r="J636" s="14">
        <v>46179</v>
      </c>
      <c r="K636" s="14">
        <v>46179</v>
      </c>
      <c r="L636" t="s">
        <v>20</v>
      </c>
      <c r="M636" s="14">
        <v>46188</v>
      </c>
      <c r="N636" s="14">
        <v>46179</v>
      </c>
      <c r="O636" t="s">
        <v>20</v>
      </c>
      <c r="P636">
        <v>-99.39</v>
      </c>
      <c r="Q636">
        <f>VLOOKUP(G636,'[1]Erogati mag-giu 2026_791_old'!$A:$W,12,FALSE)</f>
        <v>-99.39</v>
      </c>
      <c r="R636">
        <f t="shared" si="44"/>
        <v>0</v>
      </c>
      <c r="S636">
        <v>-99.39</v>
      </c>
      <c r="T636">
        <f>VLOOKUP(G636,'[1]Erogati mag-giu 2026_791_old'!$A:$W,13,FALSE)</f>
        <v>-99.39</v>
      </c>
      <c r="U636">
        <f t="shared" si="45"/>
        <v>0</v>
      </c>
      <c r="V636">
        <v>-99.39</v>
      </c>
      <c r="W636">
        <f>VLOOKUP(G636,'[1]Erogati mag-giu 2026_791_old'!$A:$W,14,FALSE)</f>
        <v>-99.39</v>
      </c>
      <c r="X636">
        <f t="shared" si="46"/>
        <v>0</v>
      </c>
      <c r="Y636" t="s">
        <v>158</v>
      </c>
      <c r="Z636" t="str">
        <f>VLOOKUP(G636,'[2]Erogati mag-giu 2026_791_old'!$D:$T,11,FALSE)</f>
        <v>indiretto</v>
      </c>
      <c r="AA636" t="b">
        <v>1</v>
      </c>
      <c r="AF636" t="s">
        <v>20</v>
      </c>
      <c r="AG636" t="s">
        <v>20</v>
      </c>
    </row>
    <row r="637" spans="1:33">
      <c r="A637" s="13" t="s">
        <v>1149</v>
      </c>
      <c r="B637" t="s">
        <v>1899</v>
      </c>
      <c r="C637" s="4">
        <v>202601308113700</v>
      </c>
      <c r="D637" s="4" t="b">
        <f t="shared" si="47"/>
        <v>1</v>
      </c>
      <c r="E637" t="s">
        <v>20</v>
      </c>
      <c r="F637" t="s">
        <v>21</v>
      </c>
      <c r="G637" t="s">
        <v>1150</v>
      </c>
      <c r="H637" t="str">
        <f>VLOOKUP(C637,'[1]Erogati mag-giu 2026_791_old'!$B:$E,4,FALSE)</f>
        <v>C314230</v>
      </c>
      <c r="I637" t="b">
        <f t="shared" si="43"/>
        <v>1</v>
      </c>
      <c r="J637" s="14">
        <v>46179</v>
      </c>
      <c r="K637" s="14">
        <v>46179</v>
      </c>
      <c r="L637" t="s">
        <v>20</v>
      </c>
      <c r="M637" s="14">
        <v>46188</v>
      </c>
      <c r="N637" s="14">
        <v>46179</v>
      </c>
      <c r="O637" t="s">
        <v>20</v>
      </c>
      <c r="P637">
        <v>-33.130000000000003</v>
      </c>
      <c r="Q637">
        <f>VLOOKUP(G637,'[1]Erogati mag-giu 2026_791_old'!$A:$W,12,FALSE)</f>
        <v>-33.130000000000003</v>
      </c>
      <c r="R637">
        <f t="shared" si="44"/>
        <v>0</v>
      </c>
      <c r="S637">
        <v>-33.130000000000003</v>
      </c>
      <c r="T637">
        <f>VLOOKUP(G637,'[1]Erogati mag-giu 2026_791_old'!$A:$W,13,FALSE)</f>
        <v>-33.130000000000003</v>
      </c>
      <c r="U637">
        <f t="shared" si="45"/>
        <v>0</v>
      </c>
      <c r="V637">
        <v>-33.130000000000003</v>
      </c>
      <c r="W637">
        <f>VLOOKUP(G637,'[1]Erogati mag-giu 2026_791_old'!$A:$W,14,FALSE)</f>
        <v>-33.130000000000003</v>
      </c>
      <c r="X637">
        <f t="shared" si="46"/>
        <v>0</v>
      </c>
      <c r="Y637" t="s">
        <v>158</v>
      </c>
      <c r="Z637" t="str">
        <f>VLOOKUP(G637,'[2]Erogati mag-giu 2026_791_old'!$D:$T,11,FALSE)</f>
        <v>indiretto</v>
      </c>
      <c r="AA637" t="b">
        <v>1</v>
      </c>
      <c r="AF637" t="s">
        <v>20</v>
      </c>
      <c r="AG637" t="s">
        <v>20</v>
      </c>
    </row>
    <row r="638" spans="1:33">
      <c r="A638" s="13" t="s">
        <v>1151</v>
      </c>
      <c r="B638" t="s">
        <v>1900</v>
      </c>
      <c r="C638" s="4">
        <v>202601308120198</v>
      </c>
      <c r="D638" s="4" t="b">
        <f t="shared" si="47"/>
        <v>1</v>
      </c>
      <c r="E638" t="s">
        <v>20</v>
      </c>
      <c r="F638" t="s">
        <v>21</v>
      </c>
      <c r="G638" t="s">
        <v>1152</v>
      </c>
      <c r="H638" t="str">
        <f>VLOOKUP(C638,'[1]Erogati mag-giu 2026_791_old'!$B:$E,4,FALSE)</f>
        <v>C337672</v>
      </c>
      <c r="I638" t="b">
        <f t="shared" si="43"/>
        <v>1</v>
      </c>
      <c r="J638" s="14">
        <v>46179</v>
      </c>
      <c r="K638" s="14">
        <v>46179</v>
      </c>
      <c r="L638" t="s">
        <v>20</v>
      </c>
      <c r="M638" s="14">
        <v>46188</v>
      </c>
      <c r="N638" s="14">
        <v>46179</v>
      </c>
      <c r="O638" t="s">
        <v>20</v>
      </c>
      <c r="P638">
        <v>-95.87</v>
      </c>
      <c r="Q638">
        <f>VLOOKUP(G638,'[1]Erogati mag-giu 2026_791_old'!$A:$W,12,FALSE)</f>
        <v>-95.87</v>
      </c>
      <c r="R638">
        <f t="shared" si="44"/>
        <v>0</v>
      </c>
      <c r="S638">
        <v>-95.87</v>
      </c>
      <c r="T638">
        <f>VLOOKUP(G638,'[1]Erogati mag-giu 2026_791_old'!$A:$W,13,FALSE)</f>
        <v>-95.87</v>
      </c>
      <c r="U638">
        <f t="shared" si="45"/>
        <v>0</v>
      </c>
      <c r="V638">
        <v>-95.87</v>
      </c>
      <c r="W638">
        <f>VLOOKUP(G638,'[1]Erogati mag-giu 2026_791_old'!$A:$W,14,FALSE)</f>
        <v>-95.87</v>
      </c>
      <c r="X638">
        <f t="shared" si="46"/>
        <v>0</v>
      </c>
      <c r="Y638" t="s">
        <v>158</v>
      </c>
      <c r="Z638" t="str">
        <f>VLOOKUP(G638,'[2]Erogati mag-giu 2026_791_old'!$D:$T,11,FALSE)</f>
        <v>indiretto</v>
      </c>
      <c r="AA638" t="b">
        <v>1</v>
      </c>
      <c r="AF638" t="s">
        <v>20</v>
      </c>
      <c r="AG638" t="s">
        <v>20</v>
      </c>
    </row>
    <row r="639" spans="1:33">
      <c r="A639" s="13" t="s">
        <v>1153</v>
      </c>
      <c r="B639" t="s">
        <v>1901</v>
      </c>
      <c r="C639" s="4">
        <v>202601308122285</v>
      </c>
      <c r="D639" s="4" t="b">
        <f t="shared" si="47"/>
        <v>1</v>
      </c>
      <c r="E639" t="s">
        <v>20</v>
      </c>
      <c r="F639" t="s">
        <v>21</v>
      </c>
      <c r="G639" t="s">
        <v>1154</v>
      </c>
      <c r="H639" t="str">
        <f>VLOOKUP(C639,'[1]Erogati mag-giu 2026_791_old'!$B:$E,4,FALSE)</f>
        <v>C337562</v>
      </c>
      <c r="I639" t="b">
        <f t="shared" si="43"/>
        <v>1</v>
      </c>
      <c r="J639" s="14">
        <v>46179</v>
      </c>
      <c r="K639" s="14">
        <v>46179</v>
      </c>
      <c r="L639" t="s">
        <v>20</v>
      </c>
      <c r="M639" s="14">
        <v>46188</v>
      </c>
      <c r="N639" s="14">
        <v>46179</v>
      </c>
      <c r="O639" t="s">
        <v>20</v>
      </c>
      <c r="P639">
        <v>-99.39</v>
      </c>
      <c r="Q639">
        <f>VLOOKUP(G639,'[1]Erogati mag-giu 2026_791_old'!$A:$W,12,FALSE)</f>
        <v>-99.39</v>
      </c>
      <c r="R639">
        <f t="shared" si="44"/>
        <v>0</v>
      </c>
      <c r="S639">
        <v>-99.39</v>
      </c>
      <c r="T639">
        <f>VLOOKUP(G639,'[1]Erogati mag-giu 2026_791_old'!$A:$W,13,FALSE)</f>
        <v>-99.39</v>
      </c>
      <c r="U639">
        <f t="shared" si="45"/>
        <v>0</v>
      </c>
      <c r="V639">
        <v>-99.39</v>
      </c>
      <c r="W639">
        <f>VLOOKUP(G639,'[1]Erogati mag-giu 2026_791_old'!$A:$W,14,FALSE)</f>
        <v>-99.39</v>
      </c>
      <c r="X639">
        <f t="shared" si="46"/>
        <v>0</v>
      </c>
      <c r="Y639" t="s">
        <v>158</v>
      </c>
      <c r="Z639" t="str">
        <f>VLOOKUP(G639,'[2]Erogati mag-giu 2026_791_old'!$D:$T,11,FALSE)</f>
        <v>indiretto</v>
      </c>
      <c r="AA639" t="b">
        <v>1</v>
      </c>
      <c r="AF639" t="s">
        <v>20</v>
      </c>
      <c r="AG639" t="s">
        <v>20</v>
      </c>
    </row>
    <row r="640" spans="1:33">
      <c r="A640" s="13" t="s">
        <v>1155</v>
      </c>
      <c r="B640" t="s">
        <v>1902</v>
      </c>
      <c r="C640" s="4">
        <v>202601308123811</v>
      </c>
      <c r="D640" s="4" t="b">
        <f t="shared" si="47"/>
        <v>1</v>
      </c>
      <c r="E640" t="s">
        <v>20</v>
      </c>
      <c r="F640" t="s">
        <v>21</v>
      </c>
      <c r="G640" t="s">
        <v>1156</v>
      </c>
      <c r="H640" t="str">
        <f>VLOOKUP(C640,'[1]Erogati mag-giu 2026_791_old'!$B:$E,4,FALSE)</f>
        <v>C344126</v>
      </c>
      <c r="I640" t="b">
        <f t="shared" si="43"/>
        <v>1</v>
      </c>
      <c r="J640" s="14">
        <v>46179</v>
      </c>
      <c r="K640" s="14">
        <v>46179</v>
      </c>
      <c r="L640" t="s">
        <v>20</v>
      </c>
      <c r="M640" s="14">
        <v>46188</v>
      </c>
      <c r="N640" s="14">
        <v>46179</v>
      </c>
      <c r="O640" t="s">
        <v>20</v>
      </c>
      <c r="P640">
        <v>-99.39</v>
      </c>
      <c r="Q640">
        <f>VLOOKUP(G640,'[1]Erogati mag-giu 2026_791_old'!$A:$W,12,FALSE)</f>
        <v>-99.39</v>
      </c>
      <c r="R640">
        <f t="shared" si="44"/>
        <v>0</v>
      </c>
      <c r="S640">
        <v>-99.39</v>
      </c>
      <c r="T640">
        <f>VLOOKUP(G640,'[1]Erogati mag-giu 2026_791_old'!$A:$W,13,FALSE)</f>
        <v>-99.39</v>
      </c>
      <c r="U640">
        <f t="shared" si="45"/>
        <v>0</v>
      </c>
      <c r="V640">
        <v>-99.39</v>
      </c>
      <c r="W640">
        <f>VLOOKUP(G640,'[1]Erogati mag-giu 2026_791_old'!$A:$W,14,FALSE)</f>
        <v>-99.39</v>
      </c>
      <c r="X640">
        <f t="shared" si="46"/>
        <v>0</v>
      </c>
      <c r="Y640" t="s">
        <v>158</v>
      </c>
      <c r="Z640" t="str">
        <f>VLOOKUP(G640,'[2]Erogati mag-giu 2026_791_old'!$D:$T,11,FALSE)</f>
        <v>indiretto</v>
      </c>
      <c r="AA640" t="b">
        <v>1</v>
      </c>
      <c r="AF640" t="s">
        <v>20</v>
      </c>
      <c r="AG640" t="s">
        <v>20</v>
      </c>
    </row>
    <row r="641" spans="1:33">
      <c r="A641" s="13" t="s">
        <v>1157</v>
      </c>
      <c r="B641" t="s">
        <v>1903</v>
      </c>
      <c r="C641" s="4">
        <v>202601308127399</v>
      </c>
      <c r="D641" s="4" t="b">
        <f t="shared" si="47"/>
        <v>1</v>
      </c>
      <c r="E641" t="s">
        <v>20</v>
      </c>
      <c r="F641" t="s">
        <v>21</v>
      </c>
      <c r="G641" t="s">
        <v>1158</v>
      </c>
      <c r="H641" t="str">
        <f>VLOOKUP(C641,'[1]Erogati mag-giu 2026_791_old'!$B:$E,4,FALSE)</f>
        <v>C302881</v>
      </c>
      <c r="I641" t="b">
        <f t="shared" si="43"/>
        <v>1</v>
      </c>
      <c r="J641" s="14">
        <v>46179</v>
      </c>
      <c r="K641" s="14">
        <v>46179</v>
      </c>
      <c r="L641" t="s">
        <v>20</v>
      </c>
      <c r="M641" s="14">
        <v>46188</v>
      </c>
      <c r="N641" s="14">
        <v>46179</v>
      </c>
      <c r="O641" t="s">
        <v>20</v>
      </c>
      <c r="P641">
        <v>-143.81</v>
      </c>
      <c r="Q641">
        <f>VLOOKUP(G641,'[1]Erogati mag-giu 2026_791_old'!$A:$W,12,FALSE)</f>
        <v>-143.81</v>
      </c>
      <c r="R641">
        <f t="shared" si="44"/>
        <v>0</v>
      </c>
      <c r="S641">
        <v>-143.81</v>
      </c>
      <c r="T641">
        <f>VLOOKUP(G641,'[1]Erogati mag-giu 2026_791_old'!$A:$W,13,FALSE)</f>
        <v>-143.81</v>
      </c>
      <c r="U641">
        <f t="shared" si="45"/>
        <v>0</v>
      </c>
      <c r="V641">
        <v>-143.81</v>
      </c>
      <c r="W641">
        <f>VLOOKUP(G641,'[1]Erogati mag-giu 2026_791_old'!$A:$W,14,FALSE)</f>
        <v>-143.81</v>
      </c>
      <c r="X641">
        <f t="shared" si="46"/>
        <v>0</v>
      </c>
      <c r="Y641" t="s">
        <v>158</v>
      </c>
      <c r="Z641" t="str">
        <f>VLOOKUP(G641,'[2]Erogati mag-giu 2026_791_old'!$D:$T,11,FALSE)</f>
        <v>indiretto</v>
      </c>
      <c r="AA641" t="b">
        <v>1</v>
      </c>
      <c r="AF641" t="s">
        <v>20</v>
      </c>
      <c r="AG641" t="s">
        <v>20</v>
      </c>
    </row>
    <row r="642" spans="1:33">
      <c r="A642" s="13" t="s">
        <v>1159</v>
      </c>
      <c r="B642" t="s">
        <v>1904</v>
      </c>
      <c r="C642" s="4">
        <v>202601308134353</v>
      </c>
      <c r="D642" s="4" t="b">
        <f t="shared" si="47"/>
        <v>1</v>
      </c>
      <c r="E642" t="s">
        <v>20</v>
      </c>
      <c r="F642" t="s">
        <v>21</v>
      </c>
      <c r="G642" t="s">
        <v>1160</v>
      </c>
      <c r="H642" t="str">
        <f>VLOOKUP(C642,'[1]Erogati mag-giu 2026_791_old'!$B:$E,4,FALSE)</f>
        <v>C337569</v>
      </c>
      <c r="I642" t="b">
        <f t="shared" si="43"/>
        <v>1</v>
      </c>
      <c r="J642" s="14">
        <v>46179</v>
      </c>
      <c r="K642" s="14">
        <v>46179</v>
      </c>
      <c r="L642" t="s">
        <v>20</v>
      </c>
      <c r="M642" s="14">
        <v>46188</v>
      </c>
      <c r="N642" s="14">
        <v>46179</v>
      </c>
      <c r="O642" t="s">
        <v>20</v>
      </c>
      <c r="P642">
        <v>-33.130000000000003</v>
      </c>
      <c r="Q642">
        <f>VLOOKUP(G642,'[1]Erogati mag-giu 2026_791_old'!$A:$W,12,FALSE)</f>
        <v>-33.130000000000003</v>
      </c>
      <c r="R642">
        <f t="shared" si="44"/>
        <v>0</v>
      </c>
      <c r="S642">
        <v>-33.130000000000003</v>
      </c>
      <c r="T642">
        <f>VLOOKUP(G642,'[1]Erogati mag-giu 2026_791_old'!$A:$W,13,FALSE)</f>
        <v>-33.130000000000003</v>
      </c>
      <c r="U642">
        <f t="shared" si="45"/>
        <v>0</v>
      </c>
      <c r="V642">
        <v>-33.130000000000003</v>
      </c>
      <c r="W642">
        <f>VLOOKUP(G642,'[1]Erogati mag-giu 2026_791_old'!$A:$W,14,FALSE)</f>
        <v>-33.130000000000003</v>
      </c>
      <c r="X642">
        <f t="shared" si="46"/>
        <v>0</v>
      </c>
      <c r="Y642" t="s">
        <v>158</v>
      </c>
      <c r="Z642" t="str">
        <f>VLOOKUP(G642,'[2]Erogati mag-giu 2026_791_old'!$D:$T,11,FALSE)</f>
        <v>indiretto</v>
      </c>
      <c r="AA642" t="b">
        <v>1</v>
      </c>
      <c r="AF642" t="s">
        <v>20</v>
      </c>
      <c r="AG642" t="s">
        <v>20</v>
      </c>
    </row>
    <row r="643" spans="1:33">
      <c r="A643" s="13" t="s">
        <v>1161</v>
      </c>
      <c r="B643" t="s">
        <v>1905</v>
      </c>
      <c r="C643" s="4">
        <v>202601308135192</v>
      </c>
      <c r="D643" s="4" t="b">
        <f t="shared" si="47"/>
        <v>1</v>
      </c>
      <c r="E643" t="s">
        <v>20</v>
      </c>
      <c r="F643" t="s">
        <v>21</v>
      </c>
      <c r="G643" t="s">
        <v>1162</v>
      </c>
      <c r="H643" t="str">
        <f>VLOOKUP(C643,'[1]Erogati mag-giu 2026_791_old'!$B:$E,4,FALSE)</f>
        <v>C130350</v>
      </c>
      <c r="I643" t="b">
        <f t="shared" si="43"/>
        <v>1</v>
      </c>
      <c r="J643" s="14">
        <v>46179</v>
      </c>
      <c r="K643" s="14">
        <v>46179</v>
      </c>
      <c r="L643" t="s">
        <v>20</v>
      </c>
      <c r="M643" s="14">
        <v>46188</v>
      </c>
      <c r="N643" s="14">
        <v>46179</v>
      </c>
      <c r="O643" t="s">
        <v>20</v>
      </c>
      <c r="P643">
        <v>-165.65</v>
      </c>
      <c r="Q643">
        <f>VLOOKUP(G643,'[1]Erogati mag-giu 2026_791_old'!$A:$W,12,FALSE)</f>
        <v>-165.65</v>
      </c>
      <c r="R643">
        <f t="shared" si="44"/>
        <v>0</v>
      </c>
      <c r="S643">
        <v>-165.65</v>
      </c>
      <c r="T643">
        <f>VLOOKUP(G643,'[1]Erogati mag-giu 2026_791_old'!$A:$W,13,FALSE)</f>
        <v>-165.65</v>
      </c>
      <c r="U643">
        <f t="shared" si="45"/>
        <v>0</v>
      </c>
      <c r="V643">
        <v>-165.65</v>
      </c>
      <c r="W643">
        <f>VLOOKUP(G643,'[1]Erogati mag-giu 2026_791_old'!$A:$W,14,FALSE)</f>
        <v>-165.65</v>
      </c>
      <c r="X643">
        <f t="shared" si="46"/>
        <v>0</v>
      </c>
      <c r="Y643" t="s">
        <v>158</v>
      </c>
      <c r="Z643" t="str">
        <f>VLOOKUP(G643,'[2]Erogati mag-giu 2026_791_old'!$D:$T,11,FALSE)</f>
        <v>indiretto</v>
      </c>
      <c r="AA643" t="b">
        <v>1</v>
      </c>
      <c r="AF643" t="s">
        <v>20</v>
      </c>
      <c r="AG643" t="s">
        <v>20</v>
      </c>
    </row>
    <row r="644" spans="1:33">
      <c r="A644" s="13" t="s">
        <v>1163</v>
      </c>
      <c r="B644" t="s">
        <v>1906</v>
      </c>
      <c r="C644" s="4">
        <v>202601308139385</v>
      </c>
      <c r="D644" s="4" t="b">
        <f t="shared" si="47"/>
        <v>1</v>
      </c>
      <c r="E644" t="s">
        <v>20</v>
      </c>
      <c r="F644" t="s">
        <v>21</v>
      </c>
      <c r="G644" t="s">
        <v>1164</v>
      </c>
      <c r="H644" t="str">
        <f>VLOOKUP(C644,'[1]Erogati mag-giu 2026_791_old'!$B:$E,4,FALSE)</f>
        <v>C315944</v>
      </c>
      <c r="I644" t="b">
        <f t="shared" ref="I644:I707" si="48">EXACT(G644,H644)</f>
        <v>1</v>
      </c>
      <c r="J644" s="14">
        <v>46179</v>
      </c>
      <c r="K644" s="14">
        <v>46179</v>
      </c>
      <c r="L644" t="s">
        <v>20</v>
      </c>
      <c r="M644" s="14">
        <v>46188</v>
      </c>
      <c r="N644" s="14">
        <v>46179</v>
      </c>
      <c r="O644" t="s">
        <v>20</v>
      </c>
      <c r="P644">
        <v>-33.130000000000003</v>
      </c>
      <c r="Q644">
        <f>VLOOKUP(G644,'[1]Erogati mag-giu 2026_791_old'!$A:$W,12,FALSE)</f>
        <v>-33.130000000000003</v>
      </c>
      <c r="R644">
        <f t="shared" ref="R644:R707" si="49">P644-Q644</f>
        <v>0</v>
      </c>
      <c r="S644">
        <v>-33.130000000000003</v>
      </c>
      <c r="T644">
        <f>VLOOKUP(G644,'[1]Erogati mag-giu 2026_791_old'!$A:$W,13,FALSE)</f>
        <v>-33.130000000000003</v>
      </c>
      <c r="U644">
        <f t="shared" ref="U644:U707" si="50">S644-T644</f>
        <v>0</v>
      </c>
      <c r="V644">
        <v>-33.130000000000003</v>
      </c>
      <c r="W644">
        <f>VLOOKUP(G644,'[1]Erogati mag-giu 2026_791_old'!$A:$W,14,FALSE)</f>
        <v>-33.130000000000003</v>
      </c>
      <c r="X644">
        <f t="shared" ref="X644:X707" si="51">V644-W644</f>
        <v>0</v>
      </c>
      <c r="Y644" t="s">
        <v>158</v>
      </c>
      <c r="Z644" t="str">
        <f>VLOOKUP(G644,'[2]Erogati mag-giu 2026_791_old'!$D:$T,11,FALSE)</f>
        <v>indiretto</v>
      </c>
      <c r="AA644" t="b">
        <v>1</v>
      </c>
      <c r="AF644" t="s">
        <v>20</v>
      </c>
      <c r="AG644" t="s">
        <v>20</v>
      </c>
    </row>
    <row r="645" spans="1:33">
      <c r="A645" s="13" t="s">
        <v>1165</v>
      </c>
      <c r="B645" t="s">
        <v>1907</v>
      </c>
      <c r="C645" s="4">
        <v>202601308139386</v>
      </c>
      <c r="D645" s="4" t="b">
        <f t="shared" si="47"/>
        <v>1</v>
      </c>
      <c r="E645" t="s">
        <v>20</v>
      </c>
      <c r="F645" t="s">
        <v>21</v>
      </c>
      <c r="G645" t="s">
        <v>1166</v>
      </c>
      <c r="H645" t="str">
        <f>VLOOKUP(C645,'[1]Erogati mag-giu 2026_791_old'!$B:$E,4,FALSE)</f>
        <v>C312145</v>
      </c>
      <c r="I645" t="b">
        <f t="shared" si="48"/>
        <v>1</v>
      </c>
      <c r="J645" s="14">
        <v>46179</v>
      </c>
      <c r="K645" s="14">
        <v>46179</v>
      </c>
      <c r="L645" t="s">
        <v>20</v>
      </c>
      <c r="M645" s="14">
        <v>46188</v>
      </c>
      <c r="N645" s="14">
        <v>46179</v>
      </c>
      <c r="O645" t="s">
        <v>20</v>
      </c>
      <c r="P645">
        <v>-132.52000000000001</v>
      </c>
      <c r="Q645">
        <f>VLOOKUP(G645,'[1]Erogati mag-giu 2026_791_old'!$A:$W,12,FALSE)</f>
        <v>-132.52000000000001</v>
      </c>
      <c r="R645">
        <f t="shared" si="49"/>
        <v>0</v>
      </c>
      <c r="S645">
        <v>-132.52000000000001</v>
      </c>
      <c r="T645">
        <f>VLOOKUP(G645,'[1]Erogati mag-giu 2026_791_old'!$A:$W,13,FALSE)</f>
        <v>-132.52000000000001</v>
      </c>
      <c r="U645">
        <f t="shared" si="50"/>
        <v>0</v>
      </c>
      <c r="V645">
        <v>-132.52000000000001</v>
      </c>
      <c r="W645">
        <f>VLOOKUP(G645,'[1]Erogati mag-giu 2026_791_old'!$A:$W,14,FALSE)</f>
        <v>-132.52000000000001</v>
      </c>
      <c r="X645">
        <f t="shared" si="51"/>
        <v>0</v>
      </c>
      <c r="Y645" t="s">
        <v>158</v>
      </c>
      <c r="Z645" t="str">
        <f>VLOOKUP(G645,'[2]Erogati mag-giu 2026_791_old'!$D:$T,11,FALSE)</f>
        <v>indiretto</v>
      </c>
      <c r="AA645" t="b">
        <v>1</v>
      </c>
      <c r="AF645" t="s">
        <v>20</v>
      </c>
      <c r="AG645" t="s">
        <v>20</v>
      </c>
    </row>
    <row r="646" spans="1:33">
      <c r="A646" s="13" t="s">
        <v>1167</v>
      </c>
      <c r="B646" t="s">
        <v>1908</v>
      </c>
      <c r="C646" s="4">
        <v>202601308140250</v>
      </c>
      <c r="D646" s="4" t="b">
        <f t="shared" si="47"/>
        <v>1</v>
      </c>
      <c r="E646" t="s">
        <v>20</v>
      </c>
      <c r="F646" t="s">
        <v>21</v>
      </c>
      <c r="G646" t="s">
        <v>1168</v>
      </c>
      <c r="H646" t="str">
        <f>VLOOKUP(C646,'[1]Erogati mag-giu 2026_791_old'!$B:$E,4,FALSE)</f>
        <v>C310252</v>
      </c>
      <c r="I646" t="b">
        <f t="shared" si="48"/>
        <v>1</v>
      </c>
      <c r="J646" s="14">
        <v>46179</v>
      </c>
      <c r="K646" s="14">
        <v>46179</v>
      </c>
      <c r="L646" t="s">
        <v>20</v>
      </c>
      <c r="M646" s="14">
        <v>46188</v>
      </c>
      <c r="N646" s="14">
        <v>46179</v>
      </c>
      <c r="O646" t="s">
        <v>20</v>
      </c>
      <c r="P646">
        <v>-66.260000000000005</v>
      </c>
      <c r="Q646">
        <f>VLOOKUP(G646,'[1]Erogati mag-giu 2026_791_old'!$A:$W,12,FALSE)</f>
        <v>-66.260000000000005</v>
      </c>
      <c r="R646">
        <f t="shared" si="49"/>
        <v>0</v>
      </c>
      <c r="S646">
        <v>-66.260000000000005</v>
      </c>
      <c r="T646">
        <f>VLOOKUP(G646,'[1]Erogati mag-giu 2026_791_old'!$A:$W,13,FALSE)</f>
        <v>-66.260000000000005</v>
      </c>
      <c r="U646">
        <f t="shared" si="50"/>
        <v>0</v>
      </c>
      <c r="V646">
        <v>-66.260000000000005</v>
      </c>
      <c r="W646">
        <f>VLOOKUP(G646,'[1]Erogati mag-giu 2026_791_old'!$A:$W,14,FALSE)</f>
        <v>-66.260000000000005</v>
      </c>
      <c r="X646">
        <f t="shared" si="51"/>
        <v>0</v>
      </c>
      <c r="Y646" t="s">
        <v>158</v>
      </c>
      <c r="Z646" t="str">
        <f>VLOOKUP(G646,'[2]Erogati mag-giu 2026_791_old'!$D:$T,11,FALSE)</f>
        <v>indiretto</v>
      </c>
      <c r="AA646" t="b">
        <v>1</v>
      </c>
      <c r="AF646" t="s">
        <v>20</v>
      </c>
      <c r="AG646" t="s">
        <v>20</v>
      </c>
    </row>
    <row r="647" spans="1:33">
      <c r="A647" s="13" t="s">
        <v>1169</v>
      </c>
      <c r="B647" t="s">
        <v>1909</v>
      </c>
      <c r="C647" s="4">
        <v>202601308142061</v>
      </c>
      <c r="D647" s="4" t="b">
        <f t="shared" si="47"/>
        <v>1</v>
      </c>
      <c r="E647" t="s">
        <v>20</v>
      </c>
      <c r="F647" t="s">
        <v>21</v>
      </c>
      <c r="G647" t="s">
        <v>1170</v>
      </c>
      <c r="H647" t="str">
        <f>VLOOKUP(C647,'[1]Erogati mag-giu 2026_791_old'!$B:$E,4,FALSE)</f>
        <v>C322009</v>
      </c>
      <c r="I647" t="b">
        <f t="shared" si="48"/>
        <v>1</v>
      </c>
      <c r="J647" s="14">
        <v>46179</v>
      </c>
      <c r="K647" s="14">
        <v>46179</v>
      </c>
      <c r="L647" t="s">
        <v>20</v>
      </c>
      <c r="M647" s="14">
        <v>46188</v>
      </c>
      <c r="N647" s="14">
        <v>46179</v>
      </c>
      <c r="O647" t="s">
        <v>20</v>
      </c>
      <c r="P647">
        <v>-99.39</v>
      </c>
      <c r="Q647">
        <f>VLOOKUP(G647,'[1]Erogati mag-giu 2026_791_old'!$A:$W,12,FALSE)</f>
        <v>-99.39</v>
      </c>
      <c r="R647">
        <f t="shared" si="49"/>
        <v>0</v>
      </c>
      <c r="S647">
        <v>-99.39</v>
      </c>
      <c r="T647">
        <f>VLOOKUP(G647,'[1]Erogati mag-giu 2026_791_old'!$A:$W,13,FALSE)</f>
        <v>-99.39</v>
      </c>
      <c r="U647">
        <f t="shared" si="50"/>
        <v>0</v>
      </c>
      <c r="V647">
        <v>-99.39</v>
      </c>
      <c r="W647">
        <f>VLOOKUP(G647,'[1]Erogati mag-giu 2026_791_old'!$A:$W,14,FALSE)</f>
        <v>-99.39</v>
      </c>
      <c r="X647">
        <f t="shared" si="51"/>
        <v>0</v>
      </c>
      <c r="Y647" t="s">
        <v>158</v>
      </c>
      <c r="Z647" t="str">
        <f>VLOOKUP(G647,'[2]Erogati mag-giu 2026_791_old'!$D:$T,11,FALSE)</f>
        <v>indiretto</v>
      </c>
      <c r="AA647" t="b">
        <v>1</v>
      </c>
      <c r="AF647" t="s">
        <v>20</v>
      </c>
      <c r="AG647" t="s">
        <v>20</v>
      </c>
    </row>
    <row r="648" spans="1:33">
      <c r="A648" s="13" t="s">
        <v>1171</v>
      </c>
      <c r="B648" t="s">
        <v>1910</v>
      </c>
      <c r="C648" s="4">
        <v>202601308149155</v>
      </c>
      <c r="D648" s="4" t="b">
        <f t="shared" si="47"/>
        <v>1</v>
      </c>
      <c r="E648" t="s">
        <v>20</v>
      </c>
      <c r="F648" t="s">
        <v>21</v>
      </c>
      <c r="G648" t="s">
        <v>1172</v>
      </c>
      <c r="H648" t="str">
        <f>VLOOKUP(C648,'[1]Erogati mag-giu 2026_791_old'!$B:$E,4,FALSE)</f>
        <v>C308425</v>
      </c>
      <c r="I648" t="b">
        <f t="shared" si="48"/>
        <v>1</v>
      </c>
      <c r="J648" s="14">
        <v>46179</v>
      </c>
      <c r="K648" s="14">
        <v>46179</v>
      </c>
      <c r="L648" t="s">
        <v>20</v>
      </c>
      <c r="M648" s="14">
        <v>46188</v>
      </c>
      <c r="N648" s="14">
        <v>46179</v>
      </c>
      <c r="O648" t="s">
        <v>20</v>
      </c>
      <c r="P648">
        <v>-66.260000000000005</v>
      </c>
      <c r="Q648">
        <f>VLOOKUP(G648,'[1]Erogati mag-giu 2026_791_old'!$A:$W,12,FALSE)</f>
        <v>-66.260000000000005</v>
      </c>
      <c r="R648">
        <f t="shared" si="49"/>
        <v>0</v>
      </c>
      <c r="S648">
        <v>-66.260000000000005</v>
      </c>
      <c r="T648">
        <f>VLOOKUP(G648,'[1]Erogati mag-giu 2026_791_old'!$A:$W,13,FALSE)</f>
        <v>-66.260000000000005</v>
      </c>
      <c r="U648">
        <f t="shared" si="50"/>
        <v>0</v>
      </c>
      <c r="V648">
        <v>-66.260000000000005</v>
      </c>
      <c r="W648">
        <f>VLOOKUP(G648,'[1]Erogati mag-giu 2026_791_old'!$A:$W,14,FALSE)</f>
        <v>-66.260000000000005</v>
      </c>
      <c r="X648">
        <f t="shared" si="51"/>
        <v>0</v>
      </c>
      <c r="Y648" t="s">
        <v>158</v>
      </c>
      <c r="Z648" t="str">
        <f>VLOOKUP(G648,'[2]Erogati mag-giu 2026_791_old'!$D:$T,11,FALSE)</f>
        <v>indiretto</v>
      </c>
      <c r="AA648" t="b">
        <v>1</v>
      </c>
      <c r="AF648" t="s">
        <v>20</v>
      </c>
      <c r="AG648" t="s">
        <v>20</v>
      </c>
    </row>
    <row r="649" spans="1:33">
      <c r="A649" s="13" t="s">
        <v>1173</v>
      </c>
      <c r="B649" t="s">
        <v>1911</v>
      </c>
      <c r="C649" s="4">
        <v>202601308157222</v>
      </c>
      <c r="D649" s="4" t="b">
        <f t="shared" ref="D649:D712" si="52">EXACT(B649,C649)</f>
        <v>1</v>
      </c>
      <c r="E649" t="s">
        <v>20</v>
      </c>
      <c r="F649" t="s">
        <v>21</v>
      </c>
      <c r="G649" t="s">
        <v>1174</v>
      </c>
      <c r="H649" t="str">
        <f>VLOOKUP(C649,'[1]Erogati mag-giu 2026_791_old'!$B:$E,4,FALSE)</f>
        <v>C120109</v>
      </c>
      <c r="I649" t="b">
        <f t="shared" si="48"/>
        <v>1</v>
      </c>
      <c r="J649" s="14">
        <v>46179</v>
      </c>
      <c r="K649" s="14">
        <v>46179</v>
      </c>
      <c r="L649" t="s">
        <v>20</v>
      </c>
      <c r="M649" s="14">
        <v>46188</v>
      </c>
      <c r="N649" s="14">
        <v>46179</v>
      </c>
      <c r="O649" t="s">
        <v>20</v>
      </c>
      <c r="P649">
        <v>-198.78</v>
      </c>
      <c r="Q649">
        <f>VLOOKUP(G649,'[1]Erogati mag-giu 2026_791_old'!$A:$W,12,FALSE)</f>
        <v>-198.78</v>
      </c>
      <c r="R649">
        <f t="shared" si="49"/>
        <v>0</v>
      </c>
      <c r="S649">
        <v>-198.78</v>
      </c>
      <c r="T649">
        <f>VLOOKUP(G649,'[1]Erogati mag-giu 2026_791_old'!$A:$W,13,FALSE)</f>
        <v>-198.78</v>
      </c>
      <c r="U649">
        <f t="shared" si="50"/>
        <v>0</v>
      </c>
      <c r="V649">
        <v>-198.78</v>
      </c>
      <c r="W649">
        <f>VLOOKUP(G649,'[1]Erogati mag-giu 2026_791_old'!$A:$W,14,FALSE)</f>
        <v>-198.78</v>
      </c>
      <c r="X649">
        <f t="shared" si="51"/>
        <v>0</v>
      </c>
      <c r="Y649" t="s">
        <v>158</v>
      </c>
      <c r="Z649" t="str">
        <f>VLOOKUP(G649,'[2]Erogati mag-giu 2026_791_old'!$D:$T,11,FALSE)</f>
        <v>indiretto</v>
      </c>
      <c r="AA649" t="b">
        <v>1</v>
      </c>
      <c r="AF649" t="s">
        <v>20</v>
      </c>
      <c r="AG649" t="s">
        <v>20</v>
      </c>
    </row>
    <row r="650" spans="1:33">
      <c r="A650" s="13" t="s">
        <v>1175</v>
      </c>
      <c r="B650" t="s">
        <v>1912</v>
      </c>
      <c r="C650" s="4">
        <v>202601308163479</v>
      </c>
      <c r="D650" s="4" t="b">
        <f t="shared" si="52"/>
        <v>1</v>
      </c>
      <c r="E650" t="s">
        <v>20</v>
      </c>
      <c r="F650" t="s">
        <v>21</v>
      </c>
      <c r="G650" t="s">
        <v>1176</v>
      </c>
      <c r="H650" t="str">
        <f>VLOOKUP(C650,'[1]Erogati mag-giu 2026_791_old'!$B:$E,4,FALSE)</f>
        <v>C344127</v>
      </c>
      <c r="I650" t="b">
        <f t="shared" si="48"/>
        <v>1</v>
      </c>
      <c r="J650" s="14">
        <v>46179</v>
      </c>
      <c r="K650" s="14">
        <v>46179</v>
      </c>
      <c r="L650" t="s">
        <v>20</v>
      </c>
      <c r="M650" s="14">
        <v>46188</v>
      </c>
      <c r="N650" s="14">
        <v>46179</v>
      </c>
      <c r="O650" t="s">
        <v>20</v>
      </c>
      <c r="P650">
        <v>-132.52000000000001</v>
      </c>
      <c r="Q650">
        <f>VLOOKUP(G650,'[1]Erogati mag-giu 2026_791_old'!$A:$W,12,FALSE)</f>
        <v>-132.52000000000001</v>
      </c>
      <c r="R650">
        <f t="shared" si="49"/>
        <v>0</v>
      </c>
      <c r="S650">
        <v>-132.52000000000001</v>
      </c>
      <c r="T650">
        <f>VLOOKUP(G650,'[1]Erogati mag-giu 2026_791_old'!$A:$W,13,FALSE)</f>
        <v>-132.52000000000001</v>
      </c>
      <c r="U650">
        <f t="shared" si="50"/>
        <v>0</v>
      </c>
      <c r="V650">
        <v>-132.52000000000001</v>
      </c>
      <c r="W650">
        <f>VLOOKUP(G650,'[1]Erogati mag-giu 2026_791_old'!$A:$W,14,FALSE)</f>
        <v>-132.52000000000001</v>
      </c>
      <c r="X650">
        <f t="shared" si="51"/>
        <v>0</v>
      </c>
      <c r="Y650" t="s">
        <v>158</v>
      </c>
      <c r="Z650" t="str">
        <f>VLOOKUP(G650,'[2]Erogati mag-giu 2026_791_old'!$D:$T,11,FALSE)</f>
        <v>indiretto</v>
      </c>
      <c r="AA650" t="b">
        <v>1</v>
      </c>
      <c r="AF650" t="s">
        <v>20</v>
      </c>
      <c r="AG650" t="s">
        <v>20</v>
      </c>
    </row>
    <row r="651" spans="1:33">
      <c r="A651" s="13" t="s">
        <v>1177</v>
      </c>
      <c r="B651" t="s">
        <v>1913</v>
      </c>
      <c r="C651" s="4">
        <v>202601308170934</v>
      </c>
      <c r="D651" s="4" t="b">
        <f t="shared" si="52"/>
        <v>1</v>
      </c>
      <c r="E651" t="s">
        <v>20</v>
      </c>
      <c r="F651" t="s">
        <v>21</v>
      </c>
      <c r="G651" t="s">
        <v>1178</v>
      </c>
      <c r="H651" t="str">
        <f>VLOOKUP(C651,'[1]Erogati mag-giu 2026_791_old'!$B:$E,4,FALSE)</f>
        <v>C314270</v>
      </c>
      <c r="I651" t="b">
        <f t="shared" si="48"/>
        <v>1</v>
      </c>
      <c r="J651" s="14">
        <v>46179</v>
      </c>
      <c r="K651" s="14">
        <v>46179</v>
      </c>
      <c r="L651" t="s">
        <v>20</v>
      </c>
      <c r="M651" s="14">
        <v>46188</v>
      </c>
      <c r="N651" s="14">
        <v>46179</v>
      </c>
      <c r="O651" t="s">
        <v>20</v>
      </c>
      <c r="P651">
        <v>-99.39</v>
      </c>
      <c r="Q651">
        <f>VLOOKUP(G651,'[1]Erogati mag-giu 2026_791_old'!$A:$W,12,FALSE)</f>
        <v>-99.39</v>
      </c>
      <c r="R651">
        <f t="shared" si="49"/>
        <v>0</v>
      </c>
      <c r="S651">
        <v>-99.39</v>
      </c>
      <c r="T651">
        <f>VLOOKUP(G651,'[1]Erogati mag-giu 2026_791_old'!$A:$W,13,FALSE)</f>
        <v>-99.39</v>
      </c>
      <c r="U651">
        <f t="shared" si="50"/>
        <v>0</v>
      </c>
      <c r="V651">
        <v>-99.39</v>
      </c>
      <c r="W651">
        <f>VLOOKUP(G651,'[1]Erogati mag-giu 2026_791_old'!$A:$W,14,FALSE)</f>
        <v>-99.39</v>
      </c>
      <c r="X651">
        <f t="shared" si="51"/>
        <v>0</v>
      </c>
      <c r="Y651" t="s">
        <v>158</v>
      </c>
      <c r="Z651" t="str">
        <f>VLOOKUP(G651,'[2]Erogati mag-giu 2026_791_old'!$D:$T,11,FALSE)</f>
        <v>indiretto</v>
      </c>
      <c r="AA651" t="b">
        <v>1</v>
      </c>
      <c r="AF651" t="s">
        <v>20</v>
      </c>
      <c r="AG651" t="s">
        <v>20</v>
      </c>
    </row>
    <row r="652" spans="1:33">
      <c r="A652" s="13" t="s">
        <v>1179</v>
      </c>
      <c r="B652" t="s">
        <v>1914</v>
      </c>
      <c r="C652" s="4">
        <v>202601308179079</v>
      </c>
      <c r="D652" s="4" t="b">
        <f t="shared" si="52"/>
        <v>1</v>
      </c>
      <c r="E652" t="s">
        <v>20</v>
      </c>
      <c r="F652" t="s">
        <v>21</v>
      </c>
      <c r="G652" t="s">
        <v>1180</v>
      </c>
      <c r="H652" t="str">
        <f>VLOOKUP(C652,'[1]Erogati mag-giu 2026_791_old'!$B:$E,4,FALSE)</f>
        <v>C313310</v>
      </c>
      <c r="I652" t="b">
        <f t="shared" si="48"/>
        <v>1</v>
      </c>
      <c r="J652" s="14">
        <v>46179</v>
      </c>
      <c r="K652" s="14">
        <v>46179</v>
      </c>
      <c r="L652" t="s">
        <v>20</v>
      </c>
      <c r="M652" s="14">
        <v>46188</v>
      </c>
      <c r="N652" s="14">
        <v>46179</v>
      </c>
      <c r="O652" t="s">
        <v>20</v>
      </c>
      <c r="P652">
        <v>-99.39</v>
      </c>
      <c r="Q652">
        <f>VLOOKUP(G652,'[1]Erogati mag-giu 2026_791_old'!$A:$W,12,FALSE)</f>
        <v>-99.39</v>
      </c>
      <c r="R652">
        <f t="shared" si="49"/>
        <v>0</v>
      </c>
      <c r="S652">
        <v>-99.39</v>
      </c>
      <c r="T652">
        <f>VLOOKUP(G652,'[1]Erogati mag-giu 2026_791_old'!$A:$W,13,FALSE)</f>
        <v>-99.39</v>
      </c>
      <c r="U652">
        <f t="shared" si="50"/>
        <v>0</v>
      </c>
      <c r="V652">
        <v>-99.39</v>
      </c>
      <c r="W652">
        <f>VLOOKUP(G652,'[1]Erogati mag-giu 2026_791_old'!$A:$W,14,FALSE)</f>
        <v>-99.39</v>
      </c>
      <c r="X652">
        <f t="shared" si="51"/>
        <v>0</v>
      </c>
      <c r="Y652" t="s">
        <v>158</v>
      </c>
      <c r="Z652" t="str">
        <f>VLOOKUP(G652,'[2]Erogati mag-giu 2026_791_old'!$D:$T,11,FALSE)</f>
        <v>indiretto</v>
      </c>
      <c r="AA652" t="b">
        <v>1</v>
      </c>
      <c r="AF652" t="s">
        <v>20</v>
      </c>
      <c r="AG652" t="s">
        <v>20</v>
      </c>
    </row>
    <row r="653" spans="1:33">
      <c r="A653" s="13" t="s">
        <v>1181</v>
      </c>
      <c r="B653" t="s">
        <v>1915</v>
      </c>
      <c r="C653" s="4">
        <v>202601308180438</v>
      </c>
      <c r="D653" s="4" t="b">
        <f t="shared" si="52"/>
        <v>1</v>
      </c>
      <c r="E653" t="s">
        <v>20</v>
      </c>
      <c r="F653" t="s">
        <v>21</v>
      </c>
      <c r="G653" t="s">
        <v>1182</v>
      </c>
      <c r="H653" t="str">
        <f>VLOOKUP(C653,'[1]Erogati mag-giu 2026_791_old'!$B:$E,4,FALSE)</f>
        <v>C320297</v>
      </c>
      <c r="I653" t="b">
        <f t="shared" si="48"/>
        <v>1</v>
      </c>
      <c r="J653" s="14">
        <v>46179</v>
      </c>
      <c r="K653" s="14">
        <v>46179</v>
      </c>
      <c r="L653" t="s">
        <v>20</v>
      </c>
      <c r="M653" s="14">
        <v>46188</v>
      </c>
      <c r="N653" s="14">
        <v>46179</v>
      </c>
      <c r="O653" t="s">
        <v>20</v>
      </c>
      <c r="P653">
        <v>-99.39</v>
      </c>
      <c r="Q653">
        <f>VLOOKUP(G653,'[1]Erogati mag-giu 2026_791_old'!$A:$W,12,FALSE)</f>
        <v>-99.39</v>
      </c>
      <c r="R653">
        <f t="shared" si="49"/>
        <v>0</v>
      </c>
      <c r="S653">
        <v>-99.39</v>
      </c>
      <c r="T653">
        <f>VLOOKUP(G653,'[1]Erogati mag-giu 2026_791_old'!$A:$W,13,FALSE)</f>
        <v>-99.39</v>
      </c>
      <c r="U653">
        <f t="shared" si="50"/>
        <v>0</v>
      </c>
      <c r="V653">
        <v>-99.39</v>
      </c>
      <c r="W653">
        <f>VLOOKUP(G653,'[1]Erogati mag-giu 2026_791_old'!$A:$W,14,FALSE)</f>
        <v>-99.39</v>
      </c>
      <c r="X653">
        <f t="shared" si="51"/>
        <v>0</v>
      </c>
      <c r="Y653" t="s">
        <v>158</v>
      </c>
      <c r="Z653" t="str">
        <f>VLOOKUP(G653,'[2]Erogati mag-giu 2026_791_old'!$D:$T,11,FALSE)</f>
        <v>indiretto</v>
      </c>
      <c r="AA653" t="b">
        <v>1</v>
      </c>
      <c r="AF653" t="s">
        <v>20</v>
      </c>
      <c r="AG653" t="s">
        <v>20</v>
      </c>
    </row>
    <row r="654" spans="1:33">
      <c r="A654" s="13" t="s">
        <v>1183</v>
      </c>
      <c r="B654" t="s">
        <v>1916</v>
      </c>
      <c r="C654" s="4">
        <v>202601308186155</v>
      </c>
      <c r="D654" s="4" t="b">
        <f t="shared" si="52"/>
        <v>1</v>
      </c>
      <c r="E654" t="s">
        <v>20</v>
      </c>
      <c r="F654" t="s">
        <v>21</v>
      </c>
      <c r="G654" t="s">
        <v>1184</v>
      </c>
      <c r="H654" t="str">
        <f>VLOOKUP(C654,'[1]Erogati mag-giu 2026_791_old'!$B:$E,4,FALSE)</f>
        <v>C344113</v>
      </c>
      <c r="I654" t="b">
        <f t="shared" si="48"/>
        <v>1</v>
      </c>
      <c r="J654" s="14">
        <v>46179</v>
      </c>
      <c r="K654" s="14">
        <v>46179</v>
      </c>
      <c r="L654" t="s">
        <v>20</v>
      </c>
      <c r="M654" s="14">
        <v>46188</v>
      </c>
      <c r="N654" s="14">
        <v>46179</v>
      </c>
      <c r="O654" t="s">
        <v>20</v>
      </c>
      <c r="P654">
        <v>-178.91</v>
      </c>
      <c r="Q654">
        <f>VLOOKUP(G654,'[1]Erogati mag-giu 2026_791_old'!$A:$W,12,FALSE)</f>
        <v>-178.91</v>
      </c>
      <c r="R654">
        <f t="shared" si="49"/>
        <v>0</v>
      </c>
      <c r="S654">
        <v>-178.91</v>
      </c>
      <c r="T654">
        <f>VLOOKUP(G654,'[1]Erogati mag-giu 2026_791_old'!$A:$W,13,FALSE)</f>
        <v>-178.91</v>
      </c>
      <c r="U654">
        <f t="shared" si="50"/>
        <v>0</v>
      </c>
      <c r="V654">
        <v>-178.91</v>
      </c>
      <c r="W654">
        <f>VLOOKUP(G654,'[1]Erogati mag-giu 2026_791_old'!$A:$W,14,FALSE)</f>
        <v>-178.91</v>
      </c>
      <c r="X654">
        <f t="shared" si="51"/>
        <v>0</v>
      </c>
      <c r="Y654" t="s">
        <v>158</v>
      </c>
      <c r="Z654" t="str">
        <f>VLOOKUP(G654,'[2]Erogati mag-giu 2026_791_old'!$D:$T,11,FALSE)</f>
        <v>indiretto</v>
      </c>
      <c r="AA654" t="b">
        <v>1</v>
      </c>
      <c r="AF654" t="s">
        <v>20</v>
      </c>
      <c r="AG654" t="s">
        <v>20</v>
      </c>
    </row>
    <row r="655" spans="1:33">
      <c r="A655" s="13" t="s">
        <v>1185</v>
      </c>
      <c r="B655" t="s">
        <v>1917</v>
      </c>
      <c r="C655" s="4">
        <v>202601308186189</v>
      </c>
      <c r="D655" s="4" t="b">
        <f t="shared" si="52"/>
        <v>1</v>
      </c>
      <c r="E655" t="s">
        <v>20</v>
      </c>
      <c r="F655" t="s">
        <v>21</v>
      </c>
      <c r="G655" t="s">
        <v>1186</v>
      </c>
      <c r="H655" t="str">
        <f>VLOOKUP(C655,'[1]Erogati mag-giu 2026_791_old'!$B:$E,4,FALSE)</f>
        <v>C320545</v>
      </c>
      <c r="I655" t="b">
        <f t="shared" si="48"/>
        <v>1</v>
      </c>
      <c r="J655" s="14">
        <v>46179</v>
      </c>
      <c r="K655" s="14">
        <v>46179</v>
      </c>
      <c r="L655" t="s">
        <v>20</v>
      </c>
      <c r="M655" s="14">
        <v>46188</v>
      </c>
      <c r="N655" s="14">
        <v>46179</v>
      </c>
      <c r="O655" t="s">
        <v>20</v>
      </c>
      <c r="P655">
        <v>-99.39</v>
      </c>
      <c r="Q655">
        <f>VLOOKUP(G655,'[1]Erogati mag-giu 2026_791_old'!$A:$W,12,FALSE)</f>
        <v>-99.39</v>
      </c>
      <c r="R655">
        <f t="shared" si="49"/>
        <v>0</v>
      </c>
      <c r="S655">
        <v>-99.39</v>
      </c>
      <c r="T655">
        <f>VLOOKUP(G655,'[1]Erogati mag-giu 2026_791_old'!$A:$W,13,FALSE)</f>
        <v>-99.39</v>
      </c>
      <c r="U655">
        <f t="shared" si="50"/>
        <v>0</v>
      </c>
      <c r="V655">
        <v>-99.39</v>
      </c>
      <c r="W655">
        <f>VLOOKUP(G655,'[1]Erogati mag-giu 2026_791_old'!$A:$W,14,FALSE)</f>
        <v>-99.39</v>
      </c>
      <c r="X655">
        <f t="shared" si="51"/>
        <v>0</v>
      </c>
      <c r="Y655" t="s">
        <v>158</v>
      </c>
      <c r="Z655" t="str">
        <f>VLOOKUP(G655,'[2]Erogati mag-giu 2026_791_old'!$D:$T,11,FALSE)</f>
        <v>indiretto</v>
      </c>
      <c r="AA655" t="b">
        <v>1</v>
      </c>
      <c r="AF655" t="s">
        <v>20</v>
      </c>
      <c r="AG655" t="s">
        <v>20</v>
      </c>
    </row>
    <row r="656" spans="1:33">
      <c r="A656" s="13" t="s">
        <v>1187</v>
      </c>
      <c r="B656" t="s">
        <v>1918</v>
      </c>
      <c r="C656" s="4">
        <v>202601308186627</v>
      </c>
      <c r="D656" s="4" t="b">
        <f t="shared" si="52"/>
        <v>1</v>
      </c>
      <c r="E656" t="s">
        <v>20</v>
      </c>
      <c r="F656" t="s">
        <v>21</v>
      </c>
      <c r="G656" t="s">
        <v>1188</v>
      </c>
      <c r="H656" t="str">
        <f>VLOOKUP(C656,'[1]Erogati mag-giu 2026_791_old'!$B:$E,4,FALSE)</f>
        <v>C337679</v>
      </c>
      <c r="I656" t="b">
        <f t="shared" si="48"/>
        <v>1</v>
      </c>
      <c r="J656" s="14">
        <v>46179</v>
      </c>
      <c r="K656" s="14">
        <v>46179</v>
      </c>
      <c r="L656" t="s">
        <v>20</v>
      </c>
      <c r="M656" s="14">
        <v>46188</v>
      </c>
      <c r="N656" s="14">
        <v>46179</v>
      </c>
      <c r="O656" t="s">
        <v>20</v>
      </c>
      <c r="P656">
        <v>-132.52000000000001</v>
      </c>
      <c r="Q656">
        <f>VLOOKUP(G656,'[1]Erogati mag-giu 2026_791_old'!$A:$W,12,FALSE)</f>
        <v>-132.52000000000001</v>
      </c>
      <c r="R656">
        <f t="shared" si="49"/>
        <v>0</v>
      </c>
      <c r="S656">
        <v>-132.52000000000001</v>
      </c>
      <c r="T656">
        <f>VLOOKUP(G656,'[1]Erogati mag-giu 2026_791_old'!$A:$W,13,FALSE)</f>
        <v>-132.52000000000001</v>
      </c>
      <c r="U656">
        <f t="shared" si="50"/>
        <v>0</v>
      </c>
      <c r="V656">
        <v>-132.52000000000001</v>
      </c>
      <c r="W656">
        <f>VLOOKUP(G656,'[1]Erogati mag-giu 2026_791_old'!$A:$W,14,FALSE)</f>
        <v>-132.52000000000001</v>
      </c>
      <c r="X656">
        <f t="shared" si="51"/>
        <v>0</v>
      </c>
      <c r="Y656" t="s">
        <v>158</v>
      </c>
      <c r="Z656" t="str">
        <f>VLOOKUP(G656,'[2]Erogati mag-giu 2026_791_old'!$D:$T,11,FALSE)</f>
        <v>indiretto</v>
      </c>
      <c r="AA656" t="b">
        <v>1</v>
      </c>
      <c r="AF656" t="s">
        <v>20</v>
      </c>
      <c r="AG656" t="s">
        <v>20</v>
      </c>
    </row>
    <row r="657" spans="1:33">
      <c r="A657" s="13" t="s">
        <v>1189</v>
      </c>
      <c r="B657" t="s">
        <v>1919</v>
      </c>
      <c r="C657" s="4">
        <v>202601308187894</v>
      </c>
      <c r="D657" s="4" t="b">
        <f t="shared" si="52"/>
        <v>1</v>
      </c>
      <c r="E657" t="s">
        <v>20</v>
      </c>
      <c r="F657" t="s">
        <v>21</v>
      </c>
      <c r="G657" t="s">
        <v>1190</v>
      </c>
      <c r="H657" t="str">
        <f>VLOOKUP(C657,'[1]Erogati mag-giu 2026_791_old'!$B:$E,4,FALSE)</f>
        <v>C344134</v>
      </c>
      <c r="I657" t="b">
        <f t="shared" si="48"/>
        <v>1</v>
      </c>
      <c r="J657" s="14">
        <v>46179</v>
      </c>
      <c r="K657" s="14">
        <v>46179</v>
      </c>
      <c r="L657" t="s">
        <v>20</v>
      </c>
      <c r="M657" s="14">
        <v>46188</v>
      </c>
      <c r="N657" s="14">
        <v>46179</v>
      </c>
      <c r="O657" t="s">
        <v>20</v>
      </c>
      <c r="P657">
        <v>-66.260000000000005</v>
      </c>
      <c r="Q657">
        <f>VLOOKUP(G657,'[1]Erogati mag-giu 2026_791_old'!$A:$W,12,FALSE)</f>
        <v>-66.260000000000005</v>
      </c>
      <c r="R657">
        <f t="shared" si="49"/>
        <v>0</v>
      </c>
      <c r="S657">
        <v>-66.260000000000005</v>
      </c>
      <c r="T657">
        <f>VLOOKUP(G657,'[1]Erogati mag-giu 2026_791_old'!$A:$W,13,FALSE)</f>
        <v>-66.260000000000005</v>
      </c>
      <c r="U657">
        <f t="shared" si="50"/>
        <v>0</v>
      </c>
      <c r="V657">
        <v>-66.260000000000005</v>
      </c>
      <c r="W657">
        <f>VLOOKUP(G657,'[1]Erogati mag-giu 2026_791_old'!$A:$W,14,FALSE)</f>
        <v>-66.260000000000005</v>
      </c>
      <c r="X657">
        <f t="shared" si="51"/>
        <v>0</v>
      </c>
      <c r="Y657" t="s">
        <v>158</v>
      </c>
      <c r="Z657" t="str">
        <f>VLOOKUP(G657,'[2]Erogati mag-giu 2026_791_old'!$D:$T,11,FALSE)</f>
        <v>indiretto</v>
      </c>
      <c r="AA657" t="b">
        <v>1</v>
      </c>
      <c r="AF657" t="s">
        <v>20</v>
      </c>
      <c r="AG657" t="s">
        <v>20</v>
      </c>
    </row>
    <row r="658" spans="1:33">
      <c r="A658" s="13" t="s">
        <v>1191</v>
      </c>
      <c r="B658" t="s">
        <v>1920</v>
      </c>
      <c r="C658" s="4">
        <v>202601308187898</v>
      </c>
      <c r="D658" s="4" t="b">
        <f t="shared" si="52"/>
        <v>1</v>
      </c>
      <c r="E658" t="s">
        <v>20</v>
      </c>
      <c r="F658" t="s">
        <v>21</v>
      </c>
      <c r="G658" t="s">
        <v>1192</v>
      </c>
      <c r="H658" t="str">
        <f>VLOOKUP(C658,'[1]Erogati mag-giu 2026_791_old'!$B:$E,4,FALSE)</f>
        <v>C344114</v>
      </c>
      <c r="I658" t="b">
        <f t="shared" si="48"/>
        <v>1</v>
      </c>
      <c r="J658" s="14">
        <v>46179</v>
      </c>
      <c r="K658" s="14">
        <v>46179</v>
      </c>
      <c r="L658" t="s">
        <v>20</v>
      </c>
      <c r="M658" s="14">
        <v>46188</v>
      </c>
      <c r="N658" s="14">
        <v>46179</v>
      </c>
      <c r="O658" t="s">
        <v>20</v>
      </c>
      <c r="P658">
        <v>-66.260000000000005</v>
      </c>
      <c r="Q658">
        <f>VLOOKUP(G658,'[1]Erogati mag-giu 2026_791_old'!$A:$W,12,FALSE)</f>
        <v>-66.260000000000005</v>
      </c>
      <c r="R658">
        <f t="shared" si="49"/>
        <v>0</v>
      </c>
      <c r="S658">
        <v>-66.260000000000005</v>
      </c>
      <c r="T658">
        <f>VLOOKUP(G658,'[1]Erogati mag-giu 2026_791_old'!$A:$W,13,FALSE)</f>
        <v>-66.260000000000005</v>
      </c>
      <c r="U658">
        <f t="shared" si="50"/>
        <v>0</v>
      </c>
      <c r="V658">
        <v>-66.260000000000005</v>
      </c>
      <c r="W658">
        <f>VLOOKUP(G658,'[1]Erogati mag-giu 2026_791_old'!$A:$W,14,FALSE)</f>
        <v>-66.260000000000005</v>
      </c>
      <c r="X658">
        <f t="shared" si="51"/>
        <v>0</v>
      </c>
      <c r="Y658" t="s">
        <v>158</v>
      </c>
      <c r="Z658" t="str">
        <f>VLOOKUP(G658,'[2]Erogati mag-giu 2026_791_old'!$D:$T,11,FALSE)</f>
        <v>indiretto</v>
      </c>
      <c r="AA658" t="b">
        <v>1</v>
      </c>
      <c r="AF658" t="s">
        <v>20</v>
      </c>
      <c r="AG658" t="s">
        <v>20</v>
      </c>
    </row>
    <row r="659" spans="1:33">
      <c r="A659" s="13" t="s">
        <v>1193</v>
      </c>
      <c r="B659" t="s">
        <v>1921</v>
      </c>
      <c r="C659" s="4">
        <v>202601308190525</v>
      </c>
      <c r="D659" s="4" t="b">
        <f t="shared" si="52"/>
        <v>1</v>
      </c>
      <c r="E659" t="s">
        <v>20</v>
      </c>
      <c r="F659" t="s">
        <v>21</v>
      </c>
      <c r="G659" t="s">
        <v>1194</v>
      </c>
      <c r="H659" t="str">
        <f>VLOOKUP(C659,'[1]Erogati mag-giu 2026_791_old'!$B:$E,4,FALSE)</f>
        <v>C309287</v>
      </c>
      <c r="I659" t="b">
        <f t="shared" si="48"/>
        <v>1</v>
      </c>
      <c r="J659" s="14">
        <v>46179</v>
      </c>
      <c r="K659" s="14">
        <v>46179</v>
      </c>
      <c r="L659" t="s">
        <v>20</v>
      </c>
      <c r="M659" s="14">
        <v>46188</v>
      </c>
      <c r="N659" s="14">
        <v>46179</v>
      </c>
      <c r="O659" t="s">
        <v>20</v>
      </c>
      <c r="P659">
        <v>-165.65</v>
      </c>
      <c r="Q659">
        <f>VLOOKUP(G659,'[1]Erogati mag-giu 2026_791_old'!$A:$W,12,FALSE)</f>
        <v>-165.65</v>
      </c>
      <c r="R659">
        <f t="shared" si="49"/>
        <v>0</v>
      </c>
      <c r="S659">
        <v>-165.65</v>
      </c>
      <c r="T659">
        <f>VLOOKUP(G659,'[1]Erogati mag-giu 2026_791_old'!$A:$W,13,FALSE)</f>
        <v>-165.65</v>
      </c>
      <c r="U659">
        <f t="shared" si="50"/>
        <v>0</v>
      </c>
      <c r="V659">
        <v>-165.65</v>
      </c>
      <c r="W659">
        <f>VLOOKUP(G659,'[1]Erogati mag-giu 2026_791_old'!$A:$W,14,FALSE)</f>
        <v>-165.65</v>
      </c>
      <c r="X659">
        <f t="shared" si="51"/>
        <v>0</v>
      </c>
      <c r="Y659" t="s">
        <v>158</v>
      </c>
      <c r="Z659" t="str">
        <f>VLOOKUP(G659,'[2]Erogati mag-giu 2026_791_old'!$D:$T,11,FALSE)</f>
        <v>indiretto</v>
      </c>
      <c r="AA659" t="b">
        <v>1</v>
      </c>
      <c r="AF659" t="s">
        <v>20</v>
      </c>
      <c r="AG659" t="s">
        <v>20</v>
      </c>
    </row>
    <row r="660" spans="1:33">
      <c r="A660" s="13" t="s">
        <v>1195</v>
      </c>
      <c r="B660" t="s">
        <v>1922</v>
      </c>
      <c r="C660" s="4">
        <v>202601308191166</v>
      </c>
      <c r="D660" s="4" t="b">
        <f t="shared" si="52"/>
        <v>1</v>
      </c>
      <c r="E660" t="s">
        <v>20</v>
      </c>
      <c r="F660" t="s">
        <v>21</v>
      </c>
      <c r="G660" t="s">
        <v>1196</v>
      </c>
      <c r="H660" t="str">
        <f>VLOOKUP(C660,'[1]Erogati mag-giu 2026_791_old'!$B:$E,4,FALSE)</f>
        <v>C342348</v>
      </c>
      <c r="I660" t="b">
        <f t="shared" si="48"/>
        <v>1</v>
      </c>
      <c r="J660" s="14">
        <v>46179</v>
      </c>
      <c r="K660" s="14">
        <v>46179</v>
      </c>
      <c r="L660" t="s">
        <v>20</v>
      </c>
      <c r="M660" s="14">
        <v>46188</v>
      </c>
      <c r="N660" s="14">
        <v>46179</v>
      </c>
      <c r="O660" t="s">
        <v>20</v>
      </c>
      <c r="P660">
        <v>-28.78</v>
      </c>
      <c r="Q660">
        <f>VLOOKUP(G660,'[1]Erogati mag-giu 2026_791_old'!$A:$W,12,FALSE)</f>
        <v>-28.78</v>
      </c>
      <c r="R660">
        <f t="shared" si="49"/>
        <v>0</v>
      </c>
      <c r="S660">
        <v>-28.78</v>
      </c>
      <c r="T660">
        <f>VLOOKUP(G660,'[1]Erogati mag-giu 2026_791_old'!$A:$W,13,FALSE)</f>
        <v>-28.78</v>
      </c>
      <c r="U660">
        <f t="shared" si="50"/>
        <v>0</v>
      </c>
      <c r="V660">
        <v>-28.78</v>
      </c>
      <c r="W660">
        <f>VLOOKUP(G660,'[1]Erogati mag-giu 2026_791_old'!$A:$W,14,FALSE)</f>
        <v>-28.78</v>
      </c>
      <c r="X660">
        <f t="shared" si="51"/>
        <v>0</v>
      </c>
      <c r="Y660" t="s">
        <v>158</v>
      </c>
      <c r="Z660" t="str">
        <f>VLOOKUP(G660,'[2]Erogati mag-giu 2026_791_old'!$D:$T,11,FALSE)</f>
        <v>indiretto</v>
      </c>
      <c r="AA660" t="b">
        <v>1</v>
      </c>
      <c r="AF660" t="s">
        <v>20</v>
      </c>
      <c r="AG660" t="s">
        <v>20</v>
      </c>
    </row>
    <row r="661" spans="1:33">
      <c r="A661" s="13" t="s">
        <v>1197</v>
      </c>
      <c r="B661" t="s">
        <v>1923</v>
      </c>
      <c r="C661" s="4">
        <v>202601308206408</v>
      </c>
      <c r="D661" s="4" t="b">
        <f t="shared" si="52"/>
        <v>1</v>
      </c>
      <c r="E661" t="s">
        <v>20</v>
      </c>
      <c r="F661" t="s">
        <v>21</v>
      </c>
      <c r="G661" t="s">
        <v>1198</v>
      </c>
      <c r="H661" t="str">
        <f>VLOOKUP(C661,'[1]Erogati mag-giu 2026_791_old'!$B:$E,4,FALSE)</f>
        <v>C344135</v>
      </c>
      <c r="I661" t="b">
        <f t="shared" si="48"/>
        <v>1</v>
      </c>
      <c r="J661" s="14">
        <v>46179</v>
      </c>
      <c r="K661" s="14">
        <v>46179</v>
      </c>
      <c r="L661" t="s">
        <v>20</v>
      </c>
      <c r="M661" s="14">
        <v>46188</v>
      </c>
      <c r="N661" s="14">
        <v>46179</v>
      </c>
      <c r="O661" t="s">
        <v>20</v>
      </c>
      <c r="P661">
        <v>-66.260000000000005</v>
      </c>
      <c r="Q661">
        <f>VLOOKUP(G661,'[1]Erogati mag-giu 2026_791_old'!$A:$W,12,FALSE)</f>
        <v>-66.260000000000005</v>
      </c>
      <c r="R661">
        <f t="shared" si="49"/>
        <v>0</v>
      </c>
      <c r="S661">
        <v>-66.260000000000005</v>
      </c>
      <c r="T661">
        <f>VLOOKUP(G661,'[1]Erogati mag-giu 2026_791_old'!$A:$W,13,FALSE)</f>
        <v>-66.260000000000005</v>
      </c>
      <c r="U661">
        <f t="shared" si="50"/>
        <v>0</v>
      </c>
      <c r="V661">
        <v>-66.260000000000005</v>
      </c>
      <c r="W661">
        <f>VLOOKUP(G661,'[1]Erogati mag-giu 2026_791_old'!$A:$W,14,FALSE)</f>
        <v>-66.260000000000005</v>
      </c>
      <c r="X661">
        <f t="shared" si="51"/>
        <v>0</v>
      </c>
      <c r="Y661" t="s">
        <v>158</v>
      </c>
      <c r="Z661" t="str">
        <f>VLOOKUP(G661,'[2]Erogati mag-giu 2026_791_old'!$D:$T,11,FALSE)</f>
        <v>indiretto</v>
      </c>
      <c r="AA661" t="b">
        <v>1</v>
      </c>
      <c r="AF661" t="s">
        <v>20</v>
      </c>
      <c r="AG661" t="s">
        <v>20</v>
      </c>
    </row>
    <row r="662" spans="1:33">
      <c r="A662" s="13" t="s">
        <v>1199</v>
      </c>
      <c r="B662" t="s">
        <v>1924</v>
      </c>
      <c r="C662" s="4">
        <v>202601308211327</v>
      </c>
      <c r="D662" s="4" t="b">
        <f t="shared" si="52"/>
        <v>1</v>
      </c>
      <c r="E662" t="s">
        <v>20</v>
      </c>
      <c r="F662" t="s">
        <v>21</v>
      </c>
      <c r="G662" t="s">
        <v>1200</v>
      </c>
      <c r="H662" t="str">
        <f>VLOOKUP(C662,'[1]Erogati mag-giu 2026_791_old'!$B:$E,4,FALSE)</f>
        <v>C312940</v>
      </c>
      <c r="I662" t="b">
        <f t="shared" si="48"/>
        <v>1</v>
      </c>
      <c r="J662" s="14">
        <v>46179</v>
      </c>
      <c r="K662" s="14">
        <v>46179</v>
      </c>
      <c r="L662" t="s">
        <v>20</v>
      </c>
      <c r="M662" s="14">
        <v>46188</v>
      </c>
      <c r="N662" s="14">
        <v>46179</v>
      </c>
      <c r="O662" t="s">
        <v>20</v>
      </c>
      <c r="P662">
        <v>-132.52000000000001</v>
      </c>
      <c r="Q662">
        <f>VLOOKUP(G662,'[1]Erogati mag-giu 2026_791_old'!$A:$W,12,FALSE)</f>
        <v>-132.52000000000001</v>
      </c>
      <c r="R662">
        <f t="shared" si="49"/>
        <v>0</v>
      </c>
      <c r="S662">
        <v>-132.52000000000001</v>
      </c>
      <c r="T662">
        <f>VLOOKUP(G662,'[1]Erogati mag-giu 2026_791_old'!$A:$W,13,FALSE)</f>
        <v>-132.52000000000001</v>
      </c>
      <c r="U662">
        <f t="shared" si="50"/>
        <v>0</v>
      </c>
      <c r="V662">
        <v>-132.52000000000001</v>
      </c>
      <c r="W662">
        <f>VLOOKUP(G662,'[1]Erogati mag-giu 2026_791_old'!$A:$W,14,FALSE)</f>
        <v>-132.52000000000001</v>
      </c>
      <c r="X662">
        <f t="shared" si="51"/>
        <v>0</v>
      </c>
      <c r="Y662" t="s">
        <v>158</v>
      </c>
      <c r="Z662" t="str">
        <f>VLOOKUP(G662,'[2]Erogati mag-giu 2026_791_old'!$D:$T,11,FALSE)</f>
        <v>indiretto</v>
      </c>
      <c r="AA662" t="b">
        <v>1</v>
      </c>
      <c r="AF662" t="s">
        <v>20</v>
      </c>
      <c r="AG662" t="s">
        <v>20</v>
      </c>
    </row>
    <row r="663" spans="1:33">
      <c r="A663" s="13" t="s">
        <v>1201</v>
      </c>
      <c r="B663" t="s">
        <v>1925</v>
      </c>
      <c r="C663" s="4">
        <v>202601308223030</v>
      </c>
      <c r="D663" s="4" t="b">
        <f t="shared" si="52"/>
        <v>1</v>
      </c>
      <c r="E663" t="s">
        <v>20</v>
      </c>
      <c r="F663" t="s">
        <v>21</v>
      </c>
      <c r="G663" t="s">
        <v>1202</v>
      </c>
      <c r="H663" t="str">
        <f>VLOOKUP(C663,'[1]Erogati mag-giu 2026_791_old'!$B:$E,4,FALSE)</f>
        <v>C309615</v>
      </c>
      <c r="I663" t="b">
        <f t="shared" si="48"/>
        <v>1</v>
      </c>
      <c r="J663" s="14">
        <v>46179</v>
      </c>
      <c r="K663" s="14">
        <v>46179</v>
      </c>
      <c r="L663" t="s">
        <v>20</v>
      </c>
      <c r="M663" s="14">
        <v>46188</v>
      </c>
      <c r="N663" s="14">
        <v>46179</v>
      </c>
      <c r="O663" t="s">
        <v>20</v>
      </c>
      <c r="P663">
        <v>-33.130000000000003</v>
      </c>
      <c r="Q663">
        <f>VLOOKUP(G663,'[1]Erogati mag-giu 2026_791_old'!$A:$W,12,FALSE)</f>
        <v>-33.130000000000003</v>
      </c>
      <c r="R663">
        <f t="shared" si="49"/>
        <v>0</v>
      </c>
      <c r="S663">
        <v>-33.130000000000003</v>
      </c>
      <c r="T663">
        <f>VLOOKUP(G663,'[1]Erogati mag-giu 2026_791_old'!$A:$W,13,FALSE)</f>
        <v>-33.130000000000003</v>
      </c>
      <c r="U663">
        <f t="shared" si="50"/>
        <v>0</v>
      </c>
      <c r="V663">
        <v>-33.130000000000003</v>
      </c>
      <c r="W663">
        <f>VLOOKUP(G663,'[1]Erogati mag-giu 2026_791_old'!$A:$W,14,FALSE)</f>
        <v>-33.130000000000003</v>
      </c>
      <c r="X663">
        <f t="shared" si="51"/>
        <v>0</v>
      </c>
      <c r="Y663" t="s">
        <v>158</v>
      </c>
      <c r="Z663" t="str">
        <f>VLOOKUP(G663,'[2]Erogati mag-giu 2026_791_old'!$D:$T,11,FALSE)</f>
        <v>indiretto</v>
      </c>
      <c r="AA663" t="b">
        <v>1</v>
      </c>
      <c r="AF663" t="s">
        <v>20</v>
      </c>
      <c r="AG663" t="s">
        <v>20</v>
      </c>
    </row>
    <row r="664" spans="1:33">
      <c r="A664" s="13" t="s">
        <v>1203</v>
      </c>
      <c r="B664" t="s">
        <v>1926</v>
      </c>
      <c r="C664" s="4">
        <v>202601308224653</v>
      </c>
      <c r="D664" s="4" t="b">
        <f t="shared" si="52"/>
        <v>1</v>
      </c>
      <c r="E664" t="s">
        <v>20</v>
      </c>
      <c r="F664" t="s">
        <v>21</v>
      </c>
      <c r="G664" t="s">
        <v>1204</v>
      </c>
      <c r="H664" t="str">
        <f>VLOOKUP(C664,'[1]Erogati mag-giu 2026_791_old'!$B:$E,4,FALSE)</f>
        <v>C312891</v>
      </c>
      <c r="I664" t="b">
        <f t="shared" si="48"/>
        <v>1</v>
      </c>
      <c r="J664" s="14">
        <v>46179</v>
      </c>
      <c r="K664" s="14">
        <v>46179</v>
      </c>
      <c r="L664" t="s">
        <v>20</v>
      </c>
      <c r="M664" s="14">
        <v>46188</v>
      </c>
      <c r="N664" s="14">
        <v>46179</v>
      </c>
      <c r="O664" t="s">
        <v>20</v>
      </c>
      <c r="P664">
        <v>-77.319999999999993</v>
      </c>
      <c r="Q664">
        <f>VLOOKUP(G664,'[1]Erogati mag-giu 2026_791_old'!$A:$W,12,FALSE)</f>
        <v>-77.319999999999993</v>
      </c>
      <c r="R664">
        <f t="shared" si="49"/>
        <v>0</v>
      </c>
      <c r="S664">
        <v>-77.319999999999993</v>
      </c>
      <c r="T664">
        <f>VLOOKUP(G664,'[1]Erogati mag-giu 2026_791_old'!$A:$W,13,FALSE)</f>
        <v>-77.319999999999993</v>
      </c>
      <c r="U664">
        <f t="shared" si="50"/>
        <v>0</v>
      </c>
      <c r="V664">
        <v>-77.319999999999993</v>
      </c>
      <c r="W664">
        <f>VLOOKUP(G664,'[1]Erogati mag-giu 2026_791_old'!$A:$W,14,FALSE)</f>
        <v>-77.319999999999993</v>
      </c>
      <c r="X664">
        <f t="shared" si="51"/>
        <v>0</v>
      </c>
      <c r="Y664" t="s">
        <v>158</v>
      </c>
      <c r="Z664" t="str">
        <f>VLOOKUP(G664,'[2]Erogati mag-giu 2026_791_old'!$D:$T,11,FALSE)</f>
        <v>indiretto</v>
      </c>
      <c r="AA664" t="b">
        <v>1</v>
      </c>
      <c r="AF664" t="s">
        <v>20</v>
      </c>
      <c r="AG664" t="s">
        <v>20</v>
      </c>
    </row>
    <row r="665" spans="1:33">
      <c r="A665" s="13" t="s">
        <v>1205</v>
      </c>
      <c r="B665" t="s">
        <v>1927</v>
      </c>
      <c r="C665" s="4">
        <v>202601308226719</v>
      </c>
      <c r="D665" s="4" t="b">
        <f t="shared" si="52"/>
        <v>1</v>
      </c>
      <c r="E665" t="s">
        <v>20</v>
      </c>
      <c r="F665" t="s">
        <v>21</v>
      </c>
      <c r="G665" t="s">
        <v>1206</v>
      </c>
      <c r="H665" t="str">
        <f>VLOOKUP(C665,'[1]Erogati mag-giu 2026_791_old'!$B:$E,4,FALSE)</f>
        <v>C344269</v>
      </c>
      <c r="I665" t="b">
        <f t="shared" si="48"/>
        <v>1</v>
      </c>
      <c r="J665" s="14">
        <v>46179</v>
      </c>
      <c r="K665" s="14">
        <v>46179</v>
      </c>
      <c r="L665" t="s">
        <v>20</v>
      </c>
      <c r="M665" s="14">
        <v>46188</v>
      </c>
      <c r="N665" s="14">
        <v>46179</v>
      </c>
      <c r="O665" t="s">
        <v>20</v>
      </c>
      <c r="P665">
        <v>-52.52</v>
      </c>
      <c r="Q665">
        <f>VLOOKUP(G665,'[1]Erogati mag-giu 2026_791_old'!$A:$W,12,FALSE)</f>
        <v>-52.52</v>
      </c>
      <c r="R665">
        <f t="shared" si="49"/>
        <v>0</v>
      </c>
      <c r="S665">
        <v>-52.52</v>
      </c>
      <c r="T665">
        <f>VLOOKUP(G665,'[1]Erogati mag-giu 2026_791_old'!$A:$W,13,FALSE)</f>
        <v>-52.52</v>
      </c>
      <c r="U665">
        <f t="shared" si="50"/>
        <v>0</v>
      </c>
      <c r="V665">
        <v>-52.52</v>
      </c>
      <c r="W665">
        <f>VLOOKUP(G665,'[1]Erogati mag-giu 2026_791_old'!$A:$W,14,FALSE)</f>
        <v>-52.52</v>
      </c>
      <c r="X665">
        <f t="shared" si="51"/>
        <v>0</v>
      </c>
      <c r="Y665" t="s">
        <v>158</v>
      </c>
      <c r="Z665" t="str">
        <f>VLOOKUP(G665,'[2]Erogati mag-giu 2026_791_old'!$D:$T,11,FALSE)</f>
        <v>indiretto</v>
      </c>
      <c r="AA665" t="b">
        <v>1</v>
      </c>
      <c r="AF665" t="s">
        <v>20</v>
      </c>
      <c r="AG665" t="s">
        <v>20</v>
      </c>
    </row>
    <row r="666" spans="1:33">
      <c r="A666" s="13" t="s">
        <v>1207</v>
      </c>
      <c r="B666" t="s">
        <v>1928</v>
      </c>
      <c r="C666" s="4">
        <v>202601308236301</v>
      </c>
      <c r="D666" s="4" t="b">
        <f t="shared" si="52"/>
        <v>1</v>
      </c>
      <c r="E666" t="s">
        <v>20</v>
      </c>
      <c r="F666" t="s">
        <v>21</v>
      </c>
      <c r="G666" t="s">
        <v>1208</v>
      </c>
      <c r="H666" t="str">
        <f>VLOOKUP(C666,'[1]Erogati mag-giu 2026_791_old'!$B:$E,4,FALSE)</f>
        <v>C314424</v>
      </c>
      <c r="I666" t="b">
        <f t="shared" si="48"/>
        <v>1</v>
      </c>
      <c r="J666" s="14">
        <v>46179</v>
      </c>
      <c r="K666" s="14">
        <v>46179</v>
      </c>
      <c r="L666" t="s">
        <v>20</v>
      </c>
      <c r="M666" s="14">
        <v>46188</v>
      </c>
      <c r="N666" s="14">
        <v>46179</v>
      </c>
      <c r="O666" t="s">
        <v>20</v>
      </c>
      <c r="P666">
        <v>-24.62</v>
      </c>
      <c r="Q666">
        <f>VLOOKUP(G666,'[1]Erogati mag-giu 2026_791_old'!$A:$W,12,FALSE)</f>
        <v>-24.62</v>
      </c>
      <c r="R666">
        <f t="shared" si="49"/>
        <v>0</v>
      </c>
      <c r="S666">
        <v>-24.62</v>
      </c>
      <c r="T666">
        <f>VLOOKUP(G666,'[1]Erogati mag-giu 2026_791_old'!$A:$W,13,FALSE)</f>
        <v>-24.62</v>
      </c>
      <c r="U666">
        <f t="shared" si="50"/>
        <v>0</v>
      </c>
      <c r="V666">
        <v>-24.62</v>
      </c>
      <c r="W666">
        <f>VLOOKUP(G666,'[1]Erogati mag-giu 2026_791_old'!$A:$W,14,FALSE)</f>
        <v>-24.62</v>
      </c>
      <c r="X666">
        <f t="shared" si="51"/>
        <v>0</v>
      </c>
      <c r="Y666" t="s">
        <v>158</v>
      </c>
      <c r="Z666" t="str">
        <f>VLOOKUP(G666,'[2]Erogati mag-giu 2026_791_old'!$D:$T,11,FALSE)</f>
        <v>indiretto</v>
      </c>
      <c r="AA666" t="b">
        <v>1</v>
      </c>
      <c r="AF666" t="s">
        <v>20</v>
      </c>
      <c r="AG666" t="s">
        <v>20</v>
      </c>
    </row>
    <row r="667" spans="1:33">
      <c r="A667" s="13" t="s">
        <v>1209</v>
      </c>
      <c r="B667" t="s">
        <v>1929</v>
      </c>
      <c r="C667" s="4">
        <v>202601308239087</v>
      </c>
      <c r="D667" s="4" t="b">
        <f t="shared" si="52"/>
        <v>1</v>
      </c>
      <c r="E667" t="s">
        <v>20</v>
      </c>
      <c r="F667" t="s">
        <v>21</v>
      </c>
      <c r="G667" t="s">
        <v>1210</v>
      </c>
      <c r="H667" t="str">
        <f>VLOOKUP(C667,'[1]Erogati mag-giu 2026_791_old'!$B:$E,4,FALSE)</f>
        <v>C118840</v>
      </c>
      <c r="I667" t="b">
        <f t="shared" si="48"/>
        <v>1</v>
      </c>
      <c r="J667" s="14">
        <v>46179</v>
      </c>
      <c r="K667" s="14">
        <v>46179</v>
      </c>
      <c r="L667" t="s">
        <v>20</v>
      </c>
      <c r="M667" s="14">
        <v>46188</v>
      </c>
      <c r="N667" s="14">
        <v>46179</v>
      </c>
      <c r="O667" t="s">
        <v>20</v>
      </c>
      <c r="P667">
        <v>-33.130000000000003</v>
      </c>
      <c r="Q667">
        <f>VLOOKUP(G667,'[1]Erogati mag-giu 2026_791_old'!$A:$W,12,FALSE)</f>
        <v>-33.130000000000003</v>
      </c>
      <c r="R667">
        <f t="shared" si="49"/>
        <v>0</v>
      </c>
      <c r="S667">
        <v>-33.130000000000003</v>
      </c>
      <c r="T667">
        <f>VLOOKUP(G667,'[1]Erogati mag-giu 2026_791_old'!$A:$W,13,FALSE)</f>
        <v>-33.130000000000003</v>
      </c>
      <c r="U667">
        <f t="shared" si="50"/>
        <v>0</v>
      </c>
      <c r="V667">
        <v>-33.130000000000003</v>
      </c>
      <c r="W667">
        <f>VLOOKUP(G667,'[1]Erogati mag-giu 2026_791_old'!$A:$W,14,FALSE)</f>
        <v>-33.130000000000003</v>
      </c>
      <c r="X667">
        <f t="shared" si="51"/>
        <v>0</v>
      </c>
      <c r="Y667" t="s">
        <v>158</v>
      </c>
      <c r="Z667" t="str">
        <f>VLOOKUP(G667,'[2]Erogati mag-giu 2026_791_old'!$D:$T,11,FALSE)</f>
        <v>indiretto</v>
      </c>
      <c r="AA667" t="b">
        <v>1</v>
      </c>
      <c r="AF667" t="s">
        <v>20</v>
      </c>
      <c r="AG667" t="s">
        <v>20</v>
      </c>
    </row>
    <row r="668" spans="1:33">
      <c r="A668" s="13" t="s">
        <v>1211</v>
      </c>
      <c r="B668" t="s">
        <v>1930</v>
      </c>
      <c r="C668" s="4">
        <v>202601308239344</v>
      </c>
      <c r="D668" s="4" t="b">
        <f t="shared" si="52"/>
        <v>1</v>
      </c>
      <c r="E668" t="s">
        <v>20</v>
      </c>
      <c r="F668" t="s">
        <v>21</v>
      </c>
      <c r="G668" t="s">
        <v>1212</v>
      </c>
      <c r="H668" t="str">
        <f>VLOOKUP(C668,'[1]Erogati mag-giu 2026_791_old'!$B:$E,4,FALSE)</f>
        <v>C319984</v>
      </c>
      <c r="I668" t="b">
        <f t="shared" si="48"/>
        <v>1</v>
      </c>
      <c r="J668" s="14">
        <v>46179</v>
      </c>
      <c r="K668" s="14">
        <v>46179</v>
      </c>
      <c r="L668" t="s">
        <v>20</v>
      </c>
      <c r="M668" s="14">
        <v>46188</v>
      </c>
      <c r="N668" s="14">
        <v>46179</v>
      </c>
      <c r="O668" t="s">
        <v>20</v>
      </c>
      <c r="P668">
        <v>-132.52000000000001</v>
      </c>
      <c r="Q668">
        <f>VLOOKUP(G668,'[1]Erogati mag-giu 2026_791_old'!$A:$W,12,FALSE)</f>
        <v>-132.52000000000001</v>
      </c>
      <c r="R668">
        <f t="shared" si="49"/>
        <v>0</v>
      </c>
      <c r="S668">
        <v>-132.52000000000001</v>
      </c>
      <c r="T668">
        <f>VLOOKUP(G668,'[1]Erogati mag-giu 2026_791_old'!$A:$W,13,FALSE)</f>
        <v>-132.52000000000001</v>
      </c>
      <c r="U668">
        <f t="shared" si="50"/>
        <v>0</v>
      </c>
      <c r="V668">
        <v>-132.52000000000001</v>
      </c>
      <c r="W668">
        <f>VLOOKUP(G668,'[1]Erogati mag-giu 2026_791_old'!$A:$W,14,FALSE)</f>
        <v>-132.52000000000001</v>
      </c>
      <c r="X668">
        <f t="shared" si="51"/>
        <v>0</v>
      </c>
      <c r="Y668" t="s">
        <v>158</v>
      </c>
      <c r="Z668" t="str">
        <f>VLOOKUP(G668,'[2]Erogati mag-giu 2026_791_old'!$D:$T,11,FALSE)</f>
        <v>indiretto</v>
      </c>
      <c r="AA668" t="b">
        <v>1</v>
      </c>
      <c r="AF668" t="s">
        <v>20</v>
      </c>
      <c r="AG668" t="s">
        <v>20</v>
      </c>
    </row>
    <row r="669" spans="1:33">
      <c r="A669" s="13" t="s">
        <v>1213</v>
      </c>
      <c r="B669" t="s">
        <v>1931</v>
      </c>
      <c r="C669" s="4">
        <v>202601308244806</v>
      </c>
      <c r="D669" s="4" t="b">
        <f t="shared" si="52"/>
        <v>1</v>
      </c>
      <c r="E669" t="s">
        <v>20</v>
      </c>
      <c r="F669" t="s">
        <v>21</v>
      </c>
      <c r="G669" t="s">
        <v>1214</v>
      </c>
      <c r="H669" t="str">
        <f>VLOOKUP(C669,'[1]Erogati mag-giu 2026_791_old'!$B:$E,4,FALSE)</f>
        <v>C344268</v>
      </c>
      <c r="I669" t="b">
        <f t="shared" si="48"/>
        <v>1</v>
      </c>
      <c r="J669" s="14">
        <v>46179</v>
      </c>
      <c r="K669" s="14">
        <v>46179</v>
      </c>
      <c r="L669" t="s">
        <v>20</v>
      </c>
      <c r="M669" s="14">
        <v>46188</v>
      </c>
      <c r="N669" s="14">
        <v>46179</v>
      </c>
      <c r="O669" t="s">
        <v>20</v>
      </c>
      <c r="P669">
        <v>-52.52</v>
      </c>
      <c r="Q669">
        <f>VLOOKUP(G669,'[1]Erogati mag-giu 2026_791_old'!$A:$W,12,FALSE)</f>
        <v>-52.52</v>
      </c>
      <c r="R669">
        <f t="shared" si="49"/>
        <v>0</v>
      </c>
      <c r="S669">
        <v>-52.52</v>
      </c>
      <c r="T669">
        <f>VLOOKUP(G669,'[1]Erogati mag-giu 2026_791_old'!$A:$W,13,FALSE)</f>
        <v>-52.52</v>
      </c>
      <c r="U669">
        <f t="shared" si="50"/>
        <v>0</v>
      </c>
      <c r="V669">
        <v>-52.52</v>
      </c>
      <c r="W669">
        <f>VLOOKUP(G669,'[1]Erogati mag-giu 2026_791_old'!$A:$W,14,FALSE)</f>
        <v>-52.52</v>
      </c>
      <c r="X669">
        <f t="shared" si="51"/>
        <v>0</v>
      </c>
      <c r="Y669" t="s">
        <v>158</v>
      </c>
      <c r="Z669" t="str">
        <f>VLOOKUP(G669,'[2]Erogati mag-giu 2026_791_old'!$D:$T,11,FALSE)</f>
        <v>indiretto</v>
      </c>
      <c r="AA669" t="b">
        <v>1</v>
      </c>
      <c r="AF669" t="s">
        <v>20</v>
      </c>
      <c r="AG669" t="s">
        <v>20</v>
      </c>
    </row>
    <row r="670" spans="1:33">
      <c r="A670" s="13" t="s">
        <v>1215</v>
      </c>
      <c r="B670" t="s">
        <v>1932</v>
      </c>
      <c r="C670" s="4">
        <v>202601308252755</v>
      </c>
      <c r="D670" s="4" t="b">
        <f t="shared" si="52"/>
        <v>1</v>
      </c>
      <c r="E670" t="s">
        <v>20</v>
      </c>
      <c r="F670" t="s">
        <v>21</v>
      </c>
      <c r="G670" t="s">
        <v>1216</v>
      </c>
      <c r="H670" t="str">
        <f>VLOOKUP(C670,'[1]Erogati mag-giu 2026_791_old'!$B:$E,4,FALSE)</f>
        <v>C344210</v>
      </c>
      <c r="I670" t="b">
        <f t="shared" si="48"/>
        <v>1</v>
      </c>
      <c r="J670" s="14">
        <v>46179</v>
      </c>
      <c r="K670" s="14">
        <v>46179</v>
      </c>
      <c r="L670" t="s">
        <v>20</v>
      </c>
      <c r="M670" s="14">
        <v>46188</v>
      </c>
      <c r="N670" s="14">
        <v>46179</v>
      </c>
      <c r="O670" t="s">
        <v>20</v>
      </c>
      <c r="P670">
        <v>-52.52</v>
      </c>
      <c r="Q670">
        <f>VLOOKUP(G670,'[1]Erogati mag-giu 2026_791_old'!$A:$W,12,FALSE)</f>
        <v>-52.52</v>
      </c>
      <c r="R670">
        <f t="shared" si="49"/>
        <v>0</v>
      </c>
      <c r="S670">
        <v>-52.52</v>
      </c>
      <c r="T670">
        <f>VLOOKUP(G670,'[1]Erogati mag-giu 2026_791_old'!$A:$W,13,FALSE)</f>
        <v>-52.52</v>
      </c>
      <c r="U670">
        <f t="shared" si="50"/>
        <v>0</v>
      </c>
      <c r="V670">
        <v>-52.52</v>
      </c>
      <c r="W670">
        <f>VLOOKUP(G670,'[1]Erogati mag-giu 2026_791_old'!$A:$W,14,FALSE)</f>
        <v>-52.52</v>
      </c>
      <c r="X670">
        <f t="shared" si="51"/>
        <v>0</v>
      </c>
      <c r="Y670" t="s">
        <v>158</v>
      </c>
      <c r="Z670" t="str">
        <f>VLOOKUP(G670,'[2]Erogati mag-giu 2026_791_old'!$D:$T,11,FALSE)</f>
        <v>indiretto</v>
      </c>
      <c r="AA670" t="b">
        <v>1</v>
      </c>
      <c r="AF670" t="s">
        <v>20</v>
      </c>
      <c r="AG670" t="s">
        <v>20</v>
      </c>
    </row>
    <row r="671" spans="1:33">
      <c r="A671" s="13" t="s">
        <v>1217</v>
      </c>
      <c r="B671" t="s">
        <v>1933</v>
      </c>
      <c r="C671" s="4">
        <v>202601308253080</v>
      </c>
      <c r="D671" s="4" t="b">
        <f t="shared" si="52"/>
        <v>1</v>
      </c>
      <c r="E671" t="s">
        <v>20</v>
      </c>
      <c r="F671" t="s">
        <v>21</v>
      </c>
      <c r="G671" t="s">
        <v>1218</v>
      </c>
      <c r="H671" t="str">
        <f>VLOOKUP(C671,'[1]Erogati mag-giu 2026_791_old'!$B:$E,4,FALSE)</f>
        <v>C344211</v>
      </c>
      <c r="I671" t="b">
        <f t="shared" si="48"/>
        <v>1</v>
      </c>
      <c r="J671" s="14">
        <v>46179</v>
      </c>
      <c r="K671" s="14">
        <v>46179</v>
      </c>
      <c r="L671" t="s">
        <v>20</v>
      </c>
      <c r="M671" s="14">
        <v>46188</v>
      </c>
      <c r="N671" s="14">
        <v>46179</v>
      </c>
      <c r="O671" t="s">
        <v>20</v>
      </c>
      <c r="P671">
        <v>-132.52000000000001</v>
      </c>
      <c r="Q671">
        <f>VLOOKUP(G671,'[1]Erogati mag-giu 2026_791_old'!$A:$W,12,FALSE)</f>
        <v>-132.52000000000001</v>
      </c>
      <c r="R671">
        <f t="shared" si="49"/>
        <v>0</v>
      </c>
      <c r="S671">
        <v>-132.52000000000001</v>
      </c>
      <c r="T671">
        <f>VLOOKUP(G671,'[1]Erogati mag-giu 2026_791_old'!$A:$W,13,FALSE)</f>
        <v>-132.52000000000001</v>
      </c>
      <c r="U671">
        <f t="shared" si="50"/>
        <v>0</v>
      </c>
      <c r="V671">
        <v>-132.52000000000001</v>
      </c>
      <c r="W671">
        <f>VLOOKUP(G671,'[1]Erogati mag-giu 2026_791_old'!$A:$W,14,FALSE)</f>
        <v>-132.52000000000001</v>
      </c>
      <c r="X671">
        <f t="shared" si="51"/>
        <v>0</v>
      </c>
      <c r="Y671" t="s">
        <v>158</v>
      </c>
      <c r="Z671" t="str">
        <f>VLOOKUP(G671,'[2]Erogati mag-giu 2026_791_old'!$D:$T,11,FALSE)</f>
        <v>indiretto</v>
      </c>
      <c r="AA671" t="b">
        <v>1</v>
      </c>
      <c r="AF671" t="s">
        <v>20</v>
      </c>
      <c r="AG671" t="s">
        <v>20</v>
      </c>
    </row>
    <row r="672" spans="1:33">
      <c r="A672" s="13" t="s">
        <v>1219</v>
      </c>
      <c r="B672" t="s">
        <v>1934</v>
      </c>
      <c r="C672" s="4">
        <v>202601308257520</v>
      </c>
      <c r="D672" s="4" t="b">
        <f t="shared" si="52"/>
        <v>1</v>
      </c>
      <c r="E672" t="s">
        <v>20</v>
      </c>
      <c r="F672" t="s">
        <v>21</v>
      </c>
      <c r="G672" t="s">
        <v>1220</v>
      </c>
      <c r="H672" t="str">
        <f>VLOOKUP(C672,'[1]Erogati mag-giu 2026_791_old'!$B:$E,4,FALSE)</f>
        <v>C344236</v>
      </c>
      <c r="I672" t="b">
        <f t="shared" si="48"/>
        <v>1</v>
      </c>
      <c r="J672" s="14">
        <v>46179</v>
      </c>
      <c r="K672" s="14">
        <v>46179</v>
      </c>
      <c r="L672" t="s">
        <v>20</v>
      </c>
      <c r="M672" s="14">
        <v>46188</v>
      </c>
      <c r="N672" s="14">
        <v>46179</v>
      </c>
      <c r="O672" t="s">
        <v>20</v>
      </c>
      <c r="P672">
        <v>-78.78</v>
      </c>
      <c r="Q672">
        <f>VLOOKUP(G672,'[1]Erogati mag-giu 2026_791_old'!$A:$W,12,FALSE)</f>
        <v>-78.78</v>
      </c>
      <c r="R672">
        <f t="shared" si="49"/>
        <v>0</v>
      </c>
      <c r="S672">
        <v>-78.78</v>
      </c>
      <c r="T672">
        <f>VLOOKUP(G672,'[1]Erogati mag-giu 2026_791_old'!$A:$W,13,FALSE)</f>
        <v>-78.78</v>
      </c>
      <c r="U672">
        <f t="shared" si="50"/>
        <v>0</v>
      </c>
      <c r="V672">
        <v>-78.78</v>
      </c>
      <c r="W672">
        <f>VLOOKUP(G672,'[1]Erogati mag-giu 2026_791_old'!$A:$W,14,FALSE)</f>
        <v>-78.78</v>
      </c>
      <c r="X672">
        <f t="shared" si="51"/>
        <v>0</v>
      </c>
      <c r="Y672" t="s">
        <v>158</v>
      </c>
      <c r="Z672" t="str">
        <f>VLOOKUP(G672,'[2]Erogati mag-giu 2026_791_old'!$D:$T,11,FALSE)</f>
        <v>indiretto</v>
      </c>
      <c r="AA672" t="b">
        <v>1</v>
      </c>
      <c r="AF672" t="s">
        <v>20</v>
      </c>
      <c r="AG672" t="s">
        <v>20</v>
      </c>
    </row>
    <row r="673" spans="1:33">
      <c r="A673" s="13" t="s">
        <v>1221</v>
      </c>
      <c r="B673" t="s">
        <v>1935</v>
      </c>
      <c r="C673" s="4">
        <v>202601308258938</v>
      </c>
      <c r="D673" s="4" t="b">
        <f t="shared" si="52"/>
        <v>1</v>
      </c>
      <c r="E673" t="s">
        <v>20</v>
      </c>
      <c r="F673" t="s">
        <v>21</v>
      </c>
      <c r="G673" t="s">
        <v>1222</v>
      </c>
      <c r="H673" t="str">
        <f>VLOOKUP(C673,'[1]Erogati mag-giu 2026_791_old'!$B:$E,4,FALSE)</f>
        <v>C089469</v>
      </c>
      <c r="I673" t="b">
        <f t="shared" si="48"/>
        <v>1</v>
      </c>
      <c r="J673" s="14">
        <v>46179</v>
      </c>
      <c r="K673" s="14">
        <v>46179</v>
      </c>
      <c r="L673" t="s">
        <v>20</v>
      </c>
      <c r="M673" s="14">
        <v>46188</v>
      </c>
      <c r="N673" s="14">
        <v>46179</v>
      </c>
      <c r="O673" t="s">
        <v>20</v>
      </c>
      <c r="P673">
        <v>-198.78</v>
      </c>
      <c r="Q673">
        <f>VLOOKUP(G673,'[1]Erogati mag-giu 2026_791_old'!$A:$W,12,FALSE)</f>
        <v>-198.78</v>
      </c>
      <c r="R673">
        <f t="shared" si="49"/>
        <v>0</v>
      </c>
      <c r="S673">
        <v>-198.78</v>
      </c>
      <c r="T673">
        <f>VLOOKUP(G673,'[1]Erogati mag-giu 2026_791_old'!$A:$W,13,FALSE)</f>
        <v>-198.78</v>
      </c>
      <c r="U673">
        <f t="shared" si="50"/>
        <v>0</v>
      </c>
      <c r="V673">
        <v>-198.78</v>
      </c>
      <c r="W673">
        <f>VLOOKUP(G673,'[1]Erogati mag-giu 2026_791_old'!$A:$W,14,FALSE)</f>
        <v>-198.78</v>
      </c>
      <c r="X673">
        <f t="shared" si="51"/>
        <v>0</v>
      </c>
      <c r="Y673" t="s">
        <v>158</v>
      </c>
      <c r="Z673" t="str">
        <f>VLOOKUP(G673,'[2]Erogati mag-giu 2026_791_old'!$D:$T,11,FALSE)</f>
        <v>indiretto</v>
      </c>
      <c r="AA673" t="b">
        <v>1</v>
      </c>
      <c r="AF673" t="s">
        <v>20</v>
      </c>
      <c r="AG673" t="s">
        <v>20</v>
      </c>
    </row>
    <row r="674" spans="1:33">
      <c r="A674" s="13" t="s">
        <v>1223</v>
      </c>
      <c r="B674" t="s">
        <v>1936</v>
      </c>
      <c r="C674" s="4">
        <v>202601308261933</v>
      </c>
      <c r="D674" s="4" t="b">
        <f t="shared" si="52"/>
        <v>1</v>
      </c>
      <c r="E674" t="s">
        <v>20</v>
      </c>
      <c r="F674" t="s">
        <v>21</v>
      </c>
      <c r="G674" t="s">
        <v>1224</v>
      </c>
      <c r="H674" t="str">
        <f>VLOOKUP(C674,'[1]Erogati mag-giu 2026_791_old'!$B:$E,4,FALSE)</f>
        <v>C344182</v>
      </c>
      <c r="I674" t="b">
        <f t="shared" si="48"/>
        <v>1</v>
      </c>
      <c r="J674" s="14">
        <v>46179</v>
      </c>
      <c r="K674" s="14">
        <v>46179</v>
      </c>
      <c r="L674" t="s">
        <v>20</v>
      </c>
      <c r="M674" s="14">
        <v>46188</v>
      </c>
      <c r="N674" s="14">
        <v>46179</v>
      </c>
      <c r="O674" t="s">
        <v>20</v>
      </c>
      <c r="P674">
        <v>-66.260000000000005</v>
      </c>
      <c r="Q674">
        <f>VLOOKUP(G674,'[1]Erogati mag-giu 2026_791_old'!$A:$W,12,FALSE)</f>
        <v>-66.260000000000005</v>
      </c>
      <c r="R674">
        <f t="shared" si="49"/>
        <v>0</v>
      </c>
      <c r="S674">
        <v>-66.260000000000005</v>
      </c>
      <c r="T674">
        <f>VLOOKUP(G674,'[1]Erogati mag-giu 2026_791_old'!$A:$W,13,FALSE)</f>
        <v>-66.260000000000005</v>
      </c>
      <c r="U674">
        <f t="shared" si="50"/>
        <v>0</v>
      </c>
      <c r="V674">
        <v>-66.260000000000005</v>
      </c>
      <c r="W674">
        <f>VLOOKUP(G674,'[1]Erogati mag-giu 2026_791_old'!$A:$W,14,FALSE)</f>
        <v>-66.260000000000005</v>
      </c>
      <c r="X674">
        <f t="shared" si="51"/>
        <v>0</v>
      </c>
      <c r="Y674" t="s">
        <v>158</v>
      </c>
      <c r="Z674" t="str">
        <f>VLOOKUP(G674,'[2]Erogati mag-giu 2026_791_old'!$D:$T,11,FALSE)</f>
        <v>indiretto</v>
      </c>
      <c r="AA674" t="b">
        <v>1</v>
      </c>
      <c r="AF674" t="s">
        <v>20</v>
      </c>
      <c r="AG674" t="s">
        <v>20</v>
      </c>
    </row>
    <row r="675" spans="1:33">
      <c r="A675" s="13" t="s">
        <v>1225</v>
      </c>
      <c r="B675" t="s">
        <v>1937</v>
      </c>
      <c r="C675" s="4">
        <v>202601308266259</v>
      </c>
      <c r="D675" s="4" t="b">
        <f t="shared" si="52"/>
        <v>1</v>
      </c>
      <c r="E675" t="s">
        <v>20</v>
      </c>
      <c r="F675" t="s">
        <v>21</v>
      </c>
      <c r="G675" t="s">
        <v>1226</v>
      </c>
      <c r="H675" t="str">
        <f>VLOOKUP(C675,'[1]Erogati mag-giu 2026_791_old'!$B:$E,4,FALSE)</f>
        <v>C344200</v>
      </c>
      <c r="I675" t="b">
        <f t="shared" si="48"/>
        <v>1</v>
      </c>
      <c r="J675" s="14">
        <v>46179</v>
      </c>
      <c r="K675" s="14">
        <v>46179</v>
      </c>
      <c r="L675" t="s">
        <v>20</v>
      </c>
      <c r="M675" s="14">
        <v>46188</v>
      </c>
      <c r="N675" s="14">
        <v>46179</v>
      </c>
      <c r="O675" t="s">
        <v>20</v>
      </c>
      <c r="P675">
        <v>-165.65</v>
      </c>
      <c r="Q675">
        <f>VLOOKUP(G675,'[1]Erogati mag-giu 2026_791_old'!$A:$W,12,FALSE)</f>
        <v>-165.65</v>
      </c>
      <c r="R675">
        <f t="shared" si="49"/>
        <v>0</v>
      </c>
      <c r="S675">
        <v>-165.65</v>
      </c>
      <c r="T675">
        <f>VLOOKUP(G675,'[1]Erogati mag-giu 2026_791_old'!$A:$W,13,FALSE)</f>
        <v>-165.65</v>
      </c>
      <c r="U675">
        <f t="shared" si="50"/>
        <v>0</v>
      </c>
      <c r="V675">
        <v>-165.65</v>
      </c>
      <c r="W675">
        <f>VLOOKUP(G675,'[1]Erogati mag-giu 2026_791_old'!$A:$W,14,FALSE)</f>
        <v>-165.65</v>
      </c>
      <c r="X675">
        <f t="shared" si="51"/>
        <v>0</v>
      </c>
      <c r="Y675" t="s">
        <v>158</v>
      </c>
      <c r="Z675" t="str">
        <f>VLOOKUP(G675,'[2]Erogati mag-giu 2026_791_old'!$D:$T,11,FALSE)</f>
        <v>indiretto</v>
      </c>
      <c r="AA675" t="b">
        <v>1</v>
      </c>
      <c r="AF675" t="s">
        <v>20</v>
      </c>
      <c r="AG675" t="s">
        <v>20</v>
      </c>
    </row>
    <row r="676" spans="1:33">
      <c r="A676" s="13" t="s">
        <v>1227</v>
      </c>
      <c r="B676" t="s">
        <v>1938</v>
      </c>
      <c r="C676" s="4">
        <v>202601308285380</v>
      </c>
      <c r="D676" s="4" t="b">
        <f t="shared" si="52"/>
        <v>1</v>
      </c>
      <c r="E676" t="s">
        <v>20</v>
      </c>
      <c r="F676" t="s">
        <v>21</v>
      </c>
      <c r="G676" t="s">
        <v>1228</v>
      </c>
      <c r="H676" t="str">
        <f>VLOOKUP(C676,'[1]Erogati mag-giu 2026_791_old'!$B:$E,4,FALSE)</f>
        <v>C337683</v>
      </c>
      <c r="I676" t="b">
        <f t="shared" si="48"/>
        <v>1</v>
      </c>
      <c r="J676" s="14">
        <v>46179</v>
      </c>
      <c r="K676" s="14">
        <v>46179</v>
      </c>
      <c r="L676" t="s">
        <v>20</v>
      </c>
      <c r="M676" s="14">
        <v>46188</v>
      </c>
      <c r="N676" s="14">
        <v>46179</v>
      </c>
      <c r="O676" t="s">
        <v>20</v>
      </c>
      <c r="P676">
        <v>-33.130000000000003</v>
      </c>
      <c r="Q676">
        <f>VLOOKUP(G676,'[1]Erogati mag-giu 2026_791_old'!$A:$W,12,FALSE)</f>
        <v>-33.130000000000003</v>
      </c>
      <c r="R676">
        <f t="shared" si="49"/>
        <v>0</v>
      </c>
      <c r="S676">
        <v>-33.130000000000003</v>
      </c>
      <c r="T676">
        <f>VLOOKUP(G676,'[1]Erogati mag-giu 2026_791_old'!$A:$W,13,FALSE)</f>
        <v>-33.130000000000003</v>
      </c>
      <c r="U676">
        <f t="shared" si="50"/>
        <v>0</v>
      </c>
      <c r="V676">
        <v>-33.130000000000003</v>
      </c>
      <c r="W676">
        <f>VLOOKUP(G676,'[1]Erogati mag-giu 2026_791_old'!$A:$W,14,FALSE)</f>
        <v>-33.130000000000003</v>
      </c>
      <c r="X676">
        <f t="shared" si="51"/>
        <v>0</v>
      </c>
      <c r="Y676" t="s">
        <v>158</v>
      </c>
      <c r="Z676" t="str">
        <f>VLOOKUP(G676,'[2]Erogati mag-giu 2026_791_old'!$D:$T,11,FALSE)</f>
        <v>indiretto</v>
      </c>
      <c r="AA676" t="b">
        <v>1</v>
      </c>
      <c r="AF676" t="s">
        <v>20</v>
      </c>
      <c r="AG676" t="s">
        <v>20</v>
      </c>
    </row>
    <row r="677" spans="1:33">
      <c r="A677" s="13" t="s">
        <v>1229</v>
      </c>
      <c r="B677" t="s">
        <v>1939</v>
      </c>
      <c r="C677" s="4">
        <v>202601308290668</v>
      </c>
      <c r="D677" s="4" t="b">
        <f t="shared" si="52"/>
        <v>1</v>
      </c>
      <c r="E677" t="s">
        <v>20</v>
      </c>
      <c r="F677" t="s">
        <v>21</v>
      </c>
      <c r="G677" t="s">
        <v>1230</v>
      </c>
      <c r="H677" t="str">
        <f>VLOOKUP(C677,'[1]Erogati mag-giu 2026_791_old'!$B:$E,4,FALSE)</f>
        <v>C309003</v>
      </c>
      <c r="I677" t="b">
        <f t="shared" si="48"/>
        <v>1</v>
      </c>
      <c r="J677" s="14">
        <v>46179</v>
      </c>
      <c r="K677" s="14">
        <v>46179</v>
      </c>
      <c r="L677" t="s">
        <v>20</v>
      </c>
      <c r="M677" s="14">
        <v>46188</v>
      </c>
      <c r="N677" s="14">
        <v>46179</v>
      </c>
      <c r="O677" t="s">
        <v>20</v>
      </c>
      <c r="P677">
        <v>-73.86</v>
      </c>
      <c r="Q677">
        <f>VLOOKUP(G677,'[1]Erogati mag-giu 2026_791_old'!$A:$W,12,FALSE)</f>
        <v>-73.86</v>
      </c>
      <c r="R677">
        <f t="shared" si="49"/>
        <v>0</v>
      </c>
      <c r="S677">
        <v>-73.86</v>
      </c>
      <c r="T677">
        <f>VLOOKUP(G677,'[1]Erogati mag-giu 2026_791_old'!$A:$W,13,FALSE)</f>
        <v>-73.86</v>
      </c>
      <c r="U677">
        <f t="shared" si="50"/>
        <v>0</v>
      </c>
      <c r="V677">
        <v>-73.86</v>
      </c>
      <c r="W677">
        <f>VLOOKUP(G677,'[1]Erogati mag-giu 2026_791_old'!$A:$W,14,FALSE)</f>
        <v>-73.86</v>
      </c>
      <c r="X677">
        <f t="shared" si="51"/>
        <v>0</v>
      </c>
      <c r="Y677" t="s">
        <v>158</v>
      </c>
      <c r="Z677" t="str">
        <f>VLOOKUP(G677,'[2]Erogati mag-giu 2026_791_old'!$D:$T,11,FALSE)</f>
        <v>indiretto</v>
      </c>
      <c r="AA677" t="b">
        <v>1</v>
      </c>
      <c r="AF677" t="s">
        <v>20</v>
      </c>
      <c r="AG677" t="s">
        <v>20</v>
      </c>
    </row>
    <row r="678" spans="1:33">
      <c r="A678" s="13" t="s">
        <v>1231</v>
      </c>
      <c r="B678" t="s">
        <v>1940</v>
      </c>
      <c r="C678" s="4">
        <v>202601308293455</v>
      </c>
      <c r="D678" s="4" t="b">
        <f t="shared" si="52"/>
        <v>1</v>
      </c>
      <c r="E678" t="s">
        <v>20</v>
      </c>
      <c r="F678" t="s">
        <v>21</v>
      </c>
      <c r="G678" t="s">
        <v>1232</v>
      </c>
      <c r="H678" t="str">
        <f>VLOOKUP(C678,'[1]Erogati mag-giu 2026_791_old'!$B:$E,4,FALSE)</f>
        <v>C344125</v>
      </c>
      <c r="I678" t="b">
        <f t="shared" si="48"/>
        <v>1</v>
      </c>
      <c r="J678" s="14">
        <v>46179</v>
      </c>
      <c r="K678" s="14">
        <v>46179</v>
      </c>
      <c r="L678" t="s">
        <v>20</v>
      </c>
      <c r="M678" s="14">
        <v>46188</v>
      </c>
      <c r="N678" s="14">
        <v>46179</v>
      </c>
      <c r="O678" t="s">
        <v>20</v>
      </c>
      <c r="P678">
        <v>-28.78</v>
      </c>
      <c r="Q678">
        <f>VLOOKUP(G678,'[1]Erogati mag-giu 2026_791_old'!$A:$W,12,FALSE)</f>
        <v>-28.78</v>
      </c>
      <c r="R678">
        <f t="shared" si="49"/>
        <v>0</v>
      </c>
      <c r="S678">
        <v>-28.78</v>
      </c>
      <c r="T678">
        <f>VLOOKUP(G678,'[1]Erogati mag-giu 2026_791_old'!$A:$W,13,FALSE)</f>
        <v>-28.78</v>
      </c>
      <c r="U678">
        <f t="shared" si="50"/>
        <v>0</v>
      </c>
      <c r="V678">
        <v>-28.78</v>
      </c>
      <c r="W678">
        <f>VLOOKUP(G678,'[1]Erogati mag-giu 2026_791_old'!$A:$W,14,FALSE)</f>
        <v>-28.78</v>
      </c>
      <c r="X678">
        <f t="shared" si="51"/>
        <v>0</v>
      </c>
      <c r="Y678" t="s">
        <v>158</v>
      </c>
      <c r="Z678" t="str">
        <f>VLOOKUP(G678,'[2]Erogati mag-giu 2026_791_old'!$D:$T,11,FALSE)</f>
        <v>indiretto</v>
      </c>
      <c r="AA678" t="b">
        <v>1</v>
      </c>
      <c r="AF678" t="s">
        <v>20</v>
      </c>
      <c r="AG678" t="s">
        <v>20</v>
      </c>
    </row>
    <row r="679" spans="1:33">
      <c r="A679" s="13" t="s">
        <v>1233</v>
      </c>
      <c r="B679" t="s">
        <v>1941</v>
      </c>
      <c r="C679" s="4">
        <v>202601308295197</v>
      </c>
      <c r="D679" s="4" t="b">
        <f t="shared" si="52"/>
        <v>1</v>
      </c>
      <c r="E679" t="s">
        <v>20</v>
      </c>
      <c r="F679" t="s">
        <v>21</v>
      </c>
      <c r="G679" t="s">
        <v>1234</v>
      </c>
      <c r="H679" t="str">
        <f>VLOOKUP(C679,'[1]Erogati mag-giu 2026_791_old'!$B:$E,4,FALSE)</f>
        <v>C344109</v>
      </c>
      <c r="I679" t="b">
        <f t="shared" si="48"/>
        <v>1</v>
      </c>
      <c r="J679" s="14">
        <v>46179</v>
      </c>
      <c r="K679" s="14">
        <v>46179</v>
      </c>
      <c r="L679" t="s">
        <v>20</v>
      </c>
      <c r="M679" s="14">
        <v>46188</v>
      </c>
      <c r="N679" s="14">
        <v>46179</v>
      </c>
      <c r="O679" t="s">
        <v>20</v>
      </c>
      <c r="P679">
        <v>-105.03</v>
      </c>
      <c r="Q679">
        <f>VLOOKUP(G679,'[1]Erogati mag-giu 2026_791_old'!$A:$W,12,FALSE)</f>
        <v>-105.03</v>
      </c>
      <c r="R679">
        <f t="shared" si="49"/>
        <v>0</v>
      </c>
      <c r="S679">
        <v>-105.03</v>
      </c>
      <c r="T679">
        <f>VLOOKUP(G679,'[1]Erogati mag-giu 2026_791_old'!$A:$W,13,FALSE)</f>
        <v>-105.03</v>
      </c>
      <c r="U679">
        <f t="shared" si="50"/>
        <v>0</v>
      </c>
      <c r="V679">
        <v>-105.03</v>
      </c>
      <c r="W679">
        <f>VLOOKUP(G679,'[1]Erogati mag-giu 2026_791_old'!$A:$W,14,FALSE)</f>
        <v>-105.03</v>
      </c>
      <c r="X679">
        <f t="shared" si="51"/>
        <v>0</v>
      </c>
      <c r="Y679" t="s">
        <v>158</v>
      </c>
      <c r="Z679" t="str">
        <f>VLOOKUP(G679,'[2]Erogati mag-giu 2026_791_old'!$D:$T,11,FALSE)</f>
        <v>indiretto</v>
      </c>
      <c r="AA679" t="b">
        <v>1</v>
      </c>
      <c r="AF679" t="s">
        <v>20</v>
      </c>
      <c r="AG679" t="s">
        <v>20</v>
      </c>
    </row>
    <row r="680" spans="1:33">
      <c r="A680" s="13" t="s">
        <v>1235</v>
      </c>
      <c r="B680" t="s">
        <v>1942</v>
      </c>
      <c r="C680" s="4">
        <v>202601308297781</v>
      </c>
      <c r="D680" s="4" t="b">
        <f t="shared" si="52"/>
        <v>1</v>
      </c>
      <c r="E680" t="s">
        <v>20</v>
      </c>
      <c r="F680" t="s">
        <v>21</v>
      </c>
      <c r="G680" t="s">
        <v>1236</v>
      </c>
      <c r="H680" t="str">
        <f>VLOOKUP(C680,'[1]Erogati mag-giu 2026_791_old'!$B:$E,4,FALSE)</f>
        <v>C344188</v>
      </c>
      <c r="I680" t="b">
        <f t="shared" si="48"/>
        <v>1</v>
      </c>
      <c r="J680" s="14">
        <v>46179</v>
      </c>
      <c r="K680" s="14">
        <v>46179</v>
      </c>
      <c r="L680" t="s">
        <v>20</v>
      </c>
      <c r="M680" s="14">
        <v>46188</v>
      </c>
      <c r="N680" s="14">
        <v>46179</v>
      </c>
      <c r="O680" t="s">
        <v>20</v>
      </c>
      <c r="P680">
        <v>-78.78</v>
      </c>
      <c r="Q680">
        <f>VLOOKUP(G680,'[1]Erogati mag-giu 2026_791_old'!$A:$W,12,FALSE)</f>
        <v>-78.78</v>
      </c>
      <c r="R680">
        <f t="shared" si="49"/>
        <v>0</v>
      </c>
      <c r="S680">
        <v>-78.78</v>
      </c>
      <c r="T680">
        <f>VLOOKUP(G680,'[1]Erogati mag-giu 2026_791_old'!$A:$W,13,FALSE)</f>
        <v>-78.78</v>
      </c>
      <c r="U680">
        <f t="shared" si="50"/>
        <v>0</v>
      </c>
      <c r="V680">
        <v>-78.78</v>
      </c>
      <c r="W680">
        <f>VLOOKUP(G680,'[1]Erogati mag-giu 2026_791_old'!$A:$W,14,FALSE)</f>
        <v>-78.78</v>
      </c>
      <c r="X680">
        <f t="shared" si="51"/>
        <v>0</v>
      </c>
      <c r="Y680" t="s">
        <v>158</v>
      </c>
      <c r="Z680" t="str">
        <f>VLOOKUP(G680,'[2]Erogati mag-giu 2026_791_old'!$D:$T,11,FALSE)</f>
        <v>indiretto</v>
      </c>
      <c r="AA680" t="b">
        <v>1</v>
      </c>
      <c r="AF680" t="s">
        <v>20</v>
      </c>
      <c r="AG680" t="s">
        <v>20</v>
      </c>
    </row>
    <row r="681" spans="1:33">
      <c r="A681" s="13" t="s">
        <v>1237</v>
      </c>
      <c r="B681" t="s">
        <v>1943</v>
      </c>
      <c r="C681" s="4">
        <v>202601308298240</v>
      </c>
      <c r="D681" s="4" t="b">
        <f t="shared" si="52"/>
        <v>1</v>
      </c>
      <c r="E681" t="s">
        <v>20</v>
      </c>
      <c r="F681" t="s">
        <v>21</v>
      </c>
      <c r="G681" t="s">
        <v>1238</v>
      </c>
      <c r="H681" t="str">
        <f>VLOOKUP(C681,'[1]Erogati mag-giu 2026_791_old'!$B:$E,4,FALSE)</f>
        <v>C307400</v>
      </c>
      <c r="I681" t="b">
        <f t="shared" si="48"/>
        <v>1</v>
      </c>
      <c r="J681" s="14">
        <v>46179</v>
      </c>
      <c r="K681" s="14">
        <v>46179</v>
      </c>
      <c r="L681" t="s">
        <v>20</v>
      </c>
      <c r="M681" s="14">
        <v>46188</v>
      </c>
      <c r="N681" s="14">
        <v>46179</v>
      </c>
      <c r="O681" t="s">
        <v>20</v>
      </c>
      <c r="P681">
        <v>-99.39</v>
      </c>
      <c r="Q681">
        <f>VLOOKUP(G681,'[1]Erogati mag-giu 2026_791_old'!$A:$W,12,FALSE)</f>
        <v>-99.39</v>
      </c>
      <c r="R681">
        <f t="shared" si="49"/>
        <v>0</v>
      </c>
      <c r="S681">
        <v>-99.39</v>
      </c>
      <c r="T681">
        <f>VLOOKUP(G681,'[1]Erogati mag-giu 2026_791_old'!$A:$W,13,FALSE)</f>
        <v>-99.39</v>
      </c>
      <c r="U681">
        <f t="shared" si="50"/>
        <v>0</v>
      </c>
      <c r="V681">
        <v>-99.39</v>
      </c>
      <c r="W681">
        <f>VLOOKUP(G681,'[1]Erogati mag-giu 2026_791_old'!$A:$W,14,FALSE)</f>
        <v>-99.39</v>
      </c>
      <c r="X681">
        <f t="shared" si="51"/>
        <v>0</v>
      </c>
      <c r="Y681" t="s">
        <v>158</v>
      </c>
      <c r="Z681" t="str">
        <f>VLOOKUP(G681,'[2]Erogati mag-giu 2026_791_old'!$D:$T,11,FALSE)</f>
        <v>indiretto</v>
      </c>
      <c r="AA681" t="b">
        <v>1</v>
      </c>
      <c r="AF681" t="s">
        <v>20</v>
      </c>
      <c r="AG681" t="s">
        <v>20</v>
      </c>
    </row>
    <row r="682" spans="1:33">
      <c r="A682" s="13" t="s">
        <v>1239</v>
      </c>
      <c r="B682" t="s">
        <v>1944</v>
      </c>
      <c r="C682" s="4">
        <v>202601308301607</v>
      </c>
      <c r="D682" s="4" t="b">
        <f t="shared" si="52"/>
        <v>1</v>
      </c>
      <c r="E682" t="s">
        <v>20</v>
      </c>
      <c r="F682" t="s">
        <v>21</v>
      </c>
      <c r="G682" t="s">
        <v>1240</v>
      </c>
      <c r="H682" t="str">
        <f>VLOOKUP(C682,'[1]Erogati mag-giu 2026_791_old'!$B:$E,4,FALSE)</f>
        <v>C344136</v>
      </c>
      <c r="I682" t="b">
        <f t="shared" si="48"/>
        <v>1</v>
      </c>
      <c r="J682" s="14">
        <v>46179</v>
      </c>
      <c r="K682" s="14">
        <v>46179</v>
      </c>
      <c r="L682" t="s">
        <v>20</v>
      </c>
      <c r="M682" s="14">
        <v>46188</v>
      </c>
      <c r="N682" s="14">
        <v>46179</v>
      </c>
      <c r="O682" t="s">
        <v>20</v>
      </c>
      <c r="P682">
        <v>-99.39</v>
      </c>
      <c r="Q682">
        <f>VLOOKUP(G682,'[1]Erogati mag-giu 2026_791_old'!$A:$W,12,FALSE)</f>
        <v>-99.39</v>
      </c>
      <c r="R682">
        <f t="shared" si="49"/>
        <v>0</v>
      </c>
      <c r="S682">
        <v>-99.39</v>
      </c>
      <c r="T682">
        <f>VLOOKUP(G682,'[1]Erogati mag-giu 2026_791_old'!$A:$W,13,FALSE)</f>
        <v>-99.39</v>
      </c>
      <c r="U682">
        <f t="shared" si="50"/>
        <v>0</v>
      </c>
      <c r="V682">
        <v>-99.39</v>
      </c>
      <c r="W682">
        <f>VLOOKUP(G682,'[1]Erogati mag-giu 2026_791_old'!$A:$W,14,FALSE)</f>
        <v>-99.39</v>
      </c>
      <c r="X682">
        <f t="shared" si="51"/>
        <v>0</v>
      </c>
      <c r="Y682" t="s">
        <v>158</v>
      </c>
      <c r="Z682" t="str">
        <f>VLOOKUP(G682,'[2]Erogati mag-giu 2026_791_old'!$D:$T,11,FALSE)</f>
        <v>indiretto</v>
      </c>
      <c r="AA682" t="b">
        <v>1</v>
      </c>
      <c r="AF682" t="s">
        <v>20</v>
      </c>
      <c r="AG682" t="s">
        <v>20</v>
      </c>
    </row>
    <row r="683" spans="1:33">
      <c r="A683" s="13" t="s">
        <v>1241</v>
      </c>
      <c r="B683" t="s">
        <v>1945</v>
      </c>
      <c r="C683" s="4">
        <v>202601308304569</v>
      </c>
      <c r="D683" s="4" t="b">
        <f t="shared" si="52"/>
        <v>1</v>
      </c>
      <c r="E683" t="s">
        <v>20</v>
      </c>
      <c r="F683" t="s">
        <v>21</v>
      </c>
      <c r="G683" t="s">
        <v>1242</v>
      </c>
      <c r="H683" t="str">
        <f>VLOOKUP(C683,'[1]Erogati mag-giu 2026_791_old'!$B:$E,4,FALSE)</f>
        <v>C119738</v>
      </c>
      <c r="I683" t="b">
        <f t="shared" si="48"/>
        <v>1</v>
      </c>
      <c r="J683" s="14">
        <v>46179</v>
      </c>
      <c r="K683" s="14">
        <v>46179</v>
      </c>
      <c r="L683" t="s">
        <v>20</v>
      </c>
      <c r="M683" s="14">
        <v>46188</v>
      </c>
      <c r="N683" s="14">
        <v>46179</v>
      </c>
      <c r="O683" t="s">
        <v>20</v>
      </c>
      <c r="P683">
        <v>-47.94</v>
      </c>
      <c r="Q683">
        <f>VLOOKUP(G683,'[1]Erogati mag-giu 2026_791_old'!$A:$W,12,FALSE)</f>
        <v>-47.94</v>
      </c>
      <c r="R683">
        <f t="shared" si="49"/>
        <v>0</v>
      </c>
      <c r="S683">
        <v>-47.94</v>
      </c>
      <c r="T683">
        <f>VLOOKUP(G683,'[1]Erogati mag-giu 2026_791_old'!$A:$W,13,FALSE)</f>
        <v>-47.94</v>
      </c>
      <c r="U683">
        <f t="shared" si="50"/>
        <v>0</v>
      </c>
      <c r="V683">
        <v>-47.94</v>
      </c>
      <c r="W683">
        <f>VLOOKUP(G683,'[1]Erogati mag-giu 2026_791_old'!$A:$W,14,FALSE)</f>
        <v>-47.94</v>
      </c>
      <c r="X683">
        <f t="shared" si="51"/>
        <v>0</v>
      </c>
      <c r="Y683" t="s">
        <v>158</v>
      </c>
      <c r="Z683" t="str">
        <f>VLOOKUP(G683,'[2]Erogati mag-giu 2026_791_old'!$D:$T,11,FALSE)</f>
        <v>indiretto</v>
      </c>
      <c r="AA683" t="b">
        <v>1</v>
      </c>
      <c r="AF683" t="s">
        <v>20</v>
      </c>
      <c r="AG683" t="s">
        <v>20</v>
      </c>
    </row>
    <row r="684" spans="1:33">
      <c r="A684" s="13" t="s">
        <v>1243</v>
      </c>
      <c r="B684" t="s">
        <v>1946</v>
      </c>
      <c r="C684" s="4">
        <v>202601308314091</v>
      </c>
      <c r="D684" s="4" t="b">
        <f t="shared" si="52"/>
        <v>1</v>
      </c>
      <c r="E684" t="s">
        <v>20</v>
      </c>
      <c r="F684" t="s">
        <v>21</v>
      </c>
      <c r="G684" t="s">
        <v>1244</v>
      </c>
      <c r="H684" t="str">
        <f>VLOOKUP(C684,'[1]Erogati mag-giu 2026_791_old'!$B:$E,4,FALSE)</f>
        <v>C308806</v>
      </c>
      <c r="I684" t="b">
        <f t="shared" si="48"/>
        <v>1</v>
      </c>
      <c r="J684" s="14">
        <v>46179</v>
      </c>
      <c r="K684" s="14">
        <v>46179</v>
      </c>
      <c r="L684" t="s">
        <v>20</v>
      </c>
      <c r="M684" s="14">
        <v>46188</v>
      </c>
      <c r="N684" s="14">
        <v>46179</v>
      </c>
      <c r="O684" t="s">
        <v>20</v>
      </c>
      <c r="P684">
        <v>-33.130000000000003</v>
      </c>
      <c r="Q684">
        <f>VLOOKUP(G684,'[1]Erogati mag-giu 2026_791_old'!$A:$W,12,FALSE)</f>
        <v>-33.130000000000003</v>
      </c>
      <c r="R684">
        <f t="shared" si="49"/>
        <v>0</v>
      </c>
      <c r="S684">
        <v>-33.130000000000003</v>
      </c>
      <c r="T684">
        <f>VLOOKUP(G684,'[1]Erogati mag-giu 2026_791_old'!$A:$W,13,FALSE)</f>
        <v>-33.130000000000003</v>
      </c>
      <c r="U684">
        <f t="shared" si="50"/>
        <v>0</v>
      </c>
      <c r="V684">
        <v>-33.130000000000003</v>
      </c>
      <c r="W684">
        <f>VLOOKUP(G684,'[1]Erogati mag-giu 2026_791_old'!$A:$W,14,FALSE)</f>
        <v>-33.130000000000003</v>
      </c>
      <c r="X684">
        <f t="shared" si="51"/>
        <v>0</v>
      </c>
      <c r="Y684" t="s">
        <v>158</v>
      </c>
      <c r="Z684" t="str">
        <f>VLOOKUP(G684,'[2]Erogati mag-giu 2026_791_old'!$D:$T,11,FALSE)</f>
        <v>indiretto</v>
      </c>
      <c r="AA684" t="b">
        <v>1</v>
      </c>
      <c r="AF684" t="s">
        <v>20</v>
      </c>
      <c r="AG684" t="s">
        <v>20</v>
      </c>
    </row>
    <row r="685" spans="1:33">
      <c r="A685" s="13" t="s">
        <v>1245</v>
      </c>
      <c r="B685" t="s">
        <v>1947</v>
      </c>
      <c r="C685" s="4">
        <v>202601308316627</v>
      </c>
      <c r="D685" s="4" t="b">
        <f t="shared" si="52"/>
        <v>1</v>
      </c>
      <c r="E685" t="s">
        <v>20</v>
      </c>
      <c r="F685" t="s">
        <v>21</v>
      </c>
      <c r="G685" t="s">
        <v>1246</v>
      </c>
      <c r="H685" t="str">
        <f>VLOOKUP(C685,'[1]Erogati mag-giu 2026_791_old'!$B:$E,4,FALSE)</f>
        <v>C312601</v>
      </c>
      <c r="I685" t="b">
        <f t="shared" si="48"/>
        <v>1</v>
      </c>
      <c r="J685" s="14">
        <v>46179</v>
      </c>
      <c r="K685" s="14">
        <v>46179</v>
      </c>
      <c r="L685" t="s">
        <v>20</v>
      </c>
      <c r="M685" s="14">
        <v>46188</v>
      </c>
      <c r="N685" s="14">
        <v>46179</v>
      </c>
      <c r="O685" t="s">
        <v>20</v>
      </c>
      <c r="P685">
        <v>-33.130000000000003</v>
      </c>
      <c r="Q685">
        <f>VLOOKUP(G685,'[1]Erogati mag-giu 2026_791_old'!$A:$W,12,FALSE)</f>
        <v>-33.130000000000003</v>
      </c>
      <c r="R685">
        <f t="shared" si="49"/>
        <v>0</v>
      </c>
      <c r="S685">
        <v>-33.130000000000003</v>
      </c>
      <c r="T685">
        <f>VLOOKUP(G685,'[1]Erogati mag-giu 2026_791_old'!$A:$W,13,FALSE)</f>
        <v>-33.130000000000003</v>
      </c>
      <c r="U685">
        <f t="shared" si="50"/>
        <v>0</v>
      </c>
      <c r="V685">
        <v>-33.130000000000003</v>
      </c>
      <c r="W685">
        <f>VLOOKUP(G685,'[1]Erogati mag-giu 2026_791_old'!$A:$W,14,FALSE)</f>
        <v>-33.130000000000003</v>
      </c>
      <c r="X685">
        <f t="shared" si="51"/>
        <v>0</v>
      </c>
      <c r="Y685" t="s">
        <v>158</v>
      </c>
      <c r="Z685" t="str">
        <f>VLOOKUP(G685,'[2]Erogati mag-giu 2026_791_old'!$D:$T,11,FALSE)</f>
        <v>indiretto</v>
      </c>
      <c r="AA685" t="b">
        <v>1</v>
      </c>
      <c r="AF685" t="s">
        <v>20</v>
      </c>
      <c r="AG685" t="s">
        <v>20</v>
      </c>
    </row>
    <row r="686" spans="1:33">
      <c r="A686" s="13" t="s">
        <v>1247</v>
      </c>
      <c r="B686" t="s">
        <v>1948</v>
      </c>
      <c r="C686" s="4">
        <v>202601308317649</v>
      </c>
      <c r="D686" s="4" t="b">
        <f t="shared" si="52"/>
        <v>1</v>
      </c>
      <c r="E686" t="s">
        <v>20</v>
      </c>
      <c r="F686" t="s">
        <v>21</v>
      </c>
      <c r="G686" t="s">
        <v>1248</v>
      </c>
      <c r="H686" t="str">
        <f>VLOOKUP(C686,'[1]Erogati mag-giu 2026_791_old'!$B:$E,4,FALSE)</f>
        <v>CL15925</v>
      </c>
      <c r="I686" t="b">
        <f t="shared" si="48"/>
        <v>1</v>
      </c>
      <c r="J686" s="14">
        <v>46179</v>
      </c>
      <c r="K686" s="14">
        <v>46179</v>
      </c>
      <c r="L686" t="s">
        <v>20</v>
      </c>
      <c r="M686" s="14">
        <v>46188</v>
      </c>
      <c r="N686" s="14">
        <v>46179</v>
      </c>
      <c r="O686" t="s">
        <v>20</v>
      </c>
      <c r="P686">
        <v>-75.900000000000006</v>
      </c>
      <c r="Q686">
        <f>VLOOKUP(G686,'[1]Erogati mag-giu 2026_791_old'!$A:$W,12,FALSE)</f>
        <v>-75.900000000000006</v>
      </c>
      <c r="R686">
        <f t="shared" si="49"/>
        <v>0</v>
      </c>
      <c r="S686">
        <v>-75.900000000000006</v>
      </c>
      <c r="T686">
        <f>VLOOKUP(G686,'[1]Erogati mag-giu 2026_791_old'!$A:$W,13,FALSE)</f>
        <v>-75.900000000000006</v>
      </c>
      <c r="U686">
        <f t="shared" si="50"/>
        <v>0</v>
      </c>
      <c r="V686">
        <v>-75.900000000000006</v>
      </c>
      <c r="W686">
        <f>VLOOKUP(G686,'[1]Erogati mag-giu 2026_791_old'!$A:$W,14,FALSE)</f>
        <v>-75.900000000000006</v>
      </c>
      <c r="X686">
        <f t="shared" si="51"/>
        <v>0</v>
      </c>
      <c r="Y686" t="s">
        <v>158</v>
      </c>
      <c r="Z686" t="str">
        <f>VLOOKUP(G686,'[2]Erogati mag-giu 2026_791_old'!$D:$T,11,FALSE)</f>
        <v>indiretto</v>
      </c>
      <c r="AA686" t="b">
        <v>1</v>
      </c>
      <c r="AF686" t="s">
        <v>20</v>
      </c>
      <c r="AG686" t="s">
        <v>20</v>
      </c>
    </row>
    <row r="687" spans="1:33">
      <c r="A687" s="13" t="s">
        <v>1249</v>
      </c>
      <c r="B687" t="s">
        <v>1949</v>
      </c>
      <c r="C687" s="4">
        <v>202601308318501</v>
      </c>
      <c r="D687" s="4" t="b">
        <f t="shared" si="52"/>
        <v>1</v>
      </c>
      <c r="E687" t="s">
        <v>20</v>
      </c>
      <c r="F687" t="s">
        <v>21</v>
      </c>
      <c r="G687" t="s">
        <v>1250</v>
      </c>
      <c r="H687" t="str">
        <f>VLOOKUP(C687,'[1]Erogati mag-giu 2026_791_old'!$B:$E,4,FALSE)</f>
        <v>C344108</v>
      </c>
      <c r="I687" t="b">
        <f t="shared" si="48"/>
        <v>1</v>
      </c>
      <c r="J687" s="14">
        <v>46179</v>
      </c>
      <c r="K687" s="14">
        <v>46179</v>
      </c>
      <c r="L687" t="s">
        <v>20</v>
      </c>
      <c r="M687" s="14">
        <v>46188</v>
      </c>
      <c r="N687" s="14">
        <v>46179</v>
      </c>
      <c r="O687" t="s">
        <v>20</v>
      </c>
      <c r="P687">
        <v>-78.78</v>
      </c>
      <c r="Q687">
        <f>VLOOKUP(G687,'[1]Erogati mag-giu 2026_791_old'!$A:$W,12,FALSE)</f>
        <v>-78.78</v>
      </c>
      <c r="R687">
        <f t="shared" si="49"/>
        <v>0</v>
      </c>
      <c r="S687">
        <v>-78.78</v>
      </c>
      <c r="T687">
        <f>VLOOKUP(G687,'[1]Erogati mag-giu 2026_791_old'!$A:$W,13,FALSE)</f>
        <v>-78.78</v>
      </c>
      <c r="U687">
        <f t="shared" si="50"/>
        <v>0</v>
      </c>
      <c r="V687">
        <v>-78.78</v>
      </c>
      <c r="W687">
        <f>VLOOKUP(G687,'[1]Erogati mag-giu 2026_791_old'!$A:$W,14,FALSE)</f>
        <v>-78.78</v>
      </c>
      <c r="X687">
        <f t="shared" si="51"/>
        <v>0</v>
      </c>
      <c r="Y687" t="s">
        <v>158</v>
      </c>
      <c r="Z687" t="str">
        <f>VLOOKUP(G687,'[2]Erogati mag-giu 2026_791_old'!$D:$T,11,FALSE)</f>
        <v>indiretto</v>
      </c>
      <c r="AA687" t="b">
        <v>1</v>
      </c>
      <c r="AF687" t="s">
        <v>20</v>
      </c>
      <c r="AG687" t="s">
        <v>20</v>
      </c>
    </row>
    <row r="688" spans="1:33">
      <c r="A688" s="13" t="s">
        <v>1251</v>
      </c>
      <c r="B688" t="s">
        <v>1950</v>
      </c>
      <c r="C688" s="4">
        <v>202601308322705</v>
      </c>
      <c r="D688" s="4" t="b">
        <f t="shared" si="52"/>
        <v>1</v>
      </c>
      <c r="E688" t="s">
        <v>20</v>
      </c>
      <c r="F688" t="s">
        <v>21</v>
      </c>
      <c r="G688" t="s">
        <v>1252</v>
      </c>
      <c r="H688" t="str">
        <f>VLOOKUP(C688,'[1]Erogati mag-giu 2026_791_old'!$B:$E,4,FALSE)</f>
        <v>C116921</v>
      </c>
      <c r="I688" t="b">
        <f t="shared" si="48"/>
        <v>1</v>
      </c>
      <c r="J688" s="14">
        <v>46179</v>
      </c>
      <c r="K688" s="14">
        <v>46179</v>
      </c>
      <c r="L688" t="s">
        <v>20</v>
      </c>
      <c r="M688" s="14">
        <v>46188</v>
      </c>
      <c r="N688" s="14">
        <v>46179</v>
      </c>
      <c r="O688" t="s">
        <v>20</v>
      </c>
      <c r="P688">
        <v>-66.260000000000005</v>
      </c>
      <c r="Q688">
        <f>VLOOKUP(G688,'[1]Erogati mag-giu 2026_791_old'!$A:$W,12,FALSE)</f>
        <v>-66.260000000000005</v>
      </c>
      <c r="R688">
        <f t="shared" si="49"/>
        <v>0</v>
      </c>
      <c r="S688">
        <v>-66.260000000000005</v>
      </c>
      <c r="T688">
        <f>VLOOKUP(G688,'[1]Erogati mag-giu 2026_791_old'!$A:$W,13,FALSE)</f>
        <v>-66.260000000000005</v>
      </c>
      <c r="U688">
        <f t="shared" si="50"/>
        <v>0</v>
      </c>
      <c r="V688">
        <v>-66.260000000000005</v>
      </c>
      <c r="W688">
        <f>VLOOKUP(G688,'[1]Erogati mag-giu 2026_791_old'!$A:$W,14,FALSE)</f>
        <v>-66.260000000000005</v>
      </c>
      <c r="X688">
        <f t="shared" si="51"/>
        <v>0</v>
      </c>
      <c r="Y688" t="s">
        <v>158</v>
      </c>
      <c r="Z688" t="str">
        <f>VLOOKUP(G688,'[2]Erogati mag-giu 2026_791_old'!$D:$T,11,FALSE)</f>
        <v>indiretto</v>
      </c>
      <c r="AA688" t="b">
        <v>1</v>
      </c>
      <c r="AF688" t="s">
        <v>20</v>
      </c>
      <c r="AG688" t="s">
        <v>20</v>
      </c>
    </row>
    <row r="689" spans="1:33">
      <c r="A689" s="13" t="s">
        <v>1253</v>
      </c>
      <c r="B689" t="s">
        <v>1951</v>
      </c>
      <c r="C689" s="4">
        <v>202601308326398</v>
      </c>
      <c r="D689" s="4" t="b">
        <f t="shared" si="52"/>
        <v>1</v>
      </c>
      <c r="E689" t="s">
        <v>20</v>
      </c>
      <c r="F689" t="s">
        <v>21</v>
      </c>
      <c r="G689" t="s">
        <v>1254</v>
      </c>
      <c r="H689" t="str">
        <f>VLOOKUP(C689,'[1]Erogati mag-giu 2026_791_old'!$B:$E,4,FALSE)</f>
        <v>C307016</v>
      </c>
      <c r="I689" t="b">
        <f t="shared" si="48"/>
        <v>1</v>
      </c>
      <c r="J689" s="14">
        <v>46179</v>
      </c>
      <c r="K689" s="14">
        <v>46179</v>
      </c>
      <c r="L689" t="s">
        <v>20</v>
      </c>
      <c r="M689" s="14">
        <v>46188</v>
      </c>
      <c r="N689" s="14">
        <v>46179</v>
      </c>
      <c r="O689" t="s">
        <v>20</v>
      </c>
      <c r="P689">
        <v>-154.63999999999999</v>
      </c>
      <c r="Q689">
        <f>VLOOKUP(G689,'[1]Erogati mag-giu 2026_791_old'!$A:$W,12,FALSE)</f>
        <v>-154.63999999999999</v>
      </c>
      <c r="R689">
        <f t="shared" si="49"/>
        <v>0</v>
      </c>
      <c r="S689">
        <v>-154.63999999999999</v>
      </c>
      <c r="T689">
        <f>VLOOKUP(G689,'[1]Erogati mag-giu 2026_791_old'!$A:$W,13,FALSE)</f>
        <v>-154.63999999999999</v>
      </c>
      <c r="U689">
        <f t="shared" si="50"/>
        <v>0</v>
      </c>
      <c r="V689">
        <v>-154.63999999999999</v>
      </c>
      <c r="W689">
        <f>VLOOKUP(G689,'[1]Erogati mag-giu 2026_791_old'!$A:$W,14,FALSE)</f>
        <v>-154.63999999999999</v>
      </c>
      <c r="X689">
        <f t="shared" si="51"/>
        <v>0</v>
      </c>
      <c r="Y689" t="s">
        <v>158</v>
      </c>
      <c r="Z689" t="str">
        <f>VLOOKUP(G689,'[2]Erogati mag-giu 2026_791_old'!$D:$T,11,FALSE)</f>
        <v>indiretto</v>
      </c>
      <c r="AA689" t="b">
        <v>1</v>
      </c>
      <c r="AF689" t="s">
        <v>20</v>
      </c>
      <c r="AG689" t="s">
        <v>20</v>
      </c>
    </row>
    <row r="690" spans="1:33">
      <c r="A690" s="13" t="s">
        <v>1255</v>
      </c>
      <c r="B690" t="s">
        <v>1952</v>
      </c>
      <c r="C690" s="4">
        <v>202601308327471</v>
      </c>
      <c r="D690" s="4" t="b">
        <f t="shared" si="52"/>
        <v>1</v>
      </c>
      <c r="E690" t="s">
        <v>20</v>
      </c>
      <c r="F690" t="s">
        <v>21</v>
      </c>
      <c r="G690" t="s">
        <v>1256</v>
      </c>
      <c r="H690" t="str">
        <f>VLOOKUP(C690,'[1]Erogati mag-giu 2026_791_old'!$B:$E,4,FALSE)</f>
        <v>C344189</v>
      </c>
      <c r="I690" t="b">
        <f t="shared" si="48"/>
        <v>1</v>
      </c>
      <c r="J690" s="14">
        <v>46179</v>
      </c>
      <c r="K690" s="14">
        <v>46179</v>
      </c>
      <c r="L690" t="s">
        <v>20</v>
      </c>
      <c r="M690" s="14">
        <v>46188</v>
      </c>
      <c r="N690" s="14">
        <v>46179</v>
      </c>
      <c r="O690" t="s">
        <v>20</v>
      </c>
      <c r="P690">
        <v>-151.79</v>
      </c>
      <c r="Q690">
        <f>VLOOKUP(G690,'[1]Erogati mag-giu 2026_791_old'!$A:$W,12,FALSE)</f>
        <v>-151.79</v>
      </c>
      <c r="R690">
        <f t="shared" si="49"/>
        <v>0</v>
      </c>
      <c r="S690">
        <v>-151.79</v>
      </c>
      <c r="T690">
        <f>VLOOKUP(G690,'[1]Erogati mag-giu 2026_791_old'!$A:$W,13,FALSE)</f>
        <v>-151.79</v>
      </c>
      <c r="U690">
        <f t="shared" si="50"/>
        <v>0</v>
      </c>
      <c r="V690">
        <v>-151.79</v>
      </c>
      <c r="W690">
        <f>VLOOKUP(G690,'[1]Erogati mag-giu 2026_791_old'!$A:$W,14,FALSE)</f>
        <v>-151.79</v>
      </c>
      <c r="X690">
        <f t="shared" si="51"/>
        <v>0</v>
      </c>
      <c r="Y690" t="s">
        <v>158</v>
      </c>
      <c r="Z690" t="str">
        <f>VLOOKUP(G690,'[2]Erogati mag-giu 2026_791_old'!$D:$T,11,FALSE)</f>
        <v>indiretto</v>
      </c>
      <c r="AA690" t="b">
        <v>1</v>
      </c>
      <c r="AF690" t="s">
        <v>20</v>
      </c>
      <c r="AG690" t="s">
        <v>20</v>
      </c>
    </row>
    <row r="691" spans="1:33">
      <c r="A691" s="13" t="s">
        <v>1257</v>
      </c>
      <c r="B691" t="s">
        <v>1953</v>
      </c>
      <c r="C691" s="4">
        <v>202601308328424</v>
      </c>
      <c r="D691" s="4" t="b">
        <f t="shared" si="52"/>
        <v>1</v>
      </c>
      <c r="E691" t="s">
        <v>20</v>
      </c>
      <c r="F691" t="s">
        <v>21</v>
      </c>
      <c r="G691" t="s">
        <v>1258</v>
      </c>
      <c r="H691" t="str">
        <f>VLOOKUP(C691,'[1]Erogati mag-giu 2026_791_old'!$B:$E,4,FALSE)</f>
        <v>C311783</v>
      </c>
      <c r="I691" t="b">
        <f t="shared" si="48"/>
        <v>1</v>
      </c>
      <c r="J691" s="14">
        <v>46179</v>
      </c>
      <c r="K691" s="14">
        <v>46179</v>
      </c>
      <c r="L691" t="s">
        <v>20</v>
      </c>
      <c r="M691" s="14">
        <v>46188</v>
      </c>
      <c r="N691" s="14">
        <v>46179</v>
      </c>
      <c r="O691" t="s">
        <v>20</v>
      </c>
      <c r="P691">
        <v>-114.94</v>
      </c>
      <c r="Q691">
        <f>VLOOKUP(G691,'[1]Erogati mag-giu 2026_791_old'!$A:$W,12,FALSE)</f>
        <v>-114.94</v>
      </c>
      <c r="R691">
        <f t="shared" si="49"/>
        <v>0</v>
      </c>
      <c r="S691">
        <v>-114.94</v>
      </c>
      <c r="T691">
        <f>VLOOKUP(G691,'[1]Erogati mag-giu 2026_791_old'!$A:$W,13,FALSE)</f>
        <v>-114.94</v>
      </c>
      <c r="U691">
        <f t="shared" si="50"/>
        <v>0</v>
      </c>
      <c r="V691">
        <v>-114.94</v>
      </c>
      <c r="W691">
        <f>VLOOKUP(G691,'[1]Erogati mag-giu 2026_791_old'!$A:$W,14,FALSE)</f>
        <v>-114.94</v>
      </c>
      <c r="X691">
        <f t="shared" si="51"/>
        <v>0</v>
      </c>
      <c r="Y691" t="s">
        <v>158</v>
      </c>
      <c r="Z691" t="str">
        <f>VLOOKUP(G691,'[2]Erogati mag-giu 2026_791_old'!$D:$T,11,FALSE)</f>
        <v>indiretto</v>
      </c>
      <c r="AA691" t="b">
        <v>1</v>
      </c>
      <c r="AF691" t="s">
        <v>20</v>
      </c>
      <c r="AG691" t="s">
        <v>20</v>
      </c>
    </row>
    <row r="692" spans="1:33">
      <c r="A692" s="13" t="s">
        <v>1259</v>
      </c>
      <c r="B692" t="s">
        <v>1954</v>
      </c>
      <c r="C692" s="4">
        <v>202601308330518</v>
      </c>
      <c r="D692" s="4" t="b">
        <f t="shared" si="52"/>
        <v>1</v>
      </c>
      <c r="E692" t="s">
        <v>20</v>
      </c>
      <c r="F692" t="s">
        <v>21</v>
      </c>
      <c r="G692" t="s">
        <v>1260</v>
      </c>
      <c r="H692" t="str">
        <f>VLOOKUP(C692,'[1]Erogati mag-giu 2026_791_old'!$B:$E,4,FALSE)</f>
        <v>C344110</v>
      </c>
      <c r="I692" t="b">
        <f t="shared" si="48"/>
        <v>1</v>
      </c>
      <c r="J692" s="14">
        <v>46179</v>
      </c>
      <c r="K692" s="14">
        <v>46179</v>
      </c>
      <c r="L692" t="s">
        <v>20</v>
      </c>
      <c r="M692" s="14">
        <v>46188</v>
      </c>
      <c r="N692" s="14">
        <v>46179</v>
      </c>
      <c r="O692" t="s">
        <v>20</v>
      </c>
      <c r="P692">
        <v>-89.45</v>
      </c>
      <c r="Q692">
        <f>VLOOKUP(G692,'[1]Erogati mag-giu 2026_791_old'!$A:$W,12,FALSE)</f>
        <v>-89.45</v>
      </c>
      <c r="R692">
        <f t="shared" si="49"/>
        <v>0</v>
      </c>
      <c r="S692">
        <v>-89.45</v>
      </c>
      <c r="T692">
        <f>VLOOKUP(G692,'[1]Erogati mag-giu 2026_791_old'!$A:$W,13,FALSE)</f>
        <v>-89.45</v>
      </c>
      <c r="U692">
        <f t="shared" si="50"/>
        <v>0</v>
      </c>
      <c r="V692">
        <v>-89.45</v>
      </c>
      <c r="W692">
        <f>VLOOKUP(G692,'[1]Erogati mag-giu 2026_791_old'!$A:$W,14,FALSE)</f>
        <v>-89.45</v>
      </c>
      <c r="X692">
        <f t="shared" si="51"/>
        <v>0</v>
      </c>
      <c r="Y692" t="s">
        <v>158</v>
      </c>
      <c r="Z692" t="str">
        <f>VLOOKUP(G692,'[2]Erogati mag-giu 2026_791_old'!$D:$T,11,FALSE)</f>
        <v>indiretto</v>
      </c>
      <c r="AA692" t="b">
        <v>1</v>
      </c>
      <c r="AF692" t="s">
        <v>20</v>
      </c>
      <c r="AG692" t="s">
        <v>20</v>
      </c>
    </row>
    <row r="693" spans="1:33">
      <c r="A693" s="13" t="s">
        <v>1261</v>
      </c>
      <c r="B693" t="s">
        <v>1955</v>
      </c>
      <c r="C693" s="4">
        <v>202601308343984</v>
      </c>
      <c r="D693" s="4" t="b">
        <f t="shared" si="52"/>
        <v>1</v>
      </c>
      <c r="E693" t="s">
        <v>20</v>
      </c>
      <c r="F693" t="s">
        <v>21</v>
      </c>
      <c r="G693" t="s">
        <v>1262</v>
      </c>
      <c r="H693" t="str">
        <f>VLOOKUP(C693,'[1]Erogati mag-giu 2026_791_old'!$B:$E,4,FALSE)</f>
        <v>C312264</v>
      </c>
      <c r="I693" t="b">
        <f t="shared" si="48"/>
        <v>1</v>
      </c>
      <c r="J693" s="14">
        <v>46179</v>
      </c>
      <c r="K693" s="14">
        <v>46179</v>
      </c>
      <c r="L693" t="s">
        <v>20</v>
      </c>
      <c r="M693" s="14">
        <v>46188</v>
      </c>
      <c r="N693" s="14">
        <v>46179</v>
      </c>
      <c r="O693" t="s">
        <v>20</v>
      </c>
      <c r="P693">
        <v>-105.33</v>
      </c>
      <c r="Q693">
        <f>VLOOKUP(G693,'[1]Erogati mag-giu 2026_791_old'!$A:$W,12,FALSE)</f>
        <v>-105.33</v>
      </c>
      <c r="R693">
        <f t="shared" si="49"/>
        <v>0</v>
      </c>
      <c r="S693">
        <v>-105.33</v>
      </c>
      <c r="T693">
        <f>VLOOKUP(G693,'[1]Erogati mag-giu 2026_791_old'!$A:$W,13,FALSE)</f>
        <v>-105.33</v>
      </c>
      <c r="U693">
        <f t="shared" si="50"/>
        <v>0</v>
      </c>
      <c r="V693">
        <v>-105.33</v>
      </c>
      <c r="W693">
        <f>VLOOKUP(G693,'[1]Erogati mag-giu 2026_791_old'!$A:$W,14,FALSE)</f>
        <v>-105.33</v>
      </c>
      <c r="X693">
        <f t="shared" si="51"/>
        <v>0</v>
      </c>
      <c r="Y693" t="s">
        <v>158</v>
      </c>
      <c r="Z693" t="str">
        <f>VLOOKUP(G693,'[2]Erogati mag-giu 2026_791_old'!$D:$T,11,FALSE)</f>
        <v>indiretto</v>
      </c>
      <c r="AA693" t="b">
        <v>1</v>
      </c>
      <c r="AF693" t="s">
        <v>20</v>
      </c>
      <c r="AG693" t="s">
        <v>20</v>
      </c>
    </row>
    <row r="694" spans="1:33">
      <c r="A694" s="13" t="s">
        <v>1263</v>
      </c>
      <c r="B694" t="s">
        <v>1956</v>
      </c>
      <c r="C694" s="4">
        <v>202601308357195</v>
      </c>
      <c r="D694" s="4" t="b">
        <f t="shared" si="52"/>
        <v>1</v>
      </c>
      <c r="E694" t="s">
        <v>20</v>
      </c>
      <c r="F694" t="s">
        <v>21</v>
      </c>
      <c r="G694" t="s">
        <v>1264</v>
      </c>
      <c r="H694" t="str">
        <f>VLOOKUP(C694,'[1]Erogati mag-giu 2026_791_old'!$B:$E,4,FALSE)</f>
        <v>C313479</v>
      </c>
      <c r="I694" t="b">
        <f t="shared" si="48"/>
        <v>1</v>
      </c>
      <c r="J694" s="14">
        <v>46179</v>
      </c>
      <c r="K694" s="14">
        <v>46179</v>
      </c>
      <c r="L694" t="s">
        <v>20</v>
      </c>
      <c r="M694" s="14">
        <v>46188</v>
      </c>
      <c r="N694" s="14">
        <v>46179</v>
      </c>
      <c r="O694" t="s">
        <v>20</v>
      </c>
      <c r="P694">
        <v>-99.39</v>
      </c>
      <c r="Q694">
        <f>VLOOKUP(G694,'[1]Erogati mag-giu 2026_791_old'!$A:$W,12,FALSE)</f>
        <v>-99.39</v>
      </c>
      <c r="R694">
        <f t="shared" si="49"/>
        <v>0</v>
      </c>
      <c r="S694">
        <v>-99.39</v>
      </c>
      <c r="T694">
        <f>VLOOKUP(G694,'[1]Erogati mag-giu 2026_791_old'!$A:$W,13,FALSE)</f>
        <v>-99.39</v>
      </c>
      <c r="U694">
        <f t="shared" si="50"/>
        <v>0</v>
      </c>
      <c r="V694">
        <v>-99.39</v>
      </c>
      <c r="W694">
        <f>VLOOKUP(G694,'[1]Erogati mag-giu 2026_791_old'!$A:$W,14,FALSE)</f>
        <v>-99.39</v>
      </c>
      <c r="X694">
        <f t="shared" si="51"/>
        <v>0</v>
      </c>
      <c r="Y694" t="s">
        <v>158</v>
      </c>
      <c r="Z694" t="str">
        <f>VLOOKUP(G694,'[2]Erogati mag-giu 2026_791_old'!$D:$T,11,FALSE)</f>
        <v>indiretto</v>
      </c>
      <c r="AA694" t="b">
        <v>1</v>
      </c>
      <c r="AF694" t="s">
        <v>20</v>
      </c>
      <c r="AG694" t="s">
        <v>20</v>
      </c>
    </row>
    <row r="695" spans="1:33">
      <c r="A695" s="13" t="s">
        <v>1265</v>
      </c>
      <c r="B695" t="s">
        <v>1957</v>
      </c>
      <c r="C695" s="4">
        <v>202601308365787</v>
      </c>
      <c r="D695" s="4" t="b">
        <f t="shared" si="52"/>
        <v>1</v>
      </c>
      <c r="E695" t="s">
        <v>20</v>
      </c>
      <c r="F695" t="s">
        <v>21</v>
      </c>
      <c r="G695" t="s">
        <v>1266</v>
      </c>
      <c r="H695" t="str">
        <f>VLOOKUP(C695,'[1]Erogati mag-giu 2026_791_old'!$B:$E,4,FALSE)</f>
        <v>C307224</v>
      </c>
      <c r="I695" t="b">
        <f t="shared" si="48"/>
        <v>1</v>
      </c>
      <c r="J695" s="14">
        <v>46179</v>
      </c>
      <c r="K695" s="14">
        <v>46179</v>
      </c>
      <c r="L695" t="s">
        <v>20</v>
      </c>
      <c r="M695" s="14">
        <v>46188</v>
      </c>
      <c r="N695" s="14">
        <v>46179</v>
      </c>
      <c r="O695" t="s">
        <v>20</v>
      </c>
      <c r="P695">
        <v>-99.39</v>
      </c>
      <c r="Q695">
        <f>VLOOKUP(G695,'[1]Erogati mag-giu 2026_791_old'!$A:$W,12,FALSE)</f>
        <v>-99.39</v>
      </c>
      <c r="R695">
        <f t="shared" si="49"/>
        <v>0</v>
      </c>
      <c r="S695">
        <v>-99.39</v>
      </c>
      <c r="T695">
        <f>VLOOKUP(G695,'[1]Erogati mag-giu 2026_791_old'!$A:$W,13,FALSE)</f>
        <v>-99.39</v>
      </c>
      <c r="U695">
        <f t="shared" si="50"/>
        <v>0</v>
      </c>
      <c r="V695">
        <v>-99.39</v>
      </c>
      <c r="W695">
        <f>VLOOKUP(G695,'[1]Erogati mag-giu 2026_791_old'!$A:$W,14,FALSE)</f>
        <v>-99.39</v>
      </c>
      <c r="X695">
        <f t="shared" si="51"/>
        <v>0</v>
      </c>
      <c r="Y695" t="s">
        <v>158</v>
      </c>
      <c r="Z695" t="str">
        <f>VLOOKUP(G695,'[2]Erogati mag-giu 2026_791_old'!$D:$T,11,FALSE)</f>
        <v>indiretto</v>
      </c>
      <c r="AA695" t="b">
        <v>1</v>
      </c>
      <c r="AF695" t="s">
        <v>20</v>
      </c>
      <c r="AG695" t="s">
        <v>20</v>
      </c>
    </row>
    <row r="696" spans="1:33">
      <c r="A696" s="13" t="s">
        <v>1267</v>
      </c>
      <c r="B696" t="s">
        <v>1958</v>
      </c>
      <c r="C696" s="4">
        <v>202601308366517</v>
      </c>
      <c r="D696" s="4" t="b">
        <f t="shared" si="52"/>
        <v>1</v>
      </c>
      <c r="E696" t="s">
        <v>20</v>
      </c>
      <c r="F696" t="s">
        <v>21</v>
      </c>
      <c r="G696" t="s">
        <v>1268</v>
      </c>
      <c r="H696" t="str">
        <f>VLOOKUP(C696,'[1]Erogati mag-giu 2026_791_old'!$B:$E,4,FALSE)</f>
        <v>C310147</v>
      </c>
      <c r="I696" t="b">
        <f t="shared" si="48"/>
        <v>1</v>
      </c>
      <c r="J696" s="14">
        <v>46179</v>
      </c>
      <c r="K696" s="14">
        <v>46179</v>
      </c>
      <c r="L696" t="s">
        <v>20</v>
      </c>
      <c r="M696" s="14">
        <v>46188</v>
      </c>
      <c r="N696" s="14">
        <v>46179</v>
      </c>
      <c r="O696" t="s">
        <v>20</v>
      </c>
      <c r="P696">
        <v>-132.52000000000001</v>
      </c>
      <c r="Q696">
        <f>VLOOKUP(G696,'[1]Erogati mag-giu 2026_791_old'!$A:$W,12,FALSE)</f>
        <v>-132.52000000000001</v>
      </c>
      <c r="R696">
        <f t="shared" si="49"/>
        <v>0</v>
      </c>
      <c r="S696">
        <v>-132.52000000000001</v>
      </c>
      <c r="T696">
        <f>VLOOKUP(G696,'[1]Erogati mag-giu 2026_791_old'!$A:$W,13,FALSE)</f>
        <v>-132.52000000000001</v>
      </c>
      <c r="U696">
        <f t="shared" si="50"/>
        <v>0</v>
      </c>
      <c r="V696">
        <v>-132.52000000000001</v>
      </c>
      <c r="W696">
        <f>VLOOKUP(G696,'[1]Erogati mag-giu 2026_791_old'!$A:$W,14,FALSE)</f>
        <v>-132.52000000000001</v>
      </c>
      <c r="X696">
        <f t="shared" si="51"/>
        <v>0</v>
      </c>
      <c r="Y696" t="s">
        <v>158</v>
      </c>
      <c r="Z696" t="str">
        <f>VLOOKUP(G696,'[2]Erogati mag-giu 2026_791_old'!$D:$T,11,FALSE)</f>
        <v>indiretto</v>
      </c>
      <c r="AA696" t="b">
        <v>1</v>
      </c>
      <c r="AF696" t="s">
        <v>20</v>
      </c>
      <c r="AG696" t="s">
        <v>20</v>
      </c>
    </row>
    <row r="697" spans="1:33">
      <c r="A697" s="13" t="s">
        <v>1269</v>
      </c>
      <c r="B697" t="s">
        <v>1959</v>
      </c>
      <c r="C697" s="4">
        <v>202601308367694</v>
      </c>
      <c r="D697" s="4" t="b">
        <f t="shared" si="52"/>
        <v>1</v>
      </c>
      <c r="E697" t="s">
        <v>20</v>
      </c>
      <c r="F697" t="s">
        <v>21</v>
      </c>
      <c r="G697" t="s">
        <v>1270</v>
      </c>
      <c r="H697" t="str">
        <f>VLOOKUP(C697,'[1]Erogati mag-giu 2026_791_old'!$B:$E,4,FALSE)</f>
        <v>C344115</v>
      </c>
      <c r="I697" t="b">
        <f t="shared" si="48"/>
        <v>1</v>
      </c>
      <c r="J697" s="14">
        <v>46179</v>
      </c>
      <c r="K697" s="14">
        <v>46179</v>
      </c>
      <c r="L697" t="s">
        <v>20</v>
      </c>
      <c r="M697" s="14">
        <v>46188</v>
      </c>
      <c r="N697" s="14">
        <v>46179</v>
      </c>
      <c r="O697" t="s">
        <v>20</v>
      </c>
      <c r="P697">
        <v>-29.82</v>
      </c>
      <c r="Q697">
        <f>VLOOKUP(G697,'[1]Erogati mag-giu 2026_791_old'!$A:$W,12,FALSE)</f>
        <v>-29.82</v>
      </c>
      <c r="R697">
        <f t="shared" si="49"/>
        <v>0</v>
      </c>
      <c r="S697">
        <v>-29.82</v>
      </c>
      <c r="T697">
        <f>VLOOKUP(G697,'[1]Erogati mag-giu 2026_791_old'!$A:$W,13,FALSE)</f>
        <v>-29.82</v>
      </c>
      <c r="U697">
        <f t="shared" si="50"/>
        <v>0</v>
      </c>
      <c r="V697">
        <v>-29.82</v>
      </c>
      <c r="W697">
        <f>VLOOKUP(G697,'[1]Erogati mag-giu 2026_791_old'!$A:$W,14,FALSE)</f>
        <v>-29.82</v>
      </c>
      <c r="X697">
        <f t="shared" si="51"/>
        <v>0</v>
      </c>
      <c r="Y697" t="s">
        <v>158</v>
      </c>
      <c r="Z697" t="str">
        <f>VLOOKUP(G697,'[2]Erogati mag-giu 2026_791_old'!$D:$T,11,FALSE)</f>
        <v>indiretto</v>
      </c>
      <c r="AA697" t="b">
        <v>1</v>
      </c>
      <c r="AF697" t="s">
        <v>20</v>
      </c>
      <c r="AG697" t="s">
        <v>20</v>
      </c>
    </row>
    <row r="698" spans="1:33">
      <c r="A698" s="13" t="s">
        <v>1271</v>
      </c>
      <c r="B698" t="s">
        <v>1960</v>
      </c>
      <c r="C698" s="4">
        <v>202601308371779</v>
      </c>
      <c r="D698" s="4" t="b">
        <f t="shared" si="52"/>
        <v>1</v>
      </c>
      <c r="E698" t="s">
        <v>20</v>
      </c>
      <c r="F698" t="s">
        <v>21</v>
      </c>
      <c r="G698" t="s">
        <v>1272</v>
      </c>
      <c r="H698" t="str">
        <f>VLOOKUP(C698,'[1]Erogati mag-giu 2026_791_old'!$B:$E,4,FALSE)</f>
        <v>C092019</v>
      </c>
      <c r="I698" t="b">
        <f t="shared" si="48"/>
        <v>1</v>
      </c>
      <c r="J698" s="14">
        <v>46179</v>
      </c>
      <c r="K698" s="14">
        <v>46179</v>
      </c>
      <c r="L698" t="s">
        <v>20</v>
      </c>
      <c r="M698" s="14">
        <v>46188</v>
      </c>
      <c r="N698" s="14">
        <v>46179</v>
      </c>
      <c r="O698" t="s">
        <v>20</v>
      </c>
      <c r="P698">
        <v>-23.97</v>
      </c>
      <c r="Q698">
        <f>VLOOKUP(G698,'[1]Erogati mag-giu 2026_791_old'!$A:$W,12,FALSE)</f>
        <v>-23.97</v>
      </c>
      <c r="R698">
        <f t="shared" si="49"/>
        <v>0</v>
      </c>
      <c r="S698">
        <v>-23.97</v>
      </c>
      <c r="T698">
        <f>VLOOKUP(G698,'[1]Erogati mag-giu 2026_791_old'!$A:$W,13,FALSE)</f>
        <v>-23.97</v>
      </c>
      <c r="U698">
        <f t="shared" si="50"/>
        <v>0</v>
      </c>
      <c r="V698">
        <v>-23.97</v>
      </c>
      <c r="W698">
        <f>VLOOKUP(G698,'[1]Erogati mag-giu 2026_791_old'!$A:$W,14,FALSE)</f>
        <v>-23.97</v>
      </c>
      <c r="X698">
        <f t="shared" si="51"/>
        <v>0</v>
      </c>
      <c r="Y698" t="s">
        <v>158</v>
      </c>
      <c r="Z698" t="str">
        <f>VLOOKUP(G698,'[2]Erogati mag-giu 2026_791_old'!$D:$T,11,FALSE)</f>
        <v>indiretto</v>
      </c>
      <c r="AA698" t="b">
        <v>1</v>
      </c>
      <c r="AF698" t="s">
        <v>20</v>
      </c>
      <c r="AG698" t="s">
        <v>20</v>
      </c>
    </row>
    <row r="699" spans="1:33">
      <c r="A699" s="13" t="s">
        <v>1273</v>
      </c>
      <c r="B699" t="s">
        <v>1961</v>
      </c>
      <c r="C699" s="4">
        <v>202601308373615</v>
      </c>
      <c r="D699" s="4" t="b">
        <f t="shared" si="52"/>
        <v>1</v>
      </c>
      <c r="E699" t="s">
        <v>20</v>
      </c>
      <c r="F699" t="s">
        <v>21</v>
      </c>
      <c r="G699" t="s">
        <v>1274</v>
      </c>
      <c r="H699" t="str">
        <f>VLOOKUP(C699,'[1]Erogati mag-giu 2026_791_old'!$B:$E,4,FALSE)</f>
        <v>C119039</v>
      </c>
      <c r="I699" t="b">
        <f t="shared" si="48"/>
        <v>1</v>
      </c>
      <c r="J699" s="14">
        <v>46179</v>
      </c>
      <c r="K699" s="14">
        <v>46179</v>
      </c>
      <c r="L699" t="s">
        <v>20</v>
      </c>
      <c r="M699" s="14">
        <v>46188</v>
      </c>
      <c r="N699" s="14">
        <v>46179</v>
      </c>
      <c r="O699" t="s">
        <v>20</v>
      </c>
      <c r="P699">
        <v>-66.260000000000005</v>
      </c>
      <c r="Q699">
        <f>VLOOKUP(G699,'[1]Erogati mag-giu 2026_791_old'!$A:$W,12,FALSE)</f>
        <v>-66.260000000000005</v>
      </c>
      <c r="R699">
        <f t="shared" si="49"/>
        <v>0</v>
      </c>
      <c r="S699">
        <v>-66.260000000000005</v>
      </c>
      <c r="T699">
        <f>VLOOKUP(G699,'[1]Erogati mag-giu 2026_791_old'!$A:$W,13,FALSE)</f>
        <v>-66.260000000000005</v>
      </c>
      <c r="U699">
        <f t="shared" si="50"/>
        <v>0</v>
      </c>
      <c r="V699">
        <v>-66.260000000000005</v>
      </c>
      <c r="W699">
        <f>VLOOKUP(G699,'[1]Erogati mag-giu 2026_791_old'!$A:$W,14,FALSE)</f>
        <v>-66.260000000000005</v>
      </c>
      <c r="X699">
        <f t="shared" si="51"/>
        <v>0</v>
      </c>
      <c r="Y699" t="s">
        <v>158</v>
      </c>
      <c r="Z699" t="str">
        <f>VLOOKUP(G699,'[2]Erogati mag-giu 2026_791_old'!$D:$T,11,FALSE)</f>
        <v>indiretto</v>
      </c>
      <c r="AA699" t="b">
        <v>1</v>
      </c>
      <c r="AF699" t="s">
        <v>20</v>
      </c>
      <c r="AG699" t="s">
        <v>20</v>
      </c>
    </row>
    <row r="700" spans="1:33">
      <c r="A700" s="13" t="s">
        <v>1275</v>
      </c>
      <c r="B700" t="s">
        <v>1962</v>
      </c>
      <c r="C700" s="4">
        <v>202601308376935</v>
      </c>
      <c r="D700" s="4" t="b">
        <f t="shared" si="52"/>
        <v>1</v>
      </c>
      <c r="E700" t="s">
        <v>20</v>
      </c>
      <c r="F700" t="s">
        <v>21</v>
      </c>
      <c r="G700" t="s">
        <v>1276</v>
      </c>
      <c r="H700" t="str">
        <f>VLOOKUP(C700,'[1]Erogati mag-giu 2026_791_old'!$B:$E,4,FALSE)</f>
        <v>C344237</v>
      </c>
      <c r="I700" t="b">
        <f t="shared" si="48"/>
        <v>1</v>
      </c>
      <c r="J700" s="14">
        <v>46179</v>
      </c>
      <c r="K700" s="14">
        <v>46179</v>
      </c>
      <c r="L700" t="s">
        <v>20</v>
      </c>
      <c r="M700" s="14">
        <v>46188</v>
      </c>
      <c r="N700" s="14">
        <v>46179</v>
      </c>
      <c r="O700" t="s">
        <v>20</v>
      </c>
      <c r="P700">
        <v>-105.03</v>
      </c>
      <c r="Q700">
        <f>VLOOKUP(G700,'[1]Erogati mag-giu 2026_791_old'!$A:$W,12,FALSE)</f>
        <v>-105.03</v>
      </c>
      <c r="R700">
        <f t="shared" si="49"/>
        <v>0</v>
      </c>
      <c r="S700">
        <v>-105.03</v>
      </c>
      <c r="T700">
        <f>VLOOKUP(G700,'[1]Erogati mag-giu 2026_791_old'!$A:$W,13,FALSE)</f>
        <v>-105.03</v>
      </c>
      <c r="U700">
        <f t="shared" si="50"/>
        <v>0</v>
      </c>
      <c r="V700">
        <v>-105.03</v>
      </c>
      <c r="W700">
        <f>VLOOKUP(G700,'[1]Erogati mag-giu 2026_791_old'!$A:$W,14,FALSE)</f>
        <v>-105.03</v>
      </c>
      <c r="X700">
        <f t="shared" si="51"/>
        <v>0</v>
      </c>
      <c r="Y700" t="s">
        <v>158</v>
      </c>
      <c r="Z700" t="str">
        <f>VLOOKUP(G700,'[2]Erogati mag-giu 2026_791_old'!$D:$T,11,FALSE)</f>
        <v>indiretto</v>
      </c>
      <c r="AA700" t="b">
        <v>1</v>
      </c>
      <c r="AF700" t="s">
        <v>20</v>
      </c>
      <c r="AG700" t="s">
        <v>20</v>
      </c>
    </row>
    <row r="701" spans="1:33">
      <c r="A701" s="13" t="s">
        <v>1277</v>
      </c>
      <c r="B701" t="s">
        <v>1963</v>
      </c>
      <c r="C701" s="4">
        <v>202601308378750</v>
      </c>
      <c r="D701" s="4" t="b">
        <f t="shared" si="52"/>
        <v>1</v>
      </c>
      <c r="E701" t="s">
        <v>20</v>
      </c>
      <c r="F701" t="s">
        <v>21</v>
      </c>
      <c r="G701" t="s">
        <v>1278</v>
      </c>
      <c r="H701" t="str">
        <f>VLOOKUP(C701,'[1]Erogati mag-giu 2026_791_old'!$B:$E,4,FALSE)</f>
        <v>C316434</v>
      </c>
      <c r="I701" t="b">
        <f t="shared" si="48"/>
        <v>1</v>
      </c>
      <c r="J701" s="14">
        <v>46179</v>
      </c>
      <c r="K701" s="14">
        <v>46179</v>
      </c>
      <c r="L701" t="s">
        <v>20</v>
      </c>
      <c r="M701" s="14">
        <v>46188</v>
      </c>
      <c r="N701" s="14">
        <v>46179</v>
      </c>
      <c r="O701" t="s">
        <v>20</v>
      </c>
      <c r="P701">
        <v>-33.130000000000003</v>
      </c>
      <c r="Q701">
        <f>VLOOKUP(G701,'[1]Erogati mag-giu 2026_791_old'!$A:$W,12,FALSE)</f>
        <v>-33.130000000000003</v>
      </c>
      <c r="R701">
        <f t="shared" si="49"/>
        <v>0</v>
      </c>
      <c r="S701">
        <v>-33.130000000000003</v>
      </c>
      <c r="T701">
        <f>VLOOKUP(G701,'[1]Erogati mag-giu 2026_791_old'!$A:$W,13,FALSE)</f>
        <v>-33.130000000000003</v>
      </c>
      <c r="U701">
        <f t="shared" si="50"/>
        <v>0</v>
      </c>
      <c r="V701">
        <v>-33.130000000000003</v>
      </c>
      <c r="W701">
        <f>VLOOKUP(G701,'[1]Erogati mag-giu 2026_791_old'!$A:$W,14,FALSE)</f>
        <v>-33.130000000000003</v>
      </c>
      <c r="X701">
        <f t="shared" si="51"/>
        <v>0</v>
      </c>
      <c r="Y701" t="s">
        <v>158</v>
      </c>
      <c r="Z701" t="str">
        <f>VLOOKUP(G701,'[2]Erogati mag-giu 2026_791_old'!$D:$T,11,FALSE)</f>
        <v>indiretto</v>
      </c>
      <c r="AA701" t="b">
        <v>1</v>
      </c>
      <c r="AF701" t="s">
        <v>20</v>
      </c>
      <c r="AG701" t="s">
        <v>20</v>
      </c>
    </row>
    <row r="702" spans="1:33">
      <c r="A702" s="13" t="s">
        <v>1279</v>
      </c>
      <c r="B702" t="s">
        <v>1964</v>
      </c>
      <c r="C702" s="4">
        <v>202601308382404</v>
      </c>
      <c r="D702" s="4" t="b">
        <f t="shared" si="52"/>
        <v>1</v>
      </c>
      <c r="E702" t="s">
        <v>20</v>
      </c>
      <c r="F702" t="s">
        <v>21</v>
      </c>
      <c r="G702" t="s">
        <v>1280</v>
      </c>
      <c r="H702" t="str">
        <f>VLOOKUP(C702,'[1]Erogati mag-giu 2026_791_old'!$B:$E,4,FALSE)</f>
        <v>C334553</v>
      </c>
      <c r="I702" t="b">
        <f t="shared" si="48"/>
        <v>1</v>
      </c>
      <c r="J702" s="14">
        <v>46179</v>
      </c>
      <c r="K702" s="14">
        <v>46179</v>
      </c>
      <c r="L702" t="s">
        <v>20</v>
      </c>
      <c r="M702" s="14">
        <v>46188</v>
      </c>
      <c r="N702" s="14">
        <v>46179</v>
      </c>
      <c r="O702" t="s">
        <v>20</v>
      </c>
      <c r="P702">
        <v>-157.55000000000001</v>
      </c>
      <c r="Q702">
        <f>VLOOKUP(G702,'[1]Erogati mag-giu 2026_791_old'!$A:$W,12,FALSE)</f>
        <v>-157.55000000000001</v>
      </c>
      <c r="R702">
        <f t="shared" si="49"/>
        <v>0</v>
      </c>
      <c r="S702">
        <v>-157.55000000000001</v>
      </c>
      <c r="T702">
        <f>VLOOKUP(G702,'[1]Erogati mag-giu 2026_791_old'!$A:$W,13,FALSE)</f>
        <v>-157.55000000000001</v>
      </c>
      <c r="U702">
        <f t="shared" si="50"/>
        <v>0</v>
      </c>
      <c r="V702">
        <v>-157.55000000000001</v>
      </c>
      <c r="W702">
        <f>VLOOKUP(G702,'[1]Erogati mag-giu 2026_791_old'!$A:$W,14,FALSE)</f>
        <v>-157.55000000000001</v>
      </c>
      <c r="X702">
        <f t="shared" si="51"/>
        <v>0</v>
      </c>
      <c r="Y702" t="s">
        <v>158</v>
      </c>
      <c r="Z702" t="str">
        <f>VLOOKUP(G702,'[2]Erogati mag-giu 2026_791_old'!$D:$T,11,FALSE)</f>
        <v>indiretto</v>
      </c>
      <c r="AA702" t="b">
        <v>1</v>
      </c>
      <c r="AF702" t="s">
        <v>20</v>
      </c>
      <c r="AG702" t="s">
        <v>20</v>
      </c>
    </row>
    <row r="703" spans="1:33">
      <c r="A703" s="13" t="s">
        <v>1281</v>
      </c>
      <c r="B703" t="s">
        <v>1965</v>
      </c>
      <c r="C703" s="4">
        <v>202601308383226</v>
      </c>
      <c r="D703" s="4" t="b">
        <f t="shared" si="52"/>
        <v>1</v>
      </c>
      <c r="E703" t="s">
        <v>20</v>
      </c>
      <c r="F703" t="s">
        <v>21</v>
      </c>
      <c r="G703" t="s">
        <v>1282</v>
      </c>
      <c r="H703" t="str">
        <f>VLOOKUP(C703,'[1]Erogati mag-giu 2026_791_old'!$B:$E,4,FALSE)</f>
        <v>C110877</v>
      </c>
      <c r="I703" t="b">
        <f t="shared" si="48"/>
        <v>1</v>
      </c>
      <c r="J703" s="14">
        <v>46179</v>
      </c>
      <c r="K703" s="14">
        <v>46179</v>
      </c>
      <c r="L703" t="s">
        <v>20</v>
      </c>
      <c r="M703" s="14">
        <v>46188</v>
      </c>
      <c r="N703" s="14">
        <v>46179</v>
      </c>
      <c r="O703" t="s">
        <v>20</v>
      </c>
      <c r="P703">
        <v>-99.39</v>
      </c>
      <c r="Q703">
        <f>VLOOKUP(G703,'[1]Erogati mag-giu 2026_791_old'!$A:$W,12,FALSE)</f>
        <v>-99.39</v>
      </c>
      <c r="R703">
        <f t="shared" si="49"/>
        <v>0</v>
      </c>
      <c r="S703">
        <v>-99.39</v>
      </c>
      <c r="T703">
        <f>VLOOKUP(G703,'[1]Erogati mag-giu 2026_791_old'!$A:$W,13,FALSE)</f>
        <v>-99.39</v>
      </c>
      <c r="U703">
        <f t="shared" si="50"/>
        <v>0</v>
      </c>
      <c r="V703">
        <v>-99.39</v>
      </c>
      <c r="W703">
        <f>VLOOKUP(G703,'[1]Erogati mag-giu 2026_791_old'!$A:$W,14,FALSE)</f>
        <v>-99.39</v>
      </c>
      <c r="X703">
        <f t="shared" si="51"/>
        <v>0</v>
      </c>
      <c r="Y703" t="s">
        <v>158</v>
      </c>
      <c r="Z703" t="str">
        <f>VLOOKUP(G703,'[2]Erogati mag-giu 2026_791_old'!$D:$T,11,FALSE)</f>
        <v>indiretto</v>
      </c>
      <c r="AA703" t="b">
        <v>1</v>
      </c>
      <c r="AF703" t="s">
        <v>20</v>
      </c>
      <c r="AG703" t="s">
        <v>20</v>
      </c>
    </row>
    <row r="704" spans="1:33">
      <c r="A704" s="13" t="s">
        <v>1283</v>
      </c>
      <c r="B704" t="s">
        <v>1966</v>
      </c>
      <c r="C704" s="4">
        <v>202601308385604</v>
      </c>
      <c r="D704" s="4" t="b">
        <f t="shared" si="52"/>
        <v>1</v>
      </c>
      <c r="E704" t="s">
        <v>20</v>
      </c>
      <c r="F704" t="s">
        <v>21</v>
      </c>
      <c r="G704" t="s">
        <v>1284</v>
      </c>
      <c r="H704" t="str">
        <f>VLOOKUP(C704,'[1]Erogati mag-giu 2026_791_old'!$B:$E,4,FALSE)</f>
        <v>C344181</v>
      </c>
      <c r="I704" t="b">
        <f t="shared" si="48"/>
        <v>1</v>
      </c>
      <c r="J704" s="14">
        <v>46179</v>
      </c>
      <c r="K704" s="14">
        <v>46179</v>
      </c>
      <c r="L704" t="s">
        <v>20</v>
      </c>
      <c r="M704" s="14">
        <v>46188</v>
      </c>
      <c r="N704" s="14">
        <v>46179</v>
      </c>
      <c r="O704" t="s">
        <v>20</v>
      </c>
      <c r="P704">
        <v>-26.26</v>
      </c>
      <c r="Q704">
        <f>VLOOKUP(G704,'[1]Erogati mag-giu 2026_791_old'!$A:$W,12,FALSE)</f>
        <v>-26.26</v>
      </c>
      <c r="R704">
        <f t="shared" si="49"/>
        <v>0</v>
      </c>
      <c r="S704">
        <v>-26.26</v>
      </c>
      <c r="T704">
        <f>VLOOKUP(G704,'[1]Erogati mag-giu 2026_791_old'!$A:$W,13,FALSE)</f>
        <v>-26.26</v>
      </c>
      <c r="U704">
        <f t="shared" si="50"/>
        <v>0</v>
      </c>
      <c r="V704">
        <v>-26.26</v>
      </c>
      <c r="W704">
        <f>VLOOKUP(G704,'[1]Erogati mag-giu 2026_791_old'!$A:$W,14,FALSE)</f>
        <v>-26.26</v>
      </c>
      <c r="X704">
        <f t="shared" si="51"/>
        <v>0</v>
      </c>
      <c r="Y704" t="s">
        <v>158</v>
      </c>
      <c r="Z704" t="str">
        <f>VLOOKUP(G704,'[2]Erogati mag-giu 2026_791_old'!$D:$T,11,FALSE)</f>
        <v>indiretto</v>
      </c>
      <c r="AA704" t="b">
        <v>1</v>
      </c>
      <c r="AF704" t="s">
        <v>20</v>
      </c>
      <c r="AG704" t="s">
        <v>20</v>
      </c>
    </row>
    <row r="705" spans="1:33">
      <c r="A705" s="13" t="s">
        <v>1285</v>
      </c>
      <c r="B705" t="s">
        <v>1967</v>
      </c>
      <c r="C705" s="4">
        <v>202601308387877</v>
      </c>
      <c r="D705" s="4" t="b">
        <f t="shared" si="52"/>
        <v>1</v>
      </c>
      <c r="E705" t="s">
        <v>20</v>
      </c>
      <c r="F705" t="s">
        <v>21</v>
      </c>
      <c r="G705" t="s">
        <v>1286</v>
      </c>
      <c r="H705" t="str">
        <f>VLOOKUP(C705,'[1]Erogati mag-giu 2026_791_old'!$B:$E,4,FALSE)</f>
        <v>C117683</v>
      </c>
      <c r="I705" t="b">
        <f t="shared" si="48"/>
        <v>1</v>
      </c>
      <c r="J705" s="14">
        <v>46179</v>
      </c>
      <c r="K705" s="14">
        <v>46179</v>
      </c>
      <c r="L705" t="s">
        <v>20</v>
      </c>
      <c r="M705" s="14">
        <v>46188</v>
      </c>
      <c r="N705" s="14">
        <v>46179</v>
      </c>
      <c r="O705" t="s">
        <v>20</v>
      </c>
      <c r="P705">
        <v>-198.78</v>
      </c>
      <c r="Q705">
        <f>VLOOKUP(G705,'[1]Erogati mag-giu 2026_791_old'!$A:$W,12,FALSE)</f>
        <v>-198.78</v>
      </c>
      <c r="R705">
        <f t="shared" si="49"/>
        <v>0</v>
      </c>
      <c r="S705">
        <v>-198.78</v>
      </c>
      <c r="T705">
        <f>VLOOKUP(G705,'[1]Erogati mag-giu 2026_791_old'!$A:$W,13,FALSE)</f>
        <v>-198.78</v>
      </c>
      <c r="U705">
        <f t="shared" si="50"/>
        <v>0</v>
      </c>
      <c r="V705">
        <v>-198.78</v>
      </c>
      <c r="W705">
        <f>VLOOKUP(G705,'[1]Erogati mag-giu 2026_791_old'!$A:$W,14,FALSE)</f>
        <v>-198.78</v>
      </c>
      <c r="X705">
        <f t="shared" si="51"/>
        <v>0</v>
      </c>
      <c r="Y705" t="s">
        <v>158</v>
      </c>
      <c r="Z705" t="str">
        <f>VLOOKUP(G705,'[2]Erogati mag-giu 2026_791_old'!$D:$T,11,FALSE)</f>
        <v>indiretto</v>
      </c>
      <c r="AA705" t="b">
        <v>1</v>
      </c>
      <c r="AF705" t="s">
        <v>20</v>
      </c>
      <c r="AG705" t="s">
        <v>20</v>
      </c>
    </row>
    <row r="706" spans="1:33">
      <c r="A706" s="13" t="s">
        <v>1287</v>
      </c>
      <c r="B706" t="s">
        <v>1968</v>
      </c>
      <c r="C706" s="4">
        <v>202601308388959</v>
      </c>
      <c r="D706" s="4" t="b">
        <f t="shared" si="52"/>
        <v>1</v>
      </c>
      <c r="E706" t="s">
        <v>20</v>
      </c>
      <c r="F706" t="s">
        <v>21</v>
      </c>
      <c r="G706" t="s">
        <v>1288</v>
      </c>
      <c r="H706" t="str">
        <f>VLOOKUP(C706,'[1]Erogati mag-giu 2026_791_old'!$B:$E,4,FALSE)</f>
        <v>C344225</v>
      </c>
      <c r="I706" t="b">
        <f t="shared" si="48"/>
        <v>1</v>
      </c>
      <c r="J706" s="14">
        <v>46179</v>
      </c>
      <c r="K706" s="14">
        <v>46179</v>
      </c>
      <c r="L706" t="s">
        <v>20</v>
      </c>
      <c r="M706" s="14">
        <v>46188</v>
      </c>
      <c r="N706" s="14">
        <v>46179</v>
      </c>
      <c r="O706" t="s">
        <v>20</v>
      </c>
      <c r="P706">
        <v>-231.91</v>
      </c>
      <c r="Q706">
        <f>VLOOKUP(G706,'[1]Erogati mag-giu 2026_791_old'!$A:$W,12,FALSE)</f>
        <v>-231.91</v>
      </c>
      <c r="R706">
        <f t="shared" si="49"/>
        <v>0</v>
      </c>
      <c r="S706">
        <v>-231.91</v>
      </c>
      <c r="T706">
        <f>VLOOKUP(G706,'[1]Erogati mag-giu 2026_791_old'!$A:$W,13,FALSE)</f>
        <v>-231.91</v>
      </c>
      <c r="U706">
        <f t="shared" si="50"/>
        <v>0</v>
      </c>
      <c r="V706">
        <v>-231.91</v>
      </c>
      <c r="W706">
        <f>VLOOKUP(G706,'[1]Erogati mag-giu 2026_791_old'!$A:$W,14,FALSE)</f>
        <v>-231.91</v>
      </c>
      <c r="X706">
        <f t="shared" si="51"/>
        <v>0</v>
      </c>
      <c r="Y706" t="s">
        <v>158</v>
      </c>
      <c r="Z706" t="str">
        <f>VLOOKUP(G706,'[2]Erogati mag-giu 2026_791_old'!$D:$T,11,FALSE)</f>
        <v>indiretto</v>
      </c>
      <c r="AA706" t="b">
        <v>1</v>
      </c>
      <c r="AF706" t="s">
        <v>20</v>
      </c>
      <c r="AG706" t="s">
        <v>20</v>
      </c>
    </row>
    <row r="707" spans="1:33">
      <c r="A707" s="13" t="s">
        <v>1289</v>
      </c>
      <c r="B707" t="s">
        <v>1969</v>
      </c>
      <c r="C707" s="4">
        <v>202601308398843</v>
      </c>
      <c r="D707" s="4" t="b">
        <f t="shared" si="52"/>
        <v>1</v>
      </c>
      <c r="E707" t="s">
        <v>20</v>
      </c>
      <c r="F707" t="s">
        <v>21</v>
      </c>
      <c r="G707" t="s">
        <v>1290</v>
      </c>
      <c r="H707" t="str">
        <f>VLOOKUP(C707,'[1]Erogati mag-giu 2026_791_old'!$B:$E,4,FALSE)</f>
        <v>C344226</v>
      </c>
      <c r="I707" t="b">
        <f t="shared" si="48"/>
        <v>1</v>
      </c>
      <c r="J707" s="14">
        <v>46179</v>
      </c>
      <c r="K707" s="14">
        <v>46179</v>
      </c>
      <c r="L707" t="s">
        <v>20</v>
      </c>
      <c r="M707" s="14">
        <v>46188</v>
      </c>
      <c r="N707" s="14">
        <v>46179</v>
      </c>
      <c r="O707" t="s">
        <v>20</v>
      </c>
      <c r="P707">
        <v>-24.62</v>
      </c>
      <c r="Q707">
        <f>VLOOKUP(G707,'[1]Erogati mag-giu 2026_791_old'!$A:$W,12,FALSE)</f>
        <v>-24.62</v>
      </c>
      <c r="R707">
        <f t="shared" si="49"/>
        <v>0</v>
      </c>
      <c r="S707">
        <v>-24.62</v>
      </c>
      <c r="T707">
        <f>VLOOKUP(G707,'[1]Erogati mag-giu 2026_791_old'!$A:$W,13,FALSE)</f>
        <v>-24.62</v>
      </c>
      <c r="U707">
        <f t="shared" si="50"/>
        <v>0</v>
      </c>
      <c r="V707">
        <v>-24.62</v>
      </c>
      <c r="W707">
        <f>VLOOKUP(G707,'[1]Erogati mag-giu 2026_791_old'!$A:$W,14,FALSE)</f>
        <v>-24.62</v>
      </c>
      <c r="X707">
        <f t="shared" si="51"/>
        <v>0</v>
      </c>
      <c r="Y707" t="s">
        <v>158</v>
      </c>
      <c r="Z707" t="str">
        <f>VLOOKUP(G707,'[2]Erogati mag-giu 2026_791_old'!$D:$T,11,FALSE)</f>
        <v>indiretto</v>
      </c>
      <c r="AA707" t="b">
        <v>1</v>
      </c>
      <c r="AF707" t="s">
        <v>20</v>
      </c>
      <c r="AG707" t="s">
        <v>20</v>
      </c>
    </row>
    <row r="708" spans="1:33">
      <c r="A708" s="13" t="s">
        <v>1291</v>
      </c>
      <c r="B708" t="s">
        <v>1970</v>
      </c>
      <c r="C708" s="4">
        <v>202601308400646</v>
      </c>
      <c r="D708" s="4" t="b">
        <f t="shared" si="52"/>
        <v>1</v>
      </c>
      <c r="E708" t="s">
        <v>20</v>
      </c>
      <c r="F708" t="s">
        <v>21</v>
      </c>
      <c r="G708" t="s">
        <v>1292</v>
      </c>
      <c r="H708" t="str">
        <f>VLOOKUP(C708,'[1]Erogati mag-giu 2026_791_old'!$B:$E,4,FALSE)</f>
        <v>C344270</v>
      </c>
      <c r="I708" t="b">
        <f t="shared" ref="I708:I771" si="53">EXACT(G708,H708)</f>
        <v>1</v>
      </c>
      <c r="J708" s="14">
        <v>46179</v>
      </c>
      <c r="K708" s="14">
        <v>46179</v>
      </c>
      <c r="L708" t="s">
        <v>20</v>
      </c>
      <c r="M708" s="14">
        <v>46188</v>
      </c>
      <c r="N708" s="14">
        <v>46179</v>
      </c>
      <c r="O708" t="s">
        <v>20</v>
      </c>
      <c r="P708">
        <v>-33.130000000000003</v>
      </c>
      <c r="Q708">
        <f>VLOOKUP(G708,'[1]Erogati mag-giu 2026_791_old'!$A:$W,12,FALSE)</f>
        <v>-33.130000000000003</v>
      </c>
      <c r="R708">
        <f t="shared" ref="R708:R771" si="54">P708-Q708</f>
        <v>0</v>
      </c>
      <c r="S708">
        <v>-33.130000000000003</v>
      </c>
      <c r="T708">
        <f>VLOOKUP(G708,'[1]Erogati mag-giu 2026_791_old'!$A:$W,13,FALSE)</f>
        <v>-33.130000000000003</v>
      </c>
      <c r="U708">
        <f t="shared" ref="U708:U771" si="55">S708-T708</f>
        <v>0</v>
      </c>
      <c r="V708">
        <v>-33.130000000000003</v>
      </c>
      <c r="W708">
        <f>VLOOKUP(G708,'[1]Erogati mag-giu 2026_791_old'!$A:$W,14,FALSE)</f>
        <v>-33.130000000000003</v>
      </c>
      <c r="X708">
        <f t="shared" ref="X708:X771" si="56">V708-W708</f>
        <v>0</v>
      </c>
      <c r="Y708" t="s">
        <v>158</v>
      </c>
      <c r="Z708" t="str">
        <f>VLOOKUP(G708,'[2]Erogati mag-giu 2026_791_old'!$D:$T,11,FALSE)</f>
        <v>indiretto</v>
      </c>
      <c r="AA708" t="b">
        <v>1</v>
      </c>
      <c r="AF708" t="s">
        <v>20</v>
      </c>
      <c r="AG708" t="s">
        <v>20</v>
      </c>
    </row>
    <row r="709" spans="1:33">
      <c r="A709" s="13" t="s">
        <v>1293</v>
      </c>
      <c r="B709" t="s">
        <v>1971</v>
      </c>
      <c r="C709" s="4">
        <v>202601308401281</v>
      </c>
      <c r="D709" s="4" t="b">
        <f t="shared" si="52"/>
        <v>1</v>
      </c>
      <c r="E709" t="s">
        <v>20</v>
      </c>
      <c r="F709" t="s">
        <v>21</v>
      </c>
      <c r="G709" t="s">
        <v>1294</v>
      </c>
      <c r="H709" t="str">
        <f>VLOOKUP(C709,'[1]Erogati mag-giu 2026_791_old'!$B:$E,4,FALSE)</f>
        <v>C310627</v>
      </c>
      <c r="I709" t="b">
        <f t="shared" si="53"/>
        <v>1</v>
      </c>
      <c r="J709" s="14">
        <v>46179</v>
      </c>
      <c r="K709" s="14">
        <v>46179</v>
      </c>
      <c r="L709" t="s">
        <v>20</v>
      </c>
      <c r="M709" s="14">
        <v>46188</v>
      </c>
      <c r="N709" s="14">
        <v>46179</v>
      </c>
      <c r="O709" t="s">
        <v>20</v>
      </c>
      <c r="P709">
        <v>-123.1</v>
      </c>
      <c r="Q709">
        <f>VLOOKUP(G709,'[1]Erogati mag-giu 2026_791_old'!$A:$W,12,FALSE)</f>
        <v>-123.1</v>
      </c>
      <c r="R709">
        <f t="shared" si="54"/>
        <v>0</v>
      </c>
      <c r="S709">
        <v>-123.1</v>
      </c>
      <c r="T709">
        <f>VLOOKUP(G709,'[1]Erogati mag-giu 2026_791_old'!$A:$W,13,FALSE)</f>
        <v>-123.1</v>
      </c>
      <c r="U709">
        <f t="shared" si="55"/>
        <v>0</v>
      </c>
      <c r="V709">
        <v>-123.1</v>
      </c>
      <c r="W709">
        <f>VLOOKUP(G709,'[1]Erogati mag-giu 2026_791_old'!$A:$W,14,FALSE)</f>
        <v>-123.1</v>
      </c>
      <c r="X709">
        <f t="shared" si="56"/>
        <v>0</v>
      </c>
      <c r="Y709" t="s">
        <v>158</v>
      </c>
      <c r="Z709" t="str">
        <f>VLOOKUP(G709,'[2]Erogati mag-giu 2026_791_old'!$D:$T,11,FALSE)</f>
        <v>indiretto</v>
      </c>
      <c r="AA709" t="b">
        <v>1</v>
      </c>
      <c r="AF709" t="s">
        <v>20</v>
      </c>
      <c r="AG709" t="s">
        <v>20</v>
      </c>
    </row>
    <row r="710" spans="1:33">
      <c r="A710" s="13" t="s">
        <v>1295</v>
      </c>
      <c r="B710" t="s">
        <v>1972</v>
      </c>
      <c r="C710" s="4">
        <v>202601308401463</v>
      </c>
      <c r="D710" s="4" t="b">
        <f t="shared" si="52"/>
        <v>1</v>
      </c>
      <c r="E710" t="s">
        <v>20</v>
      </c>
      <c r="F710" t="s">
        <v>21</v>
      </c>
      <c r="G710" t="s">
        <v>1296</v>
      </c>
      <c r="H710" t="str">
        <f>VLOOKUP(C710,'[1]Erogati mag-giu 2026_791_old'!$B:$E,4,FALSE)</f>
        <v>C337647</v>
      </c>
      <c r="I710" t="b">
        <f t="shared" si="53"/>
        <v>1</v>
      </c>
      <c r="J710" s="14">
        <v>46179</v>
      </c>
      <c r="K710" s="14">
        <v>46179</v>
      </c>
      <c r="L710" t="s">
        <v>20</v>
      </c>
      <c r="M710" s="14">
        <v>46188</v>
      </c>
      <c r="N710" s="14">
        <v>46179</v>
      </c>
      <c r="O710" t="s">
        <v>20</v>
      </c>
      <c r="P710">
        <v>-66.260000000000005</v>
      </c>
      <c r="Q710">
        <f>VLOOKUP(G710,'[1]Erogati mag-giu 2026_791_old'!$A:$W,12,FALSE)</f>
        <v>-66.260000000000005</v>
      </c>
      <c r="R710">
        <f t="shared" si="54"/>
        <v>0</v>
      </c>
      <c r="S710">
        <v>-66.260000000000005</v>
      </c>
      <c r="T710">
        <f>VLOOKUP(G710,'[1]Erogati mag-giu 2026_791_old'!$A:$W,13,FALSE)</f>
        <v>-66.260000000000005</v>
      </c>
      <c r="U710">
        <f t="shared" si="55"/>
        <v>0</v>
      </c>
      <c r="V710">
        <v>-66.260000000000005</v>
      </c>
      <c r="W710">
        <f>VLOOKUP(G710,'[1]Erogati mag-giu 2026_791_old'!$A:$W,14,FALSE)</f>
        <v>-66.260000000000005</v>
      </c>
      <c r="X710">
        <f t="shared" si="56"/>
        <v>0</v>
      </c>
      <c r="Y710" t="s">
        <v>158</v>
      </c>
      <c r="Z710" t="str">
        <f>VLOOKUP(G710,'[2]Erogati mag-giu 2026_791_old'!$D:$T,11,FALSE)</f>
        <v>indiretto</v>
      </c>
      <c r="AA710" t="b">
        <v>1</v>
      </c>
      <c r="AF710" t="s">
        <v>20</v>
      </c>
      <c r="AG710" t="s">
        <v>20</v>
      </c>
    </row>
    <row r="711" spans="1:33">
      <c r="A711" s="13" t="s">
        <v>1297</v>
      </c>
      <c r="B711" t="s">
        <v>1973</v>
      </c>
      <c r="C711" s="4">
        <v>202601308416366</v>
      </c>
      <c r="D711" s="4" t="b">
        <f t="shared" si="52"/>
        <v>1</v>
      </c>
      <c r="E711" t="s">
        <v>20</v>
      </c>
      <c r="F711" t="s">
        <v>21</v>
      </c>
      <c r="G711" t="s">
        <v>1298</v>
      </c>
      <c r="H711" t="str">
        <f>VLOOKUP(C711,'[1]Erogati mag-giu 2026_791_old'!$B:$E,4,FALSE)</f>
        <v>C344271</v>
      </c>
      <c r="I711" t="b">
        <f t="shared" si="53"/>
        <v>1</v>
      </c>
      <c r="J711" s="14">
        <v>46179</v>
      </c>
      <c r="K711" s="14">
        <v>46179</v>
      </c>
      <c r="L711" t="s">
        <v>20</v>
      </c>
      <c r="M711" s="14">
        <v>46188</v>
      </c>
      <c r="N711" s="14">
        <v>46179</v>
      </c>
      <c r="O711" t="s">
        <v>20</v>
      </c>
      <c r="P711">
        <v>-33.130000000000003</v>
      </c>
      <c r="Q711">
        <f>VLOOKUP(G711,'[1]Erogati mag-giu 2026_791_old'!$A:$W,12,FALSE)</f>
        <v>-33.130000000000003</v>
      </c>
      <c r="R711">
        <f t="shared" si="54"/>
        <v>0</v>
      </c>
      <c r="S711">
        <v>-33.130000000000003</v>
      </c>
      <c r="T711">
        <f>VLOOKUP(G711,'[1]Erogati mag-giu 2026_791_old'!$A:$W,13,FALSE)</f>
        <v>-33.130000000000003</v>
      </c>
      <c r="U711">
        <f t="shared" si="55"/>
        <v>0</v>
      </c>
      <c r="V711">
        <v>-33.130000000000003</v>
      </c>
      <c r="W711">
        <f>VLOOKUP(G711,'[1]Erogati mag-giu 2026_791_old'!$A:$W,14,FALSE)</f>
        <v>-33.130000000000003</v>
      </c>
      <c r="X711">
        <f t="shared" si="56"/>
        <v>0</v>
      </c>
      <c r="Y711" t="s">
        <v>158</v>
      </c>
      <c r="Z711" t="str">
        <f>VLOOKUP(G711,'[2]Erogati mag-giu 2026_791_old'!$D:$T,11,FALSE)</f>
        <v>indiretto</v>
      </c>
      <c r="AA711" t="b">
        <v>1</v>
      </c>
      <c r="AF711" t="s">
        <v>20</v>
      </c>
      <c r="AG711" t="s">
        <v>20</v>
      </c>
    </row>
    <row r="712" spans="1:33">
      <c r="A712" s="13" t="s">
        <v>1299</v>
      </c>
      <c r="B712" t="s">
        <v>1974</v>
      </c>
      <c r="C712" s="4">
        <v>202601308430210</v>
      </c>
      <c r="D712" s="4" t="b">
        <f t="shared" si="52"/>
        <v>1</v>
      </c>
      <c r="E712" t="s">
        <v>20</v>
      </c>
      <c r="F712" t="s">
        <v>21</v>
      </c>
      <c r="G712" t="s">
        <v>1300</v>
      </c>
      <c r="H712" t="str">
        <f>VLOOKUP(C712,'[1]Erogati mag-giu 2026_791_old'!$B:$E,4,FALSE)</f>
        <v>C117895</v>
      </c>
      <c r="I712" t="b">
        <f t="shared" si="53"/>
        <v>1</v>
      </c>
      <c r="J712" s="14">
        <v>46179</v>
      </c>
      <c r="K712" s="14">
        <v>46179</v>
      </c>
      <c r="L712" t="s">
        <v>20</v>
      </c>
      <c r="M712" s="14">
        <v>46188</v>
      </c>
      <c r="N712" s="14">
        <v>46179</v>
      </c>
      <c r="O712" t="s">
        <v>20</v>
      </c>
      <c r="P712">
        <v>-89.45</v>
      </c>
      <c r="Q712">
        <f>VLOOKUP(G712,'[1]Erogati mag-giu 2026_791_old'!$A:$W,12,FALSE)</f>
        <v>-89.45</v>
      </c>
      <c r="R712">
        <f t="shared" si="54"/>
        <v>0</v>
      </c>
      <c r="S712">
        <v>-89.45</v>
      </c>
      <c r="T712">
        <f>VLOOKUP(G712,'[1]Erogati mag-giu 2026_791_old'!$A:$W,13,FALSE)</f>
        <v>-89.45</v>
      </c>
      <c r="U712">
        <f t="shared" si="55"/>
        <v>0</v>
      </c>
      <c r="V712">
        <v>-89.45</v>
      </c>
      <c r="W712">
        <f>VLOOKUP(G712,'[1]Erogati mag-giu 2026_791_old'!$A:$W,14,FALSE)</f>
        <v>-89.45</v>
      </c>
      <c r="X712">
        <f t="shared" si="56"/>
        <v>0</v>
      </c>
      <c r="Y712" t="s">
        <v>158</v>
      </c>
      <c r="Z712" t="str">
        <f>VLOOKUP(G712,'[2]Erogati mag-giu 2026_791_old'!$D:$T,11,FALSE)</f>
        <v>indiretto</v>
      </c>
      <c r="AA712" t="b">
        <v>1</v>
      </c>
      <c r="AF712" t="s">
        <v>20</v>
      </c>
      <c r="AG712" t="s">
        <v>20</v>
      </c>
    </row>
    <row r="713" spans="1:33">
      <c r="A713" s="13" t="s">
        <v>1301</v>
      </c>
      <c r="B713" t="s">
        <v>1975</v>
      </c>
      <c r="C713" s="4">
        <v>202601308436044</v>
      </c>
      <c r="D713" s="4" t="b">
        <f t="shared" ref="D713:D776" si="57">EXACT(B713,C713)</f>
        <v>1</v>
      </c>
      <c r="E713" t="s">
        <v>20</v>
      </c>
      <c r="F713" t="s">
        <v>21</v>
      </c>
      <c r="G713" t="s">
        <v>1302</v>
      </c>
      <c r="H713" t="str">
        <f>VLOOKUP(C713,'[1]Erogati mag-giu 2026_791_old'!$B:$E,4,FALSE)</f>
        <v>C340146</v>
      </c>
      <c r="I713" t="b">
        <f t="shared" si="53"/>
        <v>1</v>
      </c>
      <c r="J713" s="14">
        <v>46179</v>
      </c>
      <c r="K713" s="14">
        <v>46179</v>
      </c>
      <c r="L713" t="s">
        <v>20</v>
      </c>
      <c r="M713" s="14">
        <v>46188</v>
      </c>
      <c r="N713" s="14">
        <v>46179</v>
      </c>
      <c r="O713" t="s">
        <v>20</v>
      </c>
      <c r="P713">
        <v>-105.03</v>
      </c>
      <c r="Q713">
        <f>VLOOKUP(G713,'[1]Erogati mag-giu 2026_791_old'!$A:$W,12,FALSE)</f>
        <v>-105.03</v>
      </c>
      <c r="R713">
        <f t="shared" si="54"/>
        <v>0</v>
      </c>
      <c r="S713">
        <v>-105.03</v>
      </c>
      <c r="T713">
        <f>VLOOKUP(G713,'[1]Erogati mag-giu 2026_791_old'!$A:$W,13,FALSE)</f>
        <v>-105.03</v>
      </c>
      <c r="U713">
        <f t="shared" si="55"/>
        <v>0</v>
      </c>
      <c r="V713">
        <v>-105.03</v>
      </c>
      <c r="W713">
        <f>VLOOKUP(G713,'[1]Erogati mag-giu 2026_791_old'!$A:$W,14,FALSE)</f>
        <v>-105.03</v>
      </c>
      <c r="X713">
        <f t="shared" si="56"/>
        <v>0</v>
      </c>
      <c r="Y713" t="s">
        <v>158</v>
      </c>
      <c r="Z713" t="str">
        <f>VLOOKUP(G713,'[2]Erogati mag-giu 2026_791_old'!$D:$T,11,FALSE)</f>
        <v>indiretto</v>
      </c>
      <c r="AA713" t="b">
        <v>1</v>
      </c>
      <c r="AF713" t="s">
        <v>20</v>
      </c>
      <c r="AG713" t="s">
        <v>20</v>
      </c>
    </row>
    <row r="714" spans="1:33">
      <c r="A714" s="13" t="s">
        <v>1303</v>
      </c>
      <c r="B714" t="s">
        <v>1976</v>
      </c>
      <c r="C714" s="4">
        <v>202601308437435</v>
      </c>
      <c r="D714" s="4" t="b">
        <f t="shared" si="57"/>
        <v>1</v>
      </c>
      <c r="E714" t="s">
        <v>20</v>
      </c>
      <c r="F714" t="s">
        <v>21</v>
      </c>
      <c r="G714" t="s">
        <v>1304</v>
      </c>
      <c r="H714" t="str">
        <f>VLOOKUP(C714,'[1]Erogati mag-giu 2026_791_old'!$B:$E,4,FALSE)</f>
        <v>C344289</v>
      </c>
      <c r="I714" t="b">
        <f t="shared" si="53"/>
        <v>1</v>
      </c>
      <c r="J714" s="14">
        <v>46179</v>
      </c>
      <c r="K714" s="14">
        <v>46179</v>
      </c>
      <c r="L714" t="s">
        <v>20</v>
      </c>
      <c r="M714" s="14">
        <v>46188</v>
      </c>
      <c r="N714" s="14">
        <v>46179</v>
      </c>
      <c r="O714" t="s">
        <v>20</v>
      </c>
      <c r="P714">
        <v>-99.39</v>
      </c>
      <c r="Q714">
        <f>VLOOKUP(G714,'[1]Erogati mag-giu 2026_791_old'!$A:$W,12,FALSE)</f>
        <v>-99.39</v>
      </c>
      <c r="R714">
        <f t="shared" si="54"/>
        <v>0</v>
      </c>
      <c r="S714">
        <v>-99.39</v>
      </c>
      <c r="T714">
        <f>VLOOKUP(G714,'[1]Erogati mag-giu 2026_791_old'!$A:$W,13,FALSE)</f>
        <v>-99.39</v>
      </c>
      <c r="U714">
        <f t="shared" si="55"/>
        <v>0</v>
      </c>
      <c r="V714">
        <v>-99.39</v>
      </c>
      <c r="W714">
        <f>VLOOKUP(G714,'[1]Erogati mag-giu 2026_791_old'!$A:$W,14,FALSE)</f>
        <v>-99.39</v>
      </c>
      <c r="X714">
        <f t="shared" si="56"/>
        <v>0</v>
      </c>
      <c r="Y714" t="s">
        <v>158</v>
      </c>
      <c r="Z714" t="str">
        <f>VLOOKUP(G714,'[2]Erogati mag-giu 2026_791_old'!$D:$T,11,FALSE)</f>
        <v>indiretto</v>
      </c>
      <c r="AA714" t="b">
        <v>1</v>
      </c>
      <c r="AF714" t="s">
        <v>20</v>
      </c>
      <c r="AG714" t="s">
        <v>20</v>
      </c>
    </row>
    <row r="715" spans="1:33">
      <c r="A715" s="13" t="s">
        <v>1305</v>
      </c>
      <c r="B715" t="s">
        <v>1977</v>
      </c>
      <c r="C715" s="4">
        <v>202601308440156</v>
      </c>
      <c r="D715" s="4" t="b">
        <f t="shared" si="57"/>
        <v>1</v>
      </c>
      <c r="E715" t="s">
        <v>20</v>
      </c>
      <c r="F715" t="s">
        <v>21</v>
      </c>
      <c r="G715" t="s">
        <v>1306</v>
      </c>
      <c r="H715" t="str">
        <f>VLOOKUP(C715,'[1]Erogati mag-giu 2026_791_old'!$B:$E,4,FALSE)</f>
        <v>C337723</v>
      </c>
      <c r="I715" t="b">
        <f t="shared" si="53"/>
        <v>1</v>
      </c>
      <c r="J715" s="14">
        <v>46179</v>
      </c>
      <c r="K715" s="14">
        <v>46179</v>
      </c>
      <c r="L715" t="s">
        <v>20</v>
      </c>
      <c r="M715" s="14">
        <v>46188</v>
      </c>
      <c r="N715" s="14">
        <v>46179</v>
      </c>
      <c r="O715" t="s">
        <v>20</v>
      </c>
      <c r="P715">
        <v>-33.130000000000003</v>
      </c>
      <c r="Q715">
        <f>VLOOKUP(G715,'[1]Erogati mag-giu 2026_791_old'!$A:$W,12,FALSE)</f>
        <v>-33.130000000000003</v>
      </c>
      <c r="R715">
        <f t="shared" si="54"/>
        <v>0</v>
      </c>
      <c r="S715">
        <v>-33.130000000000003</v>
      </c>
      <c r="T715">
        <f>VLOOKUP(G715,'[1]Erogati mag-giu 2026_791_old'!$A:$W,13,FALSE)</f>
        <v>-33.130000000000003</v>
      </c>
      <c r="U715">
        <f t="shared" si="55"/>
        <v>0</v>
      </c>
      <c r="V715">
        <v>-33.130000000000003</v>
      </c>
      <c r="W715">
        <f>VLOOKUP(G715,'[1]Erogati mag-giu 2026_791_old'!$A:$W,14,FALSE)</f>
        <v>-33.130000000000003</v>
      </c>
      <c r="X715">
        <f t="shared" si="56"/>
        <v>0</v>
      </c>
      <c r="Y715" t="s">
        <v>158</v>
      </c>
      <c r="Z715" t="str">
        <f>VLOOKUP(G715,'[2]Erogati mag-giu 2026_791_old'!$D:$T,11,FALSE)</f>
        <v>indiretto</v>
      </c>
      <c r="AA715" t="b">
        <v>1</v>
      </c>
      <c r="AF715" t="s">
        <v>20</v>
      </c>
      <c r="AG715" t="s">
        <v>20</v>
      </c>
    </row>
    <row r="716" spans="1:33">
      <c r="A716" s="13" t="s">
        <v>1307</v>
      </c>
      <c r="B716" t="s">
        <v>1978</v>
      </c>
      <c r="C716" s="4">
        <v>202601308440467</v>
      </c>
      <c r="D716" s="4" t="b">
        <f t="shared" si="57"/>
        <v>1</v>
      </c>
      <c r="E716" t="s">
        <v>20</v>
      </c>
      <c r="F716" t="s">
        <v>21</v>
      </c>
      <c r="G716" t="s">
        <v>1308</v>
      </c>
      <c r="H716" t="str">
        <f>VLOOKUP(C716,'[1]Erogati mag-giu 2026_791_old'!$B:$E,4,FALSE)</f>
        <v>C344138</v>
      </c>
      <c r="I716" t="b">
        <f t="shared" si="53"/>
        <v>1</v>
      </c>
      <c r="J716" s="14">
        <v>46179</v>
      </c>
      <c r="K716" s="14">
        <v>46179</v>
      </c>
      <c r="L716" t="s">
        <v>20</v>
      </c>
      <c r="M716" s="14">
        <v>46188</v>
      </c>
      <c r="N716" s="14">
        <v>46179</v>
      </c>
      <c r="O716" t="s">
        <v>20</v>
      </c>
      <c r="P716">
        <v>-66.260000000000005</v>
      </c>
      <c r="Q716">
        <f>VLOOKUP(G716,'[1]Erogati mag-giu 2026_791_old'!$A:$W,12,FALSE)</f>
        <v>-66.260000000000005</v>
      </c>
      <c r="R716">
        <f t="shared" si="54"/>
        <v>0</v>
      </c>
      <c r="S716">
        <v>-66.260000000000005</v>
      </c>
      <c r="T716">
        <f>VLOOKUP(G716,'[1]Erogati mag-giu 2026_791_old'!$A:$W,13,FALSE)</f>
        <v>-66.260000000000005</v>
      </c>
      <c r="U716">
        <f t="shared" si="55"/>
        <v>0</v>
      </c>
      <c r="V716">
        <v>-66.260000000000005</v>
      </c>
      <c r="W716">
        <f>VLOOKUP(G716,'[1]Erogati mag-giu 2026_791_old'!$A:$W,14,FALSE)</f>
        <v>-66.260000000000005</v>
      </c>
      <c r="X716">
        <f t="shared" si="56"/>
        <v>0</v>
      </c>
      <c r="Y716" t="s">
        <v>158</v>
      </c>
      <c r="Z716" t="str">
        <f>VLOOKUP(G716,'[2]Erogati mag-giu 2026_791_old'!$D:$T,11,FALSE)</f>
        <v>indiretto</v>
      </c>
      <c r="AA716" t="b">
        <v>1</v>
      </c>
      <c r="AF716" t="s">
        <v>20</v>
      </c>
      <c r="AG716" t="s">
        <v>20</v>
      </c>
    </row>
    <row r="717" spans="1:33">
      <c r="A717" s="13" t="s">
        <v>1309</v>
      </c>
      <c r="B717" t="s">
        <v>1979</v>
      </c>
      <c r="C717" s="4">
        <v>202601308459630</v>
      </c>
      <c r="D717" s="4" t="b">
        <f t="shared" si="57"/>
        <v>1</v>
      </c>
      <c r="E717" t="s">
        <v>20</v>
      </c>
      <c r="F717" t="s">
        <v>21</v>
      </c>
      <c r="G717" t="s">
        <v>1310</v>
      </c>
      <c r="H717" t="str">
        <f>VLOOKUP(C717,'[1]Erogati mag-giu 2026_791_old'!$B:$E,4,FALSE)</f>
        <v>C117487</v>
      </c>
      <c r="I717" t="b">
        <f t="shared" si="53"/>
        <v>1</v>
      </c>
      <c r="J717" s="14">
        <v>46179</v>
      </c>
      <c r="K717" s="14">
        <v>46179</v>
      </c>
      <c r="L717" t="s">
        <v>20</v>
      </c>
      <c r="M717" s="14">
        <v>46188</v>
      </c>
      <c r="N717" s="14">
        <v>46179</v>
      </c>
      <c r="O717" t="s">
        <v>20</v>
      </c>
      <c r="P717">
        <v>-33.130000000000003</v>
      </c>
      <c r="Q717">
        <f>VLOOKUP(G717,'[1]Erogati mag-giu 2026_791_old'!$A:$W,12,FALSE)</f>
        <v>-33.130000000000003</v>
      </c>
      <c r="R717">
        <f t="shared" si="54"/>
        <v>0</v>
      </c>
      <c r="S717">
        <v>-33.130000000000003</v>
      </c>
      <c r="T717">
        <f>VLOOKUP(G717,'[1]Erogati mag-giu 2026_791_old'!$A:$W,13,FALSE)</f>
        <v>-33.130000000000003</v>
      </c>
      <c r="U717">
        <f t="shared" si="55"/>
        <v>0</v>
      </c>
      <c r="V717">
        <v>-33.130000000000003</v>
      </c>
      <c r="W717">
        <f>VLOOKUP(G717,'[1]Erogati mag-giu 2026_791_old'!$A:$W,14,FALSE)</f>
        <v>-33.130000000000003</v>
      </c>
      <c r="X717">
        <f t="shared" si="56"/>
        <v>0</v>
      </c>
      <c r="Y717" t="s">
        <v>158</v>
      </c>
      <c r="Z717" t="str">
        <f>VLOOKUP(G717,'[2]Erogati mag-giu 2026_791_old'!$D:$T,11,FALSE)</f>
        <v>indiretto</v>
      </c>
      <c r="AA717" t="b">
        <v>1</v>
      </c>
      <c r="AF717" t="s">
        <v>20</v>
      </c>
      <c r="AG717" t="s">
        <v>20</v>
      </c>
    </row>
    <row r="718" spans="1:33">
      <c r="A718" s="13" t="s">
        <v>1311</v>
      </c>
      <c r="B718" t="s">
        <v>1980</v>
      </c>
      <c r="C718" s="4">
        <v>202601308460693</v>
      </c>
      <c r="D718" s="4" t="b">
        <f t="shared" si="57"/>
        <v>1</v>
      </c>
      <c r="E718" t="s">
        <v>20</v>
      </c>
      <c r="F718" t="s">
        <v>21</v>
      </c>
      <c r="G718" t="s">
        <v>1312</v>
      </c>
      <c r="H718" t="str">
        <f>VLOOKUP(C718,'[1]Erogati mag-giu 2026_791_old'!$B:$E,4,FALSE)</f>
        <v>C344201</v>
      </c>
      <c r="I718" t="b">
        <f t="shared" si="53"/>
        <v>1</v>
      </c>
      <c r="J718" s="14">
        <v>46179</v>
      </c>
      <c r="K718" s="14">
        <v>46179</v>
      </c>
      <c r="L718" t="s">
        <v>20</v>
      </c>
      <c r="M718" s="14">
        <v>46188</v>
      </c>
      <c r="N718" s="14">
        <v>46179</v>
      </c>
      <c r="O718" t="s">
        <v>20</v>
      </c>
      <c r="P718">
        <v>-151.79</v>
      </c>
      <c r="Q718">
        <f>VLOOKUP(G718,'[1]Erogati mag-giu 2026_791_old'!$A:$W,12,FALSE)</f>
        <v>-151.79</v>
      </c>
      <c r="R718">
        <f t="shared" si="54"/>
        <v>0</v>
      </c>
      <c r="S718">
        <v>-151.79</v>
      </c>
      <c r="T718">
        <f>VLOOKUP(G718,'[1]Erogati mag-giu 2026_791_old'!$A:$W,13,FALSE)</f>
        <v>-151.79</v>
      </c>
      <c r="U718">
        <f t="shared" si="55"/>
        <v>0</v>
      </c>
      <c r="V718">
        <v>-151.79</v>
      </c>
      <c r="W718">
        <f>VLOOKUP(G718,'[1]Erogati mag-giu 2026_791_old'!$A:$W,14,FALSE)</f>
        <v>-151.79</v>
      </c>
      <c r="X718">
        <f t="shared" si="56"/>
        <v>0</v>
      </c>
      <c r="Y718" t="s">
        <v>158</v>
      </c>
      <c r="Z718" t="str">
        <f>VLOOKUP(G718,'[2]Erogati mag-giu 2026_791_old'!$D:$T,11,FALSE)</f>
        <v>indiretto</v>
      </c>
      <c r="AA718" t="b">
        <v>1</v>
      </c>
      <c r="AF718" t="s">
        <v>20</v>
      </c>
      <c r="AG718" t="s">
        <v>20</v>
      </c>
    </row>
    <row r="719" spans="1:33">
      <c r="A719" s="13" t="s">
        <v>1313</v>
      </c>
      <c r="B719" t="s">
        <v>1981</v>
      </c>
      <c r="C719" s="4">
        <v>202601308470051</v>
      </c>
      <c r="D719" s="4" t="b">
        <f t="shared" si="57"/>
        <v>1</v>
      </c>
      <c r="E719" t="s">
        <v>20</v>
      </c>
      <c r="F719" t="s">
        <v>21</v>
      </c>
      <c r="G719" t="s">
        <v>1314</v>
      </c>
      <c r="H719" t="str">
        <f>VLOOKUP(C719,'[1]Erogati mag-giu 2026_791_old'!$B:$E,4,FALSE)</f>
        <v>C344242</v>
      </c>
      <c r="I719" t="b">
        <f t="shared" si="53"/>
        <v>1</v>
      </c>
      <c r="J719" s="14">
        <v>46179</v>
      </c>
      <c r="K719" s="14">
        <v>46179</v>
      </c>
      <c r="L719" t="s">
        <v>20</v>
      </c>
      <c r="M719" s="14">
        <v>46188</v>
      </c>
      <c r="N719" s="14">
        <v>46179</v>
      </c>
      <c r="O719" t="s">
        <v>20</v>
      </c>
      <c r="P719">
        <v>-98.48</v>
      </c>
      <c r="Q719">
        <f>VLOOKUP(G719,'[1]Erogati mag-giu 2026_791_old'!$A:$W,12,FALSE)</f>
        <v>-98.48</v>
      </c>
      <c r="R719">
        <f t="shared" si="54"/>
        <v>0</v>
      </c>
      <c r="S719">
        <v>-98.48</v>
      </c>
      <c r="T719">
        <f>VLOOKUP(G719,'[1]Erogati mag-giu 2026_791_old'!$A:$W,13,FALSE)</f>
        <v>-98.48</v>
      </c>
      <c r="U719">
        <f t="shared" si="55"/>
        <v>0</v>
      </c>
      <c r="V719">
        <v>-98.48</v>
      </c>
      <c r="W719">
        <f>VLOOKUP(G719,'[1]Erogati mag-giu 2026_791_old'!$A:$W,14,FALSE)</f>
        <v>-98.48</v>
      </c>
      <c r="X719">
        <f t="shared" si="56"/>
        <v>0</v>
      </c>
      <c r="Y719" t="s">
        <v>158</v>
      </c>
      <c r="Z719" t="str">
        <f>VLOOKUP(G719,'[2]Erogati mag-giu 2026_791_old'!$D:$T,11,FALSE)</f>
        <v>indiretto</v>
      </c>
      <c r="AA719" t="b">
        <v>1</v>
      </c>
      <c r="AF719" t="s">
        <v>20</v>
      </c>
      <c r="AG719" t="s">
        <v>20</v>
      </c>
    </row>
    <row r="720" spans="1:33">
      <c r="A720" s="13" t="s">
        <v>1315</v>
      </c>
      <c r="B720" t="s">
        <v>1982</v>
      </c>
      <c r="C720" s="4">
        <v>202601308479852</v>
      </c>
      <c r="D720" s="4" t="b">
        <f t="shared" si="57"/>
        <v>1</v>
      </c>
      <c r="E720" t="s">
        <v>20</v>
      </c>
      <c r="F720" t="s">
        <v>21</v>
      </c>
      <c r="G720" t="s">
        <v>1316</v>
      </c>
      <c r="H720" t="str">
        <f>VLOOKUP(C720,'[1]Erogati mag-giu 2026_791_old'!$B:$E,4,FALSE)</f>
        <v>C344139</v>
      </c>
      <c r="I720" t="b">
        <f t="shared" si="53"/>
        <v>1</v>
      </c>
      <c r="J720" s="14">
        <v>46179</v>
      </c>
      <c r="K720" s="14">
        <v>46179</v>
      </c>
      <c r="L720" t="s">
        <v>20</v>
      </c>
      <c r="M720" s="14">
        <v>46188</v>
      </c>
      <c r="N720" s="14">
        <v>46179</v>
      </c>
      <c r="O720" t="s">
        <v>20</v>
      </c>
      <c r="P720">
        <v>-105.03</v>
      </c>
      <c r="Q720">
        <f>VLOOKUP(G720,'[1]Erogati mag-giu 2026_791_old'!$A:$W,12,FALSE)</f>
        <v>-105.03</v>
      </c>
      <c r="R720">
        <f t="shared" si="54"/>
        <v>0</v>
      </c>
      <c r="S720">
        <v>-105.03</v>
      </c>
      <c r="T720">
        <f>VLOOKUP(G720,'[1]Erogati mag-giu 2026_791_old'!$A:$W,13,FALSE)</f>
        <v>-105.03</v>
      </c>
      <c r="U720">
        <f t="shared" si="55"/>
        <v>0</v>
      </c>
      <c r="V720">
        <v>-105.03</v>
      </c>
      <c r="W720">
        <f>VLOOKUP(G720,'[1]Erogati mag-giu 2026_791_old'!$A:$W,14,FALSE)</f>
        <v>-105.03</v>
      </c>
      <c r="X720">
        <f t="shared" si="56"/>
        <v>0</v>
      </c>
      <c r="Y720" t="s">
        <v>158</v>
      </c>
      <c r="Z720" t="str">
        <f>VLOOKUP(G720,'[2]Erogati mag-giu 2026_791_old'!$D:$T,11,FALSE)</f>
        <v>indiretto</v>
      </c>
      <c r="AA720" t="b">
        <v>1</v>
      </c>
      <c r="AF720" t="s">
        <v>20</v>
      </c>
      <c r="AG720" t="s">
        <v>20</v>
      </c>
    </row>
    <row r="721" spans="1:33">
      <c r="A721" s="13" t="s">
        <v>1317</v>
      </c>
      <c r="B721" t="s">
        <v>1983</v>
      </c>
      <c r="C721" s="4">
        <v>202601308491433</v>
      </c>
      <c r="D721" s="4" t="b">
        <f t="shared" si="57"/>
        <v>1</v>
      </c>
      <c r="E721" t="s">
        <v>20</v>
      </c>
      <c r="F721" t="s">
        <v>21</v>
      </c>
      <c r="G721" t="s">
        <v>1318</v>
      </c>
      <c r="H721" t="str">
        <f>VLOOKUP(C721,'[1]Erogati mag-giu 2026_791_old'!$B:$E,4,FALSE)</f>
        <v>C344202</v>
      </c>
      <c r="I721" t="b">
        <f t="shared" si="53"/>
        <v>1</v>
      </c>
      <c r="J721" s="14">
        <v>46179</v>
      </c>
      <c r="K721" s="14">
        <v>46179</v>
      </c>
      <c r="L721" t="s">
        <v>20</v>
      </c>
      <c r="M721" s="14">
        <v>46188</v>
      </c>
      <c r="N721" s="14">
        <v>46179</v>
      </c>
      <c r="O721" t="s">
        <v>20</v>
      </c>
      <c r="P721">
        <v>-49.24</v>
      </c>
      <c r="Q721">
        <f>VLOOKUP(G721,'[1]Erogati mag-giu 2026_791_old'!$A:$W,12,FALSE)</f>
        <v>-49.24</v>
      </c>
      <c r="R721">
        <f t="shared" si="54"/>
        <v>0</v>
      </c>
      <c r="S721">
        <v>-49.24</v>
      </c>
      <c r="T721">
        <f>VLOOKUP(G721,'[1]Erogati mag-giu 2026_791_old'!$A:$W,13,FALSE)</f>
        <v>-49.24</v>
      </c>
      <c r="U721">
        <f t="shared" si="55"/>
        <v>0</v>
      </c>
      <c r="V721">
        <v>-49.24</v>
      </c>
      <c r="W721">
        <f>VLOOKUP(G721,'[1]Erogati mag-giu 2026_791_old'!$A:$W,14,FALSE)</f>
        <v>-49.24</v>
      </c>
      <c r="X721">
        <f t="shared" si="56"/>
        <v>0</v>
      </c>
      <c r="Y721" t="s">
        <v>158</v>
      </c>
      <c r="Z721" t="str">
        <f>VLOOKUP(G721,'[2]Erogati mag-giu 2026_791_old'!$D:$T,11,FALSE)</f>
        <v>indiretto</v>
      </c>
      <c r="AA721" t="b">
        <v>1</v>
      </c>
      <c r="AF721" t="s">
        <v>20</v>
      </c>
      <c r="AG721" t="s">
        <v>20</v>
      </c>
    </row>
    <row r="722" spans="1:33">
      <c r="A722" s="13" t="s">
        <v>1319</v>
      </c>
      <c r="B722" t="s">
        <v>1984</v>
      </c>
      <c r="C722" s="4">
        <v>202601308492913</v>
      </c>
      <c r="D722" s="4" t="b">
        <f t="shared" si="57"/>
        <v>1</v>
      </c>
      <c r="E722" t="s">
        <v>20</v>
      </c>
      <c r="F722" t="s">
        <v>21</v>
      </c>
      <c r="G722" t="s">
        <v>1320</v>
      </c>
      <c r="H722" t="str">
        <f>VLOOKUP(C722,'[1]Erogati mag-giu 2026_791_old'!$B:$E,4,FALSE)</f>
        <v>C344241</v>
      </c>
      <c r="I722" t="b">
        <f t="shared" si="53"/>
        <v>1</v>
      </c>
      <c r="J722" s="14">
        <v>46179</v>
      </c>
      <c r="K722" s="14">
        <v>46179</v>
      </c>
      <c r="L722" t="s">
        <v>20</v>
      </c>
      <c r="M722" s="14">
        <v>46188</v>
      </c>
      <c r="N722" s="14">
        <v>46179</v>
      </c>
      <c r="O722" t="s">
        <v>20</v>
      </c>
      <c r="P722">
        <v>-97.11</v>
      </c>
      <c r="Q722">
        <f>VLOOKUP(G722,'[1]Erogati mag-giu 2026_791_old'!$A:$W,12,FALSE)</f>
        <v>-97.11</v>
      </c>
      <c r="R722">
        <f t="shared" si="54"/>
        <v>0</v>
      </c>
      <c r="S722">
        <v>-97.11</v>
      </c>
      <c r="T722">
        <f>VLOOKUP(G722,'[1]Erogati mag-giu 2026_791_old'!$A:$W,13,FALSE)</f>
        <v>-97.11</v>
      </c>
      <c r="U722">
        <f t="shared" si="55"/>
        <v>0</v>
      </c>
      <c r="V722">
        <v>-97.11</v>
      </c>
      <c r="W722">
        <f>VLOOKUP(G722,'[1]Erogati mag-giu 2026_791_old'!$A:$W,14,FALSE)</f>
        <v>-97.11</v>
      </c>
      <c r="X722">
        <f t="shared" si="56"/>
        <v>0</v>
      </c>
      <c r="Y722" t="s">
        <v>158</v>
      </c>
      <c r="Z722" t="str">
        <f>VLOOKUP(G722,'[2]Erogati mag-giu 2026_791_old'!$D:$T,11,FALSE)</f>
        <v>indiretto</v>
      </c>
      <c r="AA722" t="b">
        <v>1</v>
      </c>
      <c r="AF722" t="s">
        <v>20</v>
      </c>
      <c r="AG722" t="s">
        <v>20</v>
      </c>
    </row>
    <row r="723" spans="1:33">
      <c r="A723" s="13" t="s">
        <v>1321</v>
      </c>
      <c r="B723" t="s">
        <v>1985</v>
      </c>
      <c r="C723" s="4">
        <v>202601308495370</v>
      </c>
      <c r="D723" s="4" t="b">
        <f t="shared" si="57"/>
        <v>1</v>
      </c>
      <c r="E723" t="s">
        <v>20</v>
      </c>
      <c r="F723" t="s">
        <v>21</v>
      </c>
      <c r="G723" t="s">
        <v>1322</v>
      </c>
      <c r="H723" t="str">
        <f>VLOOKUP(C723,'[1]Erogati mag-giu 2026_791_old'!$B:$E,4,FALSE)</f>
        <v>C333396</v>
      </c>
      <c r="I723" t="b">
        <f t="shared" si="53"/>
        <v>1</v>
      </c>
      <c r="J723" s="14">
        <v>46179</v>
      </c>
      <c r="K723" s="14">
        <v>46179</v>
      </c>
      <c r="L723" t="s">
        <v>20</v>
      </c>
      <c r="M723" s="14">
        <v>46188</v>
      </c>
      <c r="N723" s="14">
        <v>46179</v>
      </c>
      <c r="O723" t="s">
        <v>20</v>
      </c>
      <c r="P723">
        <v>-131.29</v>
      </c>
      <c r="Q723">
        <f>VLOOKUP(G723,'[1]Erogati mag-giu 2026_791_old'!$A:$W,12,FALSE)</f>
        <v>-131.29</v>
      </c>
      <c r="R723">
        <f t="shared" si="54"/>
        <v>0</v>
      </c>
      <c r="S723">
        <v>-131.29</v>
      </c>
      <c r="T723">
        <f>VLOOKUP(G723,'[1]Erogati mag-giu 2026_791_old'!$A:$W,13,FALSE)</f>
        <v>-131.29</v>
      </c>
      <c r="U723">
        <f t="shared" si="55"/>
        <v>0</v>
      </c>
      <c r="V723">
        <v>-131.29</v>
      </c>
      <c r="W723">
        <f>VLOOKUP(G723,'[1]Erogati mag-giu 2026_791_old'!$A:$W,14,FALSE)</f>
        <v>-131.29</v>
      </c>
      <c r="X723">
        <f t="shared" si="56"/>
        <v>0</v>
      </c>
      <c r="Y723" t="s">
        <v>158</v>
      </c>
      <c r="Z723" t="str">
        <f>VLOOKUP(G723,'[2]Erogati mag-giu 2026_791_old'!$D:$T,11,FALSE)</f>
        <v>indiretto</v>
      </c>
      <c r="AA723" t="b">
        <v>1</v>
      </c>
      <c r="AF723" t="s">
        <v>20</v>
      </c>
      <c r="AG723" t="s">
        <v>20</v>
      </c>
    </row>
    <row r="724" spans="1:33">
      <c r="A724" s="13" t="s">
        <v>1323</v>
      </c>
      <c r="B724" t="s">
        <v>1986</v>
      </c>
      <c r="C724" s="4">
        <v>202601308496177</v>
      </c>
      <c r="D724" s="4" t="b">
        <f t="shared" si="57"/>
        <v>1</v>
      </c>
      <c r="E724" t="s">
        <v>20</v>
      </c>
      <c r="F724" t="s">
        <v>21</v>
      </c>
      <c r="G724" t="s">
        <v>1324</v>
      </c>
      <c r="H724" t="str">
        <f>VLOOKUP(C724,'[1]Erogati mag-giu 2026_791_old'!$B:$E,4,FALSE)</f>
        <v>C337619</v>
      </c>
      <c r="I724" t="b">
        <f t="shared" si="53"/>
        <v>1</v>
      </c>
      <c r="J724" s="14">
        <v>46179</v>
      </c>
      <c r="K724" s="14">
        <v>46179</v>
      </c>
      <c r="L724" t="s">
        <v>20</v>
      </c>
      <c r="M724" s="14">
        <v>46188</v>
      </c>
      <c r="N724" s="14">
        <v>46179</v>
      </c>
      <c r="O724" t="s">
        <v>20</v>
      </c>
      <c r="P724">
        <v>-132.52000000000001</v>
      </c>
      <c r="Q724">
        <f>VLOOKUP(G724,'[1]Erogati mag-giu 2026_791_old'!$A:$W,12,FALSE)</f>
        <v>-132.52000000000001</v>
      </c>
      <c r="R724">
        <f t="shared" si="54"/>
        <v>0</v>
      </c>
      <c r="S724">
        <v>-132.52000000000001</v>
      </c>
      <c r="T724">
        <f>VLOOKUP(G724,'[1]Erogati mag-giu 2026_791_old'!$A:$W,13,FALSE)</f>
        <v>-132.52000000000001</v>
      </c>
      <c r="U724">
        <f t="shared" si="55"/>
        <v>0</v>
      </c>
      <c r="V724">
        <v>-132.52000000000001</v>
      </c>
      <c r="W724">
        <f>VLOOKUP(G724,'[1]Erogati mag-giu 2026_791_old'!$A:$W,14,FALSE)</f>
        <v>-132.52000000000001</v>
      </c>
      <c r="X724">
        <f t="shared" si="56"/>
        <v>0</v>
      </c>
      <c r="Y724" t="s">
        <v>158</v>
      </c>
      <c r="Z724" t="str">
        <f>VLOOKUP(G724,'[2]Erogati mag-giu 2026_791_old'!$D:$T,11,FALSE)</f>
        <v>indiretto</v>
      </c>
      <c r="AA724" t="b">
        <v>1</v>
      </c>
      <c r="AF724" t="s">
        <v>20</v>
      </c>
      <c r="AG724" t="s">
        <v>20</v>
      </c>
    </row>
    <row r="725" spans="1:33">
      <c r="A725" s="13" t="s">
        <v>1325</v>
      </c>
      <c r="B725" t="s">
        <v>1987</v>
      </c>
      <c r="C725" s="4">
        <v>202601308496470</v>
      </c>
      <c r="D725" s="4" t="b">
        <f t="shared" si="57"/>
        <v>1</v>
      </c>
      <c r="E725" t="s">
        <v>20</v>
      </c>
      <c r="F725" t="s">
        <v>21</v>
      </c>
      <c r="G725" t="s">
        <v>1326</v>
      </c>
      <c r="H725" t="str">
        <f>VLOOKUP(C725,'[1]Erogati mag-giu 2026_791_old'!$B:$E,4,FALSE)</f>
        <v>C307995</v>
      </c>
      <c r="I725" t="b">
        <f t="shared" si="53"/>
        <v>1</v>
      </c>
      <c r="J725" s="14">
        <v>46179</v>
      </c>
      <c r="K725" s="14">
        <v>46179</v>
      </c>
      <c r="L725" t="s">
        <v>20</v>
      </c>
      <c r="M725" s="14">
        <v>46188</v>
      </c>
      <c r="N725" s="14">
        <v>46179</v>
      </c>
      <c r="O725" t="s">
        <v>20</v>
      </c>
      <c r="P725">
        <v>-78.78</v>
      </c>
      <c r="Q725">
        <f>VLOOKUP(G725,'[1]Erogati mag-giu 2026_791_old'!$A:$W,12,FALSE)</f>
        <v>-78.78</v>
      </c>
      <c r="R725">
        <f t="shared" si="54"/>
        <v>0</v>
      </c>
      <c r="S725">
        <v>-78.78</v>
      </c>
      <c r="T725">
        <f>VLOOKUP(G725,'[1]Erogati mag-giu 2026_791_old'!$A:$W,13,FALSE)</f>
        <v>-78.78</v>
      </c>
      <c r="U725">
        <f t="shared" si="55"/>
        <v>0</v>
      </c>
      <c r="V725">
        <v>-78.78</v>
      </c>
      <c r="W725">
        <f>VLOOKUP(G725,'[1]Erogati mag-giu 2026_791_old'!$A:$W,14,FALSE)</f>
        <v>-78.78</v>
      </c>
      <c r="X725">
        <f t="shared" si="56"/>
        <v>0</v>
      </c>
      <c r="Y725" t="s">
        <v>158</v>
      </c>
      <c r="Z725" t="str">
        <f>VLOOKUP(G725,'[2]Erogati mag-giu 2026_791_old'!$D:$T,11,FALSE)</f>
        <v>indiretto</v>
      </c>
      <c r="AA725" t="b">
        <v>1</v>
      </c>
      <c r="AF725" t="s">
        <v>20</v>
      </c>
      <c r="AG725" t="s">
        <v>20</v>
      </c>
    </row>
    <row r="726" spans="1:33">
      <c r="A726" s="13" t="s">
        <v>1327</v>
      </c>
      <c r="B726" t="s">
        <v>1988</v>
      </c>
      <c r="C726" s="4">
        <v>202601308496668</v>
      </c>
      <c r="D726" s="4" t="b">
        <f t="shared" si="57"/>
        <v>1</v>
      </c>
      <c r="E726" t="s">
        <v>20</v>
      </c>
      <c r="F726" t="s">
        <v>21</v>
      </c>
      <c r="G726" t="s">
        <v>1328</v>
      </c>
      <c r="H726" t="str">
        <f>VLOOKUP(C726,'[1]Erogati mag-giu 2026_791_old'!$B:$E,4,FALSE)</f>
        <v>C344290</v>
      </c>
      <c r="I726" t="b">
        <f t="shared" si="53"/>
        <v>1</v>
      </c>
      <c r="J726" s="14">
        <v>46179</v>
      </c>
      <c r="K726" s="14">
        <v>46179</v>
      </c>
      <c r="L726" t="s">
        <v>20</v>
      </c>
      <c r="M726" s="14">
        <v>46188</v>
      </c>
      <c r="N726" s="14">
        <v>46179</v>
      </c>
      <c r="O726" t="s">
        <v>20</v>
      </c>
      <c r="P726">
        <v>-66.260000000000005</v>
      </c>
      <c r="Q726">
        <f>VLOOKUP(G726,'[1]Erogati mag-giu 2026_791_old'!$A:$W,12,FALSE)</f>
        <v>-66.260000000000005</v>
      </c>
      <c r="R726">
        <f t="shared" si="54"/>
        <v>0</v>
      </c>
      <c r="S726">
        <v>-66.260000000000005</v>
      </c>
      <c r="T726">
        <f>VLOOKUP(G726,'[1]Erogati mag-giu 2026_791_old'!$A:$W,13,FALSE)</f>
        <v>-66.260000000000005</v>
      </c>
      <c r="U726">
        <f t="shared" si="55"/>
        <v>0</v>
      </c>
      <c r="V726">
        <v>-66.260000000000005</v>
      </c>
      <c r="W726">
        <f>VLOOKUP(G726,'[1]Erogati mag-giu 2026_791_old'!$A:$W,14,FALSE)</f>
        <v>-66.260000000000005</v>
      </c>
      <c r="X726">
        <f t="shared" si="56"/>
        <v>0</v>
      </c>
      <c r="Y726" t="s">
        <v>158</v>
      </c>
      <c r="Z726" t="str">
        <f>VLOOKUP(G726,'[2]Erogati mag-giu 2026_791_old'!$D:$T,11,FALSE)</f>
        <v>indiretto</v>
      </c>
      <c r="AA726" t="b">
        <v>1</v>
      </c>
      <c r="AF726" t="s">
        <v>20</v>
      </c>
      <c r="AG726" t="s">
        <v>20</v>
      </c>
    </row>
    <row r="727" spans="1:33">
      <c r="A727" s="13" t="s">
        <v>1329</v>
      </c>
      <c r="B727" t="s">
        <v>1989</v>
      </c>
      <c r="C727" s="4">
        <v>202601308500519</v>
      </c>
      <c r="D727" s="4" t="b">
        <f t="shared" si="57"/>
        <v>1</v>
      </c>
      <c r="E727" t="s">
        <v>20</v>
      </c>
      <c r="F727" t="s">
        <v>21</v>
      </c>
      <c r="G727" t="s">
        <v>1330</v>
      </c>
      <c r="H727" t="str">
        <f>VLOOKUP(C727,'[1]Erogati mag-giu 2026_791_old'!$B:$E,4,FALSE)</f>
        <v>C344119</v>
      </c>
      <c r="I727" t="b">
        <f t="shared" si="53"/>
        <v>1</v>
      </c>
      <c r="J727" s="14">
        <v>46179</v>
      </c>
      <c r="K727" s="14">
        <v>46179</v>
      </c>
      <c r="L727" t="s">
        <v>20</v>
      </c>
      <c r="M727" s="14">
        <v>46188</v>
      </c>
      <c r="N727" s="14">
        <v>46179</v>
      </c>
      <c r="O727" t="s">
        <v>20</v>
      </c>
      <c r="P727">
        <v>-26.26</v>
      </c>
      <c r="Q727">
        <f>VLOOKUP(G727,'[1]Erogati mag-giu 2026_791_old'!$A:$W,12,FALSE)</f>
        <v>-26.26</v>
      </c>
      <c r="R727">
        <f t="shared" si="54"/>
        <v>0</v>
      </c>
      <c r="S727">
        <v>-26.26</v>
      </c>
      <c r="T727">
        <f>VLOOKUP(G727,'[1]Erogati mag-giu 2026_791_old'!$A:$W,13,FALSE)</f>
        <v>-26.26</v>
      </c>
      <c r="U727">
        <f t="shared" si="55"/>
        <v>0</v>
      </c>
      <c r="V727">
        <v>-26.26</v>
      </c>
      <c r="W727">
        <f>VLOOKUP(G727,'[1]Erogati mag-giu 2026_791_old'!$A:$W,14,FALSE)</f>
        <v>-26.26</v>
      </c>
      <c r="X727">
        <f t="shared" si="56"/>
        <v>0</v>
      </c>
      <c r="Y727" t="s">
        <v>158</v>
      </c>
      <c r="Z727" t="str">
        <f>VLOOKUP(G727,'[2]Erogati mag-giu 2026_791_old'!$D:$T,11,FALSE)</f>
        <v>indiretto</v>
      </c>
      <c r="AA727" t="b">
        <v>1</v>
      </c>
      <c r="AF727" t="s">
        <v>20</v>
      </c>
      <c r="AG727" t="s">
        <v>20</v>
      </c>
    </row>
    <row r="728" spans="1:33">
      <c r="A728" s="13" t="s">
        <v>1331</v>
      </c>
      <c r="B728" t="s">
        <v>1990</v>
      </c>
      <c r="C728" s="4">
        <v>202601308512627</v>
      </c>
      <c r="D728" s="4" t="b">
        <f t="shared" si="57"/>
        <v>1</v>
      </c>
      <c r="E728" t="s">
        <v>20</v>
      </c>
      <c r="F728" t="s">
        <v>21</v>
      </c>
      <c r="G728" t="s">
        <v>1332</v>
      </c>
      <c r="H728" t="str">
        <f>VLOOKUP(C728,'[1]Erogati mag-giu 2026_791_old'!$B:$E,4,FALSE)</f>
        <v>C311007</v>
      </c>
      <c r="I728" t="b">
        <f t="shared" si="53"/>
        <v>1</v>
      </c>
      <c r="J728" s="14">
        <v>46179</v>
      </c>
      <c r="K728" s="14">
        <v>46179</v>
      </c>
      <c r="L728" t="s">
        <v>20</v>
      </c>
      <c r="M728" s="14">
        <v>46188</v>
      </c>
      <c r="N728" s="14">
        <v>46179</v>
      </c>
      <c r="O728" t="s">
        <v>20</v>
      </c>
      <c r="P728">
        <v>-66.260000000000005</v>
      </c>
      <c r="Q728">
        <f>VLOOKUP(G728,'[1]Erogati mag-giu 2026_791_old'!$A:$W,12,FALSE)</f>
        <v>-66.260000000000005</v>
      </c>
      <c r="R728">
        <f t="shared" si="54"/>
        <v>0</v>
      </c>
      <c r="S728">
        <v>-66.260000000000005</v>
      </c>
      <c r="T728">
        <f>VLOOKUP(G728,'[1]Erogati mag-giu 2026_791_old'!$A:$W,13,FALSE)</f>
        <v>-66.260000000000005</v>
      </c>
      <c r="U728">
        <f t="shared" si="55"/>
        <v>0</v>
      </c>
      <c r="V728">
        <v>-66.260000000000005</v>
      </c>
      <c r="W728">
        <f>VLOOKUP(G728,'[1]Erogati mag-giu 2026_791_old'!$A:$W,14,FALSE)</f>
        <v>-66.260000000000005</v>
      </c>
      <c r="X728">
        <f t="shared" si="56"/>
        <v>0</v>
      </c>
      <c r="Y728" t="s">
        <v>158</v>
      </c>
      <c r="Z728" t="str">
        <f>VLOOKUP(G728,'[2]Erogati mag-giu 2026_791_old'!$D:$T,11,FALSE)</f>
        <v>indiretto</v>
      </c>
      <c r="AA728" t="b">
        <v>1</v>
      </c>
      <c r="AF728" t="s">
        <v>20</v>
      </c>
      <c r="AG728" t="s">
        <v>20</v>
      </c>
    </row>
    <row r="729" spans="1:33">
      <c r="A729" s="13" t="s">
        <v>1333</v>
      </c>
      <c r="B729" t="s">
        <v>1991</v>
      </c>
      <c r="C729" s="4">
        <v>202601308529168</v>
      </c>
      <c r="D729" s="4" t="b">
        <f t="shared" si="57"/>
        <v>1</v>
      </c>
      <c r="E729" t="s">
        <v>20</v>
      </c>
      <c r="F729" t="s">
        <v>21</v>
      </c>
      <c r="G729" t="s">
        <v>1334</v>
      </c>
      <c r="H729" t="str">
        <f>VLOOKUP(C729,'[1]Erogati mag-giu 2026_791_old'!$B:$E,4,FALSE)</f>
        <v>C314644</v>
      </c>
      <c r="I729" t="b">
        <f t="shared" si="53"/>
        <v>1</v>
      </c>
      <c r="J729" s="14">
        <v>46179</v>
      </c>
      <c r="K729" s="14">
        <v>46179</v>
      </c>
      <c r="L729" t="s">
        <v>20</v>
      </c>
      <c r="M729" s="14">
        <v>46188</v>
      </c>
      <c r="N729" s="14">
        <v>46179</v>
      </c>
      <c r="O729" t="s">
        <v>20</v>
      </c>
      <c r="P729">
        <v>-99.39</v>
      </c>
      <c r="Q729">
        <f>VLOOKUP(G729,'[1]Erogati mag-giu 2026_791_old'!$A:$W,12,FALSE)</f>
        <v>-99.39</v>
      </c>
      <c r="R729">
        <f t="shared" si="54"/>
        <v>0</v>
      </c>
      <c r="S729">
        <v>-99.39</v>
      </c>
      <c r="T729">
        <f>VLOOKUP(G729,'[1]Erogati mag-giu 2026_791_old'!$A:$W,13,FALSE)</f>
        <v>-99.39</v>
      </c>
      <c r="U729">
        <f t="shared" si="55"/>
        <v>0</v>
      </c>
      <c r="V729">
        <v>-99.39</v>
      </c>
      <c r="W729">
        <f>VLOOKUP(G729,'[1]Erogati mag-giu 2026_791_old'!$A:$W,14,FALSE)</f>
        <v>-99.39</v>
      </c>
      <c r="X729">
        <f t="shared" si="56"/>
        <v>0</v>
      </c>
      <c r="Y729" t="s">
        <v>158</v>
      </c>
      <c r="Z729" t="str">
        <f>VLOOKUP(G729,'[2]Erogati mag-giu 2026_791_old'!$D:$T,11,FALSE)</f>
        <v>indiretto</v>
      </c>
      <c r="AA729" t="b">
        <v>1</v>
      </c>
      <c r="AF729" t="s">
        <v>20</v>
      </c>
      <c r="AG729" t="s">
        <v>20</v>
      </c>
    </row>
    <row r="730" spans="1:33">
      <c r="A730" s="13" t="s">
        <v>1335</v>
      </c>
      <c r="B730" t="s">
        <v>1992</v>
      </c>
      <c r="C730" s="4">
        <v>202601308534510</v>
      </c>
      <c r="D730" s="4" t="b">
        <f t="shared" si="57"/>
        <v>1</v>
      </c>
      <c r="E730" t="s">
        <v>20</v>
      </c>
      <c r="F730" t="s">
        <v>21</v>
      </c>
      <c r="G730" t="s">
        <v>1336</v>
      </c>
      <c r="H730" t="str">
        <f>VLOOKUP(C730,'[1]Erogati mag-giu 2026_791_old'!$B:$E,4,FALSE)</f>
        <v>C320255</v>
      </c>
      <c r="I730" t="b">
        <f t="shared" si="53"/>
        <v>1</v>
      </c>
      <c r="J730" s="14">
        <v>46179</v>
      </c>
      <c r="K730" s="14">
        <v>46179</v>
      </c>
      <c r="L730" t="s">
        <v>20</v>
      </c>
      <c r="M730" s="14">
        <v>46188</v>
      </c>
      <c r="N730" s="14">
        <v>46179</v>
      </c>
      <c r="O730" t="s">
        <v>20</v>
      </c>
      <c r="P730">
        <v>-47.94</v>
      </c>
      <c r="Q730">
        <f>VLOOKUP(G730,'[1]Erogati mag-giu 2026_791_old'!$A:$W,12,FALSE)</f>
        <v>-47.94</v>
      </c>
      <c r="R730">
        <f t="shared" si="54"/>
        <v>0</v>
      </c>
      <c r="S730">
        <v>-47.94</v>
      </c>
      <c r="T730">
        <f>VLOOKUP(G730,'[1]Erogati mag-giu 2026_791_old'!$A:$W,13,FALSE)</f>
        <v>-47.94</v>
      </c>
      <c r="U730">
        <f t="shared" si="55"/>
        <v>0</v>
      </c>
      <c r="V730">
        <v>-47.94</v>
      </c>
      <c r="W730">
        <f>VLOOKUP(G730,'[1]Erogati mag-giu 2026_791_old'!$A:$W,14,FALSE)</f>
        <v>-47.94</v>
      </c>
      <c r="X730">
        <f t="shared" si="56"/>
        <v>0</v>
      </c>
      <c r="Y730" t="s">
        <v>158</v>
      </c>
      <c r="Z730" t="str">
        <f>VLOOKUP(G730,'[2]Erogati mag-giu 2026_791_old'!$D:$T,11,FALSE)</f>
        <v>indiretto</v>
      </c>
      <c r="AA730" t="b">
        <v>1</v>
      </c>
      <c r="AF730" t="s">
        <v>20</v>
      </c>
      <c r="AG730" t="s">
        <v>20</v>
      </c>
    </row>
    <row r="731" spans="1:33">
      <c r="A731" s="13" t="s">
        <v>1337</v>
      </c>
      <c r="B731" t="s">
        <v>1993</v>
      </c>
      <c r="C731" s="4">
        <v>202601308540192</v>
      </c>
      <c r="D731" s="4" t="b">
        <f t="shared" si="57"/>
        <v>1</v>
      </c>
      <c r="E731" t="s">
        <v>20</v>
      </c>
      <c r="F731" t="s">
        <v>21</v>
      </c>
      <c r="G731" t="s">
        <v>1338</v>
      </c>
      <c r="H731" t="str">
        <f>VLOOKUP(C731,'[1]Erogati mag-giu 2026_791_old'!$B:$E,4,FALSE)</f>
        <v>C344247</v>
      </c>
      <c r="I731" t="b">
        <f t="shared" si="53"/>
        <v>1</v>
      </c>
      <c r="J731" s="14">
        <v>46179</v>
      </c>
      <c r="K731" s="14">
        <v>46179</v>
      </c>
      <c r="L731" t="s">
        <v>20</v>
      </c>
      <c r="M731" s="14">
        <v>46188</v>
      </c>
      <c r="N731" s="14">
        <v>46179</v>
      </c>
      <c r="O731" t="s">
        <v>20</v>
      </c>
      <c r="P731">
        <v>-131.29</v>
      </c>
      <c r="Q731">
        <f>VLOOKUP(G731,'[1]Erogati mag-giu 2026_791_old'!$A:$W,12,FALSE)</f>
        <v>-131.29</v>
      </c>
      <c r="R731">
        <f t="shared" si="54"/>
        <v>0</v>
      </c>
      <c r="S731">
        <v>-131.29</v>
      </c>
      <c r="T731">
        <f>VLOOKUP(G731,'[1]Erogati mag-giu 2026_791_old'!$A:$W,13,FALSE)</f>
        <v>-131.29</v>
      </c>
      <c r="U731">
        <f t="shared" si="55"/>
        <v>0</v>
      </c>
      <c r="V731">
        <v>-131.29</v>
      </c>
      <c r="W731">
        <f>VLOOKUP(G731,'[1]Erogati mag-giu 2026_791_old'!$A:$W,14,FALSE)</f>
        <v>-131.29</v>
      </c>
      <c r="X731">
        <f t="shared" si="56"/>
        <v>0</v>
      </c>
      <c r="Y731" t="s">
        <v>158</v>
      </c>
      <c r="Z731" t="str">
        <f>VLOOKUP(G731,'[2]Erogati mag-giu 2026_791_old'!$D:$T,11,FALSE)</f>
        <v>indiretto</v>
      </c>
      <c r="AA731" t="b">
        <v>1</v>
      </c>
      <c r="AF731" t="s">
        <v>20</v>
      </c>
      <c r="AG731" t="s">
        <v>20</v>
      </c>
    </row>
    <row r="732" spans="1:33">
      <c r="A732" s="13" t="s">
        <v>1339</v>
      </c>
      <c r="B732" t="s">
        <v>1994</v>
      </c>
      <c r="C732" s="4">
        <v>202601308540348</v>
      </c>
      <c r="D732" s="4" t="b">
        <f t="shared" si="57"/>
        <v>1</v>
      </c>
      <c r="E732" t="s">
        <v>20</v>
      </c>
      <c r="F732" t="s">
        <v>21</v>
      </c>
      <c r="G732" t="s">
        <v>1340</v>
      </c>
      <c r="H732" t="str">
        <f>VLOOKUP(C732,'[1]Erogati mag-giu 2026_791_old'!$B:$E,4,FALSE)</f>
        <v>C344240</v>
      </c>
      <c r="I732" t="b">
        <f t="shared" si="53"/>
        <v>1</v>
      </c>
      <c r="J732" s="14">
        <v>46179</v>
      </c>
      <c r="K732" s="14">
        <v>46179</v>
      </c>
      <c r="L732" t="s">
        <v>20</v>
      </c>
      <c r="M732" s="14">
        <v>46188</v>
      </c>
      <c r="N732" s="14">
        <v>46179</v>
      </c>
      <c r="O732" t="s">
        <v>20</v>
      </c>
      <c r="P732">
        <v>-33.130000000000003</v>
      </c>
      <c r="Q732">
        <f>VLOOKUP(G732,'[1]Erogati mag-giu 2026_791_old'!$A:$W,12,FALSE)</f>
        <v>-33.130000000000003</v>
      </c>
      <c r="R732">
        <f t="shared" si="54"/>
        <v>0</v>
      </c>
      <c r="S732">
        <v>-33.130000000000003</v>
      </c>
      <c r="T732">
        <f>VLOOKUP(G732,'[1]Erogati mag-giu 2026_791_old'!$A:$W,13,FALSE)</f>
        <v>-33.130000000000003</v>
      </c>
      <c r="U732">
        <f t="shared" si="55"/>
        <v>0</v>
      </c>
      <c r="V732">
        <v>-33.130000000000003</v>
      </c>
      <c r="W732">
        <f>VLOOKUP(G732,'[1]Erogati mag-giu 2026_791_old'!$A:$W,14,FALSE)</f>
        <v>-33.130000000000003</v>
      </c>
      <c r="X732">
        <f t="shared" si="56"/>
        <v>0</v>
      </c>
      <c r="Y732" t="s">
        <v>158</v>
      </c>
      <c r="Z732" t="str">
        <f>VLOOKUP(G732,'[2]Erogati mag-giu 2026_791_old'!$D:$T,11,FALSE)</f>
        <v>indiretto</v>
      </c>
      <c r="AA732" t="b">
        <v>1</v>
      </c>
      <c r="AF732" t="s">
        <v>20</v>
      </c>
      <c r="AG732" t="s">
        <v>20</v>
      </c>
    </row>
    <row r="733" spans="1:33">
      <c r="A733" s="13" t="s">
        <v>1341</v>
      </c>
      <c r="B733" t="s">
        <v>1995</v>
      </c>
      <c r="C733" s="4">
        <v>202601308541172</v>
      </c>
      <c r="D733" s="4" t="b">
        <f t="shared" si="57"/>
        <v>1</v>
      </c>
      <c r="E733" t="s">
        <v>20</v>
      </c>
      <c r="F733" t="s">
        <v>21</v>
      </c>
      <c r="G733" t="s">
        <v>1342</v>
      </c>
      <c r="H733" t="str">
        <f>VLOOKUP(C733,'[1]Erogati mag-giu 2026_791_old'!$B:$E,4,FALSE)</f>
        <v>C122474</v>
      </c>
      <c r="I733" t="b">
        <f t="shared" si="53"/>
        <v>1</v>
      </c>
      <c r="J733" s="14">
        <v>46179</v>
      </c>
      <c r="K733" s="14">
        <v>46179</v>
      </c>
      <c r="L733" t="s">
        <v>20</v>
      </c>
      <c r="M733" s="14">
        <v>46188</v>
      </c>
      <c r="N733" s="14">
        <v>46179</v>
      </c>
      <c r="O733" t="s">
        <v>20</v>
      </c>
      <c r="P733">
        <v>-33.130000000000003</v>
      </c>
      <c r="Q733">
        <f>VLOOKUP(G733,'[1]Erogati mag-giu 2026_791_old'!$A:$W,12,FALSE)</f>
        <v>-33.130000000000003</v>
      </c>
      <c r="R733">
        <f t="shared" si="54"/>
        <v>0</v>
      </c>
      <c r="S733">
        <v>-33.130000000000003</v>
      </c>
      <c r="T733">
        <f>VLOOKUP(G733,'[1]Erogati mag-giu 2026_791_old'!$A:$W,13,FALSE)</f>
        <v>-33.130000000000003</v>
      </c>
      <c r="U733">
        <f t="shared" si="55"/>
        <v>0</v>
      </c>
      <c r="V733">
        <v>-33.130000000000003</v>
      </c>
      <c r="W733">
        <f>VLOOKUP(G733,'[1]Erogati mag-giu 2026_791_old'!$A:$W,14,FALSE)</f>
        <v>-33.130000000000003</v>
      </c>
      <c r="X733">
        <f t="shared" si="56"/>
        <v>0</v>
      </c>
      <c r="Y733" t="s">
        <v>158</v>
      </c>
      <c r="Z733" t="str">
        <f>VLOOKUP(G733,'[2]Erogati mag-giu 2026_791_old'!$D:$T,11,FALSE)</f>
        <v>indiretto</v>
      </c>
      <c r="AA733" t="b">
        <v>1</v>
      </c>
      <c r="AF733" t="s">
        <v>20</v>
      </c>
      <c r="AG733" t="s">
        <v>20</v>
      </c>
    </row>
    <row r="734" spans="1:33">
      <c r="A734" s="13" t="s">
        <v>1343</v>
      </c>
      <c r="B734" t="s">
        <v>1996</v>
      </c>
      <c r="C734" s="4">
        <v>202601308542516</v>
      </c>
      <c r="D734" s="4" t="b">
        <f t="shared" si="57"/>
        <v>1</v>
      </c>
      <c r="E734" t="s">
        <v>20</v>
      </c>
      <c r="F734" t="s">
        <v>21</v>
      </c>
      <c r="G734" t="s">
        <v>1344</v>
      </c>
      <c r="H734" t="str">
        <f>VLOOKUP(C734,'[1]Erogati mag-giu 2026_791_old'!$B:$E,4,FALSE)</f>
        <v>C118867</v>
      </c>
      <c r="I734" t="b">
        <f t="shared" si="53"/>
        <v>1</v>
      </c>
      <c r="J734" s="14">
        <v>46179</v>
      </c>
      <c r="K734" s="14">
        <v>46179</v>
      </c>
      <c r="L734" t="s">
        <v>20</v>
      </c>
      <c r="M734" s="14">
        <v>46188</v>
      </c>
      <c r="N734" s="14">
        <v>46179</v>
      </c>
      <c r="O734" t="s">
        <v>20</v>
      </c>
      <c r="P734">
        <v>-66.260000000000005</v>
      </c>
      <c r="Q734">
        <f>VLOOKUP(G734,'[1]Erogati mag-giu 2026_791_old'!$A:$W,12,FALSE)</f>
        <v>-66.260000000000005</v>
      </c>
      <c r="R734">
        <f t="shared" si="54"/>
        <v>0</v>
      </c>
      <c r="S734">
        <v>-66.260000000000005</v>
      </c>
      <c r="T734">
        <f>VLOOKUP(G734,'[1]Erogati mag-giu 2026_791_old'!$A:$W,13,FALSE)</f>
        <v>-66.260000000000005</v>
      </c>
      <c r="U734">
        <f t="shared" si="55"/>
        <v>0</v>
      </c>
      <c r="V734">
        <v>-66.260000000000005</v>
      </c>
      <c r="W734">
        <f>VLOOKUP(G734,'[1]Erogati mag-giu 2026_791_old'!$A:$W,14,FALSE)</f>
        <v>-66.260000000000005</v>
      </c>
      <c r="X734">
        <f t="shared" si="56"/>
        <v>0</v>
      </c>
      <c r="Y734" t="s">
        <v>158</v>
      </c>
      <c r="Z734" t="str">
        <f>VLOOKUP(G734,'[2]Erogati mag-giu 2026_791_old'!$D:$T,11,FALSE)</f>
        <v>indiretto</v>
      </c>
      <c r="AA734" t="b">
        <v>1</v>
      </c>
      <c r="AF734" t="s">
        <v>20</v>
      </c>
      <c r="AG734" t="s">
        <v>20</v>
      </c>
    </row>
    <row r="735" spans="1:33">
      <c r="A735" s="13" t="s">
        <v>1345</v>
      </c>
      <c r="B735" t="s">
        <v>1997</v>
      </c>
      <c r="C735" s="4">
        <v>202601308544427</v>
      </c>
      <c r="D735" s="4" t="b">
        <f t="shared" si="57"/>
        <v>1</v>
      </c>
      <c r="E735" t="s">
        <v>20</v>
      </c>
      <c r="F735" t="s">
        <v>21</v>
      </c>
      <c r="G735" t="s">
        <v>1346</v>
      </c>
      <c r="H735" t="str">
        <f>VLOOKUP(C735,'[1]Erogati mag-giu 2026_791_old'!$B:$E,4,FALSE)</f>
        <v>C320112</v>
      </c>
      <c r="I735" t="b">
        <f t="shared" si="53"/>
        <v>1</v>
      </c>
      <c r="J735" s="14">
        <v>46179</v>
      </c>
      <c r="K735" s="14">
        <v>46179</v>
      </c>
      <c r="L735" t="s">
        <v>20</v>
      </c>
      <c r="M735" s="14">
        <v>46188</v>
      </c>
      <c r="N735" s="14">
        <v>46179</v>
      </c>
      <c r="O735" t="s">
        <v>20</v>
      </c>
      <c r="P735">
        <v>-38.659999999999997</v>
      </c>
      <c r="Q735">
        <f>VLOOKUP(G735,'[1]Erogati mag-giu 2026_791_old'!$A:$W,12,FALSE)</f>
        <v>-38.659999999999997</v>
      </c>
      <c r="R735">
        <f t="shared" si="54"/>
        <v>0</v>
      </c>
      <c r="S735">
        <v>-38.659999999999997</v>
      </c>
      <c r="T735">
        <f>VLOOKUP(G735,'[1]Erogati mag-giu 2026_791_old'!$A:$W,13,FALSE)</f>
        <v>-38.659999999999997</v>
      </c>
      <c r="U735">
        <f t="shared" si="55"/>
        <v>0</v>
      </c>
      <c r="V735">
        <v>-38.659999999999997</v>
      </c>
      <c r="W735">
        <f>VLOOKUP(G735,'[1]Erogati mag-giu 2026_791_old'!$A:$W,14,FALSE)</f>
        <v>-38.659999999999997</v>
      </c>
      <c r="X735">
        <f t="shared" si="56"/>
        <v>0</v>
      </c>
      <c r="Y735" t="s">
        <v>158</v>
      </c>
      <c r="Z735" t="str">
        <f>VLOOKUP(G735,'[2]Erogati mag-giu 2026_791_old'!$D:$T,11,FALSE)</f>
        <v>indiretto</v>
      </c>
      <c r="AA735" t="b">
        <v>1</v>
      </c>
      <c r="AF735" t="s">
        <v>20</v>
      </c>
      <c r="AG735" t="s">
        <v>20</v>
      </c>
    </row>
    <row r="736" spans="1:33">
      <c r="A736" s="13" t="s">
        <v>1347</v>
      </c>
      <c r="B736" t="s">
        <v>1998</v>
      </c>
      <c r="C736" s="4">
        <v>202601308549835</v>
      </c>
      <c r="D736" s="4" t="b">
        <f t="shared" si="57"/>
        <v>1</v>
      </c>
      <c r="E736" t="s">
        <v>20</v>
      </c>
      <c r="F736" t="s">
        <v>21</v>
      </c>
      <c r="G736" t="s">
        <v>1348</v>
      </c>
      <c r="H736" t="str">
        <f>VLOOKUP(C736,'[1]Erogati mag-giu 2026_791_old'!$B:$E,4,FALSE)</f>
        <v>C337546</v>
      </c>
      <c r="I736" t="b">
        <f t="shared" si="53"/>
        <v>1</v>
      </c>
      <c r="J736" s="14">
        <v>46179</v>
      </c>
      <c r="K736" s="14">
        <v>46179</v>
      </c>
      <c r="L736" t="s">
        <v>20</v>
      </c>
      <c r="M736" s="14">
        <v>46188</v>
      </c>
      <c r="N736" s="14">
        <v>46179</v>
      </c>
      <c r="O736" t="s">
        <v>20</v>
      </c>
      <c r="P736">
        <v>-49.24</v>
      </c>
      <c r="Q736">
        <f>VLOOKUP(G736,'[1]Erogati mag-giu 2026_791_old'!$A:$W,12,FALSE)</f>
        <v>-49.24</v>
      </c>
      <c r="R736">
        <f t="shared" si="54"/>
        <v>0</v>
      </c>
      <c r="S736">
        <v>-49.24</v>
      </c>
      <c r="T736">
        <f>VLOOKUP(G736,'[1]Erogati mag-giu 2026_791_old'!$A:$W,13,FALSE)</f>
        <v>-49.24</v>
      </c>
      <c r="U736">
        <f t="shared" si="55"/>
        <v>0</v>
      </c>
      <c r="V736">
        <v>-49.24</v>
      </c>
      <c r="W736">
        <f>VLOOKUP(G736,'[1]Erogati mag-giu 2026_791_old'!$A:$W,14,FALSE)</f>
        <v>-49.24</v>
      </c>
      <c r="X736">
        <f t="shared" si="56"/>
        <v>0</v>
      </c>
      <c r="Y736" t="s">
        <v>158</v>
      </c>
      <c r="Z736" t="str">
        <f>VLOOKUP(G736,'[2]Erogati mag-giu 2026_791_old'!$D:$T,11,FALSE)</f>
        <v>indiretto</v>
      </c>
      <c r="AA736" t="b">
        <v>1</v>
      </c>
      <c r="AF736" t="s">
        <v>20</v>
      </c>
      <c r="AG736" t="s">
        <v>20</v>
      </c>
    </row>
    <row r="737" spans="1:33">
      <c r="A737" s="13" t="s">
        <v>1349</v>
      </c>
      <c r="B737" t="s">
        <v>1999</v>
      </c>
      <c r="C737" s="4">
        <v>202601308550788</v>
      </c>
      <c r="D737" s="4" t="b">
        <f t="shared" si="57"/>
        <v>1</v>
      </c>
      <c r="E737" t="s">
        <v>20</v>
      </c>
      <c r="F737" t="s">
        <v>21</v>
      </c>
      <c r="G737" t="s">
        <v>1350</v>
      </c>
      <c r="H737" t="str">
        <f>VLOOKUP(C737,'[1]Erogati mag-giu 2026_791_old'!$B:$E,4,FALSE)</f>
        <v>C311904</v>
      </c>
      <c r="I737" t="b">
        <f t="shared" si="53"/>
        <v>1</v>
      </c>
      <c r="J737" s="14">
        <v>46179</v>
      </c>
      <c r="K737" s="14">
        <v>46179</v>
      </c>
      <c r="L737" t="s">
        <v>20</v>
      </c>
      <c r="M737" s="14">
        <v>46188</v>
      </c>
      <c r="N737" s="14">
        <v>46179</v>
      </c>
      <c r="O737" t="s">
        <v>20</v>
      </c>
      <c r="P737">
        <v>-132.52000000000001</v>
      </c>
      <c r="Q737">
        <f>VLOOKUP(G737,'[1]Erogati mag-giu 2026_791_old'!$A:$W,12,FALSE)</f>
        <v>-132.52000000000001</v>
      </c>
      <c r="R737">
        <f t="shared" si="54"/>
        <v>0</v>
      </c>
      <c r="S737">
        <v>-132.52000000000001</v>
      </c>
      <c r="T737">
        <f>VLOOKUP(G737,'[1]Erogati mag-giu 2026_791_old'!$A:$W,13,FALSE)</f>
        <v>-132.52000000000001</v>
      </c>
      <c r="U737">
        <f t="shared" si="55"/>
        <v>0</v>
      </c>
      <c r="V737">
        <v>-132.52000000000001</v>
      </c>
      <c r="W737">
        <f>VLOOKUP(G737,'[1]Erogati mag-giu 2026_791_old'!$A:$W,14,FALSE)</f>
        <v>-132.52000000000001</v>
      </c>
      <c r="X737">
        <f t="shared" si="56"/>
        <v>0</v>
      </c>
      <c r="Y737" t="s">
        <v>158</v>
      </c>
      <c r="Z737" t="str">
        <f>VLOOKUP(G737,'[2]Erogati mag-giu 2026_791_old'!$D:$T,11,FALSE)</f>
        <v>indiretto</v>
      </c>
      <c r="AA737" t="b">
        <v>1</v>
      </c>
      <c r="AF737" t="s">
        <v>20</v>
      </c>
      <c r="AG737" t="s">
        <v>20</v>
      </c>
    </row>
    <row r="738" spans="1:33">
      <c r="A738" s="13" t="s">
        <v>1351</v>
      </c>
      <c r="B738" t="s">
        <v>2000</v>
      </c>
      <c r="C738" s="4">
        <v>202601308551939</v>
      </c>
      <c r="D738" s="4" t="b">
        <f t="shared" si="57"/>
        <v>1</v>
      </c>
      <c r="E738" t="s">
        <v>20</v>
      </c>
      <c r="F738" t="s">
        <v>21</v>
      </c>
      <c r="G738" t="s">
        <v>1352</v>
      </c>
      <c r="H738" t="str">
        <f>VLOOKUP(C738,'[1]Erogati mag-giu 2026_791_old'!$B:$E,4,FALSE)</f>
        <v>C338980</v>
      </c>
      <c r="I738" t="b">
        <f t="shared" si="53"/>
        <v>1</v>
      </c>
      <c r="J738" s="14">
        <v>46179</v>
      </c>
      <c r="K738" s="14">
        <v>46179</v>
      </c>
      <c r="L738" t="s">
        <v>20</v>
      </c>
      <c r="M738" s="14">
        <v>46188</v>
      </c>
      <c r="N738" s="14">
        <v>46179</v>
      </c>
      <c r="O738" t="s">
        <v>20</v>
      </c>
      <c r="P738">
        <v>-26.26</v>
      </c>
      <c r="Q738">
        <f>VLOOKUP(G738,'[1]Erogati mag-giu 2026_791_old'!$A:$W,12,FALSE)</f>
        <v>-26.26</v>
      </c>
      <c r="R738">
        <f t="shared" si="54"/>
        <v>0</v>
      </c>
      <c r="S738">
        <v>-26.26</v>
      </c>
      <c r="T738">
        <f>VLOOKUP(G738,'[1]Erogati mag-giu 2026_791_old'!$A:$W,13,FALSE)</f>
        <v>-26.26</v>
      </c>
      <c r="U738">
        <f t="shared" si="55"/>
        <v>0</v>
      </c>
      <c r="V738">
        <v>-26.26</v>
      </c>
      <c r="W738">
        <f>VLOOKUP(G738,'[1]Erogati mag-giu 2026_791_old'!$A:$W,14,FALSE)</f>
        <v>-26.26</v>
      </c>
      <c r="X738">
        <f t="shared" si="56"/>
        <v>0</v>
      </c>
      <c r="Y738" t="s">
        <v>158</v>
      </c>
      <c r="Z738" t="str">
        <f>VLOOKUP(G738,'[2]Erogati mag-giu 2026_791_old'!$D:$T,11,FALSE)</f>
        <v>indiretto</v>
      </c>
      <c r="AA738" t="b">
        <v>1</v>
      </c>
      <c r="AF738" t="s">
        <v>20</v>
      </c>
      <c r="AG738" t="s">
        <v>20</v>
      </c>
    </row>
    <row r="739" spans="1:33">
      <c r="A739" s="13" t="s">
        <v>1353</v>
      </c>
      <c r="B739" t="s">
        <v>2001</v>
      </c>
      <c r="C739" s="4">
        <v>202601308553883</v>
      </c>
      <c r="D739" s="4" t="b">
        <f t="shared" si="57"/>
        <v>1</v>
      </c>
      <c r="E739" t="s">
        <v>20</v>
      </c>
      <c r="F739" t="s">
        <v>21</v>
      </c>
      <c r="G739" t="s">
        <v>1354</v>
      </c>
      <c r="H739" t="str">
        <f>VLOOKUP(C739,'[1]Erogati mag-giu 2026_791_old'!$B:$E,4,FALSE)</f>
        <v>C124587</v>
      </c>
      <c r="I739" t="b">
        <f t="shared" si="53"/>
        <v>1</v>
      </c>
      <c r="J739" s="14">
        <v>46179</v>
      </c>
      <c r="K739" s="14">
        <v>46179</v>
      </c>
      <c r="L739" t="s">
        <v>20</v>
      </c>
      <c r="M739" s="14">
        <v>46188</v>
      </c>
      <c r="N739" s="14">
        <v>46179</v>
      </c>
      <c r="O739" t="s">
        <v>20</v>
      </c>
      <c r="P739">
        <v>-33.130000000000003</v>
      </c>
      <c r="Q739">
        <f>VLOOKUP(G739,'[1]Erogati mag-giu 2026_791_old'!$A:$W,12,FALSE)</f>
        <v>-33.130000000000003</v>
      </c>
      <c r="R739">
        <f t="shared" si="54"/>
        <v>0</v>
      </c>
      <c r="S739">
        <v>-33.130000000000003</v>
      </c>
      <c r="T739">
        <f>VLOOKUP(G739,'[1]Erogati mag-giu 2026_791_old'!$A:$W,13,FALSE)</f>
        <v>-33.130000000000003</v>
      </c>
      <c r="U739">
        <f t="shared" si="55"/>
        <v>0</v>
      </c>
      <c r="V739">
        <v>-33.130000000000003</v>
      </c>
      <c r="W739">
        <f>VLOOKUP(G739,'[1]Erogati mag-giu 2026_791_old'!$A:$W,14,FALSE)</f>
        <v>-33.130000000000003</v>
      </c>
      <c r="X739">
        <f t="shared" si="56"/>
        <v>0</v>
      </c>
      <c r="Y739" t="s">
        <v>158</v>
      </c>
      <c r="Z739" t="str">
        <f>VLOOKUP(G739,'[2]Erogati mag-giu 2026_791_old'!$D:$T,11,FALSE)</f>
        <v>indiretto</v>
      </c>
      <c r="AA739" t="b">
        <v>1</v>
      </c>
      <c r="AF739" t="s">
        <v>20</v>
      </c>
      <c r="AG739" t="s">
        <v>20</v>
      </c>
    </row>
    <row r="740" spans="1:33">
      <c r="A740" s="13" t="s">
        <v>1355</v>
      </c>
      <c r="B740" t="s">
        <v>2002</v>
      </c>
      <c r="C740" s="4">
        <v>202601308554164</v>
      </c>
      <c r="D740" s="4" t="b">
        <f t="shared" si="57"/>
        <v>1</v>
      </c>
      <c r="E740" t="s">
        <v>20</v>
      </c>
      <c r="F740" t="s">
        <v>21</v>
      </c>
      <c r="G740" t="s">
        <v>1356</v>
      </c>
      <c r="H740" t="str">
        <f>VLOOKUP(C740,'[1]Erogati mag-giu 2026_791_old'!$B:$E,4,FALSE)</f>
        <v>C320043</v>
      </c>
      <c r="I740" t="b">
        <f t="shared" si="53"/>
        <v>1</v>
      </c>
      <c r="J740" s="14">
        <v>46179</v>
      </c>
      <c r="K740" s="14">
        <v>46179</v>
      </c>
      <c r="L740" t="s">
        <v>20</v>
      </c>
      <c r="M740" s="14">
        <v>46188</v>
      </c>
      <c r="N740" s="14">
        <v>46179</v>
      </c>
      <c r="O740" t="s">
        <v>20</v>
      </c>
      <c r="P740">
        <v>-99.39</v>
      </c>
      <c r="Q740">
        <f>VLOOKUP(G740,'[1]Erogati mag-giu 2026_791_old'!$A:$W,12,FALSE)</f>
        <v>-99.39</v>
      </c>
      <c r="R740">
        <f t="shared" si="54"/>
        <v>0</v>
      </c>
      <c r="S740">
        <v>-99.39</v>
      </c>
      <c r="T740">
        <f>VLOOKUP(G740,'[1]Erogati mag-giu 2026_791_old'!$A:$W,13,FALSE)</f>
        <v>-99.39</v>
      </c>
      <c r="U740">
        <f t="shared" si="55"/>
        <v>0</v>
      </c>
      <c r="V740">
        <v>-99.39</v>
      </c>
      <c r="W740">
        <f>VLOOKUP(G740,'[1]Erogati mag-giu 2026_791_old'!$A:$W,14,FALSE)</f>
        <v>-99.39</v>
      </c>
      <c r="X740">
        <f t="shared" si="56"/>
        <v>0</v>
      </c>
      <c r="Y740" t="s">
        <v>158</v>
      </c>
      <c r="Z740" t="str">
        <f>VLOOKUP(G740,'[2]Erogati mag-giu 2026_791_old'!$D:$T,11,FALSE)</f>
        <v>indiretto</v>
      </c>
      <c r="AA740" t="b">
        <v>1</v>
      </c>
      <c r="AF740" t="s">
        <v>20</v>
      </c>
      <c r="AG740" t="s">
        <v>20</v>
      </c>
    </row>
    <row r="741" spans="1:33">
      <c r="A741" s="13" t="s">
        <v>1357</v>
      </c>
      <c r="B741" t="s">
        <v>2003</v>
      </c>
      <c r="C741" s="4">
        <v>202601308558234</v>
      </c>
      <c r="D741" s="4" t="b">
        <f t="shared" si="57"/>
        <v>1</v>
      </c>
      <c r="E741" t="s">
        <v>20</v>
      </c>
      <c r="F741" t="s">
        <v>21</v>
      </c>
      <c r="G741" t="s">
        <v>1358</v>
      </c>
      <c r="H741" t="str">
        <f>VLOOKUP(C741,'[1]Erogati mag-giu 2026_791_old'!$B:$E,4,FALSE)</f>
        <v>C344118</v>
      </c>
      <c r="I741" t="b">
        <f t="shared" si="53"/>
        <v>1</v>
      </c>
      <c r="J741" s="14">
        <v>46179</v>
      </c>
      <c r="K741" s="14">
        <v>46179</v>
      </c>
      <c r="L741" t="s">
        <v>20</v>
      </c>
      <c r="M741" s="14">
        <v>46188</v>
      </c>
      <c r="N741" s="14">
        <v>46179</v>
      </c>
      <c r="O741" t="s">
        <v>20</v>
      </c>
      <c r="P741">
        <v>-79.510000000000005</v>
      </c>
      <c r="Q741">
        <f>VLOOKUP(G741,'[1]Erogati mag-giu 2026_791_old'!$A:$W,12,FALSE)</f>
        <v>-79.510000000000005</v>
      </c>
      <c r="R741">
        <f t="shared" si="54"/>
        <v>0</v>
      </c>
      <c r="S741">
        <v>-79.510000000000005</v>
      </c>
      <c r="T741">
        <f>VLOOKUP(G741,'[1]Erogati mag-giu 2026_791_old'!$A:$W,13,FALSE)</f>
        <v>-79.510000000000005</v>
      </c>
      <c r="U741">
        <f t="shared" si="55"/>
        <v>0</v>
      </c>
      <c r="V741">
        <v>-79.510000000000005</v>
      </c>
      <c r="W741">
        <f>VLOOKUP(G741,'[1]Erogati mag-giu 2026_791_old'!$A:$W,14,FALSE)</f>
        <v>-79.510000000000005</v>
      </c>
      <c r="X741">
        <f t="shared" si="56"/>
        <v>0</v>
      </c>
      <c r="Y741" t="s">
        <v>158</v>
      </c>
      <c r="Z741" t="str">
        <f>VLOOKUP(G741,'[2]Erogati mag-giu 2026_791_old'!$D:$T,11,FALSE)</f>
        <v>indiretto</v>
      </c>
      <c r="AA741" t="b">
        <v>1</v>
      </c>
      <c r="AF741" t="s">
        <v>20</v>
      </c>
      <c r="AG741" t="s">
        <v>20</v>
      </c>
    </row>
    <row r="742" spans="1:33">
      <c r="A742" s="13" t="s">
        <v>1359</v>
      </c>
      <c r="B742" t="s">
        <v>2004</v>
      </c>
      <c r="C742" s="4">
        <v>202601308561710</v>
      </c>
      <c r="D742" s="4" t="b">
        <f t="shared" si="57"/>
        <v>1</v>
      </c>
      <c r="E742" t="s">
        <v>20</v>
      </c>
      <c r="F742" t="s">
        <v>21</v>
      </c>
      <c r="G742" t="s">
        <v>1360</v>
      </c>
      <c r="H742" t="str">
        <f>VLOOKUP(C742,'[1]Erogati mag-giu 2026_791_old'!$B:$E,4,FALSE)</f>
        <v>C101011</v>
      </c>
      <c r="I742" t="b">
        <f t="shared" si="53"/>
        <v>1</v>
      </c>
      <c r="J742" s="14">
        <v>46179</v>
      </c>
      <c r="K742" s="14">
        <v>46179</v>
      </c>
      <c r="L742" t="s">
        <v>20</v>
      </c>
      <c r="M742" s="14">
        <v>46188</v>
      </c>
      <c r="N742" s="14">
        <v>46179</v>
      </c>
      <c r="O742" t="s">
        <v>20</v>
      </c>
      <c r="P742">
        <v>-119.84</v>
      </c>
      <c r="Q742">
        <f>VLOOKUP(G742,'[1]Erogati mag-giu 2026_791_old'!$A:$W,12,FALSE)</f>
        <v>-119.84</v>
      </c>
      <c r="R742">
        <f t="shared" si="54"/>
        <v>0</v>
      </c>
      <c r="S742">
        <v>-119.84</v>
      </c>
      <c r="T742">
        <f>VLOOKUP(G742,'[1]Erogati mag-giu 2026_791_old'!$A:$W,13,FALSE)</f>
        <v>-119.84</v>
      </c>
      <c r="U742">
        <f t="shared" si="55"/>
        <v>0</v>
      </c>
      <c r="V742">
        <v>-119.84</v>
      </c>
      <c r="W742">
        <f>VLOOKUP(G742,'[1]Erogati mag-giu 2026_791_old'!$A:$W,14,FALSE)</f>
        <v>-119.84</v>
      </c>
      <c r="X742">
        <f t="shared" si="56"/>
        <v>0</v>
      </c>
      <c r="Y742" t="s">
        <v>158</v>
      </c>
      <c r="Z742" t="str">
        <f>VLOOKUP(G742,'[2]Erogati mag-giu 2026_791_old'!$D:$T,11,FALSE)</f>
        <v>indiretto</v>
      </c>
      <c r="AA742" t="b">
        <v>1</v>
      </c>
      <c r="AF742" t="s">
        <v>20</v>
      </c>
      <c r="AG742" t="s">
        <v>20</v>
      </c>
    </row>
    <row r="743" spans="1:33">
      <c r="A743" s="13" t="s">
        <v>1361</v>
      </c>
      <c r="B743" t="s">
        <v>2005</v>
      </c>
      <c r="C743" s="4">
        <v>202601308563183</v>
      </c>
      <c r="D743" s="4" t="b">
        <f t="shared" si="57"/>
        <v>1</v>
      </c>
      <c r="E743" t="s">
        <v>20</v>
      </c>
      <c r="F743" t="s">
        <v>21</v>
      </c>
      <c r="G743" t="s">
        <v>1362</v>
      </c>
      <c r="H743" t="str">
        <f>VLOOKUP(C743,'[1]Erogati mag-giu 2026_791_old'!$B:$E,4,FALSE)</f>
        <v>C337554</v>
      </c>
      <c r="I743" t="b">
        <f t="shared" si="53"/>
        <v>1</v>
      </c>
      <c r="J743" s="14">
        <v>46179</v>
      </c>
      <c r="K743" s="14">
        <v>46179</v>
      </c>
      <c r="L743" t="s">
        <v>20</v>
      </c>
      <c r="M743" s="14">
        <v>46188</v>
      </c>
      <c r="N743" s="14">
        <v>46179</v>
      </c>
      <c r="O743" t="s">
        <v>20</v>
      </c>
      <c r="P743">
        <v>-59.64</v>
      </c>
      <c r="Q743">
        <f>VLOOKUP(G743,'[1]Erogati mag-giu 2026_791_old'!$A:$W,12,FALSE)</f>
        <v>-59.64</v>
      </c>
      <c r="R743">
        <f t="shared" si="54"/>
        <v>0</v>
      </c>
      <c r="S743">
        <v>-59.64</v>
      </c>
      <c r="T743">
        <f>VLOOKUP(G743,'[1]Erogati mag-giu 2026_791_old'!$A:$W,13,FALSE)</f>
        <v>-59.64</v>
      </c>
      <c r="U743">
        <f t="shared" si="55"/>
        <v>0</v>
      </c>
      <c r="V743">
        <v>-59.64</v>
      </c>
      <c r="W743">
        <f>VLOOKUP(G743,'[1]Erogati mag-giu 2026_791_old'!$A:$W,14,FALSE)</f>
        <v>-59.64</v>
      </c>
      <c r="X743">
        <f t="shared" si="56"/>
        <v>0</v>
      </c>
      <c r="Y743" t="s">
        <v>158</v>
      </c>
      <c r="Z743" t="str">
        <f>VLOOKUP(G743,'[2]Erogati mag-giu 2026_791_old'!$D:$T,11,FALSE)</f>
        <v>indiretto</v>
      </c>
      <c r="AA743" t="b">
        <v>1</v>
      </c>
      <c r="AF743" t="s">
        <v>20</v>
      </c>
      <c r="AG743" t="s">
        <v>20</v>
      </c>
    </row>
    <row r="744" spans="1:33">
      <c r="A744" s="13" t="s">
        <v>1363</v>
      </c>
      <c r="B744" t="s">
        <v>2006</v>
      </c>
      <c r="C744" s="4">
        <v>202601308563213</v>
      </c>
      <c r="D744" s="4" t="b">
        <f t="shared" si="57"/>
        <v>1</v>
      </c>
      <c r="E744" t="s">
        <v>20</v>
      </c>
      <c r="F744" t="s">
        <v>21</v>
      </c>
      <c r="G744" t="s">
        <v>1364</v>
      </c>
      <c r="H744" t="str">
        <f>VLOOKUP(C744,'[1]Erogati mag-giu 2026_791_old'!$B:$E,4,FALSE)</f>
        <v>C344345</v>
      </c>
      <c r="I744" t="b">
        <f t="shared" si="53"/>
        <v>1</v>
      </c>
      <c r="J744" s="14">
        <v>46179</v>
      </c>
      <c r="K744" s="14">
        <v>46179</v>
      </c>
      <c r="L744" t="s">
        <v>20</v>
      </c>
      <c r="M744" s="14">
        <v>46188</v>
      </c>
      <c r="N744" s="14">
        <v>46179</v>
      </c>
      <c r="O744" t="s">
        <v>20</v>
      </c>
      <c r="P744">
        <v>-119.73</v>
      </c>
      <c r="Q744">
        <f>VLOOKUP(G744,'[1]Erogati mag-giu 2026_791_old'!$A:$W,12,FALSE)</f>
        <v>-119.73</v>
      </c>
      <c r="R744">
        <f t="shared" si="54"/>
        <v>0</v>
      </c>
      <c r="S744">
        <v>-119.73</v>
      </c>
      <c r="T744">
        <f>VLOOKUP(G744,'[1]Erogati mag-giu 2026_791_old'!$A:$W,13,FALSE)</f>
        <v>-119.73</v>
      </c>
      <c r="U744">
        <f t="shared" si="55"/>
        <v>0</v>
      </c>
      <c r="V744">
        <v>-119.73</v>
      </c>
      <c r="W744">
        <f>VLOOKUP(G744,'[1]Erogati mag-giu 2026_791_old'!$A:$W,14,FALSE)</f>
        <v>-119.73</v>
      </c>
      <c r="X744">
        <f t="shared" si="56"/>
        <v>0</v>
      </c>
      <c r="Y744" t="s">
        <v>158</v>
      </c>
      <c r="Z744" t="str">
        <f>VLOOKUP(G744,'[2]Erogati mag-giu 2026_791_old'!$D:$T,11,FALSE)</f>
        <v>indiretto</v>
      </c>
      <c r="AA744" t="b">
        <v>1</v>
      </c>
      <c r="AF744" t="s">
        <v>20</v>
      </c>
      <c r="AG744" t="s">
        <v>20</v>
      </c>
    </row>
    <row r="745" spans="1:33">
      <c r="A745" s="13" t="s">
        <v>1365</v>
      </c>
      <c r="B745" t="s">
        <v>2007</v>
      </c>
      <c r="C745" s="4">
        <v>202601308566207</v>
      </c>
      <c r="D745" s="4" t="b">
        <f t="shared" si="57"/>
        <v>1</v>
      </c>
      <c r="E745" t="s">
        <v>20</v>
      </c>
      <c r="F745" t="s">
        <v>21</v>
      </c>
      <c r="G745" t="s">
        <v>1366</v>
      </c>
      <c r="H745" t="str">
        <f>VLOOKUP(C745,'[1]Erogati mag-giu 2026_791_old'!$B:$E,4,FALSE)</f>
        <v>C119713</v>
      </c>
      <c r="I745" t="b">
        <f t="shared" si="53"/>
        <v>1</v>
      </c>
      <c r="J745" s="14">
        <v>46179</v>
      </c>
      <c r="K745" s="14">
        <v>46179</v>
      </c>
      <c r="L745" t="s">
        <v>20</v>
      </c>
      <c r="M745" s="14">
        <v>46188</v>
      </c>
      <c r="N745" s="14">
        <v>46179</v>
      </c>
      <c r="O745" t="s">
        <v>20</v>
      </c>
      <c r="P745">
        <v>-149.09</v>
      </c>
      <c r="Q745">
        <f>VLOOKUP(G745,'[1]Erogati mag-giu 2026_791_old'!$A:$W,12,FALSE)</f>
        <v>-149.09</v>
      </c>
      <c r="R745">
        <f t="shared" si="54"/>
        <v>0</v>
      </c>
      <c r="S745">
        <v>-149.09</v>
      </c>
      <c r="T745">
        <f>VLOOKUP(G745,'[1]Erogati mag-giu 2026_791_old'!$A:$W,13,FALSE)</f>
        <v>-149.09</v>
      </c>
      <c r="U745">
        <f t="shared" si="55"/>
        <v>0</v>
      </c>
      <c r="V745">
        <v>-149.09</v>
      </c>
      <c r="W745">
        <f>VLOOKUP(G745,'[1]Erogati mag-giu 2026_791_old'!$A:$W,14,FALSE)</f>
        <v>-149.09</v>
      </c>
      <c r="X745">
        <f t="shared" si="56"/>
        <v>0</v>
      </c>
      <c r="Y745" t="s">
        <v>158</v>
      </c>
      <c r="Z745" t="str">
        <f>VLOOKUP(G745,'[2]Erogati mag-giu 2026_791_old'!$D:$T,11,FALSE)</f>
        <v>indiretto</v>
      </c>
      <c r="AA745" t="b">
        <v>1</v>
      </c>
      <c r="AF745" t="s">
        <v>20</v>
      </c>
      <c r="AG745" t="s">
        <v>20</v>
      </c>
    </row>
    <row r="746" spans="1:33">
      <c r="A746" s="13" t="s">
        <v>1367</v>
      </c>
      <c r="B746" t="s">
        <v>2008</v>
      </c>
      <c r="C746" s="4">
        <v>202601308566368</v>
      </c>
      <c r="D746" s="4" t="b">
        <f t="shared" si="57"/>
        <v>1</v>
      </c>
      <c r="E746" t="s">
        <v>20</v>
      </c>
      <c r="F746" t="s">
        <v>21</v>
      </c>
      <c r="G746" t="s">
        <v>1368</v>
      </c>
      <c r="H746" t="str">
        <f>VLOOKUP(C746,'[1]Erogati mag-giu 2026_791_old'!$B:$E,4,FALSE)</f>
        <v>C344149</v>
      </c>
      <c r="I746" t="b">
        <f t="shared" si="53"/>
        <v>1</v>
      </c>
      <c r="J746" s="14">
        <v>46179</v>
      </c>
      <c r="K746" s="14">
        <v>46179</v>
      </c>
      <c r="L746" t="s">
        <v>20</v>
      </c>
      <c r="M746" s="14">
        <v>46188</v>
      </c>
      <c r="N746" s="14">
        <v>46179</v>
      </c>
      <c r="O746" t="s">
        <v>20</v>
      </c>
      <c r="P746">
        <v>-105.03</v>
      </c>
      <c r="Q746">
        <f>VLOOKUP(G746,'[1]Erogati mag-giu 2026_791_old'!$A:$W,12,FALSE)</f>
        <v>-105.03</v>
      </c>
      <c r="R746">
        <f t="shared" si="54"/>
        <v>0</v>
      </c>
      <c r="S746">
        <v>-105.03</v>
      </c>
      <c r="T746">
        <f>VLOOKUP(G746,'[1]Erogati mag-giu 2026_791_old'!$A:$W,13,FALSE)</f>
        <v>-105.03</v>
      </c>
      <c r="U746">
        <f t="shared" si="55"/>
        <v>0</v>
      </c>
      <c r="V746">
        <v>-105.03</v>
      </c>
      <c r="W746">
        <f>VLOOKUP(G746,'[1]Erogati mag-giu 2026_791_old'!$A:$W,14,FALSE)</f>
        <v>-105.03</v>
      </c>
      <c r="X746">
        <f t="shared" si="56"/>
        <v>0</v>
      </c>
      <c r="Y746" t="s">
        <v>158</v>
      </c>
      <c r="Z746" t="str">
        <f>VLOOKUP(G746,'[2]Erogati mag-giu 2026_791_old'!$D:$T,11,FALSE)</f>
        <v>indiretto</v>
      </c>
      <c r="AA746" t="b">
        <v>1</v>
      </c>
      <c r="AF746" t="s">
        <v>20</v>
      </c>
      <c r="AG746" t="s">
        <v>20</v>
      </c>
    </row>
    <row r="747" spans="1:33">
      <c r="A747" s="13" t="s">
        <v>1369</v>
      </c>
      <c r="B747" t="s">
        <v>2009</v>
      </c>
      <c r="C747" s="4">
        <v>202601308567400</v>
      </c>
      <c r="D747" s="4" t="b">
        <f t="shared" si="57"/>
        <v>1</v>
      </c>
      <c r="E747" t="s">
        <v>20</v>
      </c>
      <c r="F747" t="s">
        <v>21</v>
      </c>
      <c r="G747" t="s">
        <v>1370</v>
      </c>
      <c r="H747" t="str">
        <f>VLOOKUP(C747,'[1]Erogati mag-giu 2026_791_old'!$B:$E,4,FALSE)</f>
        <v>C344192</v>
      </c>
      <c r="I747" t="b">
        <f t="shared" si="53"/>
        <v>1</v>
      </c>
      <c r="J747" s="14">
        <v>46179</v>
      </c>
      <c r="K747" s="14">
        <v>46179</v>
      </c>
      <c r="L747" t="s">
        <v>20</v>
      </c>
      <c r="M747" s="14">
        <v>46188</v>
      </c>
      <c r="N747" s="14">
        <v>46179</v>
      </c>
      <c r="O747" t="s">
        <v>20</v>
      </c>
      <c r="P747">
        <v>-105.03</v>
      </c>
      <c r="Q747">
        <f>VLOOKUP(G747,'[1]Erogati mag-giu 2026_791_old'!$A:$W,12,FALSE)</f>
        <v>-105.03</v>
      </c>
      <c r="R747">
        <f t="shared" si="54"/>
        <v>0</v>
      </c>
      <c r="S747">
        <v>-105.03</v>
      </c>
      <c r="T747">
        <f>VLOOKUP(G747,'[1]Erogati mag-giu 2026_791_old'!$A:$W,13,FALSE)</f>
        <v>-105.03</v>
      </c>
      <c r="U747">
        <f t="shared" si="55"/>
        <v>0</v>
      </c>
      <c r="V747">
        <v>-105.03</v>
      </c>
      <c r="W747">
        <f>VLOOKUP(G747,'[1]Erogati mag-giu 2026_791_old'!$A:$W,14,FALSE)</f>
        <v>-105.03</v>
      </c>
      <c r="X747">
        <f t="shared" si="56"/>
        <v>0</v>
      </c>
      <c r="Y747" t="s">
        <v>158</v>
      </c>
      <c r="Z747" t="str">
        <f>VLOOKUP(G747,'[2]Erogati mag-giu 2026_791_old'!$D:$T,11,FALSE)</f>
        <v>indiretto</v>
      </c>
      <c r="AA747" t="b">
        <v>1</v>
      </c>
      <c r="AF747" t="s">
        <v>20</v>
      </c>
      <c r="AG747" t="s">
        <v>20</v>
      </c>
    </row>
    <row r="748" spans="1:33">
      <c r="A748" s="13" t="s">
        <v>1371</v>
      </c>
      <c r="B748" t="s">
        <v>2010</v>
      </c>
      <c r="C748" s="4">
        <v>202601308570631</v>
      </c>
      <c r="D748" s="4" t="b">
        <f t="shared" si="57"/>
        <v>1</v>
      </c>
      <c r="E748" t="s">
        <v>20</v>
      </c>
      <c r="F748" t="s">
        <v>21</v>
      </c>
      <c r="G748" t="s">
        <v>1372</v>
      </c>
      <c r="H748" t="str">
        <f>VLOOKUP(C748,'[1]Erogati mag-giu 2026_791_old'!$B:$E,4,FALSE)</f>
        <v>C310495</v>
      </c>
      <c r="I748" t="b">
        <f t="shared" si="53"/>
        <v>1</v>
      </c>
      <c r="J748" s="14">
        <v>46179</v>
      </c>
      <c r="K748" s="14">
        <v>46179</v>
      </c>
      <c r="L748" t="s">
        <v>20</v>
      </c>
      <c r="M748" s="14">
        <v>46188</v>
      </c>
      <c r="N748" s="14">
        <v>46179</v>
      </c>
      <c r="O748" t="s">
        <v>20</v>
      </c>
      <c r="P748">
        <v>-33.130000000000003</v>
      </c>
      <c r="Q748">
        <f>VLOOKUP(G748,'[1]Erogati mag-giu 2026_791_old'!$A:$W,12,FALSE)</f>
        <v>-33.130000000000003</v>
      </c>
      <c r="R748">
        <f t="shared" si="54"/>
        <v>0</v>
      </c>
      <c r="S748">
        <v>-33.130000000000003</v>
      </c>
      <c r="T748">
        <f>VLOOKUP(G748,'[1]Erogati mag-giu 2026_791_old'!$A:$W,13,FALSE)</f>
        <v>-33.130000000000003</v>
      </c>
      <c r="U748">
        <f t="shared" si="55"/>
        <v>0</v>
      </c>
      <c r="V748">
        <v>-33.130000000000003</v>
      </c>
      <c r="W748">
        <f>VLOOKUP(G748,'[1]Erogati mag-giu 2026_791_old'!$A:$W,14,FALSE)</f>
        <v>-33.130000000000003</v>
      </c>
      <c r="X748">
        <f t="shared" si="56"/>
        <v>0</v>
      </c>
      <c r="Y748" t="s">
        <v>158</v>
      </c>
      <c r="Z748" t="str">
        <f>VLOOKUP(G748,'[2]Erogati mag-giu 2026_791_old'!$D:$T,11,FALSE)</f>
        <v>indiretto</v>
      </c>
      <c r="AA748" t="b">
        <v>1</v>
      </c>
      <c r="AF748" t="s">
        <v>20</v>
      </c>
      <c r="AG748" t="s">
        <v>20</v>
      </c>
    </row>
    <row r="749" spans="1:33">
      <c r="A749" s="13" t="s">
        <v>1373</v>
      </c>
      <c r="B749" t="s">
        <v>2011</v>
      </c>
      <c r="C749" s="4">
        <v>202601308571150</v>
      </c>
      <c r="D749" s="4" t="b">
        <f t="shared" si="57"/>
        <v>1</v>
      </c>
      <c r="E749" t="s">
        <v>20</v>
      </c>
      <c r="F749" t="s">
        <v>21</v>
      </c>
      <c r="G749" t="s">
        <v>1374</v>
      </c>
      <c r="H749" t="str">
        <f>VLOOKUP(C749,'[1]Erogati mag-giu 2026_791_old'!$B:$E,4,FALSE)</f>
        <v>C344117</v>
      </c>
      <c r="I749" t="b">
        <f t="shared" si="53"/>
        <v>1</v>
      </c>
      <c r="J749" s="14">
        <v>46179</v>
      </c>
      <c r="K749" s="14">
        <v>46179</v>
      </c>
      <c r="L749" t="s">
        <v>20</v>
      </c>
      <c r="M749" s="14">
        <v>46188</v>
      </c>
      <c r="N749" s="14">
        <v>46179</v>
      </c>
      <c r="O749" t="s">
        <v>20</v>
      </c>
      <c r="P749">
        <v>-132.52000000000001</v>
      </c>
      <c r="Q749">
        <f>VLOOKUP(G749,'[1]Erogati mag-giu 2026_791_old'!$A:$W,12,FALSE)</f>
        <v>-132.52000000000001</v>
      </c>
      <c r="R749">
        <f t="shared" si="54"/>
        <v>0</v>
      </c>
      <c r="S749">
        <v>-132.52000000000001</v>
      </c>
      <c r="T749">
        <f>VLOOKUP(G749,'[1]Erogati mag-giu 2026_791_old'!$A:$W,13,FALSE)</f>
        <v>-132.52000000000001</v>
      </c>
      <c r="U749">
        <f t="shared" si="55"/>
        <v>0</v>
      </c>
      <c r="V749">
        <v>-132.52000000000001</v>
      </c>
      <c r="W749">
        <f>VLOOKUP(G749,'[1]Erogati mag-giu 2026_791_old'!$A:$W,14,FALSE)</f>
        <v>-132.52000000000001</v>
      </c>
      <c r="X749">
        <f t="shared" si="56"/>
        <v>0</v>
      </c>
      <c r="Y749" t="s">
        <v>158</v>
      </c>
      <c r="Z749" t="str">
        <f>VLOOKUP(G749,'[2]Erogati mag-giu 2026_791_old'!$D:$T,11,FALSE)</f>
        <v>indiretto</v>
      </c>
      <c r="AA749" t="b">
        <v>1</v>
      </c>
      <c r="AF749" t="s">
        <v>20</v>
      </c>
      <c r="AG749" t="s">
        <v>20</v>
      </c>
    </row>
    <row r="750" spans="1:33">
      <c r="A750" s="13" t="s">
        <v>1375</v>
      </c>
      <c r="B750" t="s">
        <v>2012</v>
      </c>
      <c r="C750" s="4">
        <v>202601308572756</v>
      </c>
      <c r="D750" s="4" t="b">
        <f t="shared" si="57"/>
        <v>1</v>
      </c>
      <c r="E750" t="s">
        <v>20</v>
      </c>
      <c r="F750" t="s">
        <v>21</v>
      </c>
      <c r="G750" t="s">
        <v>1376</v>
      </c>
      <c r="H750" t="str">
        <f>VLOOKUP(C750,'[1]Erogati mag-giu 2026_791_old'!$B:$E,4,FALSE)</f>
        <v>C344287</v>
      </c>
      <c r="I750" t="b">
        <f t="shared" si="53"/>
        <v>1</v>
      </c>
      <c r="J750" s="14">
        <v>46179</v>
      </c>
      <c r="K750" s="14">
        <v>46179</v>
      </c>
      <c r="L750" t="s">
        <v>20</v>
      </c>
      <c r="M750" s="14">
        <v>46188</v>
      </c>
      <c r="N750" s="14">
        <v>46179</v>
      </c>
      <c r="O750" t="s">
        <v>20</v>
      </c>
      <c r="P750">
        <v>-33.130000000000003</v>
      </c>
      <c r="Q750">
        <f>VLOOKUP(G750,'[1]Erogati mag-giu 2026_791_old'!$A:$W,12,FALSE)</f>
        <v>-33.130000000000003</v>
      </c>
      <c r="R750">
        <f t="shared" si="54"/>
        <v>0</v>
      </c>
      <c r="S750">
        <v>-33.130000000000003</v>
      </c>
      <c r="T750">
        <f>VLOOKUP(G750,'[1]Erogati mag-giu 2026_791_old'!$A:$W,13,FALSE)</f>
        <v>-33.130000000000003</v>
      </c>
      <c r="U750">
        <f t="shared" si="55"/>
        <v>0</v>
      </c>
      <c r="V750">
        <v>-33.130000000000003</v>
      </c>
      <c r="W750">
        <f>VLOOKUP(G750,'[1]Erogati mag-giu 2026_791_old'!$A:$W,14,FALSE)</f>
        <v>-33.130000000000003</v>
      </c>
      <c r="X750">
        <f t="shared" si="56"/>
        <v>0</v>
      </c>
      <c r="Y750" t="s">
        <v>158</v>
      </c>
      <c r="Z750" t="str">
        <f>VLOOKUP(G750,'[2]Erogati mag-giu 2026_791_old'!$D:$T,11,FALSE)</f>
        <v>indiretto</v>
      </c>
      <c r="AA750" t="b">
        <v>1</v>
      </c>
      <c r="AF750" t="s">
        <v>20</v>
      </c>
      <c r="AG750" t="s">
        <v>20</v>
      </c>
    </row>
    <row r="751" spans="1:33">
      <c r="A751" s="13" t="s">
        <v>1377</v>
      </c>
      <c r="B751" t="s">
        <v>2013</v>
      </c>
      <c r="C751" s="4">
        <v>202601308573926</v>
      </c>
      <c r="D751" s="4" t="b">
        <f t="shared" si="57"/>
        <v>1</v>
      </c>
      <c r="E751" t="s">
        <v>20</v>
      </c>
      <c r="F751" t="s">
        <v>21</v>
      </c>
      <c r="G751" t="s">
        <v>1378</v>
      </c>
      <c r="H751" t="str">
        <f>VLOOKUP(C751,'[1]Erogati mag-giu 2026_791_old'!$B:$E,4,FALSE)</f>
        <v>C344148</v>
      </c>
      <c r="I751" t="b">
        <f t="shared" si="53"/>
        <v>1</v>
      </c>
      <c r="J751" s="14">
        <v>46179</v>
      </c>
      <c r="K751" s="14">
        <v>46179</v>
      </c>
      <c r="L751" t="s">
        <v>20</v>
      </c>
      <c r="M751" s="14">
        <v>46188</v>
      </c>
      <c r="N751" s="14">
        <v>46179</v>
      </c>
      <c r="O751" t="s">
        <v>20</v>
      </c>
      <c r="P751">
        <v>-78.78</v>
      </c>
      <c r="Q751">
        <f>VLOOKUP(G751,'[1]Erogati mag-giu 2026_791_old'!$A:$W,12,FALSE)</f>
        <v>-78.78</v>
      </c>
      <c r="R751">
        <f t="shared" si="54"/>
        <v>0</v>
      </c>
      <c r="S751">
        <v>-78.78</v>
      </c>
      <c r="T751">
        <f>VLOOKUP(G751,'[1]Erogati mag-giu 2026_791_old'!$A:$W,13,FALSE)</f>
        <v>-78.78</v>
      </c>
      <c r="U751">
        <f t="shared" si="55"/>
        <v>0</v>
      </c>
      <c r="V751">
        <v>-78.78</v>
      </c>
      <c r="W751">
        <f>VLOOKUP(G751,'[1]Erogati mag-giu 2026_791_old'!$A:$W,14,FALSE)</f>
        <v>-78.78</v>
      </c>
      <c r="X751">
        <f t="shared" si="56"/>
        <v>0</v>
      </c>
      <c r="Y751" t="s">
        <v>158</v>
      </c>
      <c r="Z751" t="str">
        <f>VLOOKUP(G751,'[2]Erogati mag-giu 2026_791_old'!$D:$T,11,FALSE)</f>
        <v>indiretto</v>
      </c>
      <c r="AA751" t="b">
        <v>1</v>
      </c>
      <c r="AF751" t="s">
        <v>20</v>
      </c>
      <c r="AG751" t="s">
        <v>20</v>
      </c>
    </row>
    <row r="752" spans="1:33">
      <c r="A752" s="13" t="s">
        <v>1379</v>
      </c>
      <c r="B752" t="s">
        <v>2014</v>
      </c>
      <c r="C752" s="4">
        <v>202601308580328</v>
      </c>
      <c r="D752" s="4" t="b">
        <f t="shared" si="57"/>
        <v>1</v>
      </c>
      <c r="E752" t="s">
        <v>20</v>
      </c>
      <c r="F752" t="s">
        <v>21</v>
      </c>
      <c r="G752" t="s">
        <v>1380</v>
      </c>
      <c r="H752" t="str">
        <f>VLOOKUP(C752,'[1]Erogati mag-giu 2026_791_old'!$B:$E,4,FALSE)</f>
        <v>C344137</v>
      </c>
      <c r="I752" t="b">
        <f t="shared" si="53"/>
        <v>1</v>
      </c>
      <c r="J752" s="14">
        <v>46179</v>
      </c>
      <c r="K752" s="14">
        <v>46179</v>
      </c>
      <c r="L752" t="s">
        <v>20</v>
      </c>
      <c r="M752" s="14">
        <v>46188</v>
      </c>
      <c r="N752" s="14">
        <v>46179</v>
      </c>
      <c r="O752" t="s">
        <v>20</v>
      </c>
      <c r="P752">
        <v>-86.33</v>
      </c>
      <c r="Q752">
        <f>VLOOKUP(G752,'[1]Erogati mag-giu 2026_791_old'!$A:$W,12,FALSE)</f>
        <v>-86.33</v>
      </c>
      <c r="R752">
        <f t="shared" si="54"/>
        <v>0</v>
      </c>
      <c r="S752">
        <v>-86.33</v>
      </c>
      <c r="T752">
        <f>VLOOKUP(G752,'[1]Erogati mag-giu 2026_791_old'!$A:$W,13,FALSE)</f>
        <v>-86.33</v>
      </c>
      <c r="U752">
        <f t="shared" si="55"/>
        <v>0</v>
      </c>
      <c r="V752">
        <v>-86.33</v>
      </c>
      <c r="W752">
        <f>VLOOKUP(G752,'[1]Erogati mag-giu 2026_791_old'!$A:$W,14,FALSE)</f>
        <v>-86.33</v>
      </c>
      <c r="X752">
        <f t="shared" si="56"/>
        <v>0</v>
      </c>
      <c r="Y752" t="s">
        <v>158</v>
      </c>
      <c r="Z752" t="str">
        <f>VLOOKUP(G752,'[2]Erogati mag-giu 2026_791_old'!$D:$T,11,FALSE)</f>
        <v>indiretto</v>
      </c>
      <c r="AA752" t="b">
        <v>1</v>
      </c>
      <c r="AF752" t="s">
        <v>20</v>
      </c>
      <c r="AG752" t="s">
        <v>20</v>
      </c>
    </row>
    <row r="753" spans="1:33">
      <c r="A753" s="13" t="s">
        <v>1381</v>
      </c>
      <c r="B753" t="s">
        <v>2015</v>
      </c>
      <c r="C753" s="4">
        <v>202601308583386</v>
      </c>
      <c r="D753" s="4" t="b">
        <f t="shared" si="57"/>
        <v>1</v>
      </c>
      <c r="E753" t="s">
        <v>20</v>
      </c>
      <c r="F753" t="s">
        <v>21</v>
      </c>
      <c r="G753" t="s">
        <v>1382</v>
      </c>
      <c r="H753" t="str">
        <f>VLOOKUP(C753,'[1]Erogati mag-giu 2026_791_old'!$B:$E,4,FALSE)</f>
        <v>C120750</v>
      </c>
      <c r="I753" t="b">
        <f t="shared" si="53"/>
        <v>1</v>
      </c>
      <c r="J753" s="14">
        <v>46179</v>
      </c>
      <c r="K753" s="14">
        <v>46179</v>
      </c>
      <c r="L753" t="s">
        <v>20</v>
      </c>
      <c r="M753" s="14">
        <v>46188</v>
      </c>
      <c r="N753" s="14">
        <v>46179</v>
      </c>
      <c r="O753" t="s">
        <v>20</v>
      </c>
      <c r="P753">
        <v>-165.65</v>
      </c>
      <c r="Q753">
        <f>VLOOKUP(G753,'[1]Erogati mag-giu 2026_791_old'!$A:$W,12,FALSE)</f>
        <v>-165.65</v>
      </c>
      <c r="R753">
        <f t="shared" si="54"/>
        <v>0</v>
      </c>
      <c r="S753">
        <v>-165.65</v>
      </c>
      <c r="T753">
        <f>VLOOKUP(G753,'[1]Erogati mag-giu 2026_791_old'!$A:$W,13,FALSE)</f>
        <v>-165.65</v>
      </c>
      <c r="U753">
        <f t="shared" si="55"/>
        <v>0</v>
      </c>
      <c r="V753">
        <v>-165.65</v>
      </c>
      <c r="W753">
        <f>VLOOKUP(G753,'[1]Erogati mag-giu 2026_791_old'!$A:$W,14,FALSE)</f>
        <v>-165.65</v>
      </c>
      <c r="X753">
        <f t="shared" si="56"/>
        <v>0</v>
      </c>
      <c r="Y753" t="s">
        <v>158</v>
      </c>
      <c r="Z753" t="str">
        <f>VLOOKUP(G753,'[2]Erogati mag-giu 2026_791_old'!$D:$T,11,FALSE)</f>
        <v>indiretto</v>
      </c>
      <c r="AA753" t="b">
        <v>1</v>
      </c>
      <c r="AF753" t="s">
        <v>20</v>
      </c>
      <c r="AG753" t="s">
        <v>20</v>
      </c>
    </row>
    <row r="754" spans="1:33">
      <c r="A754" s="13" t="s">
        <v>1383</v>
      </c>
      <c r="B754" t="s">
        <v>2016</v>
      </c>
      <c r="C754" s="4">
        <v>202601308590666</v>
      </c>
      <c r="D754" s="4" t="b">
        <f t="shared" si="57"/>
        <v>1</v>
      </c>
      <c r="E754" t="s">
        <v>20</v>
      </c>
      <c r="F754" t="s">
        <v>21</v>
      </c>
      <c r="G754" t="s">
        <v>1384</v>
      </c>
      <c r="H754" t="str">
        <f>VLOOKUP(C754,'[1]Erogati mag-giu 2026_791_old'!$B:$E,4,FALSE)</f>
        <v>C110106</v>
      </c>
      <c r="I754" t="b">
        <f t="shared" si="53"/>
        <v>1</v>
      </c>
      <c r="J754" s="14">
        <v>46179</v>
      </c>
      <c r="K754" s="14">
        <v>46179</v>
      </c>
      <c r="L754" t="s">
        <v>20</v>
      </c>
      <c r="M754" s="14">
        <v>46188</v>
      </c>
      <c r="N754" s="14">
        <v>46179</v>
      </c>
      <c r="O754" t="s">
        <v>20</v>
      </c>
      <c r="P754">
        <v>-132.52000000000001</v>
      </c>
      <c r="Q754">
        <f>VLOOKUP(G754,'[1]Erogati mag-giu 2026_791_old'!$A:$W,12,FALSE)</f>
        <v>-132.52000000000001</v>
      </c>
      <c r="R754">
        <f t="shared" si="54"/>
        <v>0</v>
      </c>
      <c r="S754">
        <v>-132.52000000000001</v>
      </c>
      <c r="T754">
        <f>VLOOKUP(G754,'[1]Erogati mag-giu 2026_791_old'!$A:$W,13,FALSE)</f>
        <v>-132.52000000000001</v>
      </c>
      <c r="U754">
        <f t="shared" si="55"/>
        <v>0</v>
      </c>
      <c r="V754">
        <v>-132.52000000000001</v>
      </c>
      <c r="W754">
        <f>VLOOKUP(G754,'[1]Erogati mag-giu 2026_791_old'!$A:$W,14,FALSE)</f>
        <v>-132.52000000000001</v>
      </c>
      <c r="X754">
        <f t="shared" si="56"/>
        <v>0</v>
      </c>
      <c r="Y754" t="s">
        <v>158</v>
      </c>
      <c r="Z754" t="str">
        <f>VLOOKUP(G754,'[2]Erogati mag-giu 2026_791_old'!$D:$T,11,FALSE)</f>
        <v>indiretto</v>
      </c>
      <c r="AA754" t="b">
        <v>1</v>
      </c>
      <c r="AF754" t="s">
        <v>20</v>
      </c>
      <c r="AG754" t="s">
        <v>20</v>
      </c>
    </row>
    <row r="755" spans="1:33">
      <c r="A755" s="13" t="s">
        <v>1385</v>
      </c>
      <c r="B755" t="s">
        <v>2017</v>
      </c>
      <c r="C755" s="4">
        <v>202601308592445</v>
      </c>
      <c r="D755" s="4" t="b">
        <f t="shared" si="57"/>
        <v>1</v>
      </c>
      <c r="E755" t="s">
        <v>20</v>
      </c>
      <c r="F755" t="s">
        <v>21</v>
      </c>
      <c r="G755" t="s">
        <v>1386</v>
      </c>
      <c r="H755" t="str">
        <f>VLOOKUP(C755,'[1]Erogati mag-giu 2026_791_old'!$B:$E,4,FALSE)</f>
        <v>C309779</v>
      </c>
      <c r="I755" t="b">
        <f t="shared" si="53"/>
        <v>1</v>
      </c>
      <c r="J755" s="14">
        <v>46179</v>
      </c>
      <c r="K755" s="14">
        <v>46179</v>
      </c>
      <c r="L755" t="s">
        <v>20</v>
      </c>
      <c r="M755" s="14">
        <v>46188</v>
      </c>
      <c r="N755" s="14">
        <v>46179</v>
      </c>
      <c r="O755" t="s">
        <v>20</v>
      </c>
      <c r="P755">
        <v>-99.39</v>
      </c>
      <c r="Q755">
        <f>VLOOKUP(G755,'[1]Erogati mag-giu 2026_791_old'!$A:$W,12,FALSE)</f>
        <v>-99.39</v>
      </c>
      <c r="R755">
        <f t="shared" si="54"/>
        <v>0</v>
      </c>
      <c r="S755">
        <v>-99.39</v>
      </c>
      <c r="T755">
        <f>VLOOKUP(G755,'[1]Erogati mag-giu 2026_791_old'!$A:$W,13,FALSE)</f>
        <v>-99.39</v>
      </c>
      <c r="U755">
        <f t="shared" si="55"/>
        <v>0</v>
      </c>
      <c r="V755">
        <v>-99.39</v>
      </c>
      <c r="W755">
        <f>VLOOKUP(G755,'[1]Erogati mag-giu 2026_791_old'!$A:$W,14,FALSE)</f>
        <v>-99.39</v>
      </c>
      <c r="X755">
        <f t="shared" si="56"/>
        <v>0</v>
      </c>
      <c r="Y755" t="s">
        <v>158</v>
      </c>
      <c r="Z755" t="str">
        <f>VLOOKUP(G755,'[2]Erogati mag-giu 2026_791_old'!$D:$T,11,FALSE)</f>
        <v>indiretto</v>
      </c>
      <c r="AA755" t="b">
        <v>1</v>
      </c>
      <c r="AF755" t="s">
        <v>20</v>
      </c>
      <c r="AG755" t="s">
        <v>20</v>
      </c>
    </row>
    <row r="756" spans="1:33">
      <c r="A756" s="13" t="s">
        <v>1387</v>
      </c>
      <c r="B756" t="s">
        <v>2018</v>
      </c>
      <c r="C756" s="4">
        <v>202601308596680</v>
      </c>
      <c r="D756" s="4" t="b">
        <f t="shared" si="57"/>
        <v>1</v>
      </c>
      <c r="E756" t="s">
        <v>20</v>
      </c>
      <c r="F756" t="s">
        <v>21</v>
      </c>
      <c r="G756" t="s">
        <v>1388</v>
      </c>
      <c r="H756" t="str">
        <f>VLOOKUP(C756,'[1]Erogati mag-giu 2026_791_old'!$B:$E,4,FALSE)</f>
        <v>C344288</v>
      </c>
      <c r="I756" t="b">
        <f t="shared" si="53"/>
        <v>1</v>
      </c>
      <c r="J756" s="14">
        <v>46179</v>
      </c>
      <c r="K756" s="14">
        <v>46179</v>
      </c>
      <c r="L756" t="s">
        <v>20</v>
      </c>
      <c r="M756" s="14">
        <v>46188</v>
      </c>
      <c r="N756" s="14">
        <v>46179</v>
      </c>
      <c r="O756" t="s">
        <v>20</v>
      </c>
      <c r="P756">
        <v>-33.130000000000003</v>
      </c>
      <c r="Q756">
        <f>VLOOKUP(G756,'[1]Erogati mag-giu 2026_791_old'!$A:$W,12,FALSE)</f>
        <v>-33.130000000000003</v>
      </c>
      <c r="R756">
        <f t="shared" si="54"/>
        <v>0</v>
      </c>
      <c r="S756">
        <v>-33.130000000000003</v>
      </c>
      <c r="T756">
        <f>VLOOKUP(G756,'[1]Erogati mag-giu 2026_791_old'!$A:$W,13,FALSE)</f>
        <v>-33.130000000000003</v>
      </c>
      <c r="U756">
        <f t="shared" si="55"/>
        <v>0</v>
      </c>
      <c r="V756">
        <v>-33.130000000000003</v>
      </c>
      <c r="W756">
        <f>VLOOKUP(G756,'[1]Erogati mag-giu 2026_791_old'!$A:$W,14,FALSE)</f>
        <v>-33.130000000000003</v>
      </c>
      <c r="X756">
        <f t="shared" si="56"/>
        <v>0</v>
      </c>
      <c r="Y756" t="s">
        <v>158</v>
      </c>
      <c r="Z756" t="str">
        <f>VLOOKUP(G756,'[2]Erogati mag-giu 2026_791_old'!$D:$T,11,FALSE)</f>
        <v>indiretto</v>
      </c>
      <c r="AA756" t="b">
        <v>1</v>
      </c>
      <c r="AF756" t="s">
        <v>20</v>
      </c>
      <c r="AG756" t="s">
        <v>20</v>
      </c>
    </row>
    <row r="757" spans="1:33">
      <c r="A757" s="13" t="s">
        <v>1389</v>
      </c>
      <c r="B757" t="s">
        <v>2019</v>
      </c>
      <c r="C757" s="4">
        <v>202601308596923</v>
      </c>
      <c r="D757" s="4" t="b">
        <f t="shared" si="57"/>
        <v>1</v>
      </c>
      <c r="E757" t="s">
        <v>20</v>
      </c>
      <c r="F757" t="s">
        <v>21</v>
      </c>
      <c r="G757" t="s">
        <v>1390</v>
      </c>
      <c r="H757" t="str">
        <f>VLOOKUP(C757,'[1]Erogati mag-giu 2026_791_old'!$B:$E,4,FALSE)</f>
        <v>C309164</v>
      </c>
      <c r="I757" t="b">
        <f t="shared" si="53"/>
        <v>1</v>
      </c>
      <c r="J757" s="14">
        <v>46179</v>
      </c>
      <c r="K757" s="14">
        <v>46179</v>
      </c>
      <c r="L757" t="s">
        <v>20</v>
      </c>
      <c r="M757" s="14">
        <v>46188</v>
      </c>
      <c r="N757" s="14">
        <v>46179</v>
      </c>
      <c r="O757" t="s">
        <v>20</v>
      </c>
      <c r="P757">
        <v>-231.91</v>
      </c>
      <c r="Q757">
        <f>VLOOKUP(G757,'[1]Erogati mag-giu 2026_791_old'!$A:$W,12,FALSE)</f>
        <v>-231.91</v>
      </c>
      <c r="R757">
        <f t="shared" si="54"/>
        <v>0</v>
      </c>
      <c r="S757">
        <v>-231.91</v>
      </c>
      <c r="T757">
        <f>VLOOKUP(G757,'[1]Erogati mag-giu 2026_791_old'!$A:$W,13,FALSE)</f>
        <v>-231.91</v>
      </c>
      <c r="U757">
        <f t="shared" si="55"/>
        <v>0</v>
      </c>
      <c r="V757">
        <v>-231.91</v>
      </c>
      <c r="W757">
        <f>VLOOKUP(G757,'[1]Erogati mag-giu 2026_791_old'!$A:$W,14,FALSE)</f>
        <v>-231.91</v>
      </c>
      <c r="X757">
        <f t="shared" si="56"/>
        <v>0</v>
      </c>
      <c r="Y757" t="s">
        <v>158</v>
      </c>
      <c r="Z757" t="str">
        <f>VLOOKUP(G757,'[2]Erogati mag-giu 2026_791_old'!$D:$T,11,FALSE)</f>
        <v>indiretto</v>
      </c>
      <c r="AA757" t="b">
        <v>1</v>
      </c>
      <c r="AF757" t="s">
        <v>20</v>
      </c>
      <c r="AG757" t="s">
        <v>20</v>
      </c>
    </row>
    <row r="758" spans="1:33">
      <c r="A758" s="13" t="s">
        <v>1391</v>
      </c>
      <c r="B758" t="s">
        <v>2020</v>
      </c>
      <c r="C758" s="4">
        <v>202601308599431</v>
      </c>
      <c r="D758" s="4" t="b">
        <f t="shared" si="57"/>
        <v>1</v>
      </c>
      <c r="E758" t="s">
        <v>20</v>
      </c>
      <c r="F758" t="s">
        <v>21</v>
      </c>
      <c r="G758" t="s">
        <v>1392</v>
      </c>
      <c r="H758" t="str">
        <f>VLOOKUP(C758,'[1]Erogati mag-giu 2026_791_old'!$B:$E,4,FALSE)</f>
        <v>C320333</v>
      </c>
      <c r="I758" t="b">
        <f t="shared" si="53"/>
        <v>1</v>
      </c>
      <c r="J758" s="14">
        <v>46179</v>
      </c>
      <c r="K758" s="14">
        <v>46179</v>
      </c>
      <c r="L758" t="s">
        <v>20</v>
      </c>
      <c r="M758" s="14">
        <v>46188</v>
      </c>
      <c r="N758" s="14">
        <v>46179</v>
      </c>
      <c r="O758" t="s">
        <v>20</v>
      </c>
      <c r="P758">
        <v>-99.39</v>
      </c>
      <c r="Q758">
        <f>VLOOKUP(G758,'[1]Erogati mag-giu 2026_791_old'!$A:$W,12,FALSE)</f>
        <v>-99.39</v>
      </c>
      <c r="R758">
        <f t="shared" si="54"/>
        <v>0</v>
      </c>
      <c r="S758">
        <v>-99.39</v>
      </c>
      <c r="T758">
        <f>VLOOKUP(G758,'[1]Erogati mag-giu 2026_791_old'!$A:$W,13,FALSE)</f>
        <v>-99.39</v>
      </c>
      <c r="U758">
        <f t="shared" si="55"/>
        <v>0</v>
      </c>
      <c r="V758">
        <v>-99.39</v>
      </c>
      <c r="W758">
        <f>VLOOKUP(G758,'[1]Erogati mag-giu 2026_791_old'!$A:$W,14,FALSE)</f>
        <v>-99.39</v>
      </c>
      <c r="X758">
        <f t="shared" si="56"/>
        <v>0</v>
      </c>
      <c r="Y758" t="s">
        <v>158</v>
      </c>
      <c r="Z758" t="str">
        <f>VLOOKUP(G758,'[2]Erogati mag-giu 2026_791_old'!$D:$T,11,FALSE)</f>
        <v>indiretto</v>
      </c>
      <c r="AA758" t="b">
        <v>1</v>
      </c>
      <c r="AF758" t="s">
        <v>20</v>
      </c>
      <c r="AG758" t="s">
        <v>20</v>
      </c>
    </row>
    <row r="759" spans="1:33">
      <c r="A759" s="13" t="s">
        <v>1393</v>
      </c>
      <c r="B759" t="s">
        <v>2021</v>
      </c>
      <c r="C759" s="4">
        <v>202601308605920</v>
      </c>
      <c r="D759" s="4" t="b">
        <f t="shared" si="57"/>
        <v>1</v>
      </c>
      <c r="E759" t="s">
        <v>20</v>
      </c>
      <c r="F759" t="s">
        <v>21</v>
      </c>
      <c r="G759" t="s">
        <v>1394</v>
      </c>
      <c r="H759" t="str">
        <f>VLOOKUP(C759,'[1]Erogati mag-giu 2026_791_old'!$B:$E,4,FALSE)</f>
        <v>C344116</v>
      </c>
      <c r="I759" t="b">
        <f t="shared" si="53"/>
        <v>1</v>
      </c>
      <c r="J759" s="14">
        <v>46179</v>
      </c>
      <c r="K759" s="14">
        <v>46179</v>
      </c>
      <c r="L759" t="s">
        <v>20</v>
      </c>
      <c r="M759" s="14">
        <v>46188</v>
      </c>
      <c r="N759" s="14">
        <v>46179</v>
      </c>
      <c r="O759" t="s">
        <v>20</v>
      </c>
      <c r="P759">
        <v>-52.52</v>
      </c>
      <c r="Q759">
        <f>VLOOKUP(G759,'[1]Erogati mag-giu 2026_791_old'!$A:$W,12,FALSE)</f>
        <v>-52.52</v>
      </c>
      <c r="R759">
        <f t="shared" si="54"/>
        <v>0</v>
      </c>
      <c r="S759">
        <v>-52.52</v>
      </c>
      <c r="T759">
        <f>VLOOKUP(G759,'[1]Erogati mag-giu 2026_791_old'!$A:$W,13,FALSE)</f>
        <v>-52.52</v>
      </c>
      <c r="U759">
        <f t="shared" si="55"/>
        <v>0</v>
      </c>
      <c r="V759">
        <v>-52.52</v>
      </c>
      <c r="W759">
        <f>VLOOKUP(G759,'[1]Erogati mag-giu 2026_791_old'!$A:$W,14,FALSE)</f>
        <v>-52.52</v>
      </c>
      <c r="X759">
        <f t="shared" si="56"/>
        <v>0</v>
      </c>
      <c r="Y759" t="s">
        <v>158</v>
      </c>
      <c r="Z759" t="str">
        <f>VLOOKUP(G759,'[2]Erogati mag-giu 2026_791_old'!$D:$T,11,FALSE)</f>
        <v>indiretto</v>
      </c>
      <c r="AA759" t="b">
        <v>1</v>
      </c>
      <c r="AF759" t="s">
        <v>20</v>
      </c>
      <c r="AG759" t="s">
        <v>20</v>
      </c>
    </row>
    <row r="760" spans="1:33">
      <c r="A760" s="13" t="s">
        <v>1395</v>
      </c>
      <c r="B760" t="s">
        <v>2022</v>
      </c>
      <c r="C760" s="4">
        <v>202601308615848</v>
      </c>
      <c r="D760" s="4" t="b">
        <f t="shared" si="57"/>
        <v>1</v>
      </c>
      <c r="E760" t="s">
        <v>20</v>
      </c>
      <c r="F760" t="s">
        <v>21</v>
      </c>
      <c r="G760" t="s">
        <v>1396</v>
      </c>
      <c r="H760" t="str">
        <f>VLOOKUP(C760,'[1]Erogati mag-giu 2026_791_old'!$B:$E,4,FALSE)</f>
        <v>C307967</v>
      </c>
      <c r="I760" t="b">
        <f t="shared" si="53"/>
        <v>1</v>
      </c>
      <c r="J760" s="14">
        <v>46179</v>
      </c>
      <c r="K760" s="14">
        <v>46179</v>
      </c>
      <c r="L760" t="s">
        <v>20</v>
      </c>
      <c r="M760" s="14">
        <v>46188</v>
      </c>
      <c r="N760" s="14">
        <v>46179</v>
      </c>
      <c r="O760" t="s">
        <v>20</v>
      </c>
      <c r="P760">
        <v>-57.55</v>
      </c>
      <c r="Q760">
        <f>VLOOKUP(G760,'[1]Erogati mag-giu 2026_791_old'!$A:$W,12,FALSE)</f>
        <v>-57.55</v>
      </c>
      <c r="R760">
        <f t="shared" si="54"/>
        <v>0</v>
      </c>
      <c r="S760">
        <v>-57.55</v>
      </c>
      <c r="T760">
        <f>VLOOKUP(G760,'[1]Erogati mag-giu 2026_791_old'!$A:$W,13,FALSE)</f>
        <v>-57.55</v>
      </c>
      <c r="U760">
        <f t="shared" si="55"/>
        <v>0</v>
      </c>
      <c r="V760">
        <v>-57.55</v>
      </c>
      <c r="W760">
        <f>VLOOKUP(G760,'[1]Erogati mag-giu 2026_791_old'!$A:$W,14,FALSE)</f>
        <v>-57.55</v>
      </c>
      <c r="X760">
        <f t="shared" si="56"/>
        <v>0</v>
      </c>
      <c r="Y760" t="s">
        <v>158</v>
      </c>
      <c r="Z760" t="str">
        <f>VLOOKUP(G760,'[2]Erogati mag-giu 2026_791_old'!$D:$T,11,FALSE)</f>
        <v>indiretto</v>
      </c>
      <c r="AA760" t="b">
        <v>1</v>
      </c>
      <c r="AF760" t="s">
        <v>20</v>
      </c>
      <c r="AG760" t="s">
        <v>20</v>
      </c>
    </row>
    <row r="761" spans="1:33">
      <c r="A761" s="13" t="s">
        <v>1397</v>
      </c>
      <c r="B761" t="s">
        <v>2023</v>
      </c>
      <c r="C761" s="4">
        <v>202601308616208</v>
      </c>
      <c r="D761" s="4" t="b">
        <f t="shared" si="57"/>
        <v>1</v>
      </c>
      <c r="E761" t="s">
        <v>20</v>
      </c>
      <c r="F761" t="s">
        <v>21</v>
      </c>
      <c r="G761" t="s">
        <v>1398</v>
      </c>
      <c r="H761" t="str">
        <f>VLOOKUP(C761,'[1]Erogati mag-giu 2026_791_old'!$B:$E,4,FALSE)</f>
        <v>C344262</v>
      </c>
      <c r="I761" t="b">
        <f t="shared" si="53"/>
        <v>1</v>
      </c>
      <c r="J761" s="14">
        <v>46179</v>
      </c>
      <c r="K761" s="14">
        <v>46179</v>
      </c>
      <c r="L761" t="s">
        <v>20</v>
      </c>
      <c r="M761" s="14">
        <v>46188</v>
      </c>
      <c r="N761" s="14">
        <v>46179</v>
      </c>
      <c r="O761" t="s">
        <v>20</v>
      </c>
      <c r="P761">
        <v>-131.29</v>
      </c>
      <c r="Q761">
        <f>VLOOKUP(G761,'[1]Erogati mag-giu 2026_791_old'!$A:$W,12,FALSE)</f>
        <v>-131.29</v>
      </c>
      <c r="R761">
        <f t="shared" si="54"/>
        <v>0</v>
      </c>
      <c r="S761">
        <v>-131.29</v>
      </c>
      <c r="T761">
        <f>VLOOKUP(G761,'[1]Erogati mag-giu 2026_791_old'!$A:$W,13,FALSE)</f>
        <v>-131.29</v>
      </c>
      <c r="U761">
        <f t="shared" si="55"/>
        <v>0</v>
      </c>
      <c r="V761">
        <v>-131.29</v>
      </c>
      <c r="W761">
        <f>VLOOKUP(G761,'[1]Erogati mag-giu 2026_791_old'!$A:$W,14,FALSE)</f>
        <v>-131.29</v>
      </c>
      <c r="X761">
        <f t="shared" si="56"/>
        <v>0</v>
      </c>
      <c r="Y761" t="s">
        <v>158</v>
      </c>
      <c r="Z761" t="str">
        <f>VLOOKUP(G761,'[2]Erogati mag-giu 2026_791_old'!$D:$T,11,FALSE)</f>
        <v>indiretto</v>
      </c>
      <c r="AA761" t="b">
        <v>1</v>
      </c>
      <c r="AF761" t="s">
        <v>20</v>
      </c>
      <c r="AG761" t="s">
        <v>20</v>
      </c>
    </row>
    <row r="762" spans="1:33">
      <c r="A762" s="13" t="s">
        <v>1399</v>
      </c>
      <c r="B762" t="s">
        <v>2024</v>
      </c>
      <c r="C762" s="4">
        <v>202601308620643</v>
      </c>
      <c r="D762" s="4" t="b">
        <f t="shared" si="57"/>
        <v>1</v>
      </c>
      <c r="E762" t="s">
        <v>20</v>
      </c>
      <c r="F762" t="s">
        <v>21</v>
      </c>
      <c r="G762" t="s">
        <v>1400</v>
      </c>
      <c r="H762" t="str">
        <f>VLOOKUP(C762,'[1]Erogati mag-giu 2026_791_old'!$B:$E,4,FALSE)</f>
        <v>C320256</v>
      </c>
      <c r="I762" t="b">
        <f t="shared" si="53"/>
        <v>1</v>
      </c>
      <c r="J762" s="14">
        <v>46179</v>
      </c>
      <c r="K762" s="14">
        <v>46179</v>
      </c>
      <c r="L762" t="s">
        <v>20</v>
      </c>
      <c r="M762" s="14">
        <v>46188</v>
      </c>
      <c r="N762" s="14">
        <v>46179</v>
      </c>
      <c r="O762" t="s">
        <v>20</v>
      </c>
      <c r="P762">
        <v>-24.62</v>
      </c>
      <c r="Q762">
        <f>VLOOKUP(G762,'[1]Erogati mag-giu 2026_791_old'!$A:$W,12,FALSE)</f>
        <v>-24.62</v>
      </c>
      <c r="R762">
        <f t="shared" si="54"/>
        <v>0</v>
      </c>
      <c r="S762">
        <v>-24.62</v>
      </c>
      <c r="T762">
        <f>VLOOKUP(G762,'[1]Erogati mag-giu 2026_791_old'!$A:$W,13,FALSE)</f>
        <v>-24.62</v>
      </c>
      <c r="U762">
        <f t="shared" si="55"/>
        <v>0</v>
      </c>
      <c r="V762">
        <v>-24.62</v>
      </c>
      <c r="W762">
        <f>VLOOKUP(G762,'[1]Erogati mag-giu 2026_791_old'!$A:$W,14,FALSE)</f>
        <v>-24.62</v>
      </c>
      <c r="X762">
        <f t="shared" si="56"/>
        <v>0</v>
      </c>
      <c r="Y762" t="s">
        <v>158</v>
      </c>
      <c r="Z762" t="str">
        <f>VLOOKUP(G762,'[2]Erogati mag-giu 2026_791_old'!$D:$T,11,FALSE)</f>
        <v>indiretto</v>
      </c>
      <c r="AA762" t="b">
        <v>1</v>
      </c>
      <c r="AF762" t="s">
        <v>20</v>
      </c>
      <c r="AG762" t="s">
        <v>20</v>
      </c>
    </row>
    <row r="763" spans="1:33">
      <c r="A763" s="13" t="s">
        <v>1401</v>
      </c>
      <c r="B763" t="s">
        <v>2025</v>
      </c>
      <c r="C763" s="4">
        <v>202601308628736</v>
      </c>
      <c r="D763" s="4" t="b">
        <f t="shared" si="57"/>
        <v>1</v>
      </c>
      <c r="E763" t="s">
        <v>20</v>
      </c>
      <c r="F763" t="s">
        <v>21</v>
      </c>
      <c r="G763" t="s">
        <v>1402</v>
      </c>
      <c r="H763" t="str">
        <f>VLOOKUP(C763,'[1]Erogati mag-giu 2026_791_old'!$B:$E,4,FALSE)</f>
        <v>C344251</v>
      </c>
      <c r="I763" t="b">
        <f t="shared" si="53"/>
        <v>1</v>
      </c>
      <c r="J763" s="14">
        <v>46179</v>
      </c>
      <c r="K763" s="14">
        <v>46179</v>
      </c>
      <c r="L763" t="s">
        <v>20</v>
      </c>
      <c r="M763" s="14">
        <v>46188</v>
      </c>
      <c r="N763" s="14">
        <v>46179</v>
      </c>
      <c r="O763" t="s">
        <v>20</v>
      </c>
      <c r="P763">
        <v>-52.52</v>
      </c>
      <c r="Q763">
        <f>VLOOKUP(G763,'[1]Erogati mag-giu 2026_791_old'!$A:$W,12,FALSE)</f>
        <v>-52.52</v>
      </c>
      <c r="R763">
        <f t="shared" si="54"/>
        <v>0</v>
      </c>
      <c r="S763">
        <v>-52.52</v>
      </c>
      <c r="T763">
        <f>VLOOKUP(G763,'[1]Erogati mag-giu 2026_791_old'!$A:$W,13,FALSE)</f>
        <v>-52.52</v>
      </c>
      <c r="U763">
        <f t="shared" si="55"/>
        <v>0</v>
      </c>
      <c r="V763">
        <v>-52.52</v>
      </c>
      <c r="W763">
        <f>VLOOKUP(G763,'[1]Erogati mag-giu 2026_791_old'!$A:$W,14,FALSE)</f>
        <v>-52.52</v>
      </c>
      <c r="X763">
        <f t="shared" si="56"/>
        <v>0</v>
      </c>
      <c r="Y763" t="s">
        <v>158</v>
      </c>
      <c r="Z763" t="str">
        <f>VLOOKUP(G763,'[2]Erogati mag-giu 2026_791_old'!$D:$T,11,FALSE)</f>
        <v>indiretto</v>
      </c>
      <c r="AA763" t="b">
        <v>1</v>
      </c>
      <c r="AF763" t="s">
        <v>20</v>
      </c>
      <c r="AG763" t="s">
        <v>20</v>
      </c>
    </row>
    <row r="764" spans="1:33">
      <c r="A764" s="13" t="s">
        <v>1403</v>
      </c>
      <c r="B764" t="s">
        <v>2026</v>
      </c>
      <c r="C764" s="4">
        <v>202601308632604</v>
      </c>
      <c r="D764" s="4" t="b">
        <f t="shared" si="57"/>
        <v>1</v>
      </c>
      <c r="E764" t="s">
        <v>20</v>
      </c>
      <c r="F764" t="s">
        <v>21</v>
      </c>
      <c r="G764" t="s">
        <v>1404</v>
      </c>
      <c r="H764" t="str">
        <f>VLOOKUP(C764,'[1]Erogati mag-giu 2026_791_old'!$B:$E,4,FALSE)</f>
        <v>C344199</v>
      </c>
      <c r="I764" t="b">
        <f t="shared" si="53"/>
        <v>1</v>
      </c>
      <c r="J764" s="14">
        <v>46179</v>
      </c>
      <c r="K764" s="14">
        <v>46179</v>
      </c>
      <c r="L764" t="s">
        <v>20</v>
      </c>
      <c r="M764" s="14">
        <v>46188</v>
      </c>
      <c r="N764" s="14">
        <v>46179</v>
      </c>
      <c r="O764" t="s">
        <v>20</v>
      </c>
      <c r="P764">
        <v>-105.03</v>
      </c>
      <c r="Q764">
        <f>VLOOKUP(G764,'[1]Erogati mag-giu 2026_791_old'!$A:$W,12,FALSE)</f>
        <v>-105.03</v>
      </c>
      <c r="R764">
        <f t="shared" si="54"/>
        <v>0</v>
      </c>
      <c r="S764">
        <v>-105.03</v>
      </c>
      <c r="T764">
        <f>VLOOKUP(G764,'[1]Erogati mag-giu 2026_791_old'!$A:$W,13,FALSE)</f>
        <v>-105.03</v>
      </c>
      <c r="U764">
        <f t="shared" si="55"/>
        <v>0</v>
      </c>
      <c r="V764">
        <v>-105.03</v>
      </c>
      <c r="W764">
        <f>VLOOKUP(G764,'[1]Erogati mag-giu 2026_791_old'!$A:$W,14,FALSE)</f>
        <v>-105.03</v>
      </c>
      <c r="X764">
        <f t="shared" si="56"/>
        <v>0</v>
      </c>
      <c r="Y764" t="s">
        <v>158</v>
      </c>
      <c r="Z764" t="str">
        <f>VLOOKUP(G764,'[2]Erogati mag-giu 2026_791_old'!$D:$T,11,FALSE)</f>
        <v>indiretto</v>
      </c>
      <c r="AA764" t="b">
        <v>1</v>
      </c>
      <c r="AF764" t="s">
        <v>20</v>
      </c>
      <c r="AG764" t="s">
        <v>20</v>
      </c>
    </row>
    <row r="765" spans="1:33">
      <c r="A765" s="13" t="s">
        <v>1405</v>
      </c>
      <c r="B765" t="s">
        <v>2027</v>
      </c>
      <c r="C765" s="4">
        <v>202601308640548</v>
      </c>
      <c r="D765" s="4" t="b">
        <f t="shared" si="57"/>
        <v>1</v>
      </c>
      <c r="E765" t="s">
        <v>20</v>
      </c>
      <c r="F765" t="s">
        <v>21</v>
      </c>
      <c r="G765" t="s">
        <v>1406</v>
      </c>
      <c r="H765" t="str">
        <f>VLOOKUP(C765,'[1]Erogati mag-giu 2026_791_old'!$B:$E,4,FALSE)</f>
        <v>C320248</v>
      </c>
      <c r="I765" t="b">
        <f t="shared" si="53"/>
        <v>1</v>
      </c>
      <c r="J765" s="14">
        <v>46179</v>
      </c>
      <c r="K765" s="14">
        <v>46179</v>
      </c>
      <c r="L765" t="s">
        <v>20</v>
      </c>
      <c r="M765" s="14">
        <v>46188</v>
      </c>
      <c r="N765" s="14">
        <v>46179</v>
      </c>
      <c r="O765" t="s">
        <v>20</v>
      </c>
      <c r="P765">
        <v>-77.319999999999993</v>
      </c>
      <c r="Q765">
        <f>VLOOKUP(G765,'[1]Erogati mag-giu 2026_791_old'!$A:$W,12,FALSE)</f>
        <v>-77.319999999999993</v>
      </c>
      <c r="R765">
        <f t="shared" si="54"/>
        <v>0</v>
      </c>
      <c r="S765">
        <v>-77.319999999999993</v>
      </c>
      <c r="T765">
        <f>VLOOKUP(G765,'[1]Erogati mag-giu 2026_791_old'!$A:$W,13,FALSE)</f>
        <v>-77.319999999999993</v>
      </c>
      <c r="U765">
        <f t="shared" si="55"/>
        <v>0</v>
      </c>
      <c r="V765">
        <v>-77.319999999999993</v>
      </c>
      <c r="W765">
        <f>VLOOKUP(G765,'[1]Erogati mag-giu 2026_791_old'!$A:$W,14,FALSE)</f>
        <v>-77.319999999999993</v>
      </c>
      <c r="X765">
        <f t="shared" si="56"/>
        <v>0</v>
      </c>
      <c r="Y765" t="s">
        <v>158</v>
      </c>
      <c r="Z765" t="str">
        <f>VLOOKUP(G765,'[2]Erogati mag-giu 2026_791_old'!$D:$T,11,FALSE)</f>
        <v>indiretto</v>
      </c>
      <c r="AA765" t="b">
        <v>1</v>
      </c>
      <c r="AF765" t="s">
        <v>20</v>
      </c>
      <c r="AG765" t="s">
        <v>20</v>
      </c>
    </row>
    <row r="766" spans="1:33">
      <c r="A766" s="13" t="s">
        <v>1407</v>
      </c>
      <c r="B766" t="s">
        <v>2028</v>
      </c>
      <c r="C766" s="4">
        <v>202601308640922</v>
      </c>
      <c r="D766" s="4" t="b">
        <f t="shared" si="57"/>
        <v>1</v>
      </c>
      <c r="E766" t="s">
        <v>20</v>
      </c>
      <c r="F766" t="s">
        <v>21</v>
      </c>
      <c r="G766" t="s">
        <v>1408</v>
      </c>
      <c r="H766" t="str">
        <f>VLOOKUP(C766,'[1]Erogati mag-giu 2026_791_old'!$B:$E,4,FALSE)</f>
        <v>C320286</v>
      </c>
      <c r="I766" t="b">
        <f t="shared" si="53"/>
        <v>1</v>
      </c>
      <c r="J766" s="14">
        <v>46179</v>
      </c>
      <c r="K766" s="14">
        <v>46179</v>
      </c>
      <c r="L766" t="s">
        <v>20</v>
      </c>
      <c r="M766" s="14">
        <v>46188</v>
      </c>
      <c r="N766" s="14">
        <v>46179</v>
      </c>
      <c r="O766" t="s">
        <v>20</v>
      </c>
      <c r="P766">
        <v>-33.130000000000003</v>
      </c>
      <c r="Q766">
        <f>VLOOKUP(G766,'[1]Erogati mag-giu 2026_791_old'!$A:$W,12,FALSE)</f>
        <v>-33.130000000000003</v>
      </c>
      <c r="R766">
        <f t="shared" si="54"/>
        <v>0</v>
      </c>
      <c r="S766">
        <v>-33.130000000000003</v>
      </c>
      <c r="T766">
        <f>VLOOKUP(G766,'[1]Erogati mag-giu 2026_791_old'!$A:$W,13,FALSE)</f>
        <v>-33.130000000000003</v>
      </c>
      <c r="U766">
        <f t="shared" si="55"/>
        <v>0</v>
      </c>
      <c r="V766">
        <v>-33.130000000000003</v>
      </c>
      <c r="W766">
        <f>VLOOKUP(G766,'[1]Erogati mag-giu 2026_791_old'!$A:$W,14,FALSE)</f>
        <v>-33.130000000000003</v>
      </c>
      <c r="X766">
        <f t="shared" si="56"/>
        <v>0</v>
      </c>
      <c r="Y766" t="s">
        <v>158</v>
      </c>
      <c r="Z766" t="str">
        <f>VLOOKUP(G766,'[2]Erogati mag-giu 2026_791_old'!$D:$T,11,FALSE)</f>
        <v>indiretto</v>
      </c>
      <c r="AA766" t="b">
        <v>1</v>
      </c>
      <c r="AF766" t="s">
        <v>20</v>
      </c>
      <c r="AG766" t="s">
        <v>20</v>
      </c>
    </row>
    <row r="767" spans="1:33">
      <c r="A767" s="13" t="s">
        <v>1409</v>
      </c>
      <c r="B767" t="s">
        <v>2029</v>
      </c>
      <c r="C767" s="4">
        <v>202601308644423</v>
      </c>
      <c r="D767" s="4" t="b">
        <f t="shared" si="57"/>
        <v>1</v>
      </c>
      <c r="E767" t="s">
        <v>20</v>
      </c>
      <c r="F767" t="s">
        <v>21</v>
      </c>
      <c r="G767" t="s">
        <v>1410</v>
      </c>
      <c r="H767" t="str">
        <f>VLOOKUP(C767,'[1]Erogati mag-giu 2026_791_old'!$B:$E,4,FALSE)</f>
        <v>C344219</v>
      </c>
      <c r="I767" t="b">
        <f t="shared" si="53"/>
        <v>1</v>
      </c>
      <c r="J767" s="14">
        <v>46179</v>
      </c>
      <c r="K767" s="14">
        <v>46179</v>
      </c>
      <c r="L767" t="s">
        <v>20</v>
      </c>
      <c r="M767" s="14">
        <v>46188</v>
      </c>
      <c r="N767" s="14">
        <v>46179</v>
      </c>
      <c r="O767" t="s">
        <v>20</v>
      </c>
      <c r="P767">
        <v>-113.84</v>
      </c>
      <c r="Q767">
        <f>VLOOKUP(G767,'[1]Erogati mag-giu 2026_791_old'!$A:$W,12,FALSE)</f>
        <v>-113.84</v>
      </c>
      <c r="R767">
        <f t="shared" si="54"/>
        <v>0</v>
      </c>
      <c r="S767">
        <v>-113.84</v>
      </c>
      <c r="T767">
        <f>VLOOKUP(G767,'[1]Erogati mag-giu 2026_791_old'!$A:$W,13,FALSE)</f>
        <v>-113.84</v>
      </c>
      <c r="U767">
        <f t="shared" si="55"/>
        <v>0</v>
      </c>
      <c r="V767">
        <v>-113.84</v>
      </c>
      <c r="W767">
        <f>VLOOKUP(G767,'[1]Erogati mag-giu 2026_791_old'!$A:$W,14,FALSE)</f>
        <v>-113.84</v>
      </c>
      <c r="X767">
        <f t="shared" si="56"/>
        <v>0</v>
      </c>
      <c r="Y767" t="s">
        <v>158</v>
      </c>
      <c r="Z767" t="str">
        <f>VLOOKUP(G767,'[2]Erogati mag-giu 2026_791_old'!$D:$T,11,FALSE)</f>
        <v>indiretto</v>
      </c>
      <c r="AA767" t="b">
        <v>1</v>
      </c>
      <c r="AF767" t="s">
        <v>20</v>
      </c>
      <c r="AG767" t="s">
        <v>20</v>
      </c>
    </row>
    <row r="768" spans="1:33">
      <c r="A768" s="13" t="s">
        <v>1411</v>
      </c>
      <c r="B768" t="s">
        <v>2030</v>
      </c>
      <c r="C768" s="4">
        <v>202601308645350</v>
      </c>
      <c r="D768" s="4" t="b">
        <f t="shared" si="57"/>
        <v>1</v>
      </c>
      <c r="E768" t="s">
        <v>20</v>
      </c>
      <c r="F768" t="s">
        <v>21</v>
      </c>
      <c r="G768" t="s">
        <v>1412</v>
      </c>
      <c r="H768" t="str">
        <f>VLOOKUP(C768,'[1]Erogati mag-giu 2026_791_old'!$B:$E,4,FALSE)</f>
        <v>C313704</v>
      </c>
      <c r="I768" t="b">
        <f t="shared" si="53"/>
        <v>1</v>
      </c>
      <c r="J768" s="14">
        <v>46179</v>
      </c>
      <c r="K768" s="14">
        <v>46179</v>
      </c>
      <c r="L768" t="s">
        <v>20</v>
      </c>
      <c r="M768" s="14">
        <v>46188</v>
      </c>
      <c r="N768" s="14">
        <v>46179</v>
      </c>
      <c r="O768" t="s">
        <v>20</v>
      </c>
      <c r="P768">
        <v>-99.39</v>
      </c>
      <c r="Q768">
        <f>VLOOKUP(G768,'[1]Erogati mag-giu 2026_791_old'!$A:$W,12,FALSE)</f>
        <v>-99.39</v>
      </c>
      <c r="R768">
        <f t="shared" si="54"/>
        <v>0</v>
      </c>
      <c r="S768">
        <v>-99.39</v>
      </c>
      <c r="T768">
        <f>VLOOKUP(G768,'[1]Erogati mag-giu 2026_791_old'!$A:$W,13,FALSE)</f>
        <v>-99.39</v>
      </c>
      <c r="U768">
        <f t="shared" si="55"/>
        <v>0</v>
      </c>
      <c r="V768">
        <v>-99.39</v>
      </c>
      <c r="W768">
        <f>VLOOKUP(G768,'[1]Erogati mag-giu 2026_791_old'!$A:$W,14,FALSE)</f>
        <v>-99.39</v>
      </c>
      <c r="X768">
        <f t="shared" si="56"/>
        <v>0</v>
      </c>
      <c r="Y768" t="s">
        <v>158</v>
      </c>
      <c r="Z768" t="str">
        <f>VLOOKUP(G768,'[2]Erogati mag-giu 2026_791_old'!$D:$T,11,FALSE)</f>
        <v>indiretto</v>
      </c>
      <c r="AA768" t="b">
        <v>1</v>
      </c>
      <c r="AF768" t="s">
        <v>20</v>
      </c>
      <c r="AG768" t="s">
        <v>20</v>
      </c>
    </row>
    <row r="769" spans="1:33">
      <c r="A769" s="13" t="s">
        <v>1413</v>
      </c>
      <c r="B769" t="s">
        <v>2031</v>
      </c>
      <c r="C769" s="4">
        <v>202601308646228</v>
      </c>
      <c r="D769" s="4" t="b">
        <f t="shared" si="57"/>
        <v>1</v>
      </c>
      <c r="E769" t="s">
        <v>20</v>
      </c>
      <c r="F769" t="s">
        <v>21</v>
      </c>
      <c r="G769" t="s">
        <v>1414</v>
      </c>
      <c r="H769" t="str">
        <f>VLOOKUP(C769,'[1]Erogati mag-giu 2026_791_old'!$B:$E,4,FALSE)</f>
        <v>C314098</v>
      </c>
      <c r="I769" t="b">
        <f t="shared" si="53"/>
        <v>1</v>
      </c>
      <c r="J769" s="14">
        <v>46179</v>
      </c>
      <c r="K769" s="14">
        <v>46179</v>
      </c>
      <c r="L769" t="s">
        <v>20</v>
      </c>
      <c r="M769" s="14">
        <v>46188</v>
      </c>
      <c r="N769" s="14">
        <v>46179</v>
      </c>
      <c r="O769" t="s">
        <v>20</v>
      </c>
      <c r="P769">
        <v>-29.82</v>
      </c>
      <c r="Q769">
        <f>VLOOKUP(G769,'[1]Erogati mag-giu 2026_791_old'!$A:$W,12,FALSE)</f>
        <v>-29.82</v>
      </c>
      <c r="R769">
        <f t="shared" si="54"/>
        <v>0</v>
      </c>
      <c r="S769">
        <v>-29.82</v>
      </c>
      <c r="T769">
        <f>VLOOKUP(G769,'[1]Erogati mag-giu 2026_791_old'!$A:$W,13,FALSE)</f>
        <v>-29.82</v>
      </c>
      <c r="U769">
        <f t="shared" si="55"/>
        <v>0</v>
      </c>
      <c r="V769">
        <v>-29.82</v>
      </c>
      <c r="W769">
        <f>VLOOKUP(G769,'[1]Erogati mag-giu 2026_791_old'!$A:$W,14,FALSE)</f>
        <v>-29.82</v>
      </c>
      <c r="X769">
        <f t="shared" si="56"/>
        <v>0</v>
      </c>
      <c r="Y769" t="s">
        <v>158</v>
      </c>
      <c r="Z769" t="str">
        <f>VLOOKUP(G769,'[2]Erogati mag-giu 2026_791_old'!$D:$T,11,FALSE)</f>
        <v>indiretto</v>
      </c>
      <c r="AA769" t="b">
        <v>1</v>
      </c>
      <c r="AF769" t="s">
        <v>20</v>
      </c>
      <c r="AG769" t="s">
        <v>20</v>
      </c>
    </row>
    <row r="770" spans="1:33">
      <c r="A770" s="13" t="s">
        <v>1415</v>
      </c>
      <c r="B770" t="s">
        <v>2032</v>
      </c>
      <c r="C770" s="4">
        <v>202601308652569</v>
      </c>
      <c r="D770" s="4" t="b">
        <f t="shared" si="57"/>
        <v>1</v>
      </c>
      <c r="E770" t="s">
        <v>20</v>
      </c>
      <c r="F770" t="s">
        <v>21</v>
      </c>
      <c r="G770" t="s">
        <v>1416</v>
      </c>
      <c r="H770" t="str">
        <f>VLOOKUP(C770,'[1]Erogati mag-giu 2026_791_old'!$B:$E,4,FALSE)</f>
        <v>C309895</v>
      </c>
      <c r="I770" t="b">
        <f t="shared" si="53"/>
        <v>1</v>
      </c>
      <c r="J770" s="14">
        <v>46179</v>
      </c>
      <c r="K770" s="14">
        <v>46179</v>
      </c>
      <c r="L770" t="s">
        <v>20</v>
      </c>
      <c r="M770" s="14">
        <v>46188</v>
      </c>
      <c r="N770" s="14">
        <v>46179</v>
      </c>
      <c r="O770" t="s">
        <v>20</v>
      </c>
      <c r="P770">
        <v>-99.39</v>
      </c>
      <c r="Q770">
        <f>VLOOKUP(G770,'[1]Erogati mag-giu 2026_791_old'!$A:$W,12,FALSE)</f>
        <v>-99.39</v>
      </c>
      <c r="R770">
        <f t="shared" si="54"/>
        <v>0</v>
      </c>
      <c r="S770">
        <v>-99.39</v>
      </c>
      <c r="T770">
        <f>VLOOKUP(G770,'[1]Erogati mag-giu 2026_791_old'!$A:$W,13,FALSE)</f>
        <v>-99.39</v>
      </c>
      <c r="U770">
        <f t="shared" si="55"/>
        <v>0</v>
      </c>
      <c r="V770">
        <v>-99.39</v>
      </c>
      <c r="W770">
        <f>VLOOKUP(G770,'[1]Erogati mag-giu 2026_791_old'!$A:$W,14,FALSE)</f>
        <v>-99.39</v>
      </c>
      <c r="X770">
        <f t="shared" si="56"/>
        <v>0</v>
      </c>
      <c r="Y770" t="s">
        <v>158</v>
      </c>
      <c r="Z770" t="str">
        <f>VLOOKUP(G770,'[2]Erogati mag-giu 2026_791_old'!$D:$T,11,FALSE)</f>
        <v>indiretto</v>
      </c>
      <c r="AA770" t="b">
        <v>1</v>
      </c>
      <c r="AF770" t="s">
        <v>20</v>
      </c>
      <c r="AG770" t="s">
        <v>20</v>
      </c>
    </row>
    <row r="771" spans="1:33">
      <c r="A771" s="13" t="s">
        <v>1417</v>
      </c>
      <c r="B771" t="s">
        <v>2033</v>
      </c>
      <c r="C771" s="4">
        <v>202601308654276</v>
      </c>
      <c r="D771" s="4" t="b">
        <f t="shared" si="57"/>
        <v>1</v>
      </c>
      <c r="E771" t="s">
        <v>20</v>
      </c>
      <c r="F771" t="s">
        <v>21</v>
      </c>
      <c r="G771" t="s">
        <v>1418</v>
      </c>
      <c r="H771" t="str">
        <f>VLOOKUP(C771,'[1]Erogati mag-giu 2026_791_old'!$B:$E,4,FALSE)</f>
        <v>C344252</v>
      </c>
      <c r="I771" t="b">
        <f t="shared" si="53"/>
        <v>1</v>
      </c>
      <c r="J771" s="14">
        <v>46179</v>
      </c>
      <c r="K771" s="14">
        <v>46179</v>
      </c>
      <c r="L771" t="s">
        <v>20</v>
      </c>
      <c r="M771" s="14">
        <v>46188</v>
      </c>
      <c r="N771" s="14">
        <v>46179</v>
      </c>
      <c r="O771" t="s">
        <v>20</v>
      </c>
      <c r="P771">
        <v>-89.45</v>
      </c>
      <c r="Q771">
        <f>VLOOKUP(G771,'[1]Erogati mag-giu 2026_791_old'!$A:$W,12,FALSE)</f>
        <v>-89.45</v>
      </c>
      <c r="R771">
        <f t="shared" si="54"/>
        <v>0</v>
      </c>
      <c r="S771">
        <v>-89.45</v>
      </c>
      <c r="T771">
        <f>VLOOKUP(G771,'[1]Erogati mag-giu 2026_791_old'!$A:$W,13,FALSE)</f>
        <v>-89.45</v>
      </c>
      <c r="U771">
        <f t="shared" si="55"/>
        <v>0</v>
      </c>
      <c r="V771">
        <v>-89.45</v>
      </c>
      <c r="W771">
        <f>VLOOKUP(G771,'[1]Erogati mag-giu 2026_791_old'!$A:$W,14,FALSE)</f>
        <v>-89.45</v>
      </c>
      <c r="X771">
        <f t="shared" si="56"/>
        <v>0</v>
      </c>
      <c r="Y771" t="s">
        <v>158</v>
      </c>
      <c r="Z771" t="str">
        <f>VLOOKUP(G771,'[2]Erogati mag-giu 2026_791_old'!$D:$T,11,FALSE)</f>
        <v>indiretto</v>
      </c>
      <c r="AA771" t="b">
        <v>1</v>
      </c>
      <c r="AF771" t="s">
        <v>20</v>
      </c>
      <c r="AG771" t="s">
        <v>20</v>
      </c>
    </row>
    <row r="772" spans="1:33">
      <c r="A772" s="13" t="s">
        <v>1419</v>
      </c>
      <c r="B772" t="s">
        <v>2034</v>
      </c>
      <c r="C772" s="4">
        <v>202601308656500</v>
      </c>
      <c r="D772" s="4" t="b">
        <f t="shared" si="57"/>
        <v>1</v>
      </c>
      <c r="E772" t="s">
        <v>20</v>
      </c>
      <c r="F772" t="s">
        <v>21</v>
      </c>
      <c r="G772" t="s">
        <v>1420</v>
      </c>
      <c r="H772" t="str">
        <f>VLOOKUP(C772,'[1]Erogati mag-giu 2026_791_old'!$B:$E,4,FALSE)</f>
        <v>C313634</v>
      </c>
      <c r="I772" t="b">
        <f t="shared" ref="I772:I792" si="58">EXACT(G772,H772)</f>
        <v>1</v>
      </c>
      <c r="J772" s="14">
        <v>46179</v>
      </c>
      <c r="K772" s="14">
        <v>46179</v>
      </c>
      <c r="L772" t="s">
        <v>20</v>
      </c>
      <c r="M772" s="14">
        <v>46188</v>
      </c>
      <c r="N772" s="14">
        <v>46179</v>
      </c>
      <c r="O772" t="s">
        <v>20</v>
      </c>
      <c r="P772">
        <v>-71.900000000000006</v>
      </c>
      <c r="Q772">
        <f>VLOOKUP(G772,'[1]Erogati mag-giu 2026_791_old'!$A:$W,12,FALSE)</f>
        <v>-71.900000000000006</v>
      </c>
      <c r="R772">
        <f t="shared" ref="R772:R792" si="59">P772-Q772</f>
        <v>0</v>
      </c>
      <c r="S772">
        <v>-71.900000000000006</v>
      </c>
      <c r="T772">
        <f>VLOOKUP(G772,'[1]Erogati mag-giu 2026_791_old'!$A:$W,13,FALSE)</f>
        <v>-71.900000000000006</v>
      </c>
      <c r="U772">
        <f t="shared" ref="U772:U792" si="60">S772-T772</f>
        <v>0</v>
      </c>
      <c r="V772">
        <v>-71.900000000000006</v>
      </c>
      <c r="W772">
        <f>VLOOKUP(G772,'[1]Erogati mag-giu 2026_791_old'!$A:$W,14,FALSE)</f>
        <v>-71.900000000000006</v>
      </c>
      <c r="X772">
        <f t="shared" ref="X772:X792" si="61">V772-W772</f>
        <v>0</v>
      </c>
      <c r="Y772" t="s">
        <v>158</v>
      </c>
      <c r="Z772" t="str">
        <f>VLOOKUP(G772,'[2]Erogati mag-giu 2026_791_old'!$D:$T,11,FALSE)</f>
        <v>indiretto</v>
      </c>
      <c r="AA772" t="b">
        <v>1</v>
      </c>
      <c r="AF772" t="s">
        <v>20</v>
      </c>
      <c r="AG772" t="s">
        <v>20</v>
      </c>
    </row>
    <row r="773" spans="1:33">
      <c r="A773" s="13" t="s">
        <v>1421</v>
      </c>
      <c r="B773" t="s">
        <v>2035</v>
      </c>
      <c r="C773" s="4">
        <v>202601308656859</v>
      </c>
      <c r="D773" s="4" t="b">
        <f t="shared" si="57"/>
        <v>1</v>
      </c>
      <c r="E773" t="s">
        <v>20</v>
      </c>
      <c r="F773" t="s">
        <v>21</v>
      </c>
      <c r="G773" t="s">
        <v>1422</v>
      </c>
      <c r="H773" t="str">
        <f>VLOOKUP(C773,'[1]Erogati mag-giu 2026_791_old'!$B:$E,4,FALSE)</f>
        <v>C308488</v>
      </c>
      <c r="I773" t="b">
        <f t="shared" si="58"/>
        <v>1</v>
      </c>
      <c r="J773" s="14">
        <v>46179</v>
      </c>
      <c r="K773" s="14">
        <v>46179</v>
      </c>
      <c r="L773" t="s">
        <v>20</v>
      </c>
      <c r="M773" s="14">
        <v>46188</v>
      </c>
      <c r="N773" s="14">
        <v>46179</v>
      </c>
      <c r="O773" t="s">
        <v>20</v>
      </c>
      <c r="P773">
        <v>-57.55</v>
      </c>
      <c r="Q773">
        <f>VLOOKUP(G773,'[1]Erogati mag-giu 2026_791_old'!$A:$W,12,FALSE)</f>
        <v>-57.55</v>
      </c>
      <c r="R773">
        <f t="shared" si="59"/>
        <v>0</v>
      </c>
      <c r="S773">
        <v>-57.55</v>
      </c>
      <c r="T773">
        <f>VLOOKUP(G773,'[1]Erogati mag-giu 2026_791_old'!$A:$W,13,FALSE)</f>
        <v>-57.55</v>
      </c>
      <c r="U773">
        <f t="shared" si="60"/>
        <v>0</v>
      </c>
      <c r="V773">
        <v>-57.55</v>
      </c>
      <c r="W773">
        <f>VLOOKUP(G773,'[1]Erogati mag-giu 2026_791_old'!$A:$W,14,FALSE)</f>
        <v>-57.55</v>
      </c>
      <c r="X773">
        <f t="shared" si="61"/>
        <v>0</v>
      </c>
      <c r="Y773" t="s">
        <v>158</v>
      </c>
      <c r="Z773" t="str">
        <f>VLOOKUP(G773,'[2]Erogati mag-giu 2026_791_old'!$D:$T,11,FALSE)</f>
        <v>indiretto</v>
      </c>
      <c r="AA773" t="b">
        <v>1</v>
      </c>
      <c r="AF773" t="s">
        <v>20</v>
      </c>
      <c r="AG773" t="s">
        <v>20</v>
      </c>
    </row>
    <row r="774" spans="1:33">
      <c r="A774" s="13" t="s">
        <v>1423</v>
      </c>
      <c r="B774" t="s">
        <v>2036</v>
      </c>
      <c r="C774" s="4">
        <v>202601308657660</v>
      </c>
      <c r="D774" s="4" t="b">
        <f t="shared" si="57"/>
        <v>1</v>
      </c>
      <c r="E774" t="s">
        <v>20</v>
      </c>
      <c r="F774" t="s">
        <v>21</v>
      </c>
      <c r="G774" t="s">
        <v>1424</v>
      </c>
      <c r="H774" t="str">
        <f>VLOOKUP(C774,'[1]Erogati mag-giu 2026_791_old'!$B:$E,4,FALSE)</f>
        <v>C311730</v>
      </c>
      <c r="I774" t="b">
        <f t="shared" si="58"/>
        <v>1</v>
      </c>
      <c r="J774" s="14">
        <v>46179</v>
      </c>
      <c r="K774" s="14">
        <v>46179</v>
      </c>
      <c r="L774" t="s">
        <v>20</v>
      </c>
      <c r="M774" s="14">
        <v>46188</v>
      </c>
      <c r="N774" s="14">
        <v>46179</v>
      </c>
      <c r="O774" t="s">
        <v>20</v>
      </c>
      <c r="P774">
        <v>-76.58</v>
      </c>
      <c r="Q774">
        <f>VLOOKUP(G774,'[1]Erogati mag-giu 2026_791_old'!$A:$W,12,FALSE)</f>
        <v>-76.58</v>
      </c>
      <c r="R774">
        <f t="shared" si="59"/>
        <v>0</v>
      </c>
      <c r="S774">
        <v>-76.58</v>
      </c>
      <c r="T774">
        <f>VLOOKUP(G774,'[1]Erogati mag-giu 2026_791_old'!$A:$W,13,FALSE)</f>
        <v>-76.58</v>
      </c>
      <c r="U774">
        <f t="shared" si="60"/>
        <v>0</v>
      </c>
      <c r="V774">
        <v>-76.58</v>
      </c>
      <c r="W774">
        <f>VLOOKUP(G774,'[1]Erogati mag-giu 2026_791_old'!$A:$W,14,FALSE)</f>
        <v>-76.58</v>
      </c>
      <c r="X774">
        <f t="shared" si="61"/>
        <v>0</v>
      </c>
      <c r="Y774" t="s">
        <v>158</v>
      </c>
      <c r="Z774" t="str">
        <f>VLOOKUP(G774,'[2]Erogati mag-giu 2026_791_old'!$D:$T,11,FALSE)</f>
        <v>indiretto</v>
      </c>
      <c r="AA774" t="b">
        <v>1</v>
      </c>
      <c r="AF774" t="s">
        <v>20</v>
      </c>
      <c r="AG774" t="s">
        <v>20</v>
      </c>
    </row>
    <row r="775" spans="1:33">
      <c r="A775" s="13" t="s">
        <v>1425</v>
      </c>
      <c r="B775" t="s">
        <v>2037</v>
      </c>
      <c r="C775" s="4">
        <v>202601308661944</v>
      </c>
      <c r="D775" s="4" t="b">
        <f t="shared" si="57"/>
        <v>1</v>
      </c>
      <c r="E775" t="s">
        <v>20</v>
      </c>
      <c r="F775" t="s">
        <v>21</v>
      </c>
      <c r="G775" t="s">
        <v>1426</v>
      </c>
      <c r="H775" t="str">
        <f>VLOOKUP(C775,'[1]Erogati mag-giu 2026_791_old'!$B:$E,4,FALSE)</f>
        <v>C344311</v>
      </c>
      <c r="I775" t="b">
        <f t="shared" si="58"/>
        <v>1</v>
      </c>
      <c r="J775" s="14">
        <v>46179</v>
      </c>
      <c r="K775" s="14">
        <v>46179</v>
      </c>
      <c r="L775" t="s">
        <v>20</v>
      </c>
      <c r="M775" s="14">
        <v>46188</v>
      </c>
      <c r="N775" s="14">
        <v>46179</v>
      </c>
      <c r="O775" t="s">
        <v>20</v>
      </c>
      <c r="P775">
        <v>-132.52000000000001</v>
      </c>
      <c r="Q775">
        <f>VLOOKUP(G775,'[1]Erogati mag-giu 2026_791_old'!$A:$W,12,FALSE)</f>
        <v>-132.52000000000001</v>
      </c>
      <c r="R775">
        <f t="shared" si="59"/>
        <v>0</v>
      </c>
      <c r="S775">
        <v>-132.52000000000001</v>
      </c>
      <c r="T775">
        <f>VLOOKUP(G775,'[1]Erogati mag-giu 2026_791_old'!$A:$W,13,FALSE)</f>
        <v>-132.52000000000001</v>
      </c>
      <c r="U775">
        <f t="shared" si="60"/>
        <v>0</v>
      </c>
      <c r="V775">
        <v>-132.52000000000001</v>
      </c>
      <c r="W775">
        <f>VLOOKUP(G775,'[1]Erogati mag-giu 2026_791_old'!$A:$W,14,FALSE)</f>
        <v>-132.52000000000001</v>
      </c>
      <c r="X775">
        <f t="shared" si="61"/>
        <v>0</v>
      </c>
      <c r="Y775" t="s">
        <v>158</v>
      </c>
      <c r="Z775" t="str">
        <f>VLOOKUP(G775,'[2]Erogati mag-giu 2026_791_old'!$D:$T,11,FALSE)</f>
        <v>indiretto</v>
      </c>
      <c r="AA775" t="b">
        <v>1</v>
      </c>
      <c r="AF775" t="s">
        <v>20</v>
      </c>
      <c r="AG775" t="s">
        <v>20</v>
      </c>
    </row>
    <row r="776" spans="1:33">
      <c r="A776" s="13" t="s">
        <v>1427</v>
      </c>
      <c r="B776" t="s">
        <v>2038</v>
      </c>
      <c r="C776" s="4">
        <v>202601308664368</v>
      </c>
      <c r="D776" s="4" t="b">
        <f t="shared" si="57"/>
        <v>1</v>
      </c>
      <c r="E776" t="s">
        <v>20</v>
      </c>
      <c r="F776" t="s">
        <v>21</v>
      </c>
      <c r="G776" t="s">
        <v>1428</v>
      </c>
      <c r="H776" t="str">
        <f>VLOOKUP(C776,'[1]Erogati mag-giu 2026_791_old'!$B:$E,4,FALSE)</f>
        <v>C344168</v>
      </c>
      <c r="I776" t="b">
        <f t="shared" si="58"/>
        <v>1</v>
      </c>
      <c r="J776" s="14">
        <v>46179</v>
      </c>
      <c r="K776" s="14">
        <v>46179</v>
      </c>
      <c r="L776" t="s">
        <v>20</v>
      </c>
      <c r="M776" s="14">
        <v>46188</v>
      </c>
      <c r="N776" s="14">
        <v>46179</v>
      </c>
      <c r="O776" t="s">
        <v>20</v>
      </c>
      <c r="P776">
        <v>-52.52</v>
      </c>
      <c r="Q776">
        <f>VLOOKUP(G776,'[1]Erogati mag-giu 2026_791_old'!$A:$W,12,FALSE)</f>
        <v>-52.52</v>
      </c>
      <c r="R776">
        <f t="shared" si="59"/>
        <v>0</v>
      </c>
      <c r="S776">
        <v>-52.52</v>
      </c>
      <c r="T776">
        <f>VLOOKUP(G776,'[1]Erogati mag-giu 2026_791_old'!$A:$W,13,FALSE)</f>
        <v>-52.52</v>
      </c>
      <c r="U776">
        <f t="shared" si="60"/>
        <v>0</v>
      </c>
      <c r="V776">
        <v>-52.52</v>
      </c>
      <c r="W776">
        <f>VLOOKUP(G776,'[1]Erogati mag-giu 2026_791_old'!$A:$W,14,FALSE)</f>
        <v>-52.52</v>
      </c>
      <c r="X776">
        <f t="shared" si="61"/>
        <v>0</v>
      </c>
      <c r="Y776" t="s">
        <v>158</v>
      </c>
      <c r="Z776" t="str">
        <f>VLOOKUP(G776,'[2]Erogati mag-giu 2026_791_old'!$D:$T,11,FALSE)</f>
        <v>indiretto</v>
      </c>
      <c r="AA776" t="b">
        <v>1</v>
      </c>
      <c r="AF776" t="s">
        <v>20</v>
      </c>
      <c r="AG776" t="s">
        <v>20</v>
      </c>
    </row>
    <row r="777" spans="1:33">
      <c r="A777" s="13" t="s">
        <v>1429</v>
      </c>
      <c r="B777" t="s">
        <v>2039</v>
      </c>
      <c r="C777" s="4">
        <v>202601308667029</v>
      </c>
      <c r="D777" s="4" t="b">
        <f t="shared" ref="D777:D792" si="62">EXACT(B777,C777)</f>
        <v>1</v>
      </c>
      <c r="E777" t="s">
        <v>20</v>
      </c>
      <c r="F777" t="s">
        <v>21</v>
      </c>
      <c r="G777" t="s">
        <v>1430</v>
      </c>
      <c r="H777" t="str">
        <f>VLOOKUP(C777,'[1]Erogati mag-giu 2026_791_old'!$B:$E,4,FALSE)</f>
        <v>C344121</v>
      </c>
      <c r="I777" t="b">
        <f t="shared" si="58"/>
        <v>1</v>
      </c>
      <c r="J777" s="14">
        <v>46179</v>
      </c>
      <c r="K777" s="14">
        <v>46179</v>
      </c>
      <c r="L777" t="s">
        <v>20</v>
      </c>
      <c r="M777" s="14">
        <v>46188</v>
      </c>
      <c r="N777" s="14">
        <v>46179</v>
      </c>
      <c r="O777" t="s">
        <v>20</v>
      </c>
      <c r="P777">
        <v>-33.130000000000003</v>
      </c>
      <c r="Q777">
        <f>VLOOKUP(G777,'[1]Erogati mag-giu 2026_791_old'!$A:$W,12,FALSE)</f>
        <v>-33.130000000000003</v>
      </c>
      <c r="R777">
        <f t="shared" si="59"/>
        <v>0</v>
      </c>
      <c r="S777">
        <v>-33.130000000000003</v>
      </c>
      <c r="T777">
        <f>VLOOKUP(G777,'[1]Erogati mag-giu 2026_791_old'!$A:$W,13,FALSE)</f>
        <v>-33.130000000000003</v>
      </c>
      <c r="U777">
        <f t="shared" si="60"/>
        <v>0</v>
      </c>
      <c r="V777">
        <v>-33.130000000000003</v>
      </c>
      <c r="W777">
        <f>VLOOKUP(G777,'[1]Erogati mag-giu 2026_791_old'!$A:$W,14,FALSE)</f>
        <v>-33.130000000000003</v>
      </c>
      <c r="X777">
        <f t="shared" si="61"/>
        <v>0</v>
      </c>
      <c r="Y777" t="s">
        <v>158</v>
      </c>
      <c r="Z777" t="str">
        <f>VLOOKUP(G777,'[2]Erogati mag-giu 2026_791_old'!$D:$T,11,FALSE)</f>
        <v>indiretto</v>
      </c>
      <c r="AA777" t="b">
        <v>1</v>
      </c>
      <c r="AF777" t="s">
        <v>20</v>
      </c>
      <c r="AG777" t="s">
        <v>20</v>
      </c>
    </row>
    <row r="778" spans="1:33">
      <c r="A778" s="13" t="s">
        <v>1431</v>
      </c>
      <c r="B778" t="s">
        <v>2040</v>
      </c>
      <c r="C778" s="4">
        <v>202601308671472</v>
      </c>
      <c r="D778" s="4" t="b">
        <f t="shared" si="62"/>
        <v>1</v>
      </c>
      <c r="E778" t="s">
        <v>20</v>
      </c>
      <c r="F778" t="s">
        <v>21</v>
      </c>
      <c r="G778" t="s">
        <v>1432</v>
      </c>
      <c r="H778" t="str">
        <f>VLOOKUP(C778,'[1]Erogati mag-giu 2026_791_old'!$B:$E,4,FALSE)</f>
        <v>C313491</v>
      </c>
      <c r="I778" t="b">
        <f t="shared" si="58"/>
        <v>1</v>
      </c>
      <c r="J778" s="14">
        <v>46179</v>
      </c>
      <c r="K778" s="14">
        <v>46179</v>
      </c>
      <c r="L778" t="s">
        <v>20</v>
      </c>
      <c r="M778" s="14">
        <v>46188</v>
      </c>
      <c r="N778" s="14">
        <v>46179</v>
      </c>
      <c r="O778" t="s">
        <v>20</v>
      </c>
      <c r="P778">
        <v>-33.130000000000003</v>
      </c>
      <c r="Q778">
        <f>VLOOKUP(G778,'[1]Erogati mag-giu 2026_791_old'!$A:$W,12,FALSE)</f>
        <v>-33.130000000000003</v>
      </c>
      <c r="R778">
        <f t="shared" si="59"/>
        <v>0</v>
      </c>
      <c r="S778">
        <v>-33.130000000000003</v>
      </c>
      <c r="T778">
        <f>VLOOKUP(G778,'[1]Erogati mag-giu 2026_791_old'!$A:$W,13,FALSE)</f>
        <v>-33.130000000000003</v>
      </c>
      <c r="U778">
        <f t="shared" si="60"/>
        <v>0</v>
      </c>
      <c r="V778">
        <v>-33.130000000000003</v>
      </c>
      <c r="W778">
        <f>VLOOKUP(G778,'[1]Erogati mag-giu 2026_791_old'!$A:$W,14,FALSE)</f>
        <v>-33.130000000000003</v>
      </c>
      <c r="X778">
        <f t="shared" si="61"/>
        <v>0</v>
      </c>
      <c r="Y778" t="s">
        <v>158</v>
      </c>
      <c r="Z778" t="str">
        <f>VLOOKUP(G778,'[2]Erogati mag-giu 2026_791_old'!$D:$T,11,FALSE)</f>
        <v>indiretto</v>
      </c>
      <c r="AA778" t="b">
        <v>1</v>
      </c>
      <c r="AF778" t="s">
        <v>20</v>
      </c>
      <c r="AG778" t="s">
        <v>20</v>
      </c>
    </row>
    <row r="779" spans="1:33">
      <c r="A779" s="13" t="s">
        <v>1433</v>
      </c>
      <c r="B779" t="s">
        <v>2041</v>
      </c>
      <c r="C779" s="4">
        <v>202601308674716</v>
      </c>
      <c r="D779" s="4" t="b">
        <f t="shared" si="62"/>
        <v>1</v>
      </c>
      <c r="E779" t="s">
        <v>20</v>
      </c>
      <c r="F779" t="s">
        <v>21</v>
      </c>
      <c r="G779" t="s">
        <v>1434</v>
      </c>
      <c r="H779" t="str">
        <f>VLOOKUP(C779,'[1]Erogati mag-giu 2026_791_old'!$B:$E,4,FALSE)</f>
        <v>C344167</v>
      </c>
      <c r="I779" t="b">
        <f t="shared" si="58"/>
        <v>1</v>
      </c>
      <c r="J779" s="14">
        <v>46179</v>
      </c>
      <c r="K779" s="14">
        <v>46179</v>
      </c>
      <c r="L779" t="s">
        <v>20</v>
      </c>
      <c r="M779" s="14">
        <v>46188</v>
      </c>
      <c r="N779" s="14">
        <v>46179</v>
      </c>
      <c r="O779" t="s">
        <v>20</v>
      </c>
      <c r="P779">
        <v>-79.510000000000005</v>
      </c>
      <c r="Q779">
        <f>VLOOKUP(G779,'[1]Erogati mag-giu 2026_791_old'!$A:$W,12,FALSE)</f>
        <v>-79.510000000000005</v>
      </c>
      <c r="R779">
        <f t="shared" si="59"/>
        <v>0</v>
      </c>
      <c r="S779">
        <v>-79.510000000000005</v>
      </c>
      <c r="T779">
        <f>VLOOKUP(G779,'[1]Erogati mag-giu 2026_791_old'!$A:$W,13,FALSE)</f>
        <v>-79.510000000000005</v>
      </c>
      <c r="U779">
        <f t="shared" si="60"/>
        <v>0</v>
      </c>
      <c r="V779">
        <v>-79.510000000000005</v>
      </c>
      <c r="W779">
        <f>VLOOKUP(G779,'[1]Erogati mag-giu 2026_791_old'!$A:$W,14,FALSE)</f>
        <v>-79.510000000000005</v>
      </c>
      <c r="X779">
        <f t="shared" si="61"/>
        <v>0</v>
      </c>
      <c r="Y779" t="s">
        <v>158</v>
      </c>
      <c r="Z779" t="str">
        <f>VLOOKUP(G779,'[2]Erogati mag-giu 2026_791_old'!$D:$T,11,FALSE)</f>
        <v>indiretto</v>
      </c>
      <c r="AA779" t="b">
        <v>1</v>
      </c>
      <c r="AF779" t="s">
        <v>20</v>
      </c>
      <c r="AG779" t="s">
        <v>20</v>
      </c>
    </row>
    <row r="780" spans="1:33">
      <c r="A780" s="13" t="s">
        <v>1435</v>
      </c>
      <c r="B780" t="s">
        <v>2042</v>
      </c>
      <c r="C780" s="4">
        <v>202601308678688</v>
      </c>
      <c r="D780" s="4" t="b">
        <f t="shared" si="62"/>
        <v>1</v>
      </c>
      <c r="E780" t="s">
        <v>20</v>
      </c>
      <c r="F780" t="s">
        <v>21</v>
      </c>
      <c r="G780" t="s">
        <v>1436</v>
      </c>
      <c r="H780" t="str">
        <f>VLOOKUP(C780,'[1]Erogati mag-giu 2026_791_old'!$B:$E,4,FALSE)</f>
        <v>C344312</v>
      </c>
      <c r="I780" t="b">
        <f t="shared" si="58"/>
        <v>1</v>
      </c>
      <c r="J780" s="14">
        <v>46179</v>
      </c>
      <c r="K780" s="14">
        <v>46179</v>
      </c>
      <c r="L780" t="s">
        <v>20</v>
      </c>
      <c r="M780" s="14">
        <v>46188</v>
      </c>
      <c r="N780" s="14">
        <v>46179</v>
      </c>
      <c r="O780" t="s">
        <v>20</v>
      </c>
      <c r="P780">
        <v>-49.24</v>
      </c>
      <c r="Q780">
        <f>VLOOKUP(G780,'[1]Erogati mag-giu 2026_791_old'!$A:$W,12,FALSE)</f>
        <v>-49.24</v>
      </c>
      <c r="R780">
        <f t="shared" si="59"/>
        <v>0</v>
      </c>
      <c r="S780">
        <v>-49.24</v>
      </c>
      <c r="T780">
        <f>VLOOKUP(G780,'[1]Erogati mag-giu 2026_791_old'!$A:$W,13,FALSE)</f>
        <v>-49.24</v>
      </c>
      <c r="U780">
        <f t="shared" si="60"/>
        <v>0</v>
      </c>
      <c r="V780">
        <v>-49.24</v>
      </c>
      <c r="W780">
        <f>VLOOKUP(G780,'[1]Erogati mag-giu 2026_791_old'!$A:$W,14,FALSE)</f>
        <v>-49.24</v>
      </c>
      <c r="X780">
        <f t="shared" si="61"/>
        <v>0</v>
      </c>
      <c r="Y780" t="s">
        <v>158</v>
      </c>
      <c r="Z780" t="str">
        <f>VLOOKUP(G780,'[2]Erogati mag-giu 2026_791_old'!$D:$T,11,FALSE)</f>
        <v>indiretto</v>
      </c>
      <c r="AA780" t="b">
        <v>1</v>
      </c>
      <c r="AF780" t="s">
        <v>20</v>
      </c>
      <c r="AG780" t="s">
        <v>20</v>
      </c>
    </row>
    <row r="781" spans="1:33">
      <c r="A781" s="13" t="s">
        <v>1437</v>
      </c>
      <c r="B781" t="s">
        <v>2043</v>
      </c>
      <c r="C781" s="4">
        <v>202601308680823</v>
      </c>
      <c r="D781" s="4" t="b">
        <f t="shared" si="62"/>
        <v>1</v>
      </c>
      <c r="E781" t="s">
        <v>20</v>
      </c>
      <c r="F781" t="s">
        <v>21</v>
      </c>
      <c r="G781" t="s">
        <v>1438</v>
      </c>
      <c r="H781" t="str">
        <f>VLOOKUP(C781,'[1]Erogati mag-giu 2026_791_old'!$B:$E,4,FALSE)</f>
        <v>C344209</v>
      </c>
      <c r="I781" t="b">
        <f t="shared" si="58"/>
        <v>1</v>
      </c>
      <c r="J781" s="14">
        <v>46179</v>
      </c>
      <c r="K781" s="14">
        <v>46179</v>
      </c>
      <c r="L781" t="s">
        <v>20</v>
      </c>
      <c r="M781" s="14">
        <v>46188</v>
      </c>
      <c r="N781" s="14">
        <v>46179</v>
      </c>
      <c r="O781" t="s">
        <v>20</v>
      </c>
      <c r="P781">
        <v>-38.659999999999997</v>
      </c>
      <c r="Q781">
        <f>VLOOKUP(G781,'[1]Erogati mag-giu 2026_791_old'!$A:$W,12,FALSE)</f>
        <v>-38.659999999999997</v>
      </c>
      <c r="R781">
        <f t="shared" si="59"/>
        <v>0</v>
      </c>
      <c r="S781">
        <v>-38.659999999999997</v>
      </c>
      <c r="T781">
        <f>VLOOKUP(G781,'[1]Erogati mag-giu 2026_791_old'!$A:$W,13,FALSE)</f>
        <v>-38.659999999999997</v>
      </c>
      <c r="U781">
        <f t="shared" si="60"/>
        <v>0</v>
      </c>
      <c r="V781">
        <v>-38.659999999999997</v>
      </c>
      <c r="W781">
        <f>VLOOKUP(G781,'[1]Erogati mag-giu 2026_791_old'!$A:$W,14,FALSE)</f>
        <v>-38.659999999999997</v>
      </c>
      <c r="X781">
        <f t="shared" si="61"/>
        <v>0</v>
      </c>
      <c r="Y781" t="s">
        <v>158</v>
      </c>
      <c r="Z781" t="str">
        <f>VLOOKUP(G781,'[2]Erogati mag-giu 2026_791_old'!$D:$T,11,FALSE)</f>
        <v>indiretto</v>
      </c>
      <c r="AA781" t="b">
        <v>1</v>
      </c>
      <c r="AF781" t="s">
        <v>20</v>
      </c>
      <c r="AG781" t="s">
        <v>20</v>
      </c>
    </row>
    <row r="782" spans="1:33">
      <c r="A782" s="13" t="s">
        <v>1439</v>
      </c>
      <c r="B782" t="s">
        <v>2044</v>
      </c>
      <c r="C782" s="4">
        <v>202601308681138</v>
      </c>
      <c r="D782" s="4" t="b">
        <f t="shared" si="62"/>
        <v>1</v>
      </c>
      <c r="E782" t="s">
        <v>20</v>
      </c>
      <c r="F782" t="s">
        <v>21</v>
      </c>
      <c r="G782" t="s">
        <v>1440</v>
      </c>
      <c r="H782" t="str">
        <f>VLOOKUP(C782,'[1]Erogati mag-giu 2026_791_old'!$B:$E,4,FALSE)</f>
        <v>C310410</v>
      </c>
      <c r="I782" t="b">
        <f t="shared" si="58"/>
        <v>1</v>
      </c>
      <c r="J782" s="14">
        <v>46179</v>
      </c>
      <c r="K782" s="14">
        <v>46179</v>
      </c>
      <c r="L782" t="s">
        <v>20</v>
      </c>
      <c r="M782" s="14">
        <v>46188</v>
      </c>
      <c r="N782" s="14">
        <v>46179</v>
      </c>
      <c r="O782" t="s">
        <v>20</v>
      </c>
      <c r="P782">
        <v>-66.260000000000005</v>
      </c>
      <c r="Q782">
        <f>VLOOKUP(G782,'[1]Erogati mag-giu 2026_791_old'!$A:$W,12,FALSE)</f>
        <v>-66.260000000000005</v>
      </c>
      <c r="R782">
        <f t="shared" si="59"/>
        <v>0</v>
      </c>
      <c r="S782">
        <v>-66.260000000000005</v>
      </c>
      <c r="T782">
        <f>VLOOKUP(G782,'[1]Erogati mag-giu 2026_791_old'!$A:$W,13,FALSE)</f>
        <v>-66.260000000000005</v>
      </c>
      <c r="U782">
        <f t="shared" si="60"/>
        <v>0</v>
      </c>
      <c r="V782">
        <v>-66.260000000000005</v>
      </c>
      <c r="W782">
        <f>VLOOKUP(G782,'[1]Erogati mag-giu 2026_791_old'!$A:$W,14,FALSE)</f>
        <v>-66.260000000000005</v>
      </c>
      <c r="X782">
        <f t="shared" si="61"/>
        <v>0</v>
      </c>
      <c r="Y782" t="s">
        <v>158</v>
      </c>
      <c r="Z782" t="str">
        <f>VLOOKUP(G782,'[2]Erogati mag-giu 2026_791_old'!$D:$T,11,FALSE)</f>
        <v>indiretto</v>
      </c>
      <c r="AA782" t="b">
        <v>1</v>
      </c>
      <c r="AF782" t="s">
        <v>20</v>
      </c>
      <c r="AG782" t="s">
        <v>20</v>
      </c>
    </row>
    <row r="783" spans="1:33">
      <c r="A783" s="13" t="s">
        <v>1441</v>
      </c>
      <c r="B783" t="s">
        <v>2045</v>
      </c>
      <c r="C783" s="4">
        <v>202601308697097</v>
      </c>
      <c r="D783" s="4" t="b">
        <f t="shared" si="62"/>
        <v>1</v>
      </c>
      <c r="E783" t="s">
        <v>20</v>
      </c>
      <c r="F783" t="s">
        <v>21</v>
      </c>
      <c r="G783" t="s">
        <v>1442</v>
      </c>
      <c r="H783" t="str">
        <f>VLOOKUP(C783,'[1]Erogati mag-giu 2026_791_old'!$B:$E,4,FALSE)</f>
        <v>C117795</v>
      </c>
      <c r="I783" t="b">
        <f t="shared" si="58"/>
        <v>1</v>
      </c>
      <c r="J783" s="14">
        <v>46179</v>
      </c>
      <c r="K783" s="14">
        <v>46179</v>
      </c>
      <c r="L783" t="s">
        <v>20</v>
      </c>
      <c r="M783" s="14">
        <v>46188</v>
      </c>
      <c r="N783" s="14">
        <v>46179</v>
      </c>
      <c r="O783" t="s">
        <v>20</v>
      </c>
      <c r="P783">
        <v>-66.260000000000005</v>
      </c>
      <c r="Q783">
        <f>VLOOKUP(G783,'[1]Erogati mag-giu 2026_791_old'!$A:$W,12,FALSE)</f>
        <v>-66.260000000000005</v>
      </c>
      <c r="R783">
        <f t="shared" si="59"/>
        <v>0</v>
      </c>
      <c r="S783">
        <v>-66.260000000000005</v>
      </c>
      <c r="T783">
        <f>VLOOKUP(G783,'[1]Erogati mag-giu 2026_791_old'!$A:$W,13,FALSE)</f>
        <v>-66.260000000000005</v>
      </c>
      <c r="U783">
        <f t="shared" si="60"/>
        <v>0</v>
      </c>
      <c r="V783">
        <v>-66.260000000000005</v>
      </c>
      <c r="W783">
        <f>VLOOKUP(G783,'[1]Erogati mag-giu 2026_791_old'!$A:$W,14,FALSE)</f>
        <v>-66.260000000000005</v>
      </c>
      <c r="X783">
        <f t="shared" si="61"/>
        <v>0</v>
      </c>
      <c r="Y783" t="s">
        <v>158</v>
      </c>
      <c r="Z783" t="str">
        <f>VLOOKUP(G783,'[2]Erogati mag-giu 2026_791_old'!$D:$T,11,FALSE)</f>
        <v>indiretto</v>
      </c>
      <c r="AA783" t="b">
        <v>1</v>
      </c>
      <c r="AF783" t="s">
        <v>20</v>
      </c>
      <c r="AG783" t="s">
        <v>20</v>
      </c>
    </row>
    <row r="784" spans="1:33">
      <c r="A784" s="13" t="s">
        <v>1443</v>
      </c>
      <c r="B784" t="s">
        <v>2046</v>
      </c>
      <c r="C784" s="4">
        <v>202601308698040</v>
      </c>
      <c r="D784" s="4" t="b">
        <f t="shared" si="62"/>
        <v>1</v>
      </c>
      <c r="E784" t="s">
        <v>20</v>
      </c>
      <c r="F784" t="s">
        <v>21</v>
      </c>
      <c r="G784" t="s">
        <v>1444</v>
      </c>
      <c r="H784" t="str">
        <f>VLOOKUP(C784,'[1]Erogati mag-giu 2026_791_old'!$B:$E,4,FALSE)</f>
        <v>C344218</v>
      </c>
      <c r="I784" t="b">
        <f t="shared" si="58"/>
        <v>1</v>
      </c>
      <c r="J784" s="14">
        <v>46179</v>
      </c>
      <c r="K784" s="14">
        <v>46179</v>
      </c>
      <c r="L784" t="s">
        <v>20</v>
      </c>
      <c r="M784" s="14">
        <v>46188</v>
      </c>
      <c r="N784" s="14">
        <v>46179</v>
      </c>
      <c r="O784" t="s">
        <v>20</v>
      </c>
      <c r="P784">
        <v>-105.03</v>
      </c>
      <c r="Q784">
        <f>VLOOKUP(G784,'[1]Erogati mag-giu 2026_791_old'!$A:$W,12,FALSE)</f>
        <v>-105.03</v>
      </c>
      <c r="R784">
        <f t="shared" si="59"/>
        <v>0</v>
      </c>
      <c r="S784">
        <v>-105.03</v>
      </c>
      <c r="T784">
        <f>VLOOKUP(G784,'[1]Erogati mag-giu 2026_791_old'!$A:$W,13,FALSE)</f>
        <v>-105.03</v>
      </c>
      <c r="U784">
        <f t="shared" si="60"/>
        <v>0</v>
      </c>
      <c r="V784">
        <v>-105.03</v>
      </c>
      <c r="W784">
        <f>VLOOKUP(G784,'[1]Erogati mag-giu 2026_791_old'!$A:$W,14,FALSE)</f>
        <v>-105.03</v>
      </c>
      <c r="X784">
        <f t="shared" si="61"/>
        <v>0</v>
      </c>
      <c r="Y784" t="s">
        <v>158</v>
      </c>
      <c r="Z784" t="str">
        <f>VLOOKUP(G784,'[2]Erogati mag-giu 2026_791_old'!$D:$T,11,FALSE)</f>
        <v>indiretto</v>
      </c>
      <c r="AA784" t="b">
        <v>1</v>
      </c>
      <c r="AF784" t="s">
        <v>20</v>
      </c>
      <c r="AG784" t="s">
        <v>20</v>
      </c>
    </row>
    <row r="785" spans="1:33">
      <c r="A785" s="13" t="s">
        <v>1445</v>
      </c>
      <c r="B785" t="s">
        <v>2047</v>
      </c>
      <c r="C785" s="4">
        <v>202601308708960</v>
      </c>
      <c r="D785" s="4" t="b">
        <f t="shared" si="62"/>
        <v>1</v>
      </c>
      <c r="E785" t="s">
        <v>20</v>
      </c>
      <c r="F785" t="s">
        <v>21</v>
      </c>
      <c r="G785" t="s">
        <v>1446</v>
      </c>
      <c r="H785" t="str">
        <f>VLOOKUP(C785,'[1]Erogati mag-giu 2026_791_old'!$B:$E,4,FALSE)</f>
        <v>C309879</v>
      </c>
      <c r="I785" t="b">
        <f t="shared" si="58"/>
        <v>1</v>
      </c>
      <c r="J785" s="14">
        <v>46179</v>
      </c>
      <c r="K785" s="14">
        <v>46179</v>
      </c>
      <c r="L785" t="s">
        <v>20</v>
      </c>
      <c r="M785" s="14">
        <v>46188</v>
      </c>
      <c r="N785" s="14">
        <v>46179</v>
      </c>
      <c r="O785" t="s">
        <v>20</v>
      </c>
      <c r="P785">
        <v>-33.130000000000003</v>
      </c>
      <c r="Q785">
        <f>VLOOKUP(G785,'[1]Erogati mag-giu 2026_791_old'!$A:$W,12,FALSE)</f>
        <v>-33.130000000000003</v>
      </c>
      <c r="R785">
        <f t="shared" si="59"/>
        <v>0</v>
      </c>
      <c r="S785">
        <v>-33.130000000000003</v>
      </c>
      <c r="T785">
        <f>VLOOKUP(G785,'[1]Erogati mag-giu 2026_791_old'!$A:$W,13,FALSE)</f>
        <v>-33.130000000000003</v>
      </c>
      <c r="U785">
        <f t="shared" si="60"/>
        <v>0</v>
      </c>
      <c r="V785">
        <v>-33.130000000000003</v>
      </c>
      <c r="W785">
        <f>VLOOKUP(G785,'[1]Erogati mag-giu 2026_791_old'!$A:$W,14,FALSE)</f>
        <v>-33.130000000000003</v>
      </c>
      <c r="X785">
        <f t="shared" si="61"/>
        <v>0</v>
      </c>
      <c r="Y785" t="s">
        <v>158</v>
      </c>
      <c r="Z785" t="str">
        <f>VLOOKUP(G785,'[2]Erogati mag-giu 2026_791_old'!$D:$T,11,FALSE)</f>
        <v>indiretto</v>
      </c>
      <c r="AA785" t="b">
        <v>1</v>
      </c>
      <c r="AF785" t="s">
        <v>20</v>
      </c>
      <c r="AG785" t="s">
        <v>20</v>
      </c>
    </row>
    <row r="786" spans="1:33">
      <c r="A786" s="13" t="s">
        <v>1447</v>
      </c>
      <c r="B786" t="s">
        <v>2048</v>
      </c>
      <c r="C786" s="4">
        <v>202601308712613</v>
      </c>
      <c r="D786" s="4" t="b">
        <f t="shared" si="62"/>
        <v>1</v>
      </c>
      <c r="E786" t="s">
        <v>20</v>
      </c>
      <c r="F786" t="s">
        <v>21</v>
      </c>
      <c r="G786" t="s">
        <v>1448</v>
      </c>
      <c r="H786" t="str">
        <f>VLOOKUP(C786,'[1]Erogati mag-giu 2026_791_old'!$B:$E,4,FALSE)</f>
        <v>C337634</v>
      </c>
      <c r="I786" t="b">
        <f t="shared" si="58"/>
        <v>1</v>
      </c>
      <c r="J786" s="14">
        <v>46179</v>
      </c>
      <c r="K786" s="14">
        <v>46179</v>
      </c>
      <c r="L786" t="s">
        <v>20</v>
      </c>
      <c r="M786" s="14">
        <v>46188</v>
      </c>
      <c r="N786" s="14">
        <v>46179</v>
      </c>
      <c r="O786" t="s">
        <v>20</v>
      </c>
      <c r="P786">
        <v>-151.79</v>
      </c>
      <c r="Q786">
        <f>VLOOKUP(G786,'[1]Erogati mag-giu 2026_791_old'!$A:$W,12,FALSE)</f>
        <v>-151.79</v>
      </c>
      <c r="R786">
        <f t="shared" si="59"/>
        <v>0</v>
      </c>
      <c r="S786">
        <v>-151.79</v>
      </c>
      <c r="T786">
        <f>VLOOKUP(G786,'[1]Erogati mag-giu 2026_791_old'!$A:$W,13,FALSE)</f>
        <v>-151.79</v>
      </c>
      <c r="U786">
        <f t="shared" si="60"/>
        <v>0</v>
      </c>
      <c r="V786">
        <v>-151.79</v>
      </c>
      <c r="W786">
        <f>VLOOKUP(G786,'[1]Erogati mag-giu 2026_791_old'!$A:$W,14,FALSE)</f>
        <v>-151.79</v>
      </c>
      <c r="X786">
        <f t="shared" si="61"/>
        <v>0</v>
      </c>
      <c r="Y786" t="s">
        <v>158</v>
      </c>
      <c r="Z786" t="str">
        <f>VLOOKUP(G786,'[2]Erogati mag-giu 2026_791_old'!$D:$T,11,FALSE)</f>
        <v>indiretto</v>
      </c>
      <c r="AA786" t="b">
        <v>1</v>
      </c>
      <c r="AF786" t="s">
        <v>20</v>
      </c>
      <c r="AG786" t="s">
        <v>20</v>
      </c>
    </row>
    <row r="787" spans="1:33">
      <c r="A787" s="13" t="s">
        <v>1449</v>
      </c>
      <c r="B787" t="s">
        <v>2049</v>
      </c>
      <c r="C787" s="4">
        <v>202601308716218</v>
      </c>
      <c r="D787" s="4" t="b">
        <f t="shared" si="62"/>
        <v>1</v>
      </c>
      <c r="E787" t="s">
        <v>20</v>
      </c>
      <c r="F787" t="s">
        <v>21</v>
      </c>
      <c r="G787" t="s">
        <v>1450</v>
      </c>
      <c r="H787" t="str">
        <f>VLOOKUP(C787,'[1]Erogati mag-giu 2026_791_old'!$B:$E,4,FALSE)</f>
        <v>C125449</v>
      </c>
      <c r="I787" t="b">
        <f t="shared" si="58"/>
        <v>1</v>
      </c>
      <c r="J787" s="14">
        <v>46179</v>
      </c>
      <c r="K787" s="14">
        <v>46179</v>
      </c>
      <c r="L787" t="s">
        <v>20</v>
      </c>
      <c r="M787" s="14">
        <v>46188</v>
      </c>
      <c r="N787" s="14">
        <v>46179</v>
      </c>
      <c r="O787" t="s">
        <v>20</v>
      </c>
      <c r="P787">
        <v>-165.65</v>
      </c>
      <c r="Q787">
        <f>VLOOKUP(G787,'[1]Erogati mag-giu 2026_791_old'!$A:$W,12,FALSE)</f>
        <v>-165.65</v>
      </c>
      <c r="R787">
        <f t="shared" si="59"/>
        <v>0</v>
      </c>
      <c r="S787">
        <v>-165.65</v>
      </c>
      <c r="T787">
        <f>VLOOKUP(G787,'[1]Erogati mag-giu 2026_791_old'!$A:$W,13,FALSE)</f>
        <v>-165.65</v>
      </c>
      <c r="U787">
        <f t="shared" si="60"/>
        <v>0</v>
      </c>
      <c r="V787">
        <v>-165.65</v>
      </c>
      <c r="W787">
        <f>VLOOKUP(G787,'[1]Erogati mag-giu 2026_791_old'!$A:$W,14,FALSE)</f>
        <v>-165.65</v>
      </c>
      <c r="X787">
        <f t="shared" si="61"/>
        <v>0</v>
      </c>
      <c r="Y787" t="s">
        <v>158</v>
      </c>
      <c r="Z787" t="str">
        <f>VLOOKUP(G787,'[2]Erogati mag-giu 2026_791_old'!$D:$T,11,FALSE)</f>
        <v>indiretto</v>
      </c>
      <c r="AA787" t="b">
        <v>1</v>
      </c>
      <c r="AF787" t="s">
        <v>20</v>
      </c>
      <c r="AG787" t="s">
        <v>20</v>
      </c>
    </row>
    <row r="788" spans="1:33">
      <c r="A788" s="13" t="s">
        <v>1451</v>
      </c>
      <c r="B788" t="s">
        <v>2050</v>
      </c>
      <c r="C788" s="4">
        <v>202601308717225</v>
      </c>
      <c r="D788" s="4" t="b">
        <f t="shared" si="62"/>
        <v>1</v>
      </c>
      <c r="E788" t="s">
        <v>20</v>
      </c>
      <c r="F788" t="s">
        <v>21</v>
      </c>
      <c r="G788" t="s">
        <v>1452</v>
      </c>
      <c r="H788" t="str">
        <f>VLOOKUP(C788,'[1]Erogati mag-giu 2026_791_old'!$B:$E,4,FALSE)</f>
        <v>C314522</v>
      </c>
      <c r="I788" t="b">
        <f t="shared" si="58"/>
        <v>1</v>
      </c>
      <c r="J788" s="14">
        <v>46179</v>
      </c>
      <c r="K788" s="14">
        <v>46179</v>
      </c>
      <c r="L788" t="s">
        <v>20</v>
      </c>
      <c r="M788" s="14">
        <v>46188</v>
      </c>
      <c r="N788" s="14">
        <v>46179</v>
      </c>
      <c r="O788" t="s">
        <v>20</v>
      </c>
      <c r="P788">
        <v>-165.65</v>
      </c>
      <c r="Q788">
        <f>VLOOKUP(G788,'[1]Erogati mag-giu 2026_791_old'!$A:$W,12,FALSE)</f>
        <v>-165.65</v>
      </c>
      <c r="R788">
        <f t="shared" si="59"/>
        <v>0</v>
      </c>
      <c r="S788">
        <v>-165.65</v>
      </c>
      <c r="T788">
        <f>VLOOKUP(G788,'[1]Erogati mag-giu 2026_791_old'!$A:$W,13,FALSE)</f>
        <v>-165.65</v>
      </c>
      <c r="U788">
        <f t="shared" si="60"/>
        <v>0</v>
      </c>
      <c r="V788">
        <v>-165.65</v>
      </c>
      <c r="W788">
        <f>VLOOKUP(G788,'[1]Erogati mag-giu 2026_791_old'!$A:$W,14,FALSE)</f>
        <v>-165.65</v>
      </c>
      <c r="X788">
        <f t="shared" si="61"/>
        <v>0</v>
      </c>
      <c r="Y788" t="s">
        <v>158</v>
      </c>
      <c r="Z788" t="str">
        <f>VLOOKUP(G788,'[2]Erogati mag-giu 2026_791_old'!$D:$T,11,FALSE)</f>
        <v>indiretto</v>
      </c>
      <c r="AA788" t="b">
        <v>1</v>
      </c>
      <c r="AF788" t="s">
        <v>20</v>
      </c>
      <c r="AG788" t="s">
        <v>20</v>
      </c>
    </row>
    <row r="789" spans="1:33">
      <c r="A789" s="13" t="s">
        <v>1453</v>
      </c>
      <c r="B789" t="s">
        <v>2051</v>
      </c>
      <c r="C789" s="4">
        <v>202601308718663</v>
      </c>
      <c r="D789" s="4" t="b">
        <f t="shared" si="62"/>
        <v>1</v>
      </c>
      <c r="E789" t="s">
        <v>20</v>
      </c>
      <c r="F789" t="s">
        <v>21</v>
      </c>
      <c r="G789" t="s">
        <v>1454</v>
      </c>
      <c r="H789" t="str">
        <f>VLOOKUP(C789,'[1]Erogati mag-giu 2026_791_old'!$B:$E,4,FALSE)</f>
        <v>C344310</v>
      </c>
      <c r="I789" t="b">
        <f t="shared" si="58"/>
        <v>1</v>
      </c>
      <c r="J789" s="14">
        <v>46179</v>
      </c>
      <c r="K789" s="14">
        <v>46179</v>
      </c>
      <c r="L789" t="s">
        <v>20</v>
      </c>
      <c r="M789" s="14">
        <v>46188</v>
      </c>
      <c r="N789" s="14">
        <v>46179</v>
      </c>
      <c r="O789" t="s">
        <v>20</v>
      </c>
      <c r="P789">
        <v>-105.03</v>
      </c>
      <c r="Q789">
        <f>VLOOKUP(G789,'[1]Erogati mag-giu 2026_791_old'!$A:$W,12,FALSE)</f>
        <v>-105.03</v>
      </c>
      <c r="R789">
        <f t="shared" si="59"/>
        <v>0</v>
      </c>
      <c r="S789">
        <v>-105.03</v>
      </c>
      <c r="T789">
        <f>VLOOKUP(G789,'[1]Erogati mag-giu 2026_791_old'!$A:$W,13,FALSE)</f>
        <v>-105.03</v>
      </c>
      <c r="U789">
        <f t="shared" si="60"/>
        <v>0</v>
      </c>
      <c r="V789">
        <v>-105.03</v>
      </c>
      <c r="W789">
        <f>VLOOKUP(G789,'[1]Erogati mag-giu 2026_791_old'!$A:$W,14,FALSE)</f>
        <v>-105.03</v>
      </c>
      <c r="X789">
        <f t="shared" si="61"/>
        <v>0</v>
      </c>
      <c r="Y789" t="s">
        <v>158</v>
      </c>
      <c r="Z789" t="str">
        <f>VLOOKUP(G789,'[2]Erogati mag-giu 2026_791_old'!$D:$T,11,FALSE)</f>
        <v>indiretto</v>
      </c>
      <c r="AA789" t="b">
        <v>1</v>
      </c>
      <c r="AF789" t="s">
        <v>20</v>
      </c>
      <c r="AG789" t="s">
        <v>20</v>
      </c>
    </row>
    <row r="790" spans="1:33">
      <c r="A790" s="13" t="s">
        <v>1455</v>
      </c>
      <c r="B790" t="s">
        <v>2052</v>
      </c>
      <c r="C790" s="4">
        <v>202601308720995</v>
      </c>
      <c r="D790" s="4" t="b">
        <f t="shared" si="62"/>
        <v>1</v>
      </c>
      <c r="E790" t="s">
        <v>20</v>
      </c>
      <c r="F790" t="s">
        <v>21</v>
      </c>
      <c r="G790" s="16" t="s">
        <v>1456</v>
      </c>
      <c r="H790" t="str">
        <f>VLOOKUP(C790,'[1]Erogati mag-giu 2026_791_old'!$B:$E,4,FALSE)</f>
        <v>C319964</v>
      </c>
      <c r="I790" t="b">
        <f t="shared" si="58"/>
        <v>1</v>
      </c>
      <c r="J790" s="14">
        <v>46179</v>
      </c>
      <c r="K790" s="14">
        <v>46179</v>
      </c>
      <c r="L790" t="s">
        <v>20</v>
      </c>
      <c r="M790" s="14">
        <v>46188</v>
      </c>
      <c r="N790" s="14">
        <v>46179</v>
      </c>
      <c r="O790" t="s">
        <v>20</v>
      </c>
      <c r="P790">
        <v>-99.39</v>
      </c>
      <c r="Q790">
        <f>VLOOKUP(G790,'[1]Erogati mag-giu 2026_791_old'!$A:$W,12,FALSE)</f>
        <v>-99.39</v>
      </c>
      <c r="R790">
        <f t="shared" si="59"/>
        <v>0</v>
      </c>
      <c r="S790">
        <v>-99.39</v>
      </c>
      <c r="T790">
        <f>VLOOKUP(G790,'[1]Erogati mag-giu 2026_791_old'!$A:$W,13,FALSE)</f>
        <v>-99.39</v>
      </c>
      <c r="U790">
        <f t="shared" si="60"/>
        <v>0</v>
      </c>
      <c r="V790">
        <v>-99.39</v>
      </c>
      <c r="W790">
        <f>VLOOKUP(G790,'[1]Erogati mag-giu 2026_791_old'!$A:$W,14,FALSE)</f>
        <v>-99.39</v>
      </c>
      <c r="X790">
        <f t="shared" si="61"/>
        <v>0</v>
      </c>
      <c r="Y790" t="s">
        <v>158</v>
      </c>
      <c r="Z790" t="str">
        <f>VLOOKUP(G790,'[2]Erogati mag-giu 2026_791_old'!$D:$T,11,FALSE)</f>
        <v>indiretto</v>
      </c>
      <c r="AA790" t="b">
        <v>1</v>
      </c>
      <c r="AF790" t="s">
        <v>20</v>
      </c>
      <c r="AG790" t="s">
        <v>20</v>
      </c>
    </row>
    <row r="791" spans="1:33">
      <c r="A791" s="13" t="s">
        <v>1457</v>
      </c>
      <c r="B791" t="s">
        <v>2053</v>
      </c>
      <c r="C791" s="4">
        <v>202601308724427</v>
      </c>
      <c r="D791" s="4" t="b">
        <f t="shared" si="62"/>
        <v>1</v>
      </c>
      <c r="E791" t="s">
        <v>20</v>
      </c>
      <c r="F791" t="s">
        <v>21</v>
      </c>
      <c r="G791" t="s">
        <v>1458</v>
      </c>
      <c r="H791" t="str">
        <f>VLOOKUP(C791,'[1]Erogati mag-giu 2026_791_old'!$B:$E,4,FALSE)</f>
        <v>C308561</v>
      </c>
      <c r="I791" t="b">
        <f t="shared" si="58"/>
        <v>1</v>
      </c>
      <c r="J791" s="14">
        <v>46179</v>
      </c>
      <c r="K791" s="14">
        <v>46179</v>
      </c>
      <c r="L791" t="s">
        <v>20</v>
      </c>
      <c r="M791" s="14">
        <v>46188</v>
      </c>
      <c r="N791" s="14">
        <v>46179</v>
      </c>
      <c r="O791" t="s">
        <v>20</v>
      </c>
      <c r="P791">
        <v>-33.130000000000003</v>
      </c>
      <c r="Q791">
        <f>VLOOKUP(G791,'[1]Erogati mag-giu 2026_791_old'!$A:$W,12,FALSE)</f>
        <v>-33.130000000000003</v>
      </c>
      <c r="R791">
        <f t="shared" si="59"/>
        <v>0</v>
      </c>
      <c r="S791">
        <v>-33.130000000000003</v>
      </c>
      <c r="T791">
        <f>VLOOKUP(G791,'[1]Erogati mag-giu 2026_791_old'!$A:$W,13,FALSE)</f>
        <v>-33.130000000000003</v>
      </c>
      <c r="U791">
        <f t="shared" si="60"/>
        <v>0</v>
      </c>
      <c r="V791">
        <v>-33.130000000000003</v>
      </c>
      <c r="W791">
        <f>VLOOKUP(G791,'[1]Erogati mag-giu 2026_791_old'!$A:$W,14,FALSE)</f>
        <v>-33.130000000000003</v>
      </c>
      <c r="X791">
        <f t="shared" si="61"/>
        <v>0</v>
      </c>
      <c r="Y791" t="s">
        <v>158</v>
      </c>
      <c r="Z791" t="str">
        <f>VLOOKUP(G791,'[2]Erogati mag-giu 2026_791_old'!$D:$T,11,FALSE)</f>
        <v>indiretto</v>
      </c>
      <c r="AA791" t="b">
        <v>1</v>
      </c>
      <c r="AF791" t="s">
        <v>20</v>
      </c>
      <c r="AG791" t="s">
        <v>20</v>
      </c>
    </row>
    <row r="792" spans="1:33">
      <c r="A792" s="13" t="s">
        <v>1459</v>
      </c>
      <c r="B792" t="s">
        <v>2054</v>
      </c>
      <c r="C792" s="4">
        <v>202601308726816</v>
      </c>
      <c r="D792" s="4" t="b">
        <f t="shared" si="62"/>
        <v>1</v>
      </c>
      <c r="E792" t="s">
        <v>20</v>
      </c>
      <c r="F792" t="s">
        <v>21</v>
      </c>
      <c r="G792" t="s">
        <v>1460</v>
      </c>
      <c r="H792" t="str">
        <f>VLOOKUP(C792,'[1]Erogati mag-giu 2026_791_old'!$B:$E,4,FALSE)</f>
        <v>C344198</v>
      </c>
      <c r="I792" t="b">
        <f t="shared" si="58"/>
        <v>1</v>
      </c>
      <c r="J792" s="14">
        <v>46179</v>
      </c>
      <c r="K792" s="14">
        <v>46179</v>
      </c>
      <c r="L792" t="s">
        <v>20</v>
      </c>
      <c r="M792" s="14">
        <v>46188</v>
      </c>
      <c r="N792" s="14">
        <v>46179</v>
      </c>
      <c r="O792" t="s">
        <v>20</v>
      </c>
      <c r="P792">
        <v>-66.260000000000005</v>
      </c>
      <c r="Q792">
        <f>VLOOKUP(G792,'[1]Erogati mag-giu 2026_791_old'!$A:$W,12,FALSE)</f>
        <v>-66.260000000000005</v>
      </c>
      <c r="R792">
        <f t="shared" si="59"/>
        <v>0</v>
      </c>
      <c r="S792">
        <v>-66.260000000000005</v>
      </c>
      <c r="T792">
        <f>VLOOKUP(G792,'[1]Erogati mag-giu 2026_791_old'!$A:$W,13,FALSE)</f>
        <v>-66.260000000000005</v>
      </c>
      <c r="U792">
        <f t="shared" si="60"/>
        <v>0</v>
      </c>
      <c r="V792">
        <v>-66.260000000000005</v>
      </c>
      <c r="W792">
        <f>VLOOKUP(G792,'[1]Erogati mag-giu 2026_791_old'!$A:$W,14,FALSE)</f>
        <v>-66.260000000000005</v>
      </c>
      <c r="X792">
        <f t="shared" si="61"/>
        <v>0</v>
      </c>
      <c r="Y792" t="s">
        <v>158</v>
      </c>
      <c r="Z792" t="str">
        <f>VLOOKUP(G792,'[2]Erogati mag-giu 2026_791_old'!$D:$T,11,FALSE)</f>
        <v>indiretto</v>
      </c>
      <c r="AA792" t="b">
        <v>1</v>
      </c>
      <c r="AF792" t="s">
        <v>20</v>
      </c>
      <c r="AG792" t="s">
        <v>20</v>
      </c>
    </row>
    <row r="793" spans="1:33">
      <c r="S793">
        <f>SUM(S3:S792)</f>
        <v>-70023.849999999904</v>
      </c>
      <c r="T793">
        <f>SUM(T3:T792)</f>
        <v>-70023.849999999904</v>
      </c>
      <c r="V793">
        <f>SUM(V3:V792)</f>
        <v>-70023.849999999904</v>
      </c>
      <c r="W793">
        <f>SUM(W3:W792)</f>
        <v>-70023.849999999904</v>
      </c>
    </row>
    <row r="794" spans="1:33">
      <c r="A794" t="s">
        <v>1461</v>
      </c>
      <c r="B794" t="s">
        <v>2055</v>
      </c>
    </row>
    <row r="795" spans="1:33">
      <c r="P795">
        <f>SUBTOTAL(9,P3:P794)</f>
        <v>-70023.849999999904</v>
      </c>
      <c r="Q795">
        <f>SUBTOTAL(9,Q3:Q794)</f>
        <v>-70023.849999999904</v>
      </c>
    </row>
    <row r="797" spans="1:33">
      <c r="Q797">
        <f>'[3]Erogati mag-giu 2026_790'!$K$792</f>
        <v>-95.07</v>
      </c>
    </row>
  </sheetData>
  <autoFilter ref="A2:AG794" xr:uid="{00000000-0001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A5E4-30E3-4FA9-B942-8480474C6E6A}">
  <dimension ref="A1:T3188"/>
  <sheetViews>
    <sheetView tabSelected="1" workbookViewId="0">
      <selection activeCell="B17" sqref="B17"/>
    </sheetView>
  </sheetViews>
  <sheetFormatPr defaultRowHeight="14.4"/>
  <cols>
    <col min="1" max="1" width="26.88671875" style="20" customWidth="1"/>
    <col min="2" max="2" width="24.6640625" style="20" customWidth="1"/>
    <col min="3" max="3" width="8.88671875" style="19"/>
    <col min="4" max="4" width="12.109375" style="19" bestFit="1" customWidth="1"/>
    <col min="5" max="5" width="41" style="19" bestFit="1" customWidth="1"/>
    <col min="6" max="6" width="39.88671875" style="19" bestFit="1" customWidth="1"/>
    <col min="7" max="7" width="32.88671875" style="19" bestFit="1" customWidth="1"/>
    <col min="8" max="8" width="36" style="19" customWidth="1"/>
    <col min="9" max="9" width="34.88671875" style="19" customWidth="1"/>
    <col min="10" max="10" width="8.88671875" style="19"/>
    <col min="11" max="11" width="13.5546875" style="19" customWidth="1"/>
    <col min="12" max="12" width="11.77734375" style="19" customWidth="1"/>
    <col min="13" max="13" width="13" style="19" customWidth="1"/>
    <col min="14" max="15" width="8.88671875" style="19"/>
    <col min="16" max="16" width="81.33203125" style="19" bestFit="1" customWidth="1"/>
    <col min="17" max="17" width="79.109375" style="19" bestFit="1" customWidth="1"/>
    <col min="18" max="18" width="56.77734375" style="19" bestFit="1" customWidth="1"/>
    <col min="19" max="16384" width="8.88671875" style="19"/>
  </cols>
  <sheetData>
    <row r="1" spans="1:20">
      <c r="A1" s="19" t="s">
        <v>2391</v>
      </c>
      <c r="B1" s="19"/>
    </row>
    <row r="2" spans="1:20">
      <c r="A2" s="29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7</v>
      </c>
      <c r="H2" s="28" t="s">
        <v>8</v>
      </c>
      <c r="I2" s="28" t="s">
        <v>6</v>
      </c>
      <c r="J2" s="28" t="s">
        <v>9</v>
      </c>
      <c r="K2" s="28" t="s">
        <v>10</v>
      </c>
      <c r="L2" s="28" t="s">
        <v>1462</v>
      </c>
      <c r="M2" s="28" t="s">
        <v>12</v>
      </c>
      <c r="N2" s="28" t="s">
        <v>13</v>
      </c>
      <c r="O2" s="28" t="s">
        <v>14</v>
      </c>
      <c r="P2" s="28" t="s">
        <v>1463</v>
      </c>
      <c r="Q2" s="28" t="s">
        <v>15</v>
      </c>
      <c r="R2" s="28" t="s">
        <v>16</v>
      </c>
      <c r="S2" s="28" t="s">
        <v>19</v>
      </c>
      <c r="T2" s="28" t="s">
        <v>1464</v>
      </c>
    </row>
    <row r="3" spans="1:20">
      <c r="A3" s="20">
        <v>202601307732832</v>
      </c>
      <c r="B3" s="19"/>
      <c r="C3" s="19" t="s">
        <v>21</v>
      </c>
      <c r="D3" s="19">
        <v>1040000390</v>
      </c>
      <c r="E3" s="21">
        <v>46143</v>
      </c>
      <c r="F3" s="21">
        <v>46507</v>
      </c>
      <c r="G3" s="21">
        <v>46143</v>
      </c>
      <c r="H3" s="21">
        <v>46507</v>
      </c>
      <c r="J3" s="27" t="s">
        <v>1465</v>
      </c>
      <c r="K3" s="19" t="s">
        <v>1466</v>
      </c>
      <c r="L3" s="19" t="s">
        <v>1466</v>
      </c>
      <c r="M3" s="19" t="s">
        <v>1466</v>
      </c>
      <c r="N3" s="19" t="s">
        <v>1467</v>
      </c>
      <c r="O3" s="19">
        <v>1</v>
      </c>
      <c r="P3" s="19" t="s">
        <v>1468</v>
      </c>
      <c r="Q3" s="19" t="s">
        <v>1469</v>
      </c>
      <c r="R3" s="19" t="s">
        <v>1470</v>
      </c>
      <c r="S3" s="19" t="s">
        <v>1471</v>
      </c>
      <c r="T3" s="19" t="s">
        <v>1472</v>
      </c>
    </row>
    <row r="4" spans="1:20">
      <c r="A4" s="20">
        <v>202601308678688</v>
      </c>
      <c r="B4" s="19"/>
      <c r="C4" s="19" t="s">
        <v>21</v>
      </c>
      <c r="D4" s="19" t="s">
        <v>1436</v>
      </c>
      <c r="E4" s="21">
        <v>46143</v>
      </c>
      <c r="F4" s="21">
        <v>46507</v>
      </c>
      <c r="G4" s="21">
        <v>46179</v>
      </c>
      <c r="H4" s="21">
        <v>46179</v>
      </c>
      <c r="J4" s="27" t="s">
        <v>1473</v>
      </c>
      <c r="K4" s="19" t="s">
        <v>1474</v>
      </c>
      <c r="L4" s="19" t="s">
        <v>1474</v>
      </c>
      <c r="M4" s="19" t="s">
        <v>1474</v>
      </c>
      <c r="N4" s="19" t="s">
        <v>1475</v>
      </c>
      <c r="O4" s="19">
        <v>2</v>
      </c>
      <c r="P4" s="19" t="s">
        <v>1476</v>
      </c>
      <c r="Q4" s="19" t="s">
        <v>1477</v>
      </c>
      <c r="R4" s="19" t="s">
        <v>1478</v>
      </c>
      <c r="S4" s="19" t="s">
        <v>1471</v>
      </c>
      <c r="T4" s="19" t="s">
        <v>1479</v>
      </c>
    </row>
    <row r="7" spans="1:20" ht="75" customHeight="1">
      <c r="A7" s="26" t="s">
        <v>2521</v>
      </c>
      <c r="C7" s="20"/>
      <c r="E7" s="26" t="s">
        <v>2520</v>
      </c>
      <c r="F7" s="26" t="s">
        <v>2520</v>
      </c>
      <c r="G7" s="24" t="s">
        <v>1481</v>
      </c>
      <c r="H7" s="24" t="s">
        <v>2519</v>
      </c>
      <c r="I7" s="24" t="s">
        <v>2518</v>
      </c>
      <c r="K7" s="24" t="s">
        <v>2517</v>
      </c>
      <c r="L7" s="24" t="s">
        <v>2517</v>
      </c>
      <c r="M7" s="24" t="s">
        <v>2517</v>
      </c>
      <c r="N7" s="30" t="s">
        <v>2522</v>
      </c>
      <c r="P7" s="24" t="s">
        <v>2516</v>
      </c>
      <c r="Q7" s="24" t="s">
        <v>2516</v>
      </c>
      <c r="R7" s="24" t="s">
        <v>2516</v>
      </c>
      <c r="S7" s="24" t="s">
        <v>1486</v>
      </c>
      <c r="T7" s="24" t="s">
        <v>1486</v>
      </c>
    </row>
    <row r="8" spans="1:20" ht="27.6" customHeight="1">
      <c r="A8" s="25" t="s">
        <v>2515</v>
      </c>
      <c r="K8" s="24" t="s">
        <v>2514</v>
      </c>
      <c r="L8" s="24" t="s">
        <v>2514</v>
      </c>
      <c r="M8" s="24" t="s">
        <v>2514</v>
      </c>
      <c r="S8" s="24" t="s">
        <v>2513</v>
      </c>
    </row>
    <row r="9" spans="1:20" ht="4.2" customHeight="1">
      <c r="K9" s="24"/>
      <c r="L9" s="24"/>
      <c r="M9" s="24"/>
      <c r="S9" s="24"/>
    </row>
    <row r="10" spans="1:20">
      <c r="A10" s="23" t="s">
        <v>0</v>
      </c>
      <c r="B10" s="22" t="s">
        <v>1</v>
      </c>
      <c r="C10" s="22" t="s">
        <v>2</v>
      </c>
      <c r="D10" s="22" t="s">
        <v>3</v>
      </c>
      <c r="E10" s="22" t="s">
        <v>4</v>
      </c>
      <c r="F10" s="22" t="s">
        <v>5</v>
      </c>
      <c r="G10" s="22" t="s">
        <v>6</v>
      </c>
      <c r="H10" s="22" t="s">
        <v>7</v>
      </c>
      <c r="I10" s="22" t="s">
        <v>8</v>
      </c>
      <c r="J10" s="22" t="s">
        <v>9</v>
      </c>
      <c r="K10" s="22" t="s">
        <v>10</v>
      </c>
      <c r="L10" s="22" t="s">
        <v>11</v>
      </c>
      <c r="M10" s="22" t="s">
        <v>12</v>
      </c>
      <c r="N10" s="22" t="s">
        <v>13</v>
      </c>
      <c r="O10" s="22" t="s">
        <v>14</v>
      </c>
      <c r="P10" s="22" t="s">
        <v>15</v>
      </c>
      <c r="Q10" s="22" t="s">
        <v>16</v>
      </c>
      <c r="R10" s="22" t="s">
        <v>17</v>
      </c>
      <c r="S10" s="22" t="s">
        <v>18</v>
      </c>
      <c r="T10" s="22" t="s">
        <v>19</v>
      </c>
    </row>
    <row r="11" spans="1:20">
      <c r="A11" s="20">
        <v>202603327955424</v>
      </c>
      <c r="B11" s="19" t="s">
        <v>20</v>
      </c>
      <c r="C11" s="19" t="s">
        <v>21</v>
      </c>
      <c r="D11" s="19" t="s">
        <v>20</v>
      </c>
      <c r="E11" s="21">
        <v>46204</v>
      </c>
      <c r="F11" s="21">
        <v>46568</v>
      </c>
      <c r="G11" s="21"/>
      <c r="H11" s="21">
        <v>46204</v>
      </c>
      <c r="I11" s="21">
        <v>46568</v>
      </c>
      <c r="J11" s="19" t="s">
        <v>1473</v>
      </c>
      <c r="L11" s="19">
        <v>0</v>
      </c>
      <c r="M11" s="19">
        <v>0</v>
      </c>
      <c r="N11" s="19" t="s">
        <v>2394</v>
      </c>
      <c r="O11" s="20">
        <v>2</v>
      </c>
      <c r="S11" s="19" t="s">
        <v>20</v>
      </c>
      <c r="T11" s="19" t="s">
        <v>1471</v>
      </c>
    </row>
    <row r="12" spans="1:20">
      <c r="A12" s="20">
        <v>202603327955424</v>
      </c>
      <c r="B12" s="19" t="s">
        <v>20</v>
      </c>
      <c r="C12" s="19" t="s">
        <v>21</v>
      </c>
      <c r="D12" s="19" t="s">
        <v>20</v>
      </c>
      <c r="E12" s="21">
        <v>46204</v>
      </c>
      <c r="F12" s="21">
        <v>46568</v>
      </c>
      <c r="G12" s="21"/>
      <c r="H12" s="21">
        <v>46204</v>
      </c>
      <c r="I12" s="21">
        <v>46568</v>
      </c>
      <c r="J12" s="19" t="s">
        <v>1473</v>
      </c>
      <c r="L12" s="19">
        <v>49.241346999999998</v>
      </c>
      <c r="M12" s="19">
        <v>49.241346999999998</v>
      </c>
      <c r="N12" s="19" t="s">
        <v>1475</v>
      </c>
      <c r="O12" s="20">
        <v>2</v>
      </c>
      <c r="S12" s="19" t="s">
        <v>20</v>
      </c>
      <c r="T12" s="19" t="s">
        <v>1471</v>
      </c>
    </row>
    <row r="13" spans="1:20">
      <c r="A13" s="20">
        <v>202603327955554</v>
      </c>
      <c r="B13" s="19" t="s">
        <v>20</v>
      </c>
      <c r="C13" s="19" t="s">
        <v>21</v>
      </c>
      <c r="D13" s="19" t="s">
        <v>20</v>
      </c>
      <c r="E13" s="21">
        <v>46204</v>
      </c>
      <c r="F13" s="21">
        <v>46568</v>
      </c>
      <c r="G13" s="21"/>
      <c r="H13" s="21">
        <v>46204</v>
      </c>
      <c r="I13" s="21">
        <v>46568</v>
      </c>
      <c r="J13" s="19" t="s">
        <v>1473</v>
      </c>
      <c r="L13" s="19">
        <v>0</v>
      </c>
      <c r="M13" s="19">
        <v>0</v>
      </c>
      <c r="N13" s="19" t="s">
        <v>2394</v>
      </c>
      <c r="O13" s="20">
        <v>2</v>
      </c>
      <c r="S13" s="19" t="s">
        <v>20</v>
      </c>
      <c r="T13" s="19" t="s">
        <v>1471</v>
      </c>
    </row>
    <row r="14" spans="1:20">
      <c r="A14" s="20">
        <v>202603327955554</v>
      </c>
      <c r="B14" s="19" t="s">
        <v>20</v>
      </c>
      <c r="C14" s="19" t="s">
        <v>21</v>
      </c>
      <c r="D14" s="19" t="s">
        <v>20</v>
      </c>
      <c r="E14" s="21">
        <v>46204</v>
      </c>
      <c r="F14" s="21">
        <v>46568</v>
      </c>
      <c r="G14" s="21"/>
      <c r="H14" s="21">
        <v>46204</v>
      </c>
      <c r="I14" s="21">
        <v>46568</v>
      </c>
      <c r="J14" s="19" t="s">
        <v>1473</v>
      </c>
      <c r="L14" s="19">
        <v>49.241346999999998</v>
      </c>
      <c r="M14" s="19">
        <v>49.241346999999998</v>
      </c>
      <c r="N14" s="19" t="s">
        <v>1475</v>
      </c>
      <c r="O14" s="20">
        <v>2</v>
      </c>
      <c r="S14" s="19" t="s">
        <v>20</v>
      </c>
      <c r="T14" s="19" t="s">
        <v>1471</v>
      </c>
    </row>
    <row r="15" spans="1:20">
      <c r="A15" s="20">
        <v>202603327955781</v>
      </c>
      <c r="B15" s="19" t="s">
        <v>20</v>
      </c>
      <c r="C15" s="19" t="s">
        <v>21</v>
      </c>
      <c r="D15" s="19" t="s">
        <v>20</v>
      </c>
      <c r="E15" s="21">
        <v>46204</v>
      </c>
      <c r="F15" s="21">
        <v>46568</v>
      </c>
      <c r="G15" s="21"/>
      <c r="H15" s="21">
        <v>46204</v>
      </c>
      <c r="I15" s="21">
        <v>46568</v>
      </c>
      <c r="J15" s="19" t="s">
        <v>2062</v>
      </c>
      <c r="L15" s="19">
        <v>0</v>
      </c>
      <c r="M15" s="19">
        <v>0</v>
      </c>
      <c r="N15" s="19" t="s">
        <v>2394</v>
      </c>
      <c r="O15" s="20">
        <v>4</v>
      </c>
      <c r="S15" s="19" t="s">
        <v>20</v>
      </c>
      <c r="T15" s="19" t="s">
        <v>1471</v>
      </c>
    </row>
    <row r="16" spans="1:20">
      <c r="A16" s="20">
        <v>202603327955781</v>
      </c>
      <c r="B16" s="19" t="s">
        <v>20</v>
      </c>
      <c r="C16" s="19" t="s">
        <v>21</v>
      </c>
      <c r="D16" s="19" t="s">
        <v>2063</v>
      </c>
      <c r="E16" s="21">
        <v>46204</v>
      </c>
      <c r="F16" s="21">
        <v>46568</v>
      </c>
      <c r="G16" s="21"/>
      <c r="H16" s="21">
        <v>46204</v>
      </c>
      <c r="I16" s="21">
        <v>46568</v>
      </c>
      <c r="J16" s="19" t="s">
        <v>2062</v>
      </c>
      <c r="L16" s="19">
        <v>132.52252100000001</v>
      </c>
      <c r="M16" s="19">
        <v>132.52252100000001</v>
      </c>
      <c r="N16" s="19" t="s">
        <v>1467</v>
      </c>
      <c r="O16" s="20">
        <v>4</v>
      </c>
      <c r="S16" s="19" t="s">
        <v>20</v>
      </c>
      <c r="T16" s="19" t="s">
        <v>1471</v>
      </c>
    </row>
    <row r="17" spans="1:20">
      <c r="A17" s="20">
        <v>202603327957473</v>
      </c>
      <c r="B17" s="19" t="s">
        <v>20</v>
      </c>
      <c r="C17" s="19" t="s">
        <v>21</v>
      </c>
      <c r="D17" s="19" t="s">
        <v>20</v>
      </c>
      <c r="E17" s="21">
        <v>46204</v>
      </c>
      <c r="F17" s="21">
        <v>46568</v>
      </c>
      <c r="G17" s="21"/>
      <c r="H17" s="21">
        <v>46204</v>
      </c>
      <c r="I17" s="21">
        <v>46568</v>
      </c>
      <c r="J17" s="19" t="s">
        <v>2062</v>
      </c>
      <c r="L17" s="19">
        <v>33.130630250000003</v>
      </c>
      <c r="M17" s="19">
        <v>33.130630250000003</v>
      </c>
      <c r="N17" s="19" t="s">
        <v>1475</v>
      </c>
      <c r="O17" s="20">
        <v>1</v>
      </c>
      <c r="S17" s="19" t="s">
        <v>20</v>
      </c>
      <c r="T17" s="19" t="s">
        <v>1471</v>
      </c>
    </row>
    <row r="18" spans="1:20">
      <c r="A18" s="20">
        <v>202603327958080</v>
      </c>
      <c r="B18" s="19" t="s">
        <v>20</v>
      </c>
      <c r="C18" s="19" t="s">
        <v>21</v>
      </c>
      <c r="D18" s="19" t="s">
        <v>20</v>
      </c>
      <c r="E18" s="21">
        <v>46204</v>
      </c>
      <c r="F18" s="21">
        <v>46568</v>
      </c>
      <c r="G18" s="21"/>
      <c r="H18" s="21">
        <v>46204</v>
      </c>
      <c r="I18" s="21">
        <v>46568</v>
      </c>
      <c r="J18" s="19" t="s">
        <v>2064</v>
      </c>
      <c r="L18" s="19">
        <v>99.391890750000002</v>
      </c>
      <c r="M18" s="19">
        <v>99.391890750000002</v>
      </c>
      <c r="N18" s="19" t="s">
        <v>1475</v>
      </c>
      <c r="O18" s="20">
        <v>3</v>
      </c>
      <c r="S18" s="19" t="s">
        <v>20</v>
      </c>
      <c r="T18" s="19" t="s">
        <v>1471</v>
      </c>
    </row>
    <row r="19" spans="1:20">
      <c r="A19" s="20">
        <v>202603327958194</v>
      </c>
      <c r="B19" s="19" t="s">
        <v>20</v>
      </c>
      <c r="C19" s="19" t="s">
        <v>21</v>
      </c>
      <c r="D19" s="19" t="s">
        <v>20</v>
      </c>
      <c r="E19" s="21">
        <v>46204</v>
      </c>
      <c r="F19" s="21">
        <v>46568</v>
      </c>
      <c r="G19" s="21"/>
      <c r="H19" s="21">
        <v>46204</v>
      </c>
      <c r="I19" s="21">
        <v>46568</v>
      </c>
      <c r="J19" s="19" t="s">
        <v>2065</v>
      </c>
      <c r="L19" s="19">
        <v>52.517367999999998</v>
      </c>
      <c r="M19" s="19">
        <v>52.517367999999998</v>
      </c>
      <c r="N19" s="19" t="s">
        <v>1475</v>
      </c>
      <c r="O19" s="20">
        <v>2</v>
      </c>
      <c r="S19" s="19" t="s">
        <v>20</v>
      </c>
      <c r="T19" s="19" t="s">
        <v>1471</v>
      </c>
    </row>
    <row r="20" spans="1:20">
      <c r="A20" s="20">
        <v>202603327958405</v>
      </c>
      <c r="B20" s="19" t="s">
        <v>20</v>
      </c>
      <c r="C20" s="19" t="s">
        <v>21</v>
      </c>
      <c r="D20" s="19" t="s">
        <v>20</v>
      </c>
      <c r="E20" s="21">
        <v>46204</v>
      </c>
      <c r="F20" s="21">
        <v>46568</v>
      </c>
      <c r="G20" s="21"/>
      <c r="H20" s="21">
        <v>46204</v>
      </c>
      <c r="I20" s="21">
        <v>46568</v>
      </c>
      <c r="J20" s="19" t="s">
        <v>2066</v>
      </c>
      <c r="L20" s="19">
        <v>0</v>
      </c>
      <c r="M20" s="19">
        <v>0</v>
      </c>
      <c r="N20" s="19" t="s">
        <v>2394</v>
      </c>
      <c r="O20" s="20">
        <v>3</v>
      </c>
      <c r="S20" s="19" t="s">
        <v>20</v>
      </c>
      <c r="T20" s="19" t="s">
        <v>1471</v>
      </c>
    </row>
    <row r="21" spans="1:20">
      <c r="A21" s="20">
        <v>202603327958405</v>
      </c>
      <c r="B21" s="19" t="s">
        <v>20</v>
      </c>
      <c r="C21" s="19" t="s">
        <v>21</v>
      </c>
      <c r="D21" s="19" t="s">
        <v>20</v>
      </c>
      <c r="E21" s="21">
        <v>46204</v>
      </c>
      <c r="F21" s="21">
        <v>46568</v>
      </c>
      <c r="G21" s="21"/>
      <c r="H21" s="21">
        <v>46204</v>
      </c>
      <c r="I21" s="21">
        <v>46568</v>
      </c>
      <c r="J21" s="19" t="s">
        <v>2066</v>
      </c>
      <c r="L21" s="19">
        <v>99.391890750000002</v>
      </c>
      <c r="M21" s="19">
        <v>99.391890750000002</v>
      </c>
      <c r="N21" s="19" t="s">
        <v>1475</v>
      </c>
      <c r="O21" s="20">
        <v>3</v>
      </c>
      <c r="S21" s="19" t="s">
        <v>20</v>
      </c>
      <c r="T21" s="19" t="s">
        <v>1471</v>
      </c>
    </row>
    <row r="22" spans="1:20">
      <c r="A22" s="20">
        <v>202603327958523</v>
      </c>
      <c r="B22" s="19" t="s">
        <v>20</v>
      </c>
      <c r="C22" s="19" t="s">
        <v>21</v>
      </c>
      <c r="D22" s="19" t="s">
        <v>20</v>
      </c>
      <c r="E22" s="21">
        <v>46204</v>
      </c>
      <c r="F22" s="21">
        <v>46568</v>
      </c>
      <c r="G22" s="21"/>
      <c r="H22" s="21">
        <v>46204</v>
      </c>
      <c r="I22" s="21">
        <v>46568</v>
      </c>
      <c r="J22" s="19" t="s">
        <v>2067</v>
      </c>
      <c r="L22" s="19">
        <v>0</v>
      </c>
      <c r="M22" s="19">
        <v>0</v>
      </c>
      <c r="N22" s="19" t="s">
        <v>2394</v>
      </c>
      <c r="O22" s="20">
        <v>4</v>
      </c>
      <c r="S22" s="19" t="s">
        <v>20</v>
      </c>
      <c r="T22" s="19" t="s">
        <v>1471</v>
      </c>
    </row>
    <row r="23" spans="1:20">
      <c r="A23" s="20">
        <v>202603327958523</v>
      </c>
      <c r="B23" s="19" t="s">
        <v>20</v>
      </c>
      <c r="C23" s="19" t="s">
        <v>21</v>
      </c>
      <c r="D23" s="19" t="s">
        <v>20</v>
      </c>
      <c r="E23" s="21">
        <v>46204</v>
      </c>
      <c r="F23" s="21">
        <v>46568</v>
      </c>
      <c r="G23" s="21"/>
      <c r="H23" s="21">
        <v>46204</v>
      </c>
      <c r="I23" s="21">
        <v>46568</v>
      </c>
      <c r="J23" s="19" t="s">
        <v>2067</v>
      </c>
      <c r="L23" s="19">
        <v>140.44375099999999</v>
      </c>
      <c r="M23" s="19">
        <v>140.44375099999999</v>
      </c>
      <c r="N23" s="19" t="s">
        <v>1475</v>
      </c>
      <c r="O23" s="20">
        <v>4</v>
      </c>
      <c r="S23" s="19" t="s">
        <v>20</v>
      </c>
      <c r="T23" s="19" t="s">
        <v>1471</v>
      </c>
    </row>
    <row r="24" spans="1:20">
      <c r="A24" s="20">
        <v>202603327959978</v>
      </c>
      <c r="B24" s="19" t="s">
        <v>20</v>
      </c>
      <c r="C24" s="19" t="s">
        <v>21</v>
      </c>
      <c r="D24" s="19" t="s">
        <v>20</v>
      </c>
      <c r="E24" s="21">
        <v>46204</v>
      </c>
      <c r="F24" s="21">
        <v>46568</v>
      </c>
      <c r="G24" s="21"/>
      <c r="H24" s="21">
        <v>46204</v>
      </c>
      <c r="I24" s="21">
        <v>46568</v>
      </c>
      <c r="J24" s="19" t="s">
        <v>2064</v>
      </c>
      <c r="L24" s="19">
        <v>33.130630250000003</v>
      </c>
      <c r="M24" s="19">
        <v>33.130630250000003</v>
      </c>
      <c r="N24" s="19" t="s">
        <v>1475</v>
      </c>
      <c r="O24" s="20">
        <v>1</v>
      </c>
      <c r="S24" s="19" t="s">
        <v>20</v>
      </c>
      <c r="T24" s="19" t="s">
        <v>1471</v>
      </c>
    </row>
    <row r="25" spans="1:20">
      <c r="A25" s="20">
        <v>202603327961058</v>
      </c>
      <c r="B25" s="19" t="s">
        <v>20</v>
      </c>
      <c r="C25" s="19" t="s">
        <v>21</v>
      </c>
      <c r="D25" s="19" t="s">
        <v>20</v>
      </c>
      <c r="E25" s="21">
        <v>46204</v>
      </c>
      <c r="F25" s="21">
        <v>46568</v>
      </c>
      <c r="G25" s="21"/>
      <c r="H25" s="21">
        <v>46204</v>
      </c>
      <c r="I25" s="21">
        <v>46568</v>
      </c>
      <c r="J25" s="19" t="s">
        <v>2068</v>
      </c>
      <c r="L25" s="19">
        <v>0</v>
      </c>
      <c r="M25" s="19">
        <v>0</v>
      </c>
      <c r="N25" s="19" t="s">
        <v>2394</v>
      </c>
      <c r="O25" s="20">
        <v>6</v>
      </c>
      <c r="S25" s="19" t="s">
        <v>20</v>
      </c>
      <c r="T25" s="19" t="s">
        <v>1471</v>
      </c>
    </row>
    <row r="26" spans="1:20">
      <c r="A26" s="20">
        <v>202603327961058</v>
      </c>
      <c r="B26" s="19" t="s">
        <v>20</v>
      </c>
      <c r="C26" s="19" t="s">
        <v>21</v>
      </c>
      <c r="D26" s="19" t="s">
        <v>20</v>
      </c>
      <c r="E26" s="21">
        <v>46204</v>
      </c>
      <c r="F26" s="21">
        <v>46568</v>
      </c>
      <c r="G26" s="21"/>
      <c r="H26" s="21">
        <v>46204</v>
      </c>
      <c r="I26" s="21">
        <v>46568</v>
      </c>
      <c r="J26" s="19" t="s">
        <v>2068</v>
      </c>
      <c r="L26" s="19">
        <v>157.55210400000001</v>
      </c>
      <c r="M26" s="19">
        <v>157.55210400000001</v>
      </c>
      <c r="N26" s="19" t="s">
        <v>1475</v>
      </c>
      <c r="O26" s="20">
        <v>6</v>
      </c>
      <c r="S26" s="19" t="s">
        <v>20</v>
      </c>
      <c r="T26" s="19" t="s">
        <v>1471</v>
      </c>
    </row>
    <row r="27" spans="1:20">
      <c r="A27" s="20">
        <v>202603327962481</v>
      </c>
      <c r="B27" s="19" t="s">
        <v>20</v>
      </c>
      <c r="C27" s="19" t="s">
        <v>21</v>
      </c>
      <c r="D27" s="19" t="s">
        <v>20</v>
      </c>
      <c r="E27" s="21">
        <v>46204</v>
      </c>
      <c r="F27" s="21">
        <v>46568</v>
      </c>
      <c r="G27" s="21"/>
      <c r="H27" s="21">
        <v>46204</v>
      </c>
      <c r="I27" s="21">
        <v>46568</v>
      </c>
      <c r="J27" s="19" t="s">
        <v>2069</v>
      </c>
      <c r="L27" s="19">
        <v>33.130630250000003</v>
      </c>
      <c r="M27" s="19">
        <v>33.130630250000003</v>
      </c>
      <c r="N27" s="19" t="s">
        <v>1475</v>
      </c>
      <c r="O27" s="20">
        <v>1</v>
      </c>
      <c r="S27" s="19" t="s">
        <v>20</v>
      </c>
      <c r="T27" s="19" t="s">
        <v>1471</v>
      </c>
    </row>
    <row r="28" spans="1:20">
      <c r="A28" s="20">
        <v>202603327962650</v>
      </c>
      <c r="B28" s="19" t="s">
        <v>20</v>
      </c>
      <c r="C28" s="19" t="s">
        <v>21</v>
      </c>
      <c r="D28" s="19" t="s">
        <v>20</v>
      </c>
      <c r="E28" s="21">
        <v>46204</v>
      </c>
      <c r="F28" s="21">
        <v>46568</v>
      </c>
      <c r="G28" s="21"/>
      <c r="H28" s="21">
        <v>46204</v>
      </c>
      <c r="I28" s="21">
        <v>46568</v>
      </c>
      <c r="J28" s="19" t="s">
        <v>2070</v>
      </c>
      <c r="L28" s="19">
        <v>13.8862425</v>
      </c>
      <c r="M28" s="19">
        <v>13.8862425</v>
      </c>
      <c r="N28" s="19" t="s">
        <v>1475</v>
      </c>
      <c r="O28" s="20">
        <v>1</v>
      </c>
      <c r="S28" s="19" t="s">
        <v>20</v>
      </c>
      <c r="T28" s="19" t="s">
        <v>1471</v>
      </c>
    </row>
    <row r="29" spans="1:20">
      <c r="A29" s="20">
        <v>202603327966751</v>
      </c>
      <c r="B29" s="19" t="s">
        <v>20</v>
      </c>
      <c r="C29" s="19" t="s">
        <v>21</v>
      </c>
      <c r="D29" s="19" t="s">
        <v>20</v>
      </c>
      <c r="E29" s="21">
        <v>46204</v>
      </c>
      <c r="F29" s="21">
        <v>46568</v>
      </c>
      <c r="G29" s="21"/>
      <c r="H29" s="21">
        <v>46204</v>
      </c>
      <c r="I29" s="21">
        <v>46568</v>
      </c>
      <c r="J29" s="19" t="s">
        <v>2071</v>
      </c>
      <c r="L29" s="19">
        <v>0</v>
      </c>
      <c r="M29" s="19">
        <v>0</v>
      </c>
      <c r="N29" s="19" t="s">
        <v>2394</v>
      </c>
      <c r="O29" s="20">
        <v>4</v>
      </c>
      <c r="S29" s="19" t="s">
        <v>20</v>
      </c>
      <c r="T29" s="19" t="s">
        <v>1471</v>
      </c>
    </row>
    <row r="30" spans="1:20">
      <c r="A30" s="20">
        <v>202603327966751</v>
      </c>
      <c r="B30" s="19" t="s">
        <v>20</v>
      </c>
      <c r="C30" s="19" t="s">
        <v>21</v>
      </c>
      <c r="D30" s="19" t="s">
        <v>20</v>
      </c>
      <c r="E30" s="21">
        <v>46204</v>
      </c>
      <c r="F30" s="21">
        <v>46568</v>
      </c>
      <c r="G30" s="21"/>
      <c r="H30" s="21">
        <v>46204</v>
      </c>
      <c r="I30" s="21">
        <v>46568</v>
      </c>
      <c r="J30" s="19" t="s">
        <v>2071</v>
      </c>
      <c r="L30" s="19">
        <v>154.63823600000001</v>
      </c>
      <c r="M30" s="19">
        <v>154.63823600000001</v>
      </c>
      <c r="N30" s="19" t="s">
        <v>1475</v>
      </c>
      <c r="O30" s="20">
        <v>4</v>
      </c>
      <c r="S30" s="19" t="s">
        <v>20</v>
      </c>
      <c r="T30" s="19" t="s">
        <v>1471</v>
      </c>
    </row>
    <row r="31" spans="1:20">
      <c r="A31" s="20">
        <v>202603327967015</v>
      </c>
      <c r="B31" s="19" t="s">
        <v>20</v>
      </c>
      <c r="C31" s="19" t="s">
        <v>21</v>
      </c>
      <c r="D31" s="19" t="s">
        <v>2072</v>
      </c>
      <c r="E31" s="21">
        <v>46204</v>
      </c>
      <c r="F31" s="21">
        <v>46568</v>
      </c>
      <c r="G31" s="21"/>
      <c r="H31" s="21">
        <v>46204</v>
      </c>
      <c r="I31" s="21">
        <v>46568</v>
      </c>
      <c r="J31" s="19" t="s">
        <v>2073</v>
      </c>
      <c r="L31" s="19">
        <v>9.9495714999999993</v>
      </c>
      <c r="M31" s="19">
        <v>9.9495714999999993</v>
      </c>
      <c r="N31" s="19" t="s">
        <v>1467</v>
      </c>
      <c r="O31" s="20">
        <v>1</v>
      </c>
      <c r="S31" s="19" t="s">
        <v>20</v>
      </c>
      <c r="T31" s="19" t="s">
        <v>1471</v>
      </c>
    </row>
    <row r="32" spans="1:20">
      <c r="A32" s="20">
        <v>202603327967329</v>
      </c>
      <c r="B32" s="19" t="s">
        <v>20</v>
      </c>
      <c r="C32" s="19" t="s">
        <v>21</v>
      </c>
      <c r="D32" s="19" t="s">
        <v>20</v>
      </c>
      <c r="E32" s="21">
        <v>46204</v>
      </c>
      <c r="F32" s="21">
        <v>46568</v>
      </c>
      <c r="G32" s="21"/>
      <c r="H32" s="21">
        <v>46204</v>
      </c>
      <c r="I32" s="21">
        <v>46568</v>
      </c>
      <c r="J32" s="19" t="s">
        <v>2062</v>
      </c>
      <c r="L32" s="19">
        <v>33.130630250000003</v>
      </c>
      <c r="M32" s="19">
        <v>33.130630250000003</v>
      </c>
      <c r="N32" s="19" t="s">
        <v>1475</v>
      </c>
      <c r="O32" s="20">
        <v>1</v>
      </c>
      <c r="S32" s="19" t="s">
        <v>20</v>
      </c>
      <c r="T32" s="19" t="s">
        <v>1471</v>
      </c>
    </row>
    <row r="33" spans="1:20">
      <c r="A33" s="20">
        <v>202603327967339</v>
      </c>
      <c r="B33" s="19" t="s">
        <v>20</v>
      </c>
      <c r="C33" s="19" t="s">
        <v>21</v>
      </c>
      <c r="D33" s="19" t="s">
        <v>20</v>
      </c>
      <c r="E33" s="21">
        <v>46204</v>
      </c>
      <c r="F33" s="21">
        <v>46568</v>
      </c>
      <c r="G33" s="21"/>
      <c r="H33" s="21">
        <v>46204</v>
      </c>
      <c r="I33" s="21">
        <v>46568</v>
      </c>
      <c r="J33" s="19" t="s">
        <v>1473</v>
      </c>
      <c r="L33" s="19">
        <v>49.241346999999998</v>
      </c>
      <c r="M33" s="19">
        <v>49.241346999999998</v>
      </c>
      <c r="N33" s="19" t="s">
        <v>1475</v>
      </c>
      <c r="O33" s="20">
        <v>2</v>
      </c>
      <c r="S33" s="19" t="s">
        <v>20</v>
      </c>
      <c r="T33" s="19" t="s">
        <v>1471</v>
      </c>
    </row>
    <row r="34" spans="1:20">
      <c r="A34" s="20">
        <v>202603327967683</v>
      </c>
      <c r="B34" s="19" t="s">
        <v>20</v>
      </c>
      <c r="C34" s="19" t="s">
        <v>21</v>
      </c>
      <c r="D34" s="19" t="s">
        <v>20</v>
      </c>
      <c r="E34" s="21">
        <v>46204</v>
      </c>
      <c r="F34" s="21">
        <v>46568</v>
      </c>
      <c r="G34" s="21"/>
      <c r="H34" s="21">
        <v>46204</v>
      </c>
      <c r="I34" s="21">
        <v>46568</v>
      </c>
      <c r="J34" s="19" t="s">
        <v>2074</v>
      </c>
      <c r="L34" s="19">
        <v>0</v>
      </c>
      <c r="M34" s="19">
        <v>0</v>
      </c>
      <c r="N34" s="19" t="s">
        <v>2394</v>
      </c>
      <c r="O34" s="20">
        <v>2</v>
      </c>
      <c r="S34" s="19" t="s">
        <v>20</v>
      </c>
      <c r="T34" s="19" t="s">
        <v>1471</v>
      </c>
    </row>
    <row r="35" spans="1:20">
      <c r="A35" s="20">
        <v>202603327967683</v>
      </c>
      <c r="B35" s="19" t="s">
        <v>20</v>
      </c>
      <c r="C35" s="19" t="s">
        <v>21</v>
      </c>
      <c r="D35" s="19" t="s">
        <v>2075</v>
      </c>
      <c r="E35" s="21">
        <v>46204</v>
      </c>
      <c r="F35" s="21">
        <v>46568</v>
      </c>
      <c r="G35" s="21"/>
      <c r="H35" s="21">
        <v>46204</v>
      </c>
      <c r="I35" s="21">
        <v>46568</v>
      </c>
      <c r="J35" s="19" t="s">
        <v>2074</v>
      </c>
      <c r="L35" s="19">
        <v>53.008986499999999</v>
      </c>
      <c r="M35" s="19">
        <v>53.008986499999999</v>
      </c>
      <c r="N35" s="19" t="s">
        <v>1467</v>
      </c>
      <c r="O35" s="20">
        <v>2</v>
      </c>
      <c r="S35" s="19" t="s">
        <v>20</v>
      </c>
      <c r="T35" s="19" t="s">
        <v>1471</v>
      </c>
    </row>
    <row r="36" spans="1:20">
      <c r="A36" s="20">
        <v>202603327967697</v>
      </c>
      <c r="B36" s="19" t="s">
        <v>20</v>
      </c>
      <c r="C36" s="19" t="s">
        <v>21</v>
      </c>
      <c r="D36" s="19" t="s">
        <v>20</v>
      </c>
      <c r="E36" s="21">
        <v>46204</v>
      </c>
      <c r="F36" s="21">
        <v>46568</v>
      </c>
      <c r="G36" s="21"/>
      <c r="H36" s="21">
        <v>46204</v>
      </c>
      <c r="I36" s="21">
        <v>46568</v>
      </c>
      <c r="J36" s="19" t="s">
        <v>2064</v>
      </c>
      <c r="L36" s="19">
        <v>0</v>
      </c>
      <c r="M36" s="19">
        <v>0</v>
      </c>
      <c r="N36" s="19" t="s">
        <v>2394</v>
      </c>
      <c r="O36" s="20">
        <v>4</v>
      </c>
      <c r="S36" s="19" t="s">
        <v>20</v>
      </c>
      <c r="T36" s="19" t="s">
        <v>1471</v>
      </c>
    </row>
    <row r="37" spans="1:20">
      <c r="A37" s="20">
        <v>202603327967697</v>
      </c>
      <c r="B37" s="19" t="s">
        <v>20</v>
      </c>
      <c r="C37" s="19" t="s">
        <v>21</v>
      </c>
      <c r="D37" s="19" t="s">
        <v>20</v>
      </c>
      <c r="E37" s="21">
        <v>46204</v>
      </c>
      <c r="F37" s="21">
        <v>46568</v>
      </c>
      <c r="G37" s="21"/>
      <c r="H37" s="21">
        <v>46204</v>
      </c>
      <c r="I37" s="21">
        <v>46568</v>
      </c>
      <c r="J37" s="19" t="s">
        <v>2064</v>
      </c>
      <c r="L37" s="19">
        <v>132.52252100000001</v>
      </c>
      <c r="M37" s="19">
        <v>132.52252100000001</v>
      </c>
      <c r="N37" s="19" t="s">
        <v>1475</v>
      </c>
      <c r="O37" s="20">
        <v>4</v>
      </c>
      <c r="S37" s="19" t="s">
        <v>20</v>
      </c>
      <c r="T37" s="19" t="s">
        <v>1471</v>
      </c>
    </row>
    <row r="38" spans="1:20">
      <c r="A38" s="20">
        <v>202603327968302</v>
      </c>
      <c r="B38" s="19" t="s">
        <v>20</v>
      </c>
      <c r="C38" s="19" t="s">
        <v>21</v>
      </c>
      <c r="D38" s="19" t="s">
        <v>20</v>
      </c>
      <c r="E38" s="21">
        <v>46204</v>
      </c>
      <c r="F38" s="21">
        <v>46568</v>
      </c>
      <c r="G38" s="21"/>
      <c r="H38" s="21">
        <v>46204</v>
      </c>
      <c r="I38" s="21">
        <v>46568</v>
      </c>
      <c r="J38" s="19" t="s">
        <v>2073</v>
      </c>
      <c r="L38" s="19">
        <v>0</v>
      </c>
      <c r="M38" s="19">
        <v>0</v>
      </c>
      <c r="N38" s="19" t="s">
        <v>2394</v>
      </c>
      <c r="O38" s="20">
        <v>4</v>
      </c>
      <c r="S38" s="19" t="s">
        <v>20</v>
      </c>
      <c r="T38" s="19" t="s">
        <v>1471</v>
      </c>
    </row>
    <row r="39" spans="1:20">
      <c r="A39" s="20">
        <v>202603327968302</v>
      </c>
      <c r="B39" s="19" t="s">
        <v>20</v>
      </c>
      <c r="C39" s="19" t="s">
        <v>21</v>
      </c>
      <c r="D39" s="19" t="s">
        <v>20</v>
      </c>
      <c r="E39" s="21">
        <v>46204</v>
      </c>
      <c r="F39" s="21">
        <v>46568</v>
      </c>
      <c r="G39" s="21"/>
      <c r="H39" s="21">
        <v>46204</v>
      </c>
      <c r="I39" s="21">
        <v>46568</v>
      </c>
      <c r="J39" s="19" t="s">
        <v>2073</v>
      </c>
      <c r="L39" s="19">
        <v>105.034736</v>
      </c>
      <c r="M39" s="19">
        <v>105.034736</v>
      </c>
      <c r="N39" s="19" t="s">
        <v>1475</v>
      </c>
      <c r="O39" s="20">
        <v>4</v>
      </c>
      <c r="S39" s="19" t="s">
        <v>20</v>
      </c>
      <c r="T39" s="19" t="s">
        <v>1471</v>
      </c>
    </row>
    <row r="40" spans="1:20">
      <c r="A40" s="20">
        <v>202603327969345</v>
      </c>
      <c r="B40" s="19" t="s">
        <v>20</v>
      </c>
      <c r="C40" s="19" t="s">
        <v>21</v>
      </c>
      <c r="D40" s="19" t="s">
        <v>20</v>
      </c>
      <c r="E40" s="21">
        <v>46204</v>
      </c>
      <c r="F40" s="21">
        <v>46568</v>
      </c>
      <c r="G40" s="21"/>
      <c r="H40" s="21">
        <v>46204</v>
      </c>
      <c r="I40" s="21">
        <v>46568</v>
      </c>
      <c r="J40" s="19" t="s">
        <v>2062</v>
      </c>
      <c r="L40" s="19">
        <v>33.130630250000003</v>
      </c>
      <c r="M40" s="19">
        <v>33.130630250000003</v>
      </c>
      <c r="N40" s="19" t="s">
        <v>1475</v>
      </c>
      <c r="O40" s="20">
        <v>1</v>
      </c>
      <c r="S40" s="19" t="s">
        <v>20</v>
      </c>
      <c r="T40" s="19" t="s">
        <v>1471</v>
      </c>
    </row>
    <row r="41" spans="1:20">
      <c r="A41" s="20">
        <v>202603327969924</v>
      </c>
      <c r="B41" s="19" t="s">
        <v>20</v>
      </c>
      <c r="C41" s="19" t="s">
        <v>21</v>
      </c>
      <c r="D41" s="19" t="s">
        <v>2076</v>
      </c>
      <c r="E41" s="21">
        <v>46204</v>
      </c>
      <c r="F41" s="21">
        <v>46568</v>
      </c>
      <c r="G41" s="21"/>
      <c r="H41" s="21">
        <v>46204</v>
      </c>
      <c r="I41" s="21">
        <v>46568</v>
      </c>
      <c r="J41" s="19" t="s">
        <v>2077</v>
      </c>
      <c r="L41" s="19">
        <v>30.108959500000001</v>
      </c>
      <c r="M41" s="19">
        <v>30.108959500000001</v>
      </c>
      <c r="N41" s="19" t="s">
        <v>1467</v>
      </c>
      <c r="O41" s="20">
        <v>2</v>
      </c>
      <c r="S41" s="19" t="s">
        <v>20</v>
      </c>
      <c r="T41" s="19" t="s">
        <v>1471</v>
      </c>
    </row>
    <row r="42" spans="1:20">
      <c r="A42" s="20">
        <v>202603327970830</v>
      </c>
      <c r="B42" s="19" t="s">
        <v>20</v>
      </c>
      <c r="C42" s="19" t="s">
        <v>21</v>
      </c>
      <c r="D42" s="19" t="s">
        <v>20</v>
      </c>
      <c r="E42" s="21">
        <v>46204</v>
      </c>
      <c r="F42" s="21">
        <v>46568</v>
      </c>
      <c r="G42" s="21"/>
      <c r="H42" s="21">
        <v>46204</v>
      </c>
      <c r="I42" s="21">
        <v>46568</v>
      </c>
      <c r="J42" s="19" t="s">
        <v>2078</v>
      </c>
      <c r="L42" s="19">
        <v>0</v>
      </c>
      <c r="M42" s="19">
        <v>0</v>
      </c>
      <c r="N42" s="19" t="s">
        <v>2394</v>
      </c>
      <c r="O42" s="20">
        <v>4</v>
      </c>
      <c r="S42" s="19" t="s">
        <v>20</v>
      </c>
      <c r="T42" s="19" t="s">
        <v>1471</v>
      </c>
    </row>
    <row r="43" spans="1:20">
      <c r="A43" s="20">
        <v>202603327970830</v>
      </c>
      <c r="B43" s="19" t="s">
        <v>20</v>
      </c>
      <c r="C43" s="19" t="s">
        <v>21</v>
      </c>
      <c r="D43" s="19" t="s">
        <v>2079</v>
      </c>
      <c r="E43" s="21">
        <v>46204</v>
      </c>
      <c r="F43" s="21">
        <v>46568</v>
      </c>
      <c r="G43" s="21"/>
      <c r="H43" s="21">
        <v>46204</v>
      </c>
      <c r="I43" s="21">
        <v>46568</v>
      </c>
      <c r="J43" s="19" t="s">
        <v>2078</v>
      </c>
      <c r="L43" s="19">
        <v>85.463509000000002</v>
      </c>
      <c r="M43" s="19">
        <v>85.463509000000002</v>
      </c>
      <c r="N43" s="19" t="s">
        <v>1467</v>
      </c>
      <c r="O43" s="20">
        <v>4</v>
      </c>
      <c r="S43" s="19" t="s">
        <v>20</v>
      </c>
      <c r="T43" s="19" t="s">
        <v>1471</v>
      </c>
    </row>
    <row r="44" spans="1:20">
      <c r="A44" s="20">
        <v>202603327971427</v>
      </c>
      <c r="B44" s="19" t="s">
        <v>20</v>
      </c>
      <c r="C44" s="19" t="s">
        <v>21</v>
      </c>
      <c r="D44" s="19" t="s">
        <v>20</v>
      </c>
      <c r="E44" s="21">
        <v>46204</v>
      </c>
      <c r="F44" s="21">
        <v>46568</v>
      </c>
      <c r="G44" s="21"/>
      <c r="H44" s="21">
        <v>46204</v>
      </c>
      <c r="I44" s="21">
        <v>46568</v>
      </c>
      <c r="J44" s="19" t="s">
        <v>2080</v>
      </c>
      <c r="L44" s="19">
        <v>0</v>
      </c>
      <c r="M44" s="19">
        <v>0</v>
      </c>
      <c r="N44" s="19" t="s">
        <v>2394</v>
      </c>
      <c r="O44" s="20">
        <v>5</v>
      </c>
      <c r="S44" s="19" t="s">
        <v>20</v>
      </c>
      <c r="T44" s="19" t="s">
        <v>1471</v>
      </c>
    </row>
    <row r="45" spans="1:20">
      <c r="A45" s="20">
        <v>202603327971427</v>
      </c>
      <c r="B45" s="19" t="s">
        <v>20</v>
      </c>
      <c r="C45" s="19" t="s">
        <v>21</v>
      </c>
      <c r="D45" s="19" t="s">
        <v>20</v>
      </c>
      <c r="E45" s="21">
        <v>46204</v>
      </c>
      <c r="F45" s="21">
        <v>46568</v>
      </c>
      <c r="G45" s="21"/>
      <c r="H45" s="21">
        <v>46204</v>
      </c>
      <c r="I45" s="21">
        <v>46568</v>
      </c>
      <c r="J45" s="19" t="s">
        <v>2080</v>
      </c>
      <c r="L45" s="19">
        <v>165.65315125000001</v>
      </c>
      <c r="M45" s="19">
        <v>165.65315125000001</v>
      </c>
      <c r="N45" s="19" t="s">
        <v>1475</v>
      </c>
      <c r="O45" s="20">
        <v>5</v>
      </c>
      <c r="S45" s="19" t="s">
        <v>20</v>
      </c>
      <c r="T45" s="19" t="s">
        <v>1471</v>
      </c>
    </row>
    <row r="46" spans="1:20">
      <c r="A46" s="20">
        <v>202603327974759</v>
      </c>
      <c r="B46" s="19" t="s">
        <v>20</v>
      </c>
      <c r="C46" s="19" t="s">
        <v>21</v>
      </c>
      <c r="D46" s="19" t="s">
        <v>20</v>
      </c>
      <c r="E46" s="21">
        <v>46204</v>
      </c>
      <c r="F46" s="21">
        <v>46568</v>
      </c>
      <c r="G46" s="21"/>
      <c r="H46" s="21">
        <v>46204</v>
      </c>
      <c r="I46" s="21">
        <v>46568</v>
      </c>
      <c r="J46" s="19" t="s">
        <v>2081</v>
      </c>
      <c r="L46" s="19">
        <v>0</v>
      </c>
      <c r="M46" s="19">
        <v>0</v>
      </c>
      <c r="N46" s="19" t="s">
        <v>2394</v>
      </c>
      <c r="O46" s="20">
        <v>5</v>
      </c>
      <c r="S46" s="19" t="s">
        <v>20</v>
      </c>
      <c r="T46" s="19" t="s">
        <v>1471</v>
      </c>
    </row>
    <row r="47" spans="1:20">
      <c r="A47" s="20">
        <v>202603327974759</v>
      </c>
      <c r="B47" s="19" t="s">
        <v>20</v>
      </c>
      <c r="C47" s="19" t="s">
        <v>21</v>
      </c>
      <c r="D47" s="19" t="s">
        <v>20</v>
      </c>
      <c r="E47" s="21">
        <v>46204</v>
      </c>
      <c r="F47" s="21">
        <v>46568</v>
      </c>
      <c r="G47" s="21"/>
      <c r="H47" s="21">
        <v>46204</v>
      </c>
      <c r="I47" s="21">
        <v>46568</v>
      </c>
      <c r="J47" s="19" t="s">
        <v>2081</v>
      </c>
      <c r="L47" s="19">
        <v>193.29779500000001</v>
      </c>
      <c r="M47" s="19">
        <v>193.29779500000001</v>
      </c>
      <c r="N47" s="19" t="s">
        <v>1475</v>
      </c>
      <c r="O47" s="20">
        <v>5</v>
      </c>
      <c r="S47" s="19" t="s">
        <v>20</v>
      </c>
      <c r="T47" s="19" t="s">
        <v>1471</v>
      </c>
    </row>
    <row r="48" spans="1:20">
      <c r="A48" s="20">
        <v>202603327975217</v>
      </c>
      <c r="B48" s="19" t="s">
        <v>20</v>
      </c>
      <c r="C48" s="19" t="s">
        <v>21</v>
      </c>
      <c r="D48" s="19" t="s">
        <v>20</v>
      </c>
      <c r="E48" s="21">
        <v>46204</v>
      </c>
      <c r="F48" s="21">
        <v>46568</v>
      </c>
      <c r="G48" s="21"/>
      <c r="H48" s="21">
        <v>46204</v>
      </c>
      <c r="I48" s="21">
        <v>46568</v>
      </c>
      <c r="J48" s="19" t="s">
        <v>2064</v>
      </c>
      <c r="L48" s="19">
        <v>0</v>
      </c>
      <c r="M48" s="19">
        <v>0</v>
      </c>
      <c r="N48" s="19" t="s">
        <v>2394</v>
      </c>
      <c r="O48" s="20">
        <v>6</v>
      </c>
      <c r="S48" s="19" t="s">
        <v>20</v>
      </c>
      <c r="T48" s="19" t="s">
        <v>1471</v>
      </c>
    </row>
    <row r="49" spans="1:20">
      <c r="A49" s="20">
        <v>202603327975217</v>
      </c>
      <c r="B49" s="19" t="s">
        <v>20</v>
      </c>
      <c r="C49" s="19" t="s">
        <v>21</v>
      </c>
      <c r="D49" s="19" t="s">
        <v>20</v>
      </c>
      <c r="E49" s="21">
        <v>46204</v>
      </c>
      <c r="F49" s="21">
        <v>46568</v>
      </c>
      <c r="G49" s="21"/>
      <c r="H49" s="21">
        <v>46204</v>
      </c>
      <c r="I49" s="21">
        <v>46568</v>
      </c>
      <c r="J49" s="19" t="s">
        <v>2064</v>
      </c>
      <c r="L49" s="19">
        <v>198.7837815</v>
      </c>
      <c r="M49" s="19">
        <v>198.7837815</v>
      </c>
      <c r="N49" s="19" t="s">
        <v>1475</v>
      </c>
      <c r="O49" s="20">
        <v>6</v>
      </c>
      <c r="S49" s="19" t="s">
        <v>20</v>
      </c>
      <c r="T49" s="19" t="s">
        <v>1471</v>
      </c>
    </row>
    <row r="50" spans="1:20">
      <c r="A50" s="20">
        <v>202603327975920</v>
      </c>
      <c r="B50" s="19" t="s">
        <v>20</v>
      </c>
      <c r="C50" s="19" t="s">
        <v>21</v>
      </c>
      <c r="D50" s="19" t="s">
        <v>2082</v>
      </c>
      <c r="E50" s="21">
        <v>46204</v>
      </c>
      <c r="F50" s="21">
        <v>46568</v>
      </c>
      <c r="G50" s="21"/>
      <c r="H50" s="21">
        <v>46204</v>
      </c>
      <c r="I50" s="21">
        <v>46568</v>
      </c>
      <c r="J50" s="19" t="s">
        <v>2083</v>
      </c>
      <c r="L50" s="19">
        <v>99.391890750000002</v>
      </c>
      <c r="M50" s="19">
        <v>99.391890750000002</v>
      </c>
      <c r="N50" s="19" t="s">
        <v>1467</v>
      </c>
      <c r="O50" s="20">
        <v>3</v>
      </c>
      <c r="S50" s="19" t="s">
        <v>20</v>
      </c>
      <c r="T50" s="19" t="s">
        <v>1471</v>
      </c>
    </row>
    <row r="51" spans="1:20">
      <c r="A51" s="20">
        <v>202603327975921</v>
      </c>
      <c r="B51" s="19" t="s">
        <v>20</v>
      </c>
      <c r="C51" s="19" t="s">
        <v>21</v>
      </c>
      <c r="D51" s="19" t="s">
        <v>20</v>
      </c>
      <c r="E51" s="21">
        <v>46204</v>
      </c>
      <c r="F51" s="21">
        <v>46568</v>
      </c>
      <c r="G51" s="21"/>
      <c r="H51" s="21">
        <v>46204</v>
      </c>
      <c r="I51" s="21">
        <v>46568</v>
      </c>
      <c r="J51" s="19" t="s">
        <v>2080</v>
      </c>
      <c r="L51" s="19">
        <v>66.261260500000006</v>
      </c>
      <c r="M51" s="19">
        <v>66.261260500000006</v>
      </c>
      <c r="N51" s="19" t="s">
        <v>1475</v>
      </c>
      <c r="O51" s="20">
        <v>2</v>
      </c>
      <c r="S51" s="19" t="s">
        <v>20</v>
      </c>
      <c r="T51" s="19" t="s">
        <v>1471</v>
      </c>
    </row>
    <row r="52" spans="1:20">
      <c r="A52" s="20">
        <v>202603327975931</v>
      </c>
      <c r="B52" s="19" t="s">
        <v>20</v>
      </c>
      <c r="C52" s="19" t="s">
        <v>21</v>
      </c>
      <c r="D52" s="19" t="s">
        <v>20</v>
      </c>
      <c r="E52" s="21">
        <v>46204</v>
      </c>
      <c r="F52" s="21">
        <v>46568</v>
      </c>
      <c r="G52" s="21"/>
      <c r="H52" s="21">
        <v>46204</v>
      </c>
      <c r="I52" s="21">
        <v>46568</v>
      </c>
      <c r="J52" s="19" t="s">
        <v>2062</v>
      </c>
      <c r="L52" s="19">
        <v>0</v>
      </c>
      <c r="M52" s="19">
        <v>0</v>
      </c>
      <c r="N52" s="19" t="s">
        <v>2394</v>
      </c>
      <c r="O52" s="20">
        <v>4</v>
      </c>
      <c r="S52" s="19" t="s">
        <v>20</v>
      </c>
      <c r="T52" s="19" t="s">
        <v>1471</v>
      </c>
    </row>
    <row r="53" spans="1:20">
      <c r="A53" s="20">
        <v>202603327975931</v>
      </c>
      <c r="B53" s="19" t="s">
        <v>20</v>
      </c>
      <c r="C53" s="19" t="s">
        <v>21</v>
      </c>
      <c r="D53" s="19" t="s">
        <v>2084</v>
      </c>
      <c r="E53" s="21">
        <v>46204</v>
      </c>
      <c r="F53" s="21">
        <v>46568</v>
      </c>
      <c r="G53" s="21"/>
      <c r="H53" s="21">
        <v>46204</v>
      </c>
      <c r="I53" s="21">
        <v>46568</v>
      </c>
      <c r="J53" s="19" t="s">
        <v>2062</v>
      </c>
      <c r="L53" s="19">
        <v>66.908733999999995</v>
      </c>
      <c r="M53" s="19">
        <v>66.908733999999995</v>
      </c>
      <c r="N53" s="19" t="s">
        <v>1467</v>
      </c>
      <c r="O53" s="20">
        <v>4</v>
      </c>
      <c r="S53" s="19" t="s">
        <v>20</v>
      </c>
      <c r="T53" s="19" t="s">
        <v>1471</v>
      </c>
    </row>
    <row r="54" spans="1:20">
      <c r="A54" s="20">
        <v>202603327976197</v>
      </c>
      <c r="B54" s="19" t="s">
        <v>20</v>
      </c>
      <c r="C54" s="19" t="s">
        <v>21</v>
      </c>
      <c r="D54" s="19" t="s">
        <v>20</v>
      </c>
      <c r="E54" s="21">
        <v>46204</v>
      </c>
      <c r="F54" s="21">
        <v>46568</v>
      </c>
      <c r="G54" s="21"/>
      <c r="H54" s="21">
        <v>46204</v>
      </c>
      <c r="I54" s="21">
        <v>46568</v>
      </c>
      <c r="J54" s="19" t="s">
        <v>2085</v>
      </c>
      <c r="L54" s="19">
        <v>24.620673499999999</v>
      </c>
      <c r="M54" s="19">
        <v>24.620673499999999</v>
      </c>
      <c r="N54" s="19" t="s">
        <v>1475</v>
      </c>
      <c r="O54" s="20">
        <v>1</v>
      </c>
      <c r="S54" s="19" t="s">
        <v>20</v>
      </c>
      <c r="T54" s="19" t="s">
        <v>1471</v>
      </c>
    </row>
    <row r="55" spans="1:20">
      <c r="A55" s="20">
        <v>202603327976860</v>
      </c>
      <c r="B55" s="19" t="s">
        <v>20</v>
      </c>
      <c r="C55" s="19" t="s">
        <v>21</v>
      </c>
      <c r="D55" s="19" t="s">
        <v>20</v>
      </c>
      <c r="E55" s="21">
        <v>46204</v>
      </c>
      <c r="F55" s="21">
        <v>46568</v>
      </c>
      <c r="G55" s="21"/>
      <c r="H55" s="21">
        <v>46204</v>
      </c>
      <c r="I55" s="21">
        <v>46568</v>
      </c>
      <c r="J55" s="19" t="s">
        <v>2064</v>
      </c>
      <c r="L55" s="19">
        <v>0</v>
      </c>
      <c r="M55" s="19">
        <v>0</v>
      </c>
      <c r="N55" s="19" t="s">
        <v>2394</v>
      </c>
      <c r="O55" s="20">
        <v>2</v>
      </c>
      <c r="S55" s="19" t="s">
        <v>20</v>
      </c>
      <c r="T55" s="19" t="s">
        <v>1471</v>
      </c>
    </row>
    <row r="56" spans="1:20">
      <c r="A56" s="20">
        <v>202603327976860</v>
      </c>
      <c r="B56" s="19" t="s">
        <v>20</v>
      </c>
      <c r="C56" s="19" t="s">
        <v>21</v>
      </c>
      <c r="D56" s="19" t="s">
        <v>20</v>
      </c>
      <c r="E56" s="21">
        <v>46204</v>
      </c>
      <c r="F56" s="21">
        <v>46568</v>
      </c>
      <c r="G56" s="21"/>
      <c r="H56" s="21">
        <v>46204</v>
      </c>
      <c r="I56" s="21">
        <v>46568</v>
      </c>
      <c r="J56" s="19" t="s">
        <v>2064</v>
      </c>
      <c r="L56" s="19">
        <v>66.261260500000006</v>
      </c>
      <c r="M56" s="19">
        <v>66.261260500000006</v>
      </c>
      <c r="N56" s="19" t="s">
        <v>1475</v>
      </c>
      <c r="O56" s="20">
        <v>2</v>
      </c>
      <c r="S56" s="19" t="s">
        <v>20</v>
      </c>
      <c r="T56" s="19" t="s">
        <v>1471</v>
      </c>
    </row>
    <row r="57" spans="1:20">
      <c r="A57" s="20">
        <v>202603327976998</v>
      </c>
      <c r="B57" s="19" t="s">
        <v>20</v>
      </c>
      <c r="C57" s="19" t="s">
        <v>21</v>
      </c>
      <c r="D57" s="19" t="s">
        <v>20</v>
      </c>
      <c r="E57" s="21">
        <v>46204</v>
      </c>
      <c r="F57" s="21">
        <v>46568</v>
      </c>
      <c r="G57" s="21"/>
      <c r="H57" s="21">
        <v>46204</v>
      </c>
      <c r="I57" s="21">
        <v>46568</v>
      </c>
      <c r="J57" s="19" t="s">
        <v>2068</v>
      </c>
      <c r="L57" s="19">
        <v>52.517367999999998</v>
      </c>
      <c r="M57" s="19">
        <v>52.517367999999998</v>
      </c>
      <c r="N57" s="19" t="s">
        <v>1475</v>
      </c>
      <c r="O57" s="20">
        <v>2</v>
      </c>
      <c r="S57" s="19" t="s">
        <v>20</v>
      </c>
      <c r="T57" s="19" t="s">
        <v>1471</v>
      </c>
    </row>
    <row r="58" spans="1:20">
      <c r="A58" s="20">
        <v>202603327977171</v>
      </c>
      <c r="B58" s="19" t="s">
        <v>20</v>
      </c>
      <c r="C58" s="19" t="s">
        <v>21</v>
      </c>
      <c r="D58" s="19" t="s">
        <v>20</v>
      </c>
      <c r="E58" s="21">
        <v>46204</v>
      </c>
      <c r="F58" s="21">
        <v>46568</v>
      </c>
      <c r="G58" s="21"/>
      <c r="H58" s="21">
        <v>46204</v>
      </c>
      <c r="I58" s="21">
        <v>46568</v>
      </c>
      <c r="J58" s="19" t="s">
        <v>2086</v>
      </c>
      <c r="L58" s="19">
        <v>0</v>
      </c>
      <c r="M58" s="19">
        <v>0</v>
      </c>
      <c r="N58" s="19" t="s">
        <v>2394</v>
      </c>
      <c r="O58" s="20">
        <v>4</v>
      </c>
      <c r="S58" s="19" t="s">
        <v>20</v>
      </c>
      <c r="T58" s="19" t="s">
        <v>1471</v>
      </c>
    </row>
    <row r="59" spans="1:20">
      <c r="A59" s="20">
        <v>202603327977171</v>
      </c>
      <c r="B59" s="19" t="s">
        <v>20</v>
      </c>
      <c r="C59" s="19" t="s">
        <v>21</v>
      </c>
      <c r="D59" s="19" t="s">
        <v>20</v>
      </c>
      <c r="E59" s="21">
        <v>46204</v>
      </c>
      <c r="F59" s="21">
        <v>46568</v>
      </c>
      <c r="G59" s="21"/>
      <c r="H59" s="21">
        <v>46204</v>
      </c>
      <c r="I59" s="21">
        <v>46568</v>
      </c>
      <c r="J59" s="19" t="s">
        <v>2086</v>
      </c>
      <c r="L59" s="19">
        <v>132.52252100000001</v>
      </c>
      <c r="M59" s="19">
        <v>132.52252100000001</v>
      </c>
      <c r="N59" s="19" t="s">
        <v>1475</v>
      </c>
      <c r="O59" s="20">
        <v>4</v>
      </c>
      <c r="S59" s="19" t="s">
        <v>20</v>
      </c>
      <c r="T59" s="19" t="s">
        <v>1471</v>
      </c>
    </row>
    <row r="60" spans="1:20">
      <c r="A60" s="20">
        <v>202603327978106</v>
      </c>
      <c r="B60" s="19" t="s">
        <v>20</v>
      </c>
      <c r="C60" s="19" t="s">
        <v>21</v>
      </c>
      <c r="D60" s="19" t="s">
        <v>20</v>
      </c>
      <c r="E60" s="21">
        <v>46204</v>
      </c>
      <c r="F60" s="21">
        <v>46568</v>
      </c>
      <c r="G60" s="21"/>
      <c r="H60" s="21">
        <v>46204</v>
      </c>
      <c r="I60" s="21">
        <v>46568</v>
      </c>
      <c r="J60" s="19" t="s">
        <v>2087</v>
      </c>
      <c r="L60" s="19">
        <v>33.130630250000003</v>
      </c>
      <c r="M60" s="19">
        <v>33.130630250000003</v>
      </c>
      <c r="N60" s="19" t="s">
        <v>1475</v>
      </c>
      <c r="O60" s="20">
        <v>1</v>
      </c>
      <c r="S60" s="19" t="s">
        <v>20</v>
      </c>
      <c r="T60" s="19" t="s">
        <v>1471</v>
      </c>
    </row>
    <row r="61" spans="1:20">
      <c r="A61" s="20">
        <v>202603327978500</v>
      </c>
      <c r="B61" s="19" t="s">
        <v>20</v>
      </c>
      <c r="C61" s="19" t="s">
        <v>21</v>
      </c>
      <c r="D61" s="19" t="s">
        <v>20</v>
      </c>
      <c r="E61" s="21">
        <v>46204</v>
      </c>
      <c r="F61" s="21">
        <v>46568</v>
      </c>
      <c r="G61" s="21"/>
      <c r="H61" s="21">
        <v>46204</v>
      </c>
      <c r="I61" s="21">
        <v>46568</v>
      </c>
      <c r="J61" s="19" t="s">
        <v>2064</v>
      </c>
      <c r="L61" s="19">
        <v>0</v>
      </c>
      <c r="M61" s="19">
        <v>0</v>
      </c>
      <c r="N61" s="19" t="s">
        <v>2394</v>
      </c>
      <c r="O61" s="20">
        <v>5</v>
      </c>
      <c r="S61" s="19" t="s">
        <v>20</v>
      </c>
      <c r="T61" s="19" t="s">
        <v>1471</v>
      </c>
    </row>
    <row r="62" spans="1:20">
      <c r="A62" s="20">
        <v>202603327978500</v>
      </c>
      <c r="B62" s="19" t="s">
        <v>20</v>
      </c>
      <c r="C62" s="19" t="s">
        <v>21</v>
      </c>
      <c r="D62" s="19" t="s">
        <v>20</v>
      </c>
      <c r="E62" s="21">
        <v>46204</v>
      </c>
      <c r="F62" s="21">
        <v>46568</v>
      </c>
      <c r="G62" s="21"/>
      <c r="H62" s="21">
        <v>46204</v>
      </c>
      <c r="I62" s="21">
        <v>46568</v>
      </c>
      <c r="J62" s="19" t="s">
        <v>2064</v>
      </c>
      <c r="L62" s="19">
        <v>165.65315125000001</v>
      </c>
      <c r="M62" s="19">
        <v>165.65315125000001</v>
      </c>
      <c r="N62" s="19" t="s">
        <v>1475</v>
      </c>
      <c r="O62" s="20">
        <v>5</v>
      </c>
      <c r="S62" s="19" t="s">
        <v>20</v>
      </c>
      <c r="T62" s="19" t="s">
        <v>1471</v>
      </c>
    </row>
    <row r="63" spans="1:20">
      <c r="A63" s="20">
        <v>202603327978510</v>
      </c>
      <c r="B63" s="19" t="s">
        <v>20</v>
      </c>
      <c r="C63" s="19" t="s">
        <v>21</v>
      </c>
      <c r="D63" s="19" t="s">
        <v>20</v>
      </c>
      <c r="E63" s="21">
        <v>46204</v>
      </c>
      <c r="F63" s="21">
        <v>46568</v>
      </c>
      <c r="G63" s="21"/>
      <c r="H63" s="21">
        <v>46204</v>
      </c>
      <c r="I63" s="21">
        <v>46568</v>
      </c>
      <c r="J63" s="19" t="s">
        <v>2064</v>
      </c>
      <c r="L63" s="19">
        <v>33.130630250000003</v>
      </c>
      <c r="M63" s="19">
        <v>33.130630250000003</v>
      </c>
      <c r="N63" s="19" t="s">
        <v>1475</v>
      </c>
      <c r="O63" s="20">
        <v>1</v>
      </c>
      <c r="S63" s="19" t="s">
        <v>20</v>
      </c>
      <c r="T63" s="19" t="s">
        <v>1471</v>
      </c>
    </row>
    <row r="64" spans="1:20">
      <c r="A64" s="20">
        <v>202603327979227</v>
      </c>
      <c r="B64" s="19" t="s">
        <v>20</v>
      </c>
      <c r="C64" s="19" t="s">
        <v>21</v>
      </c>
      <c r="D64" s="19" t="s">
        <v>20</v>
      </c>
      <c r="E64" s="21">
        <v>46204</v>
      </c>
      <c r="F64" s="21">
        <v>46568</v>
      </c>
      <c r="G64" s="21"/>
      <c r="H64" s="21">
        <v>46204</v>
      </c>
      <c r="I64" s="21">
        <v>46568</v>
      </c>
      <c r="J64" s="19" t="s">
        <v>2068</v>
      </c>
      <c r="L64" s="19">
        <v>0</v>
      </c>
      <c r="M64" s="19">
        <v>0</v>
      </c>
      <c r="N64" s="19" t="s">
        <v>2394</v>
      </c>
      <c r="O64" s="20">
        <v>5</v>
      </c>
      <c r="S64" s="19" t="s">
        <v>20</v>
      </c>
      <c r="T64" s="19" t="s">
        <v>1471</v>
      </c>
    </row>
    <row r="65" spans="1:20">
      <c r="A65" s="20">
        <v>202603327979227</v>
      </c>
      <c r="B65" s="19" t="s">
        <v>20</v>
      </c>
      <c r="C65" s="19" t="s">
        <v>21</v>
      </c>
      <c r="D65" s="19" t="s">
        <v>20</v>
      </c>
      <c r="E65" s="21">
        <v>46204</v>
      </c>
      <c r="F65" s="21">
        <v>46568</v>
      </c>
      <c r="G65" s="21"/>
      <c r="H65" s="21">
        <v>46204</v>
      </c>
      <c r="I65" s="21">
        <v>46568</v>
      </c>
      <c r="J65" s="19" t="s">
        <v>2068</v>
      </c>
      <c r="L65" s="19">
        <v>131.29342</v>
      </c>
      <c r="M65" s="19">
        <v>131.29342</v>
      </c>
      <c r="N65" s="19" t="s">
        <v>1475</v>
      </c>
      <c r="O65" s="20">
        <v>5</v>
      </c>
      <c r="S65" s="19" t="s">
        <v>20</v>
      </c>
      <c r="T65" s="19" t="s">
        <v>1471</v>
      </c>
    </row>
    <row r="66" spans="1:20">
      <c r="A66" s="20">
        <v>202603327979760</v>
      </c>
      <c r="B66" s="19" t="s">
        <v>20</v>
      </c>
      <c r="C66" s="19" t="s">
        <v>21</v>
      </c>
      <c r="D66" s="19" t="s">
        <v>20</v>
      </c>
      <c r="E66" s="21">
        <v>46204</v>
      </c>
      <c r="F66" s="21">
        <v>46568</v>
      </c>
      <c r="G66" s="21"/>
      <c r="H66" s="21">
        <v>46204</v>
      </c>
      <c r="I66" s="21">
        <v>46568</v>
      </c>
      <c r="J66" s="19" t="s">
        <v>2069</v>
      </c>
      <c r="L66" s="19">
        <v>0</v>
      </c>
      <c r="M66" s="19">
        <v>0</v>
      </c>
      <c r="N66" s="19" t="s">
        <v>2394</v>
      </c>
      <c r="O66" s="20">
        <v>3</v>
      </c>
      <c r="S66" s="19" t="s">
        <v>20</v>
      </c>
      <c r="T66" s="19" t="s">
        <v>1471</v>
      </c>
    </row>
    <row r="67" spans="1:20">
      <c r="A67" s="20">
        <v>202603327979760</v>
      </c>
      <c r="B67" s="19" t="s">
        <v>20</v>
      </c>
      <c r="C67" s="19" t="s">
        <v>21</v>
      </c>
      <c r="D67" s="19" t="s">
        <v>20</v>
      </c>
      <c r="E67" s="21">
        <v>46204</v>
      </c>
      <c r="F67" s="21">
        <v>46568</v>
      </c>
      <c r="G67" s="21"/>
      <c r="H67" s="21">
        <v>46204</v>
      </c>
      <c r="I67" s="21">
        <v>46568</v>
      </c>
      <c r="J67" s="19" t="s">
        <v>2069</v>
      </c>
      <c r="L67" s="19">
        <v>99.391890750000002</v>
      </c>
      <c r="M67" s="19">
        <v>99.391890750000002</v>
      </c>
      <c r="N67" s="19" t="s">
        <v>1475</v>
      </c>
      <c r="O67" s="20">
        <v>3</v>
      </c>
      <c r="S67" s="19" t="s">
        <v>20</v>
      </c>
      <c r="T67" s="19" t="s">
        <v>1471</v>
      </c>
    </row>
    <row r="68" spans="1:20">
      <c r="A68" s="20">
        <v>202603327979763</v>
      </c>
      <c r="B68" s="19" t="s">
        <v>20</v>
      </c>
      <c r="C68" s="19" t="s">
        <v>21</v>
      </c>
      <c r="D68" s="19" t="s">
        <v>20</v>
      </c>
      <c r="E68" s="21">
        <v>46204</v>
      </c>
      <c r="F68" s="21">
        <v>46568</v>
      </c>
      <c r="G68" s="21"/>
      <c r="H68" s="21">
        <v>46204</v>
      </c>
      <c r="I68" s="21">
        <v>46568</v>
      </c>
      <c r="J68" s="19" t="s">
        <v>2080</v>
      </c>
      <c r="L68" s="19">
        <v>0</v>
      </c>
      <c r="M68" s="19">
        <v>0</v>
      </c>
      <c r="N68" s="19" t="s">
        <v>2394</v>
      </c>
      <c r="O68" s="20">
        <v>3</v>
      </c>
      <c r="S68" s="19" t="s">
        <v>20</v>
      </c>
      <c r="T68" s="19" t="s">
        <v>1471</v>
      </c>
    </row>
    <row r="69" spans="1:20">
      <c r="A69" s="20">
        <v>202603327979763</v>
      </c>
      <c r="B69" s="19" t="s">
        <v>20</v>
      </c>
      <c r="C69" s="19" t="s">
        <v>21</v>
      </c>
      <c r="D69" s="19" t="s">
        <v>20</v>
      </c>
      <c r="E69" s="21">
        <v>46204</v>
      </c>
      <c r="F69" s="21">
        <v>46568</v>
      </c>
      <c r="G69" s="21"/>
      <c r="H69" s="21">
        <v>46204</v>
      </c>
      <c r="I69" s="21">
        <v>46568</v>
      </c>
      <c r="J69" s="19" t="s">
        <v>2080</v>
      </c>
      <c r="L69" s="19">
        <v>99.391890750000002</v>
      </c>
      <c r="M69" s="19">
        <v>99.391890750000002</v>
      </c>
      <c r="N69" s="19" t="s">
        <v>1475</v>
      </c>
      <c r="O69" s="20">
        <v>3</v>
      </c>
      <c r="S69" s="19" t="s">
        <v>20</v>
      </c>
      <c r="T69" s="19" t="s">
        <v>1471</v>
      </c>
    </row>
    <row r="70" spans="1:20">
      <c r="A70" s="20">
        <v>202603327979860</v>
      </c>
      <c r="B70" s="19" t="s">
        <v>20</v>
      </c>
      <c r="C70" s="19" t="s">
        <v>21</v>
      </c>
      <c r="D70" s="19" t="s">
        <v>20</v>
      </c>
      <c r="E70" s="21">
        <v>46204</v>
      </c>
      <c r="F70" s="21">
        <v>46568</v>
      </c>
      <c r="G70" s="21"/>
      <c r="H70" s="21">
        <v>46204</v>
      </c>
      <c r="I70" s="21">
        <v>46568</v>
      </c>
      <c r="J70" s="19" t="s">
        <v>2085</v>
      </c>
      <c r="L70" s="19">
        <v>24.620673499999999</v>
      </c>
      <c r="M70" s="19">
        <v>24.620673499999999</v>
      </c>
      <c r="N70" s="19" t="s">
        <v>1475</v>
      </c>
      <c r="O70" s="20">
        <v>1</v>
      </c>
      <c r="S70" s="19" t="s">
        <v>20</v>
      </c>
      <c r="T70" s="19" t="s">
        <v>1471</v>
      </c>
    </row>
    <row r="71" spans="1:20">
      <c r="A71" s="20">
        <v>202603327980133</v>
      </c>
      <c r="B71" s="19" t="s">
        <v>20</v>
      </c>
      <c r="C71" s="19" t="s">
        <v>21</v>
      </c>
      <c r="D71" s="19" t="s">
        <v>20</v>
      </c>
      <c r="E71" s="21">
        <v>46204</v>
      </c>
      <c r="F71" s="21">
        <v>46568</v>
      </c>
      <c r="G71" s="21"/>
      <c r="H71" s="21">
        <v>46204</v>
      </c>
      <c r="I71" s="21">
        <v>46568</v>
      </c>
      <c r="J71" s="19" t="s">
        <v>2088</v>
      </c>
      <c r="L71" s="19">
        <v>0</v>
      </c>
      <c r="M71" s="19">
        <v>0</v>
      </c>
      <c r="N71" s="19" t="s">
        <v>2394</v>
      </c>
      <c r="O71" s="20">
        <v>2</v>
      </c>
      <c r="S71" s="19" t="s">
        <v>20</v>
      </c>
      <c r="T71" s="19" t="s">
        <v>1471</v>
      </c>
    </row>
    <row r="72" spans="1:20">
      <c r="A72" s="20">
        <v>202603327980133</v>
      </c>
      <c r="B72" s="19" t="s">
        <v>20</v>
      </c>
      <c r="C72" s="19" t="s">
        <v>21</v>
      </c>
      <c r="D72" s="19" t="s">
        <v>20</v>
      </c>
      <c r="E72" s="21">
        <v>46204</v>
      </c>
      <c r="F72" s="21">
        <v>46568</v>
      </c>
      <c r="G72" s="21"/>
      <c r="H72" s="21">
        <v>46204</v>
      </c>
      <c r="I72" s="21">
        <v>46568</v>
      </c>
      <c r="J72" s="19" t="s">
        <v>2088</v>
      </c>
      <c r="L72" s="19">
        <v>66.261260500000006</v>
      </c>
      <c r="M72" s="19">
        <v>66.261260500000006</v>
      </c>
      <c r="N72" s="19" t="s">
        <v>1475</v>
      </c>
      <c r="O72" s="20">
        <v>2</v>
      </c>
      <c r="S72" s="19" t="s">
        <v>20</v>
      </c>
      <c r="T72" s="19" t="s">
        <v>1471</v>
      </c>
    </row>
    <row r="73" spans="1:20">
      <c r="A73" s="20">
        <v>202603327983017</v>
      </c>
      <c r="B73" s="19" t="s">
        <v>20</v>
      </c>
      <c r="C73" s="19" t="s">
        <v>21</v>
      </c>
      <c r="D73" s="19" t="s">
        <v>20</v>
      </c>
      <c r="E73" s="21">
        <v>46204</v>
      </c>
      <c r="F73" s="21">
        <v>46568</v>
      </c>
      <c r="G73" s="21"/>
      <c r="H73" s="21">
        <v>46204</v>
      </c>
      <c r="I73" s="21">
        <v>46568</v>
      </c>
      <c r="J73" s="19" t="s">
        <v>2089</v>
      </c>
      <c r="L73" s="19">
        <v>47.936581500000003</v>
      </c>
      <c r="M73" s="19">
        <v>47.936581500000003</v>
      </c>
      <c r="N73" s="19" t="s">
        <v>1475</v>
      </c>
      <c r="O73" s="20">
        <v>2</v>
      </c>
      <c r="S73" s="19" t="s">
        <v>20</v>
      </c>
      <c r="T73" s="19" t="s">
        <v>1471</v>
      </c>
    </row>
    <row r="74" spans="1:20">
      <c r="A74" s="20">
        <v>202603327983790</v>
      </c>
      <c r="B74" s="19" t="s">
        <v>20</v>
      </c>
      <c r="C74" s="19" t="s">
        <v>21</v>
      </c>
      <c r="D74" s="19" t="s">
        <v>20</v>
      </c>
      <c r="E74" s="21">
        <v>46204</v>
      </c>
      <c r="F74" s="21">
        <v>46568</v>
      </c>
      <c r="G74" s="21"/>
      <c r="H74" s="21">
        <v>46204</v>
      </c>
      <c r="I74" s="21">
        <v>46568</v>
      </c>
      <c r="J74" s="19" t="s">
        <v>2090</v>
      </c>
      <c r="L74" s="19">
        <v>0</v>
      </c>
      <c r="M74" s="19">
        <v>0</v>
      </c>
      <c r="N74" s="19" t="s">
        <v>2394</v>
      </c>
      <c r="O74" s="20">
        <v>3</v>
      </c>
      <c r="S74" s="19" t="s">
        <v>20</v>
      </c>
      <c r="T74" s="19" t="s">
        <v>1471</v>
      </c>
    </row>
    <row r="75" spans="1:20">
      <c r="A75" s="20">
        <v>202603327983790</v>
      </c>
      <c r="B75" s="19" t="s">
        <v>20</v>
      </c>
      <c r="C75" s="19" t="s">
        <v>21</v>
      </c>
      <c r="D75" s="19" t="s">
        <v>2091</v>
      </c>
      <c r="E75" s="21">
        <v>46204</v>
      </c>
      <c r="F75" s="21">
        <v>46568</v>
      </c>
      <c r="G75" s="21"/>
      <c r="H75" s="21">
        <v>46204</v>
      </c>
      <c r="I75" s="21">
        <v>46568</v>
      </c>
      <c r="J75" s="19" t="s">
        <v>2090</v>
      </c>
      <c r="L75" s="19">
        <v>79.513479750000002</v>
      </c>
      <c r="M75" s="19">
        <v>79.513479750000002</v>
      </c>
      <c r="N75" s="19" t="s">
        <v>1467</v>
      </c>
      <c r="O75" s="20">
        <v>3</v>
      </c>
      <c r="S75" s="19" t="s">
        <v>20</v>
      </c>
      <c r="T75" s="19" t="s">
        <v>1471</v>
      </c>
    </row>
    <row r="76" spans="1:20">
      <c r="A76" s="20">
        <v>202603327984300</v>
      </c>
      <c r="B76" s="19" t="s">
        <v>20</v>
      </c>
      <c r="C76" s="19" t="s">
        <v>21</v>
      </c>
      <c r="D76" s="19" t="s">
        <v>20</v>
      </c>
      <c r="E76" s="21">
        <v>46204</v>
      </c>
      <c r="F76" s="21">
        <v>46568</v>
      </c>
      <c r="G76" s="21"/>
      <c r="H76" s="21">
        <v>46204</v>
      </c>
      <c r="I76" s="21">
        <v>46568</v>
      </c>
      <c r="J76" s="19" t="s">
        <v>2092</v>
      </c>
      <c r="L76" s="19">
        <v>0</v>
      </c>
      <c r="M76" s="19">
        <v>0</v>
      </c>
      <c r="N76" s="19" t="s">
        <v>2394</v>
      </c>
      <c r="O76" s="20">
        <v>6</v>
      </c>
      <c r="S76" s="19" t="s">
        <v>20</v>
      </c>
      <c r="T76" s="19" t="s">
        <v>1471</v>
      </c>
    </row>
    <row r="77" spans="1:20">
      <c r="A77" s="20">
        <v>202603327984300</v>
      </c>
      <c r="B77" s="19" t="s">
        <v>20</v>
      </c>
      <c r="C77" s="19" t="s">
        <v>21</v>
      </c>
      <c r="D77" s="19" t="s">
        <v>20</v>
      </c>
      <c r="E77" s="21">
        <v>46204</v>
      </c>
      <c r="F77" s="21">
        <v>46568</v>
      </c>
      <c r="G77" s="21"/>
      <c r="H77" s="21">
        <v>46204</v>
      </c>
      <c r="I77" s="21">
        <v>46568</v>
      </c>
      <c r="J77" s="19" t="s">
        <v>2092</v>
      </c>
      <c r="L77" s="19">
        <v>231.95735400000001</v>
      </c>
      <c r="M77" s="19">
        <v>231.95735400000001</v>
      </c>
      <c r="N77" s="19" t="s">
        <v>1475</v>
      </c>
      <c r="O77" s="20">
        <v>6</v>
      </c>
      <c r="S77" s="19" t="s">
        <v>20</v>
      </c>
      <c r="T77" s="19" t="s">
        <v>1471</v>
      </c>
    </row>
    <row r="78" spans="1:20">
      <c r="A78" s="20">
        <v>202603327985238</v>
      </c>
      <c r="B78" s="19" t="s">
        <v>20</v>
      </c>
      <c r="C78" s="19" t="s">
        <v>21</v>
      </c>
      <c r="D78" s="19" t="s">
        <v>20</v>
      </c>
      <c r="E78" s="21">
        <v>46204</v>
      </c>
      <c r="F78" s="21">
        <v>46568</v>
      </c>
      <c r="G78" s="21"/>
      <c r="H78" s="21">
        <v>46204</v>
      </c>
      <c r="I78" s="21">
        <v>46568</v>
      </c>
      <c r="J78" s="19" t="s">
        <v>1465</v>
      </c>
      <c r="L78" s="19">
        <v>0</v>
      </c>
      <c r="M78" s="19">
        <v>0</v>
      </c>
      <c r="N78" s="19" t="s">
        <v>2394</v>
      </c>
      <c r="O78" s="20">
        <v>6</v>
      </c>
      <c r="S78" s="19" t="s">
        <v>20</v>
      </c>
      <c r="T78" s="19" t="s">
        <v>1471</v>
      </c>
    </row>
    <row r="79" spans="1:20">
      <c r="A79" s="20">
        <v>202603327985238</v>
      </c>
      <c r="B79" s="19" t="s">
        <v>20</v>
      </c>
      <c r="C79" s="19" t="s">
        <v>21</v>
      </c>
      <c r="D79" s="19" t="s">
        <v>20</v>
      </c>
      <c r="E79" s="21">
        <v>46204</v>
      </c>
      <c r="F79" s="21">
        <v>46568</v>
      </c>
      <c r="G79" s="21"/>
      <c r="H79" s="21">
        <v>46204</v>
      </c>
      <c r="I79" s="21">
        <v>46568</v>
      </c>
      <c r="J79" s="19" t="s">
        <v>1465</v>
      </c>
      <c r="L79" s="19">
        <v>108.9604935</v>
      </c>
      <c r="M79" s="19">
        <v>108.9604935</v>
      </c>
      <c r="N79" s="19" t="s">
        <v>1475</v>
      </c>
      <c r="O79" s="20">
        <v>6</v>
      </c>
      <c r="S79" s="19" t="s">
        <v>20</v>
      </c>
      <c r="T79" s="19" t="s">
        <v>1471</v>
      </c>
    </row>
    <row r="80" spans="1:20">
      <c r="A80" s="20">
        <v>202603327986381</v>
      </c>
      <c r="B80" s="19" t="s">
        <v>20</v>
      </c>
      <c r="C80" s="19" t="s">
        <v>21</v>
      </c>
      <c r="D80" s="19" t="s">
        <v>20</v>
      </c>
      <c r="E80" s="21">
        <v>46204</v>
      </c>
      <c r="F80" s="21">
        <v>46568</v>
      </c>
      <c r="G80" s="21"/>
      <c r="H80" s="21">
        <v>46204</v>
      </c>
      <c r="I80" s="21">
        <v>46568</v>
      </c>
      <c r="J80" s="19" t="s">
        <v>2093</v>
      </c>
      <c r="L80" s="19">
        <v>28.776034249999999</v>
      </c>
      <c r="M80" s="19">
        <v>28.776034249999999</v>
      </c>
      <c r="N80" s="19" t="s">
        <v>1475</v>
      </c>
      <c r="O80" s="20">
        <v>1</v>
      </c>
      <c r="S80" s="19" t="s">
        <v>20</v>
      </c>
      <c r="T80" s="19" t="s">
        <v>1471</v>
      </c>
    </row>
    <row r="81" spans="1:20">
      <c r="A81" s="20">
        <v>202603327987008</v>
      </c>
      <c r="B81" s="19" t="s">
        <v>20</v>
      </c>
      <c r="C81" s="19" t="s">
        <v>21</v>
      </c>
      <c r="D81" s="19" t="s">
        <v>20</v>
      </c>
      <c r="E81" s="21">
        <v>46204</v>
      </c>
      <c r="F81" s="21">
        <v>46568</v>
      </c>
      <c r="G81" s="21"/>
      <c r="H81" s="21">
        <v>46204</v>
      </c>
      <c r="I81" s="21">
        <v>46568</v>
      </c>
      <c r="J81" s="19" t="s">
        <v>2064</v>
      </c>
      <c r="L81" s="19">
        <v>66.261260500000006</v>
      </c>
      <c r="M81" s="19">
        <v>66.261260500000006</v>
      </c>
      <c r="N81" s="19" t="s">
        <v>1475</v>
      </c>
      <c r="O81" s="20">
        <v>2</v>
      </c>
      <c r="S81" s="19" t="s">
        <v>20</v>
      </c>
      <c r="T81" s="19" t="s">
        <v>1471</v>
      </c>
    </row>
    <row r="82" spans="1:20">
      <c r="A82" s="20">
        <v>202603327987411</v>
      </c>
      <c r="B82" s="19" t="s">
        <v>20</v>
      </c>
      <c r="C82" s="19" t="s">
        <v>21</v>
      </c>
      <c r="D82" s="19" t="s">
        <v>20</v>
      </c>
      <c r="E82" s="21">
        <v>46204</v>
      </c>
      <c r="F82" s="21">
        <v>46568</v>
      </c>
      <c r="G82" s="21"/>
      <c r="H82" s="21">
        <v>46204</v>
      </c>
      <c r="I82" s="21">
        <v>46568</v>
      </c>
      <c r="J82" s="19" t="s">
        <v>2093</v>
      </c>
      <c r="L82" s="19">
        <v>0</v>
      </c>
      <c r="M82" s="19">
        <v>0</v>
      </c>
      <c r="N82" s="19" t="s">
        <v>2394</v>
      </c>
      <c r="O82" s="20">
        <v>5</v>
      </c>
      <c r="S82" s="19" t="s">
        <v>20</v>
      </c>
      <c r="T82" s="19" t="s">
        <v>1471</v>
      </c>
    </row>
    <row r="83" spans="1:20">
      <c r="A83" s="20">
        <v>202603327987411</v>
      </c>
      <c r="B83" s="19" t="s">
        <v>20</v>
      </c>
      <c r="C83" s="19" t="s">
        <v>21</v>
      </c>
      <c r="D83" s="19" t="s">
        <v>20</v>
      </c>
      <c r="E83" s="21">
        <v>46204</v>
      </c>
      <c r="F83" s="21">
        <v>46568</v>
      </c>
      <c r="G83" s="21"/>
      <c r="H83" s="21">
        <v>46204</v>
      </c>
      <c r="I83" s="21">
        <v>46568</v>
      </c>
      <c r="J83" s="19" t="s">
        <v>2093</v>
      </c>
      <c r="L83" s="19">
        <v>143.88017124999999</v>
      </c>
      <c r="M83" s="19">
        <v>143.88017124999999</v>
      </c>
      <c r="N83" s="19" t="s">
        <v>1475</v>
      </c>
      <c r="O83" s="20">
        <v>5</v>
      </c>
      <c r="S83" s="19" t="s">
        <v>20</v>
      </c>
      <c r="T83" s="19" t="s">
        <v>1471</v>
      </c>
    </row>
    <row r="84" spans="1:20">
      <c r="A84" s="20">
        <v>202603327987874</v>
      </c>
      <c r="B84" s="19" t="s">
        <v>20</v>
      </c>
      <c r="C84" s="19" t="s">
        <v>21</v>
      </c>
      <c r="D84" s="19" t="s">
        <v>20</v>
      </c>
      <c r="E84" s="21">
        <v>46204</v>
      </c>
      <c r="F84" s="21">
        <v>46568</v>
      </c>
      <c r="G84" s="21"/>
      <c r="H84" s="21">
        <v>46204</v>
      </c>
      <c r="I84" s="21">
        <v>46568</v>
      </c>
      <c r="J84" s="19" t="s">
        <v>2064</v>
      </c>
      <c r="L84" s="19">
        <v>33.130630250000003</v>
      </c>
      <c r="M84" s="19">
        <v>33.130630250000003</v>
      </c>
      <c r="N84" s="19" t="s">
        <v>1475</v>
      </c>
      <c r="O84" s="20">
        <v>1</v>
      </c>
      <c r="S84" s="19" t="s">
        <v>20</v>
      </c>
      <c r="T84" s="19" t="s">
        <v>1471</v>
      </c>
    </row>
    <row r="85" spans="1:20">
      <c r="A85" s="20">
        <v>202603327988331</v>
      </c>
      <c r="B85" s="19" t="s">
        <v>20</v>
      </c>
      <c r="C85" s="19" t="s">
        <v>21</v>
      </c>
      <c r="D85" s="19" t="s">
        <v>20</v>
      </c>
      <c r="E85" s="21">
        <v>46204</v>
      </c>
      <c r="F85" s="21">
        <v>46568</v>
      </c>
      <c r="G85" s="21"/>
      <c r="H85" s="21">
        <v>46204</v>
      </c>
      <c r="I85" s="21">
        <v>46568</v>
      </c>
      <c r="J85" s="19" t="s">
        <v>2064</v>
      </c>
      <c r="L85" s="19">
        <v>0</v>
      </c>
      <c r="M85" s="19">
        <v>0</v>
      </c>
      <c r="N85" s="19" t="s">
        <v>2394</v>
      </c>
      <c r="O85" s="20">
        <v>2</v>
      </c>
      <c r="S85" s="19" t="s">
        <v>20</v>
      </c>
      <c r="T85" s="19" t="s">
        <v>1471</v>
      </c>
    </row>
    <row r="86" spans="1:20">
      <c r="A86" s="20">
        <v>202603327988331</v>
      </c>
      <c r="B86" s="19" t="s">
        <v>20</v>
      </c>
      <c r="C86" s="19" t="s">
        <v>21</v>
      </c>
      <c r="D86" s="19" t="s">
        <v>20</v>
      </c>
      <c r="E86" s="21">
        <v>46204</v>
      </c>
      <c r="F86" s="21">
        <v>46568</v>
      </c>
      <c r="G86" s="21"/>
      <c r="H86" s="21">
        <v>46204</v>
      </c>
      <c r="I86" s="21">
        <v>46568</v>
      </c>
      <c r="J86" s="19" t="s">
        <v>2064</v>
      </c>
      <c r="L86" s="19">
        <v>66.261260500000006</v>
      </c>
      <c r="M86" s="19">
        <v>66.261260500000006</v>
      </c>
      <c r="N86" s="19" t="s">
        <v>1475</v>
      </c>
      <c r="O86" s="20">
        <v>2</v>
      </c>
      <c r="S86" s="19" t="s">
        <v>20</v>
      </c>
      <c r="T86" s="19" t="s">
        <v>1471</v>
      </c>
    </row>
    <row r="87" spans="1:20">
      <c r="A87" s="20">
        <v>202603327990299</v>
      </c>
      <c r="B87" s="19" t="s">
        <v>20</v>
      </c>
      <c r="C87" s="19" t="s">
        <v>21</v>
      </c>
      <c r="D87" s="19" t="s">
        <v>20</v>
      </c>
      <c r="E87" s="21">
        <v>46204</v>
      </c>
      <c r="F87" s="21">
        <v>46568</v>
      </c>
      <c r="G87" s="21"/>
      <c r="H87" s="21">
        <v>46204</v>
      </c>
      <c r="I87" s="21">
        <v>46568</v>
      </c>
      <c r="J87" s="19" t="s">
        <v>2094</v>
      </c>
      <c r="L87" s="19">
        <v>11.15002</v>
      </c>
      <c r="M87" s="19">
        <v>11.15002</v>
      </c>
      <c r="N87" s="19" t="s">
        <v>1475</v>
      </c>
      <c r="O87" s="20">
        <v>1</v>
      </c>
      <c r="S87" s="19" t="s">
        <v>20</v>
      </c>
      <c r="T87" s="19" t="s">
        <v>1471</v>
      </c>
    </row>
    <row r="88" spans="1:20">
      <c r="A88" s="20">
        <v>202603327990300</v>
      </c>
      <c r="B88" s="19" t="s">
        <v>20</v>
      </c>
      <c r="C88" s="19" t="s">
        <v>21</v>
      </c>
      <c r="D88" s="19" t="s">
        <v>20</v>
      </c>
      <c r="E88" s="21">
        <v>46204</v>
      </c>
      <c r="F88" s="21">
        <v>46568</v>
      </c>
      <c r="G88" s="21"/>
      <c r="H88" s="21">
        <v>46204</v>
      </c>
      <c r="I88" s="21">
        <v>46568</v>
      </c>
      <c r="J88" s="19" t="s">
        <v>2068</v>
      </c>
      <c r="L88" s="19">
        <v>26.258683999999999</v>
      </c>
      <c r="M88" s="19">
        <v>26.258683999999999</v>
      </c>
      <c r="N88" s="19" t="s">
        <v>1475</v>
      </c>
      <c r="O88" s="20">
        <v>1</v>
      </c>
      <c r="S88" s="19" t="s">
        <v>20</v>
      </c>
      <c r="T88" s="19" t="s">
        <v>1471</v>
      </c>
    </row>
    <row r="89" spans="1:20">
      <c r="A89" s="20">
        <v>202603327990301</v>
      </c>
      <c r="B89" s="19" t="s">
        <v>20</v>
      </c>
      <c r="C89" s="19" t="s">
        <v>21</v>
      </c>
      <c r="D89" s="19" t="s">
        <v>20</v>
      </c>
      <c r="E89" s="21">
        <v>46204</v>
      </c>
      <c r="F89" s="21">
        <v>46568</v>
      </c>
      <c r="G89" s="21"/>
      <c r="H89" s="21">
        <v>46204</v>
      </c>
      <c r="I89" s="21">
        <v>46568</v>
      </c>
      <c r="J89" s="19" t="s">
        <v>2095</v>
      </c>
      <c r="L89" s="19">
        <v>0</v>
      </c>
      <c r="M89" s="19">
        <v>0</v>
      </c>
      <c r="N89" s="19" t="s">
        <v>2394</v>
      </c>
      <c r="O89" s="20">
        <v>5</v>
      </c>
      <c r="S89" s="19" t="s">
        <v>20</v>
      </c>
      <c r="T89" s="19" t="s">
        <v>1471</v>
      </c>
    </row>
    <row r="90" spans="1:20">
      <c r="A90" s="20">
        <v>202603327990301</v>
      </c>
      <c r="B90" s="19" t="s">
        <v>20</v>
      </c>
      <c r="C90" s="19" t="s">
        <v>21</v>
      </c>
      <c r="D90" s="19" t="s">
        <v>2096</v>
      </c>
      <c r="E90" s="21">
        <v>46204</v>
      </c>
      <c r="F90" s="21">
        <v>46568</v>
      </c>
      <c r="G90" s="21"/>
      <c r="H90" s="21">
        <v>46204</v>
      </c>
      <c r="I90" s="21">
        <v>46568</v>
      </c>
      <c r="J90" s="19" t="s">
        <v>2095</v>
      </c>
      <c r="L90" s="19">
        <v>165.65315125000001</v>
      </c>
      <c r="M90" s="19">
        <v>165.65315125000001</v>
      </c>
      <c r="N90" s="19" t="s">
        <v>1467</v>
      </c>
      <c r="O90" s="20">
        <v>5</v>
      </c>
      <c r="S90" s="19" t="s">
        <v>20</v>
      </c>
      <c r="T90" s="19" t="s">
        <v>1471</v>
      </c>
    </row>
    <row r="91" spans="1:20">
      <c r="A91" s="20">
        <v>202603327990400</v>
      </c>
      <c r="B91" s="19" t="s">
        <v>20</v>
      </c>
      <c r="C91" s="19" t="s">
        <v>21</v>
      </c>
      <c r="D91" s="19" t="s">
        <v>20</v>
      </c>
      <c r="E91" s="21">
        <v>46204</v>
      </c>
      <c r="F91" s="21">
        <v>46568</v>
      </c>
      <c r="G91" s="21"/>
      <c r="H91" s="21">
        <v>46204</v>
      </c>
      <c r="I91" s="21">
        <v>46568</v>
      </c>
      <c r="J91" s="19" t="s">
        <v>2064</v>
      </c>
      <c r="L91" s="19">
        <v>33.130630250000003</v>
      </c>
      <c r="M91" s="19">
        <v>33.130630250000003</v>
      </c>
      <c r="N91" s="19" t="s">
        <v>1475</v>
      </c>
      <c r="O91" s="20">
        <v>1</v>
      </c>
      <c r="S91" s="19" t="s">
        <v>20</v>
      </c>
      <c r="T91" s="19" t="s">
        <v>1471</v>
      </c>
    </row>
    <row r="92" spans="1:20">
      <c r="A92" s="20">
        <v>202603327990597</v>
      </c>
      <c r="B92" s="19" t="s">
        <v>20</v>
      </c>
      <c r="C92" s="19" t="s">
        <v>21</v>
      </c>
      <c r="D92" s="19" t="s">
        <v>20</v>
      </c>
      <c r="E92" s="21">
        <v>46204</v>
      </c>
      <c r="F92" s="21">
        <v>46568</v>
      </c>
      <c r="G92" s="21"/>
      <c r="H92" s="21">
        <v>46204</v>
      </c>
      <c r="I92" s="21">
        <v>46568</v>
      </c>
      <c r="J92" s="19" t="s">
        <v>2064</v>
      </c>
      <c r="L92" s="19">
        <v>33.130630250000003</v>
      </c>
      <c r="M92" s="19">
        <v>33.130630250000003</v>
      </c>
      <c r="N92" s="19" t="s">
        <v>1475</v>
      </c>
      <c r="O92" s="20">
        <v>1</v>
      </c>
      <c r="S92" s="19" t="s">
        <v>20</v>
      </c>
      <c r="T92" s="19" t="s">
        <v>1471</v>
      </c>
    </row>
    <row r="93" spans="1:20">
      <c r="A93" s="20">
        <v>202603327991206</v>
      </c>
      <c r="B93" s="19" t="s">
        <v>20</v>
      </c>
      <c r="C93" s="19" t="s">
        <v>21</v>
      </c>
      <c r="D93" s="19" t="s">
        <v>20</v>
      </c>
      <c r="E93" s="21">
        <v>46204</v>
      </c>
      <c r="F93" s="21">
        <v>46568</v>
      </c>
      <c r="G93" s="21"/>
      <c r="H93" s="21">
        <v>46204</v>
      </c>
      <c r="I93" s="21">
        <v>46568</v>
      </c>
      <c r="J93" s="19" t="s">
        <v>2062</v>
      </c>
      <c r="L93" s="19">
        <v>0</v>
      </c>
      <c r="M93" s="19">
        <v>0</v>
      </c>
      <c r="N93" s="19" t="s">
        <v>2394</v>
      </c>
      <c r="O93" s="20">
        <v>3</v>
      </c>
      <c r="S93" s="19" t="s">
        <v>20</v>
      </c>
      <c r="T93" s="19" t="s">
        <v>1471</v>
      </c>
    </row>
    <row r="94" spans="1:20">
      <c r="A94" s="20">
        <v>202603327991206</v>
      </c>
      <c r="B94" s="19" t="s">
        <v>20</v>
      </c>
      <c r="C94" s="19" t="s">
        <v>21</v>
      </c>
      <c r="D94" s="19" t="s">
        <v>20</v>
      </c>
      <c r="E94" s="21">
        <v>46204</v>
      </c>
      <c r="F94" s="21">
        <v>46568</v>
      </c>
      <c r="G94" s="21"/>
      <c r="H94" s="21">
        <v>46204</v>
      </c>
      <c r="I94" s="21">
        <v>46568</v>
      </c>
      <c r="J94" s="19" t="s">
        <v>2062</v>
      </c>
      <c r="L94" s="19">
        <v>99.391890750000002</v>
      </c>
      <c r="M94" s="19">
        <v>99.391890750000002</v>
      </c>
      <c r="N94" s="19" t="s">
        <v>1475</v>
      </c>
      <c r="O94" s="20">
        <v>3</v>
      </c>
      <c r="S94" s="19" t="s">
        <v>20</v>
      </c>
      <c r="T94" s="19" t="s">
        <v>1471</v>
      </c>
    </row>
    <row r="95" spans="1:20">
      <c r="A95" s="20">
        <v>202603327991241</v>
      </c>
      <c r="B95" s="19" t="s">
        <v>20</v>
      </c>
      <c r="C95" s="19" t="s">
        <v>21</v>
      </c>
      <c r="D95" s="19" t="s">
        <v>20</v>
      </c>
      <c r="E95" s="21">
        <v>46204</v>
      </c>
      <c r="F95" s="21">
        <v>46568</v>
      </c>
      <c r="G95" s="21"/>
      <c r="H95" s="21">
        <v>46204</v>
      </c>
      <c r="I95" s="21">
        <v>46568</v>
      </c>
      <c r="J95" s="19" t="s">
        <v>2064</v>
      </c>
      <c r="L95" s="19">
        <v>0</v>
      </c>
      <c r="M95" s="19">
        <v>0</v>
      </c>
      <c r="N95" s="19" t="s">
        <v>2394</v>
      </c>
      <c r="O95" s="20">
        <v>4</v>
      </c>
      <c r="S95" s="19" t="s">
        <v>20</v>
      </c>
      <c r="T95" s="19" t="s">
        <v>1471</v>
      </c>
    </row>
    <row r="96" spans="1:20">
      <c r="A96" s="20">
        <v>202603327991241</v>
      </c>
      <c r="B96" s="19" t="s">
        <v>20</v>
      </c>
      <c r="C96" s="19" t="s">
        <v>21</v>
      </c>
      <c r="D96" s="19" t="s">
        <v>20</v>
      </c>
      <c r="E96" s="21">
        <v>46204</v>
      </c>
      <c r="F96" s="21">
        <v>46568</v>
      </c>
      <c r="G96" s="21"/>
      <c r="H96" s="21">
        <v>46204</v>
      </c>
      <c r="I96" s="21">
        <v>46568</v>
      </c>
      <c r="J96" s="19" t="s">
        <v>2064</v>
      </c>
      <c r="L96" s="19">
        <v>132.52252100000001</v>
      </c>
      <c r="M96" s="19">
        <v>132.52252100000001</v>
      </c>
      <c r="N96" s="19" t="s">
        <v>1475</v>
      </c>
      <c r="O96" s="20">
        <v>4</v>
      </c>
      <c r="S96" s="19" t="s">
        <v>20</v>
      </c>
      <c r="T96" s="19" t="s">
        <v>1471</v>
      </c>
    </row>
    <row r="97" spans="1:20">
      <c r="A97" s="20">
        <v>202603327991630</v>
      </c>
      <c r="B97" s="19" t="s">
        <v>20</v>
      </c>
      <c r="C97" s="19" t="s">
        <v>21</v>
      </c>
      <c r="D97" s="19" t="s">
        <v>20</v>
      </c>
      <c r="E97" s="21">
        <v>46204</v>
      </c>
      <c r="F97" s="21">
        <v>46568</v>
      </c>
      <c r="G97" s="21"/>
      <c r="H97" s="21">
        <v>46204</v>
      </c>
      <c r="I97" s="21">
        <v>46568</v>
      </c>
      <c r="J97" s="19" t="s">
        <v>2086</v>
      </c>
      <c r="L97" s="19">
        <v>0</v>
      </c>
      <c r="M97" s="19">
        <v>0</v>
      </c>
      <c r="N97" s="19" t="s">
        <v>2394</v>
      </c>
      <c r="O97" s="20">
        <v>3</v>
      </c>
      <c r="S97" s="19" t="s">
        <v>20</v>
      </c>
      <c r="T97" s="19" t="s">
        <v>1471</v>
      </c>
    </row>
    <row r="98" spans="1:20">
      <c r="A98" s="20">
        <v>202603327991630</v>
      </c>
      <c r="B98" s="19" t="s">
        <v>20</v>
      </c>
      <c r="C98" s="19" t="s">
        <v>21</v>
      </c>
      <c r="D98" s="19" t="s">
        <v>2097</v>
      </c>
      <c r="E98" s="21">
        <v>46204</v>
      </c>
      <c r="F98" s="21">
        <v>46568</v>
      </c>
      <c r="G98" s="21"/>
      <c r="H98" s="21">
        <v>46204</v>
      </c>
      <c r="I98" s="21">
        <v>46568</v>
      </c>
      <c r="J98" s="19" t="s">
        <v>2086</v>
      </c>
      <c r="L98" s="19">
        <v>99.391890750000002</v>
      </c>
      <c r="M98" s="19">
        <v>99.391890750000002</v>
      </c>
      <c r="N98" s="19" t="s">
        <v>1467</v>
      </c>
      <c r="O98" s="20">
        <v>3</v>
      </c>
      <c r="S98" s="19" t="s">
        <v>20</v>
      </c>
      <c r="T98" s="19" t="s">
        <v>1471</v>
      </c>
    </row>
    <row r="99" spans="1:20">
      <c r="A99" s="20">
        <v>202603327992192</v>
      </c>
      <c r="B99" s="19" t="s">
        <v>20</v>
      </c>
      <c r="C99" s="19" t="s">
        <v>21</v>
      </c>
      <c r="D99" s="19" t="s">
        <v>2098</v>
      </c>
      <c r="E99" s="21">
        <v>46204</v>
      </c>
      <c r="F99" s="21">
        <v>46568</v>
      </c>
      <c r="G99" s="21"/>
      <c r="H99" s="21">
        <v>46204</v>
      </c>
      <c r="I99" s="21">
        <v>46568</v>
      </c>
      <c r="J99" s="19" t="s">
        <v>2099</v>
      </c>
      <c r="L99" s="19">
        <v>26.258683999999999</v>
      </c>
      <c r="M99" s="19">
        <v>26.258683999999999</v>
      </c>
      <c r="N99" s="19" t="s">
        <v>1467</v>
      </c>
      <c r="O99" s="20">
        <v>1</v>
      </c>
      <c r="S99" s="19" t="s">
        <v>20</v>
      </c>
      <c r="T99" s="19" t="s">
        <v>1471</v>
      </c>
    </row>
    <row r="100" spans="1:20">
      <c r="A100" s="20">
        <v>202603327992404</v>
      </c>
      <c r="B100" s="19" t="s">
        <v>20</v>
      </c>
      <c r="C100" s="19" t="s">
        <v>21</v>
      </c>
      <c r="D100" s="19" t="s">
        <v>20</v>
      </c>
      <c r="E100" s="21">
        <v>46204</v>
      </c>
      <c r="F100" s="21">
        <v>46568</v>
      </c>
      <c r="G100" s="21"/>
      <c r="H100" s="21">
        <v>46204</v>
      </c>
      <c r="I100" s="21">
        <v>46568</v>
      </c>
      <c r="J100" s="19" t="s">
        <v>2069</v>
      </c>
      <c r="L100" s="19">
        <v>66.261260500000006</v>
      </c>
      <c r="M100" s="19">
        <v>66.261260500000006</v>
      </c>
      <c r="N100" s="19" t="s">
        <v>1475</v>
      </c>
      <c r="O100" s="20">
        <v>2</v>
      </c>
      <c r="S100" s="19" t="s">
        <v>20</v>
      </c>
      <c r="T100" s="19" t="s">
        <v>1471</v>
      </c>
    </row>
    <row r="101" spans="1:20">
      <c r="A101" s="20">
        <v>202603327992439</v>
      </c>
      <c r="B101" s="19" t="s">
        <v>20</v>
      </c>
      <c r="C101" s="19" t="s">
        <v>21</v>
      </c>
      <c r="D101" s="19" t="s">
        <v>2100</v>
      </c>
      <c r="E101" s="21">
        <v>46204</v>
      </c>
      <c r="F101" s="21">
        <v>46568</v>
      </c>
      <c r="G101" s="21"/>
      <c r="H101" s="21">
        <v>46204</v>
      </c>
      <c r="I101" s="21">
        <v>46568</v>
      </c>
      <c r="J101" s="19" t="s">
        <v>2101</v>
      </c>
      <c r="L101" s="19">
        <v>59.635123499999999</v>
      </c>
      <c r="M101" s="19">
        <v>59.635123499999999</v>
      </c>
      <c r="N101" s="19" t="s">
        <v>1467</v>
      </c>
      <c r="O101" s="20">
        <v>2</v>
      </c>
      <c r="S101" s="19" t="s">
        <v>20</v>
      </c>
      <c r="T101" s="19" t="s">
        <v>1471</v>
      </c>
    </row>
    <row r="102" spans="1:20">
      <c r="A102" s="20">
        <v>202603327993084</v>
      </c>
      <c r="B102" s="19" t="s">
        <v>20</v>
      </c>
      <c r="C102" s="19" t="s">
        <v>21</v>
      </c>
      <c r="D102" s="19" t="s">
        <v>20</v>
      </c>
      <c r="E102" s="21">
        <v>46204</v>
      </c>
      <c r="F102" s="21">
        <v>46568</v>
      </c>
      <c r="G102" s="21"/>
      <c r="H102" s="21">
        <v>46204</v>
      </c>
      <c r="I102" s="21">
        <v>46568</v>
      </c>
      <c r="J102" s="19" t="s">
        <v>2085</v>
      </c>
      <c r="L102" s="19">
        <v>24.620673499999999</v>
      </c>
      <c r="M102" s="19">
        <v>24.620673499999999</v>
      </c>
      <c r="N102" s="19" t="s">
        <v>1475</v>
      </c>
      <c r="O102" s="20">
        <v>1</v>
      </c>
      <c r="S102" s="19" t="s">
        <v>20</v>
      </c>
      <c r="T102" s="19" t="s">
        <v>1471</v>
      </c>
    </row>
    <row r="103" spans="1:20">
      <c r="A103" s="20">
        <v>202603327994625</v>
      </c>
      <c r="B103" s="19" t="s">
        <v>20</v>
      </c>
      <c r="C103" s="19" t="s">
        <v>21</v>
      </c>
      <c r="D103" s="19" t="s">
        <v>20</v>
      </c>
      <c r="E103" s="21">
        <v>46204</v>
      </c>
      <c r="F103" s="21">
        <v>46568</v>
      </c>
      <c r="G103" s="21"/>
      <c r="H103" s="21">
        <v>46204</v>
      </c>
      <c r="I103" s="21">
        <v>46568</v>
      </c>
      <c r="J103" s="19" t="s">
        <v>2102</v>
      </c>
      <c r="L103" s="19">
        <v>0</v>
      </c>
      <c r="M103" s="19">
        <v>0</v>
      </c>
      <c r="N103" s="19" t="s">
        <v>2394</v>
      </c>
      <c r="O103" s="20">
        <v>2</v>
      </c>
      <c r="S103" s="19" t="s">
        <v>20</v>
      </c>
      <c r="T103" s="19" t="s">
        <v>1471</v>
      </c>
    </row>
    <row r="104" spans="1:20">
      <c r="A104" s="20">
        <v>202603327994625</v>
      </c>
      <c r="B104" s="19" t="s">
        <v>20</v>
      </c>
      <c r="C104" s="19" t="s">
        <v>21</v>
      </c>
      <c r="D104" s="19" t="s">
        <v>20</v>
      </c>
      <c r="E104" s="21">
        <v>46204</v>
      </c>
      <c r="F104" s="21">
        <v>46568</v>
      </c>
      <c r="G104" s="21"/>
      <c r="H104" s="21">
        <v>46204</v>
      </c>
      <c r="I104" s="21">
        <v>46568</v>
      </c>
      <c r="J104" s="19" t="s">
        <v>2102</v>
      </c>
      <c r="L104" s="19">
        <v>52.517367999999998</v>
      </c>
      <c r="M104" s="19">
        <v>52.517367999999998</v>
      </c>
      <c r="N104" s="19" t="s">
        <v>1475</v>
      </c>
      <c r="O104" s="20">
        <v>2</v>
      </c>
      <c r="S104" s="19" t="s">
        <v>20</v>
      </c>
      <c r="T104" s="19" t="s">
        <v>1471</v>
      </c>
    </row>
    <row r="105" spans="1:20">
      <c r="A105" s="20">
        <v>202603327996640</v>
      </c>
      <c r="B105" s="19" t="s">
        <v>20</v>
      </c>
      <c r="C105" s="19" t="s">
        <v>21</v>
      </c>
      <c r="D105" s="19" t="s">
        <v>20</v>
      </c>
      <c r="E105" s="21">
        <v>46204</v>
      </c>
      <c r="F105" s="21">
        <v>46568</v>
      </c>
      <c r="G105" s="21"/>
      <c r="H105" s="21">
        <v>46204</v>
      </c>
      <c r="I105" s="21">
        <v>46568</v>
      </c>
      <c r="J105" s="19" t="s">
        <v>2103</v>
      </c>
      <c r="L105" s="19">
        <v>23.968290750000001</v>
      </c>
      <c r="M105" s="19">
        <v>23.968290750000001</v>
      </c>
      <c r="N105" s="19" t="s">
        <v>1475</v>
      </c>
      <c r="O105" s="20">
        <v>1</v>
      </c>
      <c r="S105" s="19" t="s">
        <v>20</v>
      </c>
      <c r="T105" s="19" t="s">
        <v>1471</v>
      </c>
    </row>
    <row r="106" spans="1:20">
      <c r="A106" s="20">
        <v>202603327997147</v>
      </c>
      <c r="B106" s="19" t="s">
        <v>20</v>
      </c>
      <c r="C106" s="19" t="s">
        <v>21</v>
      </c>
      <c r="D106" s="19" t="s">
        <v>20</v>
      </c>
      <c r="E106" s="21">
        <v>46204</v>
      </c>
      <c r="F106" s="21">
        <v>46568</v>
      </c>
      <c r="G106" s="21"/>
      <c r="H106" s="21">
        <v>46204</v>
      </c>
      <c r="I106" s="21">
        <v>46568</v>
      </c>
      <c r="J106" s="19" t="s">
        <v>2064</v>
      </c>
      <c r="L106" s="19">
        <v>33.130630250000003</v>
      </c>
      <c r="M106" s="19">
        <v>33.130630250000003</v>
      </c>
      <c r="N106" s="19" t="s">
        <v>1475</v>
      </c>
      <c r="O106" s="20">
        <v>1</v>
      </c>
      <c r="S106" s="19" t="s">
        <v>20</v>
      </c>
      <c r="T106" s="19" t="s">
        <v>1471</v>
      </c>
    </row>
    <row r="107" spans="1:20">
      <c r="A107" s="20">
        <v>202603327997695</v>
      </c>
      <c r="B107" s="19" t="s">
        <v>20</v>
      </c>
      <c r="C107" s="19" t="s">
        <v>21</v>
      </c>
      <c r="D107" s="19" t="s">
        <v>20</v>
      </c>
      <c r="E107" s="21">
        <v>46204</v>
      </c>
      <c r="F107" s="21">
        <v>46568</v>
      </c>
      <c r="G107" s="21"/>
      <c r="H107" s="21">
        <v>46204</v>
      </c>
      <c r="I107" s="21">
        <v>46568</v>
      </c>
      <c r="J107" s="19" t="s">
        <v>2093</v>
      </c>
      <c r="L107" s="19">
        <v>0</v>
      </c>
      <c r="M107" s="19">
        <v>0</v>
      </c>
      <c r="N107" s="19" t="s">
        <v>2394</v>
      </c>
      <c r="O107" s="20">
        <v>2</v>
      </c>
      <c r="S107" s="19" t="s">
        <v>20</v>
      </c>
      <c r="T107" s="19" t="s">
        <v>1471</v>
      </c>
    </row>
    <row r="108" spans="1:20">
      <c r="A108" s="20">
        <v>202603327997695</v>
      </c>
      <c r="B108" s="19" t="s">
        <v>20</v>
      </c>
      <c r="C108" s="19" t="s">
        <v>21</v>
      </c>
      <c r="D108" s="19" t="s">
        <v>20</v>
      </c>
      <c r="E108" s="21">
        <v>46204</v>
      </c>
      <c r="F108" s="21">
        <v>46568</v>
      </c>
      <c r="G108" s="21"/>
      <c r="H108" s="21">
        <v>46204</v>
      </c>
      <c r="I108" s="21">
        <v>46568</v>
      </c>
      <c r="J108" s="19" t="s">
        <v>2093</v>
      </c>
      <c r="L108" s="19">
        <v>57.552068499999997</v>
      </c>
      <c r="M108" s="19">
        <v>57.552068499999997</v>
      </c>
      <c r="N108" s="19" t="s">
        <v>1475</v>
      </c>
      <c r="O108" s="20">
        <v>2</v>
      </c>
      <c r="S108" s="19" t="s">
        <v>20</v>
      </c>
      <c r="T108" s="19" t="s">
        <v>1471</v>
      </c>
    </row>
    <row r="109" spans="1:20">
      <c r="A109" s="20">
        <v>202603327997821</v>
      </c>
      <c r="B109" s="19" t="s">
        <v>20</v>
      </c>
      <c r="C109" s="19" t="s">
        <v>21</v>
      </c>
      <c r="D109" s="19" t="s">
        <v>20</v>
      </c>
      <c r="E109" s="21">
        <v>46204</v>
      </c>
      <c r="F109" s="21">
        <v>46568</v>
      </c>
      <c r="G109" s="21"/>
      <c r="H109" s="21">
        <v>46204</v>
      </c>
      <c r="I109" s="21">
        <v>46568</v>
      </c>
      <c r="J109" s="19" t="s">
        <v>2073</v>
      </c>
      <c r="L109" s="19">
        <v>0</v>
      </c>
      <c r="M109" s="19">
        <v>0</v>
      </c>
      <c r="N109" s="19" t="s">
        <v>2394</v>
      </c>
      <c r="O109" s="20">
        <v>5</v>
      </c>
      <c r="S109" s="19" t="s">
        <v>20</v>
      </c>
      <c r="T109" s="19" t="s">
        <v>1471</v>
      </c>
    </row>
    <row r="110" spans="1:20">
      <c r="A110" s="20">
        <v>202603327997821</v>
      </c>
      <c r="B110" s="19" t="s">
        <v>20</v>
      </c>
      <c r="C110" s="19" t="s">
        <v>21</v>
      </c>
      <c r="D110" s="19" t="s">
        <v>20</v>
      </c>
      <c r="E110" s="21">
        <v>46204</v>
      </c>
      <c r="F110" s="21">
        <v>46568</v>
      </c>
      <c r="G110" s="21"/>
      <c r="H110" s="21">
        <v>46204</v>
      </c>
      <c r="I110" s="21">
        <v>46568</v>
      </c>
      <c r="J110" s="19" t="s">
        <v>2073</v>
      </c>
      <c r="L110" s="19">
        <v>131.29342</v>
      </c>
      <c r="M110" s="19">
        <v>131.29342</v>
      </c>
      <c r="N110" s="19" t="s">
        <v>1475</v>
      </c>
      <c r="O110" s="20">
        <v>5</v>
      </c>
      <c r="S110" s="19" t="s">
        <v>20</v>
      </c>
      <c r="T110" s="19" t="s">
        <v>1471</v>
      </c>
    </row>
    <row r="111" spans="1:20">
      <c r="A111" s="20">
        <v>202603327998086</v>
      </c>
      <c r="B111" s="19" t="s">
        <v>20</v>
      </c>
      <c r="C111" s="19" t="s">
        <v>21</v>
      </c>
      <c r="D111" s="19" t="s">
        <v>20</v>
      </c>
      <c r="E111" s="21">
        <v>46204</v>
      </c>
      <c r="F111" s="21">
        <v>46568</v>
      </c>
      <c r="G111" s="21"/>
      <c r="H111" s="21">
        <v>46204</v>
      </c>
      <c r="I111" s="21">
        <v>46568</v>
      </c>
      <c r="J111" s="19" t="s">
        <v>2065</v>
      </c>
      <c r="L111" s="19">
        <v>0</v>
      </c>
      <c r="M111" s="19">
        <v>0</v>
      </c>
      <c r="N111" s="19" t="s">
        <v>2394</v>
      </c>
      <c r="O111" s="20">
        <v>3</v>
      </c>
      <c r="S111" s="19" t="s">
        <v>20</v>
      </c>
      <c r="T111" s="19" t="s">
        <v>1471</v>
      </c>
    </row>
    <row r="112" spans="1:20">
      <c r="A112" s="20">
        <v>202603327998086</v>
      </c>
      <c r="B112" s="19" t="s">
        <v>20</v>
      </c>
      <c r="C112" s="19" t="s">
        <v>21</v>
      </c>
      <c r="D112" s="19" t="s">
        <v>20</v>
      </c>
      <c r="E112" s="21">
        <v>46204</v>
      </c>
      <c r="F112" s="21">
        <v>46568</v>
      </c>
      <c r="G112" s="21"/>
      <c r="H112" s="21">
        <v>46204</v>
      </c>
      <c r="I112" s="21">
        <v>46568</v>
      </c>
      <c r="J112" s="19" t="s">
        <v>2065</v>
      </c>
      <c r="L112" s="19">
        <v>78.776052000000007</v>
      </c>
      <c r="M112" s="19">
        <v>78.776052000000007</v>
      </c>
      <c r="N112" s="19" t="s">
        <v>1475</v>
      </c>
      <c r="O112" s="20">
        <v>3</v>
      </c>
      <c r="S112" s="19" t="s">
        <v>20</v>
      </c>
      <c r="T112" s="19" t="s">
        <v>1471</v>
      </c>
    </row>
    <row r="113" spans="1:20">
      <c r="A113" s="20">
        <v>202603327998345</v>
      </c>
      <c r="B113" s="19" t="s">
        <v>20</v>
      </c>
      <c r="C113" s="19" t="s">
        <v>21</v>
      </c>
      <c r="D113" s="19" t="s">
        <v>20</v>
      </c>
      <c r="E113" s="21">
        <v>46204</v>
      </c>
      <c r="F113" s="21">
        <v>46568</v>
      </c>
      <c r="G113" s="21"/>
      <c r="H113" s="21">
        <v>46204</v>
      </c>
      <c r="I113" s="21">
        <v>46568</v>
      </c>
      <c r="J113" s="19" t="s">
        <v>2095</v>
      </c>
      <c r="L113" s="19">
        <v>0</v>
      </c>
      <c r="M113" s="19">
        <v>0</v>
      </c>
      <c r="N113" s="19" t="s">
        <v>2394</v>
      </c>
      <c r="O113" s="20">
        <v>3</v>
      </c>
      <c r="S113" s="19" t="s">
        <v>20</v>
      </c>
      <c r="T113" s="19" t="s">
        <v>1471</v>
      </c>
    </row>
    <row r="114" spans="1:20">
      <c r="A114" s="20">
        <v>202603327998345</v>
      </c>
      <c r="B114" s="19" t="s">
        <v>20</v>
      </c>
      <c r="C114" s="19" t="s">
        <v>21</v>
      </c>
      <c r="D114" s="19" t="s">
        <v>20</v>
      </c>
      <c r="E114" s="21">
        <v>46204</v>
      </c>
      <c r="F114" s="21">
        <v>46568</v>
      </c>
      <c r="G114" s="21"/>
      <c r="H114" s="21">
        <v>46204</v>
      </c>
      <c r="I114" s="21">
        <v>46568</v>
      </c>
      <c r="J114" s="19" t="s">
        <v>2095</v>
      </c>
      <c r="L114" s="19">
        <v>99.391890750000002</v>
      </c>
      <c r="M114" s="19">
        <v>99.391890750000002</v>
      </c>
      <c r="N114" s="19" t="s">
        <v>1475</v>
      </c>
      <c r="O114" s="20">
        <v>3</v>
      </c>
      <c r="S114" s="19" t="s">
        <v>20</v>
      </c>
      <c r="T114" s="19" t="s">
        <v>1471</v>
      </c>
    </row>
    <row r="115" spans="1:20">
      <c r="A115" s="20">
        <v>202603327998368</v>
      </c>
      <c r="B115" s="19" t="s">
        <v>20</v>
      </c>
      <c r="C115" s="19" t="s">
        <v>21</v>
      </c>
      <c r="D115" s="19" t="s">
        <v>20</v>
      </c>
      <c r="E115" s="21">
        <v>46204</v>
      </c>
      <c r="F115" s="21">
        <v>46568</v>
      </c>
      <c r="G115" s="21"/>
      <c r="H115" s="21">
        <v>46204</v>
      </c>
      <c r="I115" s="21">
        <v>46568</v>
      </c>
      <c r="J115" s="19" t="s">
        <v>2104</v>
      </c>
      <c r="L115" s="19">
        <v>33.130630250000003</v>
      </c>
      <c r="M115" s="19">
        <v>33.130630250000003</v>
      </c>
      <c r="N115" s="19" t="s">
        <v>1475</v>
      </c>
      <c r="O115" s="20">
        <v>1</v>
      </c>
      <c r="S115" s="19" t="s">
        <v>20</v>
      </c>
      <c r="T115" s="19" t="s">
        <v>1471</v>
      </c>
    </row>
    <row r="116" spans="1:20">
      <c r="A116" s="20">
        <v>202603327998658</v>
      </c>
      <c r="B116" s="19" t="s">
        <v>20</v>
      </c>
      <c r="C116" s="19" t="s">
        <v>21</v>
      </c>
      <c r="D116" s="19" t="s">
        <v>20</v>
      </c>
      <c r="E116" s="21">
        <v>46204</v>
      </c>
      <c r="F116" s="21">
        <v>46568</v>
      </c>
      <c r="G116" s="21"/>
      <c r="H116" s="21">
        <v>46204</v>
      </c>
      <c r="I116" s="21">
        <v>46568</v>
      </c>
      <c r="J116" s="19" t="s">
        <v>2104</v>
      </c>
      <c r="L116" s="19">
        <v>0</v>
      </c>
      <c r="M116" s="19">
        <v>0</v>
      </c>
      <c r="N116" s="19" t="s">
        <v>2394</v>
      </c>
      <c r="O116" s="20">
        <v>2</v>
      </c>
      <c r="S116" s="19" t="s">
        <v>20</v>
      </c>
      <c r="T116" s="19" t="s">
        <v>1471</v>
      </c>
    </row>
    <row r="117" spans="1:20">
      <c r="A117" s="20">
        <v>202603327998658</v>
      </c>
      <c r="B117" s="19" t="s">
        <v>20</v>
      </c>
      <c r="C117" s="19" t="s">
        <v>21</v>
      </c>
      <c r="D117" s="19" t="s">
        <v>20</v>
      </c>
      <c r="E117" s="21">
        <v>46204</v>
      </c>
      <c r="F117" s="21">
        <v>46568</v>
      </c>
      <c r="G117" s="21"/>
      <c r="H117" s="21">
        <v>46204</v>
      </c>
      <c r="I117" s="21">
        <v>46568</v>
      </c>
      <c r="J117" s="19" t="s">
        <v>2104</v>
      </c>
      <c r="L117" s="19">
        <v>66.261260500000006</v>
      </c>
      <c r="M117" s="19">
        <v>66.261260500000006</v>
      </c>
      <c r="N117" s="19" t="s">
        <v>1475</v>
      </c>
      <c r="O117" s="20">
        <v>2</v>
      </c>
      <c r="S117" s="19" t="s">
        <v>20</v>
      </c>
      <c r="T117" s="19" t="s">
        <v>1471</v>
      </c>
    </row>
    <row r="118" spans="1:20">
      <c r="A118" s="20">
        <v>202603327999157</v>
      </c>
      <c r="B118" s="19" t="s">
        <v>20</v>
      </c>
      <c r="C118" s="19" t="s">
        <v>21</v>
      </c>
      <c r="D118" s="19" t="s">
        <v>20</v>
      </c>
      <c r="E118" s="21">
        <v>46204</v>
      </c>
      <c r="F118" s="21">
        <v>46568</v>
      </c>
      <c r="G118" s="21"/>
      <c r="H118" s="21">
        <v>46204</v>
      </c>
      <c r="I118" s="21">
        <v>46568</v>
      </c>
      <c r="J118" s="19" t="s">
        <v>2064</v>
      </c>
      <c r="L118" s="19">
        <v>33.130630250000003</v>
      </c>
      <c r="M118" s="19">
        <v>33.130630250000003</v>
      </c>
      <c r="N118" s="19" t="s">
        <v>1475</v>
      </c>
      <c r="O118" s="20">
        <v>1</v>
      </c>
      <c r="S118" s="19" t="s">
        <v>20</v>
      </c>
      <c r="T118" s="19" t="s">
        <v>1471</v>
      </c>
    </row>
    <row r="119" spans="1:20">
      <c r="A119" s="20">
        <v>202603327999301</v>
      </c>
      <c r="B119" s="19" t="s">
        <v>20</v>
      </c>
      <c r="C119" s="19" t="s">
        <v>21</v>
      </c>
      <c r="D119" s="19" t="s">
        <v>20</v>
      </c>
      <c r="E119" s="21">
        <v>46204</v>
      </c>
      <c r="F119" s="21">
        <v>46568</v>
      </c>
      <c r="G119" s="21"/>
      <c r="H119" s="21">
        <v>46204</v>
      </c>
      <c r="I119" s="21">
        <v>46568</v>
      </c>
      <c r="J119" s="19" t="s">
        <v>2069</v>
      </c>
      <c r="L119" s="19">
        <v>0</v>
      </c>
      <c r="M119" s="19">
        <v>0</v>
      </c>
      <c r="N119" s="19" t="s">
        <v>2394</v>
      </c>
      <c r="O119" s="20">
        <v>5</v>
      </c>
      <c r="S119" s="19" t="s">
        <v>20</v>
      </c>
      <c r="T119" s="19" t="s">
        <v>1471</v>
      </c>
    </row>
    <row r="120" spans="1:20">
      <c r="A120" s="20">
        <v>202603327999301</v>
      </c>
      <c r="B120" s="19" t="s">
        <v>20</v>
      </c>
      <c r="C120" s="19" t="s">
        <v>21</v>
      </c>
      <c r="D120" s="19" t="s">
        <v>20</v>
      </c>
      <c r="E120" s="21">
        <v>46204</v>
      </c>
      <c r="F120" s="21">
        <v>46568</v>
      </c>
      <c r="G120" s="21"/>
      <c r="H120" s="21">
        <v>46204</v>
      </c>
      <c r="I120" s="21">
        <v>46568</v>
      </c>
      <c r="J120" s="19" t="s">
        <v>2069</v>
      </c>
      <c r="L120" s="19">
        <v>165.65315125000001</v>
      </c>
      <c r="M120" s="19">
        <v>165.65315125000001</v>
      </c>
      <c r="N120" s="19" t="s">
        <v>1475</v>
      </c>
      <c r="O120" s="20">
        <v>5</v>
      </c>
      <c r="S120" s="19" t="s">
        <v>20</v>
      </c>
      <c r="T120" s="19" t="s">
        <v>1471</v>
      </c>
    </row>
    <row r="121" spans="1:20">
      <c r="A121" s="20">
        <v>202603327999729</v>
      </c>
      <c r="B121" s="19" t="s">
        <v>20</v>
      </c>
      <c r="C121" s="19" t="s">
        <v>21</v>
      </c>
      <c r="D121" s="19" t="s">
        <v>20</v>
      </c>
      <c r="E121" s="21">
        <v>46204</v>
      </c>
      <c r="F121" s="21">
        <v>46568</v>
      </c>
      <c r="G121" s="21"/>
      <c r="H121" s="21">
        <v>46204</v>
      </c>
      <c r="I121" s="21">
        <v>46568</v>
      </c>
      <c r="J121" s="19" t="s">
        <v>2068</v>
      </c>
      <c r="L121" s="19">
        <v>0</v>
      </c>
      <c r="M121" s="19">
        <v>0</v>
      </c>
      <c r="N121" s="19" t="s">
        <v>2394</v>
      </c>
      <c r="O121" s="20">
        <v>5</v>
      </c>
      <c r="S121" s="19" t="s">
        <v>20</v>
      </c>
      <c r="T121" s="19" t="s">
        <v>1471</v>
      </c>
    </row>
    <row r="122" spans="1:20">
      <c r="A122" s="20">
        <v>202603327999729</v>
      </c>
      <c r="B122" s="19" t="s">
        <v>20</v>
      </c>
      <c r="C122" s="19" t="s">
        <v>21</v>
      </c>
      <c r="D122" s="19" t="s">
        <v>20</v>
      </c>
      <c r="E122" s="21">
        <v>46204</v>
      </c>
      <c r="F122" s="21">
        <v>46568</v>
      </c>
      <c r="G122" s="21"/>
      <c r="H122" s="21">
        <v>46204</v>
      </c>
      <c r="I122" s="21">
        <v>46568</v>
      </c>
      <c r="J122" s="19" t="s">
        <v>2068</v>
      </c>
      <c r="L122" s="19">
        <v>131.29342</v>
      </c>
      <c r="M122" s="19">
        <v>131.29342</v>
      </c>
      <c r="N122" s="19" t="s">
        <v>1475</v>
      </c>
      <c r="O122" s="20">
        <v>5</v>
      </c>
      <c r="S122" s="19" t="s">
        <v>20</v>
      </c>
      <c r="T122" s="19" t="s">
        <v>1471</v>
      </c>
    </row>
    <row r="123" spans="1:20">
      <c r="A123" s="20">
        <v>202603328000281</v>
      </c>
      <c r="B123" s="19" t="s">
        <v>20</v>
      </c>
      <c r="C123" s="19" t="s">
        <v>21</v>
      </c>
      <c r="D123" s="19" t="s">
        <v>20</v>
      </c>
      <c r="E123" s="21">
        <v>46204</v>
      </c>
      <c r="F123" s="21">
        <v>46568</v>
      </c>
      <c r="G123" s="21"/>
      <c r="H123" s="21">
        <v>46204</v>
      </c>
      <c r="I123" s="21">
        <v>46568</v>
      </c>
      <c r="J123" s="19" t="s">
        <v>2093</v>
      </c>
      <c r="L123" s="19">
        <v>28.776034249999999</v>
      </c>
      <c r="M123" s="19">
        <v>28.776034249999999</v>
      </c>
      <c r="N123" s="19" t="s">
        <v>1475</v>
      </c>
      <c r="O123" s="20">
        <v>1</v>
      </c>
      <c r="S123" s="19" t="s">
        <v>20</v>
      </c>
      <c r="T123" s="19" t="s">
        <v>1471</v>
      </c>
    </row>
    <row r="124" spans="1:20">
      <c r="A124" s="20">
        <v>202603328000602</v>
      </c>
      <c r="B124" s="19" t="s">
        <v>20</v>
      </c>
      <c r="C124" s="19" t="s">
        <v>21</v>
      </c>
      <c r="D124" s="19" t="s">
        <v>20</v>
      </c>
      <c r="E124" s="21">
        <v>46204</v>
      </c>
      <c r="F124" s="21">
        <v>46568</v>
      </c>
      <c r="G124" s="21"/>
      <c r="H124" s="21">
        <v>46204</v>
      </c>
      <c r="I124" s="21">
        <v>46568</v>
      </c>
      <c r="J124" s="19" t="s">
        <v>2105</v>
      </c>
      <c r="L124" s="19">
        <v>26.258683999999999</v>
      </c>
      <c r="M124" s="19">
        <v>26.258683999999999</v>
      </c>
      <c r="N124" s="19" t="s">
        <v>1475</v>
      </c>
      <c r="O124" s="20">
        <v>1</v>
      </c>
      <c r="S124" s="19" t="s">
        <v>20</v>
      </c>
      <c r="T124" s="19" t="s">
        <v>1471</v>
      </c>
    </row>
    <row r="125" spans="1:20">
      <c r="A125" s="20">
        <v>202603328001292</v>
      </c>
      <c r="B125" s="19" t="s">
        <v>20</v>
      </c>
      <c r="C125" s="19" t="s">
        <v>21</v>
      </c>
      <c r="D125" s="19" t="s">
        <v>20</v>
      </c>
      <c r="E125" s="21">
        <v>46204</v>
      </c>
      <c r="F125" s="21">
        <v>46568</v>
      </c>
      <c r="G125" s="21"/>
      <c r="H125" s="21">
        <v>46204</v>
      </c>
      <c r="I125" s="21">
        <v>46568</v>
      </c>
      <c r="J125" s="19" t="s">
        <v>2106</v>
      </c>
      <c r="L125" s="19">
        <v>0</v>
      </c>
      <c r="M125" s="19">
        <v>0</v>
      </c>
      <c r="N125" s="19" t="s">
        <v>2394</v>
      </c>
      <c r="O125" s="20">
        <v>3</v>
      </c>
      <c r="S125" s="19" t="s">
        <v>20</v>
      </c>
      <c r="T125" s="19" t="s">
        <v>1471</v>
      </c>
    </row>
    <row r="126" spans="1:20">
      <c r="A126" s="20">
        <v>202603328001292</v>
      </c>
      <c r="B126" s="19" t="s">
        <v>20</v>
      </c>
      <c r="C126" s="19" t="s">
        <v>21</v>
      </c>
      <c r="D126" s="19" t="s">
        <v>20</v>
      </c>
      <c r="E126" s="21">
        <v>46204</v>
      </c>
      <c r="F126" s="21">
        <v>46568</v>
      </c>
      <c r="G126" s="21"/>
      <c r="H126" s="21">
        <v>46204</v>
      </c>
      <c r="I126" s="21">
        <v>46568</v>
      </c>
      <c r="J126" s="19" t="s">
        <v>2106</v>
      </c>
      <c r="L126" s="19">
        <v>99.391890750000002</v>
      </c>
      <c r="M126" s="19">
        <v>99.391890750000002</v>
      </c>
      <c r="N126" s="19" t="s">
        <v>1475</v>
      </c>
      <c r="O126" s="20">
        <v>3</v>
      </c>
      <c r="S126" s="19" t="s">
        <v>20</v>
      </c>
      <c r="T126" s="19" t="s">
        <v>1471</v>
      </c>
    </row>
    <row r="127" spans="1:20">
      <c r="A127" s="20">
        <v>202603328001485</v>
      </c>
      <c r="B127" s="19" t="s">
        <v>20</v>
      </c>
      <c r="C127" s="19" t="s">
        <v>21</v>
      </c>
      <c r="D127" s="19" t="s">
        <v>20</v>
      </c>
      <c r="E127" s="21">
        <v>46204</v>
      </c>
      <c r="F127" s="21">
        <v>46568</v>
      </c>
      <c r="G127" s="21"/>
      <c r="H127" s="21">
        <v>46204</v>
      </c>
      <c r="I127" s="21">
        <v>46568</v>
      </c>
      <c r="J127" s="19" t="s">
        <v>2086</v>
      </c>
      <c r="L127" s="19">
        <v>0</v>
      </c>
      <c r="M127" s="19">
        <v>0</v>
      </c>
      <c r="N127" s="19" t="s">
        <v>2394</v>
      </c>
      <c r="O127" s="20">
        <v>4</v>
      </c>
      <c r="S127" s="19" t="s">
        <v>20</v>
      </c>
      <c r="T127" s="19" t="s">
        <v>1471</v>
      </c>
    </row>
    <row r="128" spans="1:20">
      <c r="A128" s="20">
        <v>202603328001485</v>
      </c>
      <c r="B128" s="19" t="s">
        <v>20</v>
      </c>
      <c r="C128" s="19" t="s">
        <v>21</v>
      </c>
      <c r="D128" s="19" t="s">
        <v>20</v>
      </c>
      <c r="E128" s="21">
        <v>46204</v>
      </c>
      <c r="F128" s="21">
        <v>46568</v>
      </c>
      <c r="G128" s="21"/>
      <c r="H128" s="21">
        <v>46204</v>
      </c>
      <c r="I128" s="21">
        <v>46568</v>
      </c>
      <c r="J128" s="19" t="s">
        <v>2086</v>
      </c>
      <c r="L128" s="19">
        <v>132.52252100000001</v>
      </c>
      <c r="M128" s="19">
        <v>132.52252100000001</v>
      </c>
      <c r="N128" s="19" t="s">
        <v>1475</v>
      </c>
      <c r="O128" s="20">
        <v>4</v>
      </c>
      <c r="S128" s="19" t="s">
        <v>20</v>
      </c>
      <c r="T128" s="19" t="s">
        <v>1471</v>
      </c>
    </row>
    <row r="129" spans="1:20">
      <c r="A129" s="20">
        <v>202603328001577</v>
      </c>
      <c r="B129" s="19" t="s">
        <v>20</v>
      </c>
      <c r="C129" s="19" t="s">
        <v>21</v>
      </c>
      <c r="D129" s="19" t="s">
        <v>20</v>
      </c>
      <c r="E129" s="21">
        <v>46204</v>
      </c>
      <c r="F129" s="21">
        <v>46568</v>
      </c>
      <c r="G129" s="21"/>
      <c r="H129" s="21">
        <v>46204</v>
      </c>
      <c r="I129" s="21">
        <v>46568</v>
      </c>
      <c r="J129" s="19" t="s">
        <v>2064</v>
      </c>
      <c r="L129" s="19">
        <v>99.391890750000002</v>
      </c>
      <c r="M129" s="19">
        <v>99.391890750000002</v>
      </c>
      <c r="N129" s="19" t="s">
        <v>1475</v>
      </c>
      <c r="O129" s="20">
        <v>3</v>
      </c>
      <c r="S129" s="19" t="s">
        <v>20</v>
      </c>
      <c r="T129" s="19" t="s">
        <v>1471</v>
      </c>
    </row>
    <row r="130" spans="1:20">
      <c r="A130" s="20">
        <v>202603328002580</v>
      </c>
      <c r="B130" s="19" t="s">
        <v>20</v>
      </c>
      <c r="C130" s="19" t="s">
        <v>21</v>
      </c>
      <c r="D130" s="19" t="s">
        <v>20</v>
      </c>
      <c r="E130" s="21">
        <v>46204</v>
      </c>
      <c r="F130" s="21">
        <v>46568</v>
      </c>
      <c r="G130" s="21"/>
      <c r="H130" s="21">
        <v>46204</v>
      </c>
      <c r="I130" s="21">
        <v>46568</v>
      </c>
      <c r="J130" s="19" t="s">
        <v>2107</v>
      </c>
      <c r="L130" s="19">
        <v>0</v>
      </c>
      <c r="M130" s="19">
        <v>0</v>
      </c>
      <c r="N130" s="19" t="s">
        <v>2394</v>
      </c>
      <c r="O130" s="20">
        <v>3</v>
      </c>
      <c r="S130" s="19" t="s">
        <v>20</v>
      </c>
      <c r="T130" s="19" t="s">
        <v>1471</v>
      </c>
    </row>
    <row r="131" spans="1:20">
      <c r="A131" s="20">
        <v>202603328002580</v>
      </c>
      <c r="B131" s="19" t="s">
        <v>20</v>
      </c>
      <c r="C131" s="19" t="s">
        <v>21</v>
      </c>
      <c r="D131" s="19" t="s">
        <v>2108</v>
      </c>
      <c r="E131" s="21">
        <v>46204</v>
      </c>
      <c r="F131" s="21">
        <v>46568</v>
      </c>
      <c r="G131" s="21"/>
      <c r="H131" s="21">
        <v>46204</v>
      </c>
      <c r="I131" s="21">
        <v>46568</v>
      </c>
      <c r="J131" s="19" t="s">
        <v>2107</v>
      </c>
      <c r="L131" s="19">
        <v>89.452685250000002</v>
      </c>
      <c r="M131" s="19">
        <v>89.452685250000002</v>
      </c>
      <c r="N131" s="19" t="s">
        <v>1467</v>
      </c>
      <c r="O131" s="20">
        <v>3</v>
      </c>
      <c r="S131" s="19" t="s">
        <v>20</v>
      </c>
      <c r="T131" s="19" t="s">
        <v>1471</v>
      </c>
    </row>
    <row r="132" spans="1:20">
      <c r="A132" s="20">
        <v>202603328002697</v>
      </c>
      <c r="B132" s="19" t="s">
        <v>20</v>
      </c>
      <c r="C132" s="19" t="s">
        <v>21</v>
      </c>
      <c r="D132" s="19" t="s">
        <v>20</v>
      </c>
      <c r="E132" s="21">
        <v>46204</v>
      </c>
      <c r="F132" s="21">
        <v>46568</v>
      </c>
      <c r="G132" s="21"/>
      <c r="H132" s="21">
        <v>46204</v>
      </c>
      <c r="I132" s="21">
        <v>46568</v>
      </c>
      <c r="J132" s="19" t="s">
        <v>2109</v>
      </c>
      <c r="L132" s="19">
        <v>0</v>
      </c>
      <c r="M132" s="19">
        <v>0</v>
      </c>
      <c r="N132" s="19" t="s">
        <v>2394</v>
      </c>
      <c r="O132" s="20">
        <v>2</v>
      </c>
      <c r="S132" s="19" t="s">
        <v>20</v>
      </c>
      <c r="T132" s="19" t="s">
        <v>1471</v>
      </c>
    </row>
    <row r="133" spans="1:20">
      <c r="A133" s="20">
        <v>202603328002697</v>
      </c>
      <c r="B133" s="19" t="s">
        <v>20</v>
      </c>
      <c r="C133" s="19" t="s">
        <v>21</v>
      </c>
      <c r="D133" s="19" t="s">
        <v>2110</v>
      </c>
      <c r="E133" s="21">
        <v>46204</v>
      </c>
      <c r="F133" s="21">
        <v>46568</v>
      </c>
      <c r="G133" s="21"/>
      <c r="H133" s="21">
        <v>46204</v>
      </c>
      <c r="I133" s="21">
        <v>46568</v>
      </c>
      <c r="J133" s="19" t="s">
        <v>2109</v>
      </c>
      <c r="L133" s="19">
        <v>59.635123499999999</v>
      </c>
      <c r="M133" s="19">
        <v>59.635123499999999</v>
      </c>
      <c r="N133" s="19" t="s">
        <v>1467</v>
      </c>
      <c r="O133" s="20">
        <v>2</v>
      </c>
      <c r="S133" s="19" t="s">
        <v>20</v>
      </c>
      <c r="T133" s="19" t="s">
        <v>1471</v>
      </c>
    </row>
    <row r="134" spans="1:20">
      <c r="A134" s="20">
        <v>202603328003277</v>
      </c>
      <c r="B134" s="19" t="s">
        <v>20</v>
      </c>
      <c r="C134" s="19" t="s">
        <v>21</v>
      </c>
      <c r="D134" s="19" t="s">
        <v>20</v>
      </c>
      <c r="E134" s="21">
        <v>46204</v>
      </c>
      <c r="F134" s="21">
        <v>46568</v>
      </c>
      <c r="G134" s="21"/>
      <c r="H134" s="21">
        <v>46204</v>
      </c>
      <c r="I134" s="21">
        <v>46568</v>
      </c>
      <c r="J134" s="19" t="s">
        <v>2087</v>
      </c>
      <c r="L134" s="19">
        <v>33.130630250000003</v>
      </c>
      <c r="M134" s="19">
        <v>33.130630250000003</v>
      </c>
      <c r="N134" s="19" t="s">
        <v>1475</v>
      </c>
      <c r="O134" s="20">
        <v>1</v>
      </c>
      <c r="S134" s="19" t="s">
        <v>20</v>
      </c>
      <c r="T134" s="19" t="s">
        <v>1471</v>
      </c>
    </row>
    <row r="135" spans="1:20">
      <c r="A135" s="20">
        <v>202603328003453</v>
      </c>
      <c r="B135" s="19" t="s">
        <v>20</v>
      </c>
      <c r="C135" s="19" t="s">
        <v>21</v>
      </c>
      <c r="D135" s="19" t="s">
        <v>20</v>
      </c>
      <c r="E135" s="21">
        <v>46204</v>
      </c>
      <c r="F135" s="21">
        <v>46568</v>
      </c>
      <c r="G135" s="21"/>
      <c r="H135" s="21">
        <v>46204</v>
      </c>
      <c r="I135" s="21">
        <v>46568</v>
      </c>
      <c r="J135" s="19" t="s">
        <v>2068</v>
      </c>
      <c r="L135" s="19">
        <v>0</v>
      </c>
      <c r="M135" s="19">
        <v>0</v>
      </c>
      <c r="N135" s="19" t="s">
        <v>2394</v>
      </c>
      <c r="O135" s="20">
        <v>3</v>
      </c>
      <c r="S135" s="19" t="s">
        <v>20</v>
      </c>
      <c r="T135" s="19" t="s">
        <v>1471</v>
      </c>
    </row>
    <row r="136" spans="1:20">
      <c r="A136" s="20">
        <v>202603328003453</v>
      </c>
      <c r="B136" s="19" t="s">
        <v>20</v>
      </c>
      <c r="C136" s="19" t="s">
        <v>21</v>
      </c>
      <c r="D136" s="19" t="s">
        <v>20</v>
      </c>
      <c r="E136" s="21">
        <v>46204</v>
      </c>
      <c r="F136" s="21">
        <v>46568</v>
      </c>
      <c r="G136" s="21"/>
      <c r="H136" s="21">
        <v>46204</v>
      </c>
      <c r="I136" s="21">
        <v>46568</v>
      </c>
      <c r="J136" s="19" t="s">
        <v>2068</v>
      </c>
      <c r="L136" s="19">
        <v>78.776052000000007</v>
      </c>
      <c r="M136" s="19">
        <v>78.776052000000007</v>
      </c>
      <c r="N136" s="19" t="s">
        <v>1475</v>
      </c>
      <c r="O136" s="20">
        <v>3</v>
      </c>
      <c r="S136" s="19" t="s">
        <v>20</v>
      </c>
      <c r="T136" s="19" t="s">
        <v>1471</v>
      </c>
    </row>
    <row r="137" spans="1:20">
      <c r="A137" s="20">
        <v>202603328003547</v>
      </c>
      <c r="B137" s="19" t="s">
        <v>20</v>
      </c>
      <c r="C137" s="19" t="s">
        <v>21</v>
      </c>
      <c r="D137" s="19" t="s">
        <v>20</v>
      </c>
      <c r="E137" s="21">
        <v>46204</v>
      </c>
      <c r="F137" s="21">
        <v>46568</v>
      </c>
      <c r="G137" s="21"/>
      <c r="H137" s="21">
        <v>46204</v>
      </c>
      <c r="I137" s="21">
        <v>46568</v>
      </c>
      <c r="J137" s="19" t="s">
        <v>2064</v>
      </c>
      <c r="L137" s="19">
        <v>0</v>
      </c>
      <c r="M137" s="19">
        <v>0</v>
      </c>
      <c r="N137" s="19" t="s">
        <v>2394</v>
      </c>
      <c r="O137" s="20">
        <v>6</v>
      </c>
      <c r="S137" s="19" t="s">
        <v>20</v>
      </c>
      <c r="T137" s="19" t="s">
        <v>1471</v>
      </c>
    </row>
    <row r="138" spans="1:20">
      <c r="A138" s="20">
        <v>202603328003547</v>
      </c>
      <c r="B138" s="19" t="s">
        <v>20</v>
      </c>
      <c r="C138" s="19" t="s">
        <v>21</v>
      </c>
      <c r="D138" s="19" t="s">
        <v>20</v>
      </c>
      <c r="E138" s="21">
        <v>46204</v>
      </c>
      <c r="F138" s="21">
        <v>46568</v>
      </c>
      <c r="G138" s="21"/>
      <c r="H138" s="21">
        <v>46204</v>
      </c>
      <c r="I138" s="21">
        <v>46568</v>
      </c>
      <c r="J138" s="19" t="s">
        <v>2064</v>
      </c>
      <c r="L138" s="19">
        <v>198.7837815</v>
      </c>
      <c r="M138" s="19">
        <v>198.7837815</v>
      </c>
      <c r="N138" s="19" t="s">
        <v>1475</v>
      </c>
      <c r="O138" s="20">
        <v>6</v>
      </c>
      <c r="S138" s="19" t="s">
        <v>20</v>
      </c>
      <c r="T138" s="19" t="s">
        <v>1471</v>
      </c>
    </row>
    <row r="139" spans="1:20">
      <c r="A139" s="20">
        <v>202603328003636</v>
      </c>
      <c r="B139" s="19" t="s">
        <v>20</v>
      </c>
      <c r="C139" s="19" t="s">
        <v>21</v>
      </c>
      <c r="D139" s="19" t="s">
        <v>20</v>
      </c>
      <c r="E139" s="21">
        <v>46204</v>
      </c>
      <c r="F139" s="21">
        <v>46568</v>
      </c>
      <c r="G139" s="21"/>
      <c r="H139" s="21">
        <v>46204</v>
      </c>
      <c r="I139" s="21">
        <v>46568</v>
      </c>
      <c r="J139" s="19" t="s">
        <v>2064</v>
      </c>
      <c r="L139" s="19">
        <v>33.130630250000003</v>
      </c>
      <c r="M139" s="19">
        <v>33.130630250000003</v>
      </c>
      <c r="N139" s="19" t="s">
        <v>1475</v>
      </c>
      <c r="O139" s="20">
        <v>1</v>
      </c>
      <c r="S139" s="19" t="s">
        <v>20</v>
      </c>
      <c r="T139" s="19" t="s">
        <v>1471</v>
      </c>
    </row>
    <row r="140" spans="1:20">
      <c r="A140" s="20">
        <v>202603328003671</v>
      </c>
      <c r="B140" s="19" t="s">
        <v>20</v>
      </c>
      <c r="C140" s="19" t="s">
        <v>21</v>
      </c>
      <c r="D140" s="19" t="s">
        <v>20</v>
      </c>
      <c r="E140" s="21">
        <v>46204</v>
      </c>
      <c r="F140" s="21">
        <v>46568</v>
      </c>
      <c r="G140" s="21"/>
      <c r="H140" s="21">
        <v>46204</v>
      </c>
      <c r="I140" s="21">
        <v>46568</v>
      </c>
      <c r="J140" s="19" t="s">
        <v>2062</v>
      </c>
      <c r="L140" s="19">
        <v>0</v>
      </c>
      <c r="M140" s="19">
        <v>0</v>
      </c>
      <c r="N140" s="19" t="s">
        <v>2394</v>
      </c>
      <c r="O140" s="20">
        <v>2</v>
      </c>
      <c r="S140" s="19" t="s">
        <v>20</v>
      </c>
      <c r="T140" s="19" t="s">
        <v>1471</v>
      </c>
    </row>
    <row r="141" spans="1:20">
      <c r="A141" s="20">
        <v>202603328003671</v>
      </c>
      <c r="B141" s="19" t="s">
        <v>20</v>
      </c>
      <c r="C141" s="19" t="s">
        <v>21</v>
      </c>
      <c r="D141" s="19" t="s">
        <v>20</v>
      </c>
      <c r="E141" s="21">
        <v>46204</v>
      </c>
      <c r="F141" s="21">
        <v>46568</v>
      </c>
      <c r="G141" s="21"/>
      <c r="H141" s="21">
        <v>46204</v>
      </c>
      <c r="I141" s="21">
        <v>46568</v>
      </c>
      <c r="J141" s="19" t="s">
        <v>2062</v>
      </c>
      <c r="L141" s="19">
        <v>66.261260500000006</v>
      </c>
      <c r="M141" s="19">
        <v>66.261260500000006</v>
      </c>
      <c r="N141" s="19" t="s">
        <v>1475</v>
      </c>
      <c r="O141" s="20">
        <v>2</v>
      </c>
      <c r="S141" s="19" t="s">
        <v>20</v>
      </c>
      <c r="T141" s="19" t="s">
        <v>1471</v>
      </c>
    </row>
    <row r="142" spans="1:20">
      <c r="A142" s="20">
        <v>202603328004054</v>
      </c>
      <c r="B142" s="19" t="s">
        <v>20</v>
      </c>
      <c r="C142" s="19" t="s">
        <v>21</v>
      </c>
      <c r="D142" s="19" t="s">
        <v>20</v>
      </c>
      <c r="E142" s="21">
        <v>46204</v>
      </c>
      <c r="F142" s="21">
        <v>46568</v>
      </c>
      <c r="G142" s="21"/>
      <c r="H142" s="21">
        <v>46204</v>
      </c>
      <c r="I142" s="21">
        <v>46568</v>
      </c>
      <c r="J142" s="19" t="s">
        <v>2069</v>
      </c>
      <c r="L142" s="19">
        <v>66.261260500000006</v>
      </c>
      <c r="M142" s="19">
        <v>66.261260500000006</v>
      </c>
      <c r="N142" s="19" t="s">
        <v>1475</v>
      </c>
      <c r="O142" s="20">
        <v>2</v>
      </c>
      <c r="S142" s="19" t="s">
        <v>20</v>
      </c>
      <c r="T142" s="19" t="s">
        <v>1471</v>
      </c>
    </row>
    <row r="143" spans="1:20">
      <c r="A143" s="20">
        <v>202603328004143</v>
      </c>
      <c r="B143" s="19" t="s">
        <v>20</v>
      </c>
      <c r="C143" s="19" t="s">
        <v>21</v>
      </c>
      <c r="D143" s="19" t="s">
        <v>20</v>
      </c>
      <c r="E143" s="21">
        <v>46204</v>
      </c>
      <c r="F143" s="21">
        <v>46568</v>
      </c>
      <c r="G143" s="21"/>
      <c r="H143" s="21">
        <v>46204</v>
      </c>
      <c r="I143" s="21">
        <v>46568</v>
      </c>
      <c r="J143" s="19" t="s">
        <v>2111</v>
      </c>
      <c r="L143" s="19">
        <v>33.130630250000003</v>
      </c>
      <c r="M143" s="19">
        <v>33.130630250000003</v>
      </c>
      <c r="N143" s="19" t="s">
        <v>1475</v>
      </c>
      <c r="O143" s="20">
        <v>1</v>
      </c>
      <c r="S143" s="19" t="s">
        <v>20</v>
      </c>
      <c r="T143" s="19" t="s">
        <v>1471</v>
      </c>
    </row>
    <row r="144" spans="1:20">
      <c r="A144" s="20">
        <v>202603328004404</v>
      </c>
      <c r="B144" s="19" t="s">
        <v>20</v>
      </c>
      <c r="C144" s="19" t="s">
        <v>21</v>
      </c>
      <c r="D144" s="19" t="s">
        <v>20</v>
      </c>
      <c r="E144" s="21">
        <v>46204</v>
      </c>
      <c r="F144" s="21">
        <v>46568</v>
      </c>
      <c r="G144" s="21"/>
      <c r="H144" s="21">
        <v>46204</v>
      </c>
      <c r="I144" s="21">
        <v>46568</v>
      </c>
      <c r="J144" s="19" t="s">
        <v>2064</v>
      </c>
      <c r="L144" s="19">
        <v>0</v>
      </c>
      <c r="M144" s="19">
        <v>0</v>
      </c>
      <c r="N144" s="19" t="s">
        <v>2394</v>
      </c>
      <c r="O144" s="20">
        <v>6</v>
      </c>
      <c r="S144" s="19" t="s">
        <v>20</v>
      </c>
      <c r="T144" s="19" t="s">
        <v>1471</v>
      </c>
    </row>
    <row r="145" spans="1:20">
      <c r="A145" s="20">
        <v>202603328004404</v>
      </c>
      <c r="B145" s="19" t="s">
        <v>20</v>
      </c>
      <c r="C145" s="19" t="s">
        <v>21</v>
      </c>
      <c r="D145" s="19" t="s">
        <v>2112</v>
      </c>
      <c r="E145" s="21">
        <v>46204</v>
      </c>
      <c r="F145" s="21">
        <v>46568</v>
      </c>
      <c r="G145" s="21"/>
      <c r="H145" s="21">
        <v>46204</v>
      </c>
      <c r="I145" s="21">
        <v>46568</v>
      </c>
      <c r="J145" s="19" t="s">
        <v>2064</v>
      </c>
      <c r="L145" s="19">
        <v>198.7837815</v>
      </c>
      <c r="M145" s="19">
        <v>198.7837815</v>
      </c>
      <c r="N145" s="19" t="s">
        <v>1467</v>
      </c>
      <c r="O145" s="20">
        <v>6</v>
      </c>
      <c r="S145" s="19" t="s">
        <v>20</v>
      </c>
      <c r="T145" s="19" t="s">
        <v>1471</v>
      </c>
    </row>
    <row r="146" spans="1:20">
      <c r="A146" s="20">
        <v>202603328005913</v>
      </c>
      <c r="B146" s="19" t="s">
        <v>20</v>
      </c>
      <c r="C146" s="19" t="s">
        <v>21</v>
      </c>
      <c r="D146" s="19" t="s">
        <v>2113</v>
      </c>
      <c r="E146" s="21">
        <v>46204</v>
      </c>
      <c r="F146" s="21">
        <v>46568</v>
      </c>
      <c r="G146" s="21"/>
      <c r="H146" s="21">
        <v>46204</v>
      </c>
      <c r="I146" s="21">
        <v>46568</v>
      </c>
      <c r="J146" s="19" t="s">
        <v>2104</v>
      </c>
      <c r="L146" s="19">
        <v>33.130630250000003</v>
      </c>
      <c r="M146" s="19">
        <v>33.130630250000003</v>
      </c>
      <c r="N146" s="19" t="s">
        <v>1467</v>
      </c>
      <c r="O146" s="20">
        <v>1</v>
      </c>
      <c r="S146" s="19" t="s">
        <v>20</v>
      </c>
      <c r="T146" s="19" t="s">
        <v>1471</v>
      </c>
    </row>
    <row r="147" spans="1:20">
      <c r="A147" s="20">
        <v>202603328005917</v>
      </c>
      <c r="B147" s="19" t="s">
        <v>20</v>
      </c>
      <c r="C147" s="19" t="s">
        <v>21</v>
      </c>
      <c r="D147" s="19" t="s">
        <v>20</v>
      </c>
      <c r="E147" s="21">
        <v>46204</v>
      </c>
      <c r="F147" s="21">
        <v>46568</v>
      </c>
      <c r="G147" s="21"/>
      <c r="H147" s="21">
        <v>46204</v>
      </c>
      <c r="I147" s="21">
        <v>46568</v>
      </c>
      <c r="J147" s="19" t="s">
        <v>2064</v>
      </c>
      <c r="L147" s="19">
        <v>33.130630250000003</v>
      </c>
      <c r="M147" s="19">
        <v>33.130630250000003</v>
      </c>
      <c r="N147" s="19" t="s">
        <v>1475</v>
      </c>
      <c r="O147" s="20">
        <v>1</v>
      </c>
      <c r="S147" s="19" t="s">
        <v>20</v>
      </c>
      <c r="T147" s="19" t="s">
        <v>1471</v>
      </c>
    </row>
    <row r="148" spans="1:20">
      <c r="A148" s="20">
        <v>202603328009292</v>
      </c>
      <c r="B148" s="19" t="s">
        <v>20</v>
      </c>
      <c r="C148" s="19" t="s">
        <v>21</v>
      </c>
      <c r="D148" s="19" t="s">
        <v>20</v>
      </c>
      <c r="E148" s="21">
        <v>46204</v>
      </c>
      <c r="F148" s="21">
        <v>46568</v>
      </c>
      <c r="G148" s="21"/>
      <c r="H148" s="21">
        <v>46204</v>
      </c>
      <c r="I148" s="21">
        <v>46568</v>
      </c>
      <c r="J148" s="19" t="s">
        <v>2114</v>
      </c>
      <c r="L148" s="19">
        <v>0</v>
      </c>
      <c r="M148" s="19">
        <v>0</v>
      </c>
      <c r="N148" s="19" t="s">
        <v>2394</v>
      </c>
      <c r="O148" s="20">
        <v>5</v>
      </c>
      <c r="S148" s="19" t="s">
        <v>20</v>
      </c>
      <c r="T148" s="19" t="s">
        <v>1471</v>
      </c>
    </row>
    <row r="149" spans="1:20">
      <c r="A149" s="20">
        <v>202603328009292</v>
      </c>
      <c r="B149" s="19" t="s">
        <v>20</v>
      </c>
      <c r="C149" s="19" t="s">
        <v>21</v>
      </c>
      <c r="D149" s="19" t="s">
        <v>20</v>
      </c>
      <c r="E149" s="21">
        <v>46204</v>
      </c>
      <c r="F149" s="21">
        <v>46568</v>
      </c>
      <c r="G149" s="21"/>
      <c r="H149" s="21">
        <v>46204</v>
      </c>
      <c r="I149" s="21">
        <v>46568</v>
      </c>
      <c r="J149" s="19" t="s">
        <v>2114</v>
      </c>
      <c r="L149" s="19">
        <v>165.65315125000001</v>
      </c>
      <c r="M149" s="19">
        <v>165.65315125000001</v>
      </c>
      <c r="N149" s="19" t="s">
        <v>1475</v>
      </c>
      <c r="O149" s="20">
        <v>5</v>
      </c>
      <c r="S149" s="19" t="s">
        <v>20</v>
      </c>
      <c r="T149" s="19" t="s">
        <v>1471</v>
      </c>
    </row>
    <row r="150" spans="1:20">
      <c r="A150" s="20">
        <v>202603328010075</v>
      </c>
      <c r="B150" s="19" t="s">
        <v>20</v>
      </c>
      <c r="C150" s="19" t="s">
        <v>21</v>
      </c>
      <c r="D150" s="19" t="s">
        <v>20</v>
      </c>
      <c r="E150" s="21">
        <v>46204</v>
      </c>
      <c r="F150" s="21">
        <v>46568</v>
      </c>
      <c r="G150" s="21"/>
      <c r="H150" s="21">
        <v>46204</v>
      </c>
      <c r="I150" s="21">
        <v>46568</v>
      </c>
      <c r="J150" s="19" t="s">
        <v>2115</v>
      </c>
      <c r="L150" s="19">
        <v>0</v>
      </c>
      <c r="M150" s="19">
        <v>0</v>
      </c>
      <c r="N150" s="19" t="s">
        <v>2394</v>
      </c>
      <c r="O150" s="20">
        <v>3</v>
      </c>
      <c r="S150" s="19" t="s">
        <v>20</v>
      </c>
      <c r="T150" s="19" t="s">
        <v>1471</v>
      </c>
    </row>
    <row r="151" spans="1:20">
      <c r="A151" s="20">
        <v>202603328010075</v>
      </c>
      <c r="B151" s="19" t="s">
        <v>20</v>
      </c>
      <c r="C151" s="19" t="s">
        <v>21</v>
      </c>
      <c r="D151" s="19" t="s">
        <v>20</v>
      </c>
      <c r="E151" s="21">
        <v>46204</v>
      </c>
      <c r="F151" s="21">
        <v>46568</v>
      </c>
      <c r="G151" s="21"/>
      <c r="H151" s="21">
        <v>46204</v>
      </c>
      <c r="I151" s="21">
        <v>46568</v>
      </c>
      <c r="J151" s="19" t="s">
        <v>2115</v>
      </c>
      <c r="L151" s="19">
        <v>38.230227749999997</v>
      </c>
      <c r="M151" s="19">
        <v>38.230227749999997</v>
      </c>
      <c r="N151" s="19" t="s">
        <v>1475</v>
      </c>
      <c r="O151" s="20">
        <v>3</v>
      </c>
      <c r="S151" s="19" t="s">
        <v>20</v>
      </c>
      <c r="T151" s="19" t="s">
        <v>1471</v>
      </c>
    </row>
    <row r="152" spans="1:20">
      <c r="A152" s="20">
        <v>202603328011694</v>
      </c>
      <c r="B152" s="19" t="s">
        <v>20</v>
      </c>
      <c r="C152" s="19" t="s">
        <v>21</v>
      </c>
      <c r="D152" s="19" t="s">
        <v>20</v>
      </c>
      <c r="E152" s="21">
        <v>46204</v>
      </c>
      <c r="F152" s="21">
        <v>46568</v>
      </c>
      <c r="G152" s="21"/>
      <c r="H152" s="21">
        <v>46204</v>
      </c>
      <c r="I152" s="21">
        <v>46568</v>
      </c>
      <c r="J152" s="19" t="s">
        <v>2064</v>
      </c>
      <c r="L152" s="19">
        <v>33.130630250000003</v>
      </c>
      <c r="M152" s="19">
        <v>33.130630250000003</v>
      </c>
      <c r="N152" s="19" t="s">
        <v>1475</v>
      </c>
      <c r="O152" s="20">
        <v>1</v>
      </c>
      <c r="S152" s="19" t="s">
        <v>20</v>
      </c>
      <c r="T152" s="19" t="s">
        <v>1471</v>
      </c>
    </row>
    <row r="153" spans="1:20">
      <c r="A153" s="20">
        <v>202603328011696</v>
      </c>
      <c r="B153" s="19" t="s">
        <v>20</v>
      </c>
      <c r="C153" s="19" t="s">
        <v>21</v>
      </c>
      <c r="D153" s="19" t="s">
        <v>20</v>
      </c>
      <c r="E153" s="21">
        <v>46204</v>
      </c>
      <c r="F153" s="21">
        <v>46568</v>
      </c>
      <c r="G153" s="21"/>
      <c r="H153" s="21">
        <v>46204</v>
      </c>
      <c r="I153" s="21">
        <v>46568</v>
      </c>
      <c r="J153" s="19" t="s">
        <v>2077</v>
      </c>
      <c r="L153" s="19">
        <v>0</v>
      </c>
      <c r="M153" s="19">
        <v>0</v>
      </c>
      <c r="N153" s="19" t="s">
        <v>2394</v>
      </c>
      <c r="O153" s="20">
        <v>3</v>
      </c>
      <c r="S153" s="19" t="s">
        <v>20</v>
      </c>
      <c r="T153" s="19" t="s">
        <v>1471</v>
      </c>
    </row>
    <row r="154" spans="1:20">
      <c r="A154" s="20">
        <v>202603328011696</v>
      </c>
      <c r="B154" s="19" t="s">
        <v>20</v>
      </c>
      <c r="C154" s="19" t="s">
        <v>21</v>
      </c>
      <c r="D154" s="19" t="s">
        <v>2116</v>
      </c>
      <c r="E154" s="21">
        <v>46204</v>
      </c>
      <c r="F154" s="21">
        <v>46568</v>
      </c>
      <c r="G154" s="21"/>
      <c r="H154" s="21">
        <v>46204</v>
      </c>
      <c r="I154" s="21">
        <v>46568</v>
      </c>
      <c r="J154" s="19" t="s">
        <v>2077</v>
      </c>
      <c r="L154" s="19">
        <v>89.452685250000002</v>
      </c>
      <c r="M154" s="19">
        <v>89.452685250000002</v>
      </c>
      <c r="N154" s="19" t="s">
        <v>1467</v>
      </c>
      <c r="O154" s="20">
        <v>3</v>
      </c>
      <c r="S154" s="19" t="s">
        <v>20</v>
      </c>
      <c r="T154" s="19" t="s">
        <v>1471</v>
      </c>
    </row>
    <row r="155" spans="1:20">
      <c r="A155" s="20">
        <v>202603328011721</v>
      </c>
      <c r="B155" s="19" t="s">
        <v>20</v>
      </c>
      <c r="C155" s="19" t="s">
        <v>21</v>
      </c>
      <c r="D155" s="19" t="s">
        <v>20</v>
      </c>
      <c r="E155" s="21">
        <v>46204</v>
      </c>
      <c r="F155" s="21">
        <v>46568</v>
      </c>
      <c r="G155" s="21"/>
      <c r="H155" s="21">
        <v>46204</v>
      </c>
      <c r="I155" s="21">
        <v>46568</v>
      </c>
      <c r="J155" s="19" t="s">
        <v>2117</v>
      </c>
      <c r="L155" s="19">
        <v>29.93177025</v>
      </c>
      <c r="M155" s="19">
        <v>29.93177025</v>
      </c>
      <c r="N155" s="19" t="s">
        <v>1475</v>
      </c>
      <c r="O155" s="20">
        <v>1</v>
      </c>
      <c r="S155" s="19" t="s">
        <v>20</v>
      </c>
      <c r="T155" s="19" t="s">
        <v>1471</v>
      </c>
    </row>
    <row r="156" spans="1:20">
      <c r="A156" s="20">
        <v>202603328012482</v>
      </c>
      <c r="B156" s="19" t="s">
        <v>20</v>
      </c>
      <c r="C156" s="19" t="s">
        <v>21</v>
      </c>
      <c r="D156" s="19" t="s">
        <v>20</v>
      </c>
      <c r="E156" s="21">
        <v>46204</v>
      </c>
      <c r="F156" s="21">
        <v>46568</v>
      </c>
      <c r="G156" s="21"/>
      <c r="H156" s="21">
        <v>46204</v>
      </c>
      <c r="I156" s="21">
        <v>46568</v>
      </c>
      <c r="J156" s="19" t="s">
        <v>2064</v>
      </c>
      <c r="L156" s="19">
        <v>33.130630250000003</v>
      </c>
      <c r="M156" s="19">
        <v>33.130630250000003</v>
      </c>
      <c r="N156" s="19" t="s">
        <v>1475</v>
      </c>
      <c r="O156" s="20">
        <v>1</v>
      </c>
      <c r="S156" s="19" t="s">
        <v>20</v>
      </c>
      <c r="T156" s="19" t="s">
        <v>1471</v>
      </c>
    </row>
    <row r="157" spans="1:20">
      <c r="A157" s="20">
        <v>202603328013353</v>
      </c>
      <c r="B157" s="19" t="s">
        <v>20</v>
      </c>
      <c r="C157" s="19" t="s">
        <v>21</v>
      </c>
      <c r="D157" s="19" t="s">
        <v>20</v>
      </c>
      <c r="E157" s="21">
        <v>46204</v>
      </c>
      <c r="F157" s="21">
        <v>46568</v>
      </c>
      <c r="G157" s="21"/>
      <c r="H157" s="21">
        <v>46204</v>
      </c>
      <c r="I157" s="21">
        <v>46568</v>
      </c>
      <c r="J157" s="19" t="s">
        <v>2105</v>
      </c>
      <c r="L157" s="19">
        <v>0</v>
      </c>
      <c r="M157" s="19">
        <v>0</v>
      </c>
      <c r="N157" s="19" t="s">
        <v>2394</v>
      </c>
      <c r="O157" s="20">
        <v>2</v>
      </c>
      <c r="S157" s="19" t="s">
        <v>20</v>
      </c>
      <c r="T157" s="19" t="s">
        <v>1471</v>
      </c>
    </row>
    <row r="158" spans="1:20">
      <c r="A158" s="20">
        <v>202603328013353</v>
      </c>
      <c r="B158" s="19" t="s">
        <v>20</v>
      </c>
      <c r="C158" s="19" t="s">
        <v>21</v>
      </c>
      <c r="D158" s="19" t="s">
        <v>20</v>
      </c>
      <c r="E158" s="21">
        <v>46204</v>
      </c>
      <c r="F158" s="21">
        <v>46568</v>
      </c>
      <c r="G158" s="21"/>
      <c r="H158" s="21">
        <v>46204</v>
      </c>
      <c r="I158" s="21">
        <v>46568</v>
      </c>
      <c r="J158" s="19" t="s">
        <v>2105</v>
      </c>
      <c r="L158" s="19">
        <v>52.517367999999998</v>
      </c>
      <c r="M158" s="19">
        <v>52.517367999999998</v>
      </c>
      <c r="N158" s="19" t="s">
        <v>1475</v>
      </c>
      <c r="O158" s="20">
        <v>2</v>
      </c>
      <c r="S158" s="19" t="s">
        <v>20</v>
      </c>
      <c r="T158" s="19" t="s">
        <v>1471</v>
      </c>
    </row>
    <row r="159" spans="1:20">
      <c r="A159" s="20">
        <v>202603328013388</v>
      </c>
      <c r="B159" s="19" t="s">
        <v>20</v>
      </c>
      <c r="C159" s="19" t="s">
        <v>21</v>
      </c>
      <c r="D159" s="19" t="s">
        <v>20</v>
      </c>
      <c r="E159" s="21">
        <v>46204</v>
      </c>
      <c r="F159" s="21">
        <v>46568</v>
      </c>
      <c r="G159" s="21"/>
      <c r="H159" s="21">
        <v>46204</v>
      </c>
      <c r="I159" s="21">
        <v>46568</v>
      </c>
      <c r="J159" s="19" t="s">
        <v>2077</v>
      </c>
      <c r="L159" s="19">
        <v>0</v>
      </c>
      <c r="M159" s="19">
        <v>0</v>
      </c>
      <c r="N159" s="19" t="s">
        <v>2394</v>
      </c>
      <c r="O159" s="20">
        <v>3</v>
      </c>
      <c r="S159" s="19" t="s">
        <v>20</v>
      </c>
      <c r="T159" s="19" t="s">
        <v>1471</v>
      </c>
    </row>
    <row r="160" spans="1:20">
      <c r="A160" s="20">
        <v>202603328013388</v>
      </c>
      <c r="B160" s="19" t="s">
        <v>20</v>
      </c>
      <c r="C160" s="19" t="s">
        <v>21</v>
      </c>
      <c r="D160" s="19" t="s">
        <v>20</v>
      </c>
      <c r="E160" s="21">
        <v>46204</v>
      </c>
      <c r="F160" s="21">
        <v>46568</v>
      </c>
      <c r="G160" s="21"/>
      <c r="H160" s="21">
        <v>46204</v>
      </c>
      <c r="I160" s="21">
        <v>46568</v>
      </c>
      <c r="J160" s="19" t="s">
        <v>2077</v>
      </c>
      <c r="L160" s="19">
        <v>89.452685250000002</v>
      </c>
      <c r="M160" s="19">
        <v>89.452685250000002</v>
      </c>
      <c r="N160" s="19" t="s">
        <v>1475</v>
      </c>
      <c r="O160" s="20">
        <v>3</v>
      </c>
      <c r="S160" s="19" t="s">
        <v>20</v>
      </c>
      <c r="T160" s="19" t="s">
        <v>1471</v>
      </c>
    </row>
    <row r="161" spans="1:20">
      <c r="A161" s="20">
        <v>202603328014385</v>
      </c>
      <c r="B161" s="19" t="s">
        <v>20</v>
      </c>
      <c r="C161" s="19" t="s">
        <v>21</v>
      </c>
      <c r="D161" s="19" t="s">
        <v>20</v>
      </c>
      <c r="E161" s="21">
        <v>46204</v>
      </c>
      <c r="F161" s="21">
        <v>46568</v>
      </c>
      <c r="G161" s="21"/>
      <c r="H161" s="21">
        <v>46204</v>
      </c>
      <c r="I161" s="21">
        <v>46568</v>
      </c>
      <c r="J161" s="19" t="s">
        <v>2118</v>
      </c>
      <c r="L161" s="19">
        <v>0</v>
      </c>
      <c r="M161" s="19">
        <v>0</v>
      </c>
      <c r="N161" s="19" t="s">
        <v>2394</v>
      </c>
      <c r="O161" s="20">
        <v>3</v>
      </c>
      <c r="S161" s="19" t="s">
        <v>20</v>
      </c>
      <c r="T161" s="19" t="s">
        <v>1471</v>
      </c>
    </row>
    <row r="162" spans="1:20">
      <c r="A162" s="20">
        <v>202603328014385</v>
      </c>
      <c r="B162" s="19" t="s">
        <v>20</v>
      </c>
      <c r="C162" s="19" t="s">
        <v>21</v>
      </c>
      <c r="D162" s="19" t="s">
        <v>20</v>
      </c>
      <c r="E162" s="21">
        <v>46204</v>
      </c>
      <c r="F162" s="21">
        <v>46568</v>
      </c>
      <c r="G162" s="21"/>
      <c r="H162" s="21">
        <v>46204</v>
      </c>
      <c r="I162" s="21">
        <v>46568</v>
      </c>
      <c r="J162" s="19" t="s">
        <v>2118</v>
      </c>
      <c r="L162" s="19">
        <v>99.391890750000002</v>
      </c>
      <c r="M162" s="19">
        <v>99.391890750000002</v>
      </c>
      <c r="N162" s="19" t="s">
        <v>1475</v>
      </c>
      <c r="O162" s="20">
        <v>3</v>
      </c>
      <c r="S162" s="19" t="s">
        <v>20</v>
      </c>
      <c r="T162" s="19" t="s">
        <v>1471</v>
      </c>
    </row>
    <row r="163" spans="1:20">
      <c r="A163" s="20">
        <v>202603328015370</v>
      </c>
      <c r="B163" s="19" t="s">
        <v>20</v>
      </c>
      <c r="C163" s="19" t="s">
        <v>21</v>
      </c>
      <c r="D163" s="19" t="s">
        <v>20</v>
      </c>
      <c r="E163" s="21">
        <v>46204</v>
      </c>
      <c r="F163" s="21">
        <v>46568</v>
      </c>
      <c r="G163" s="21"/>
      <c r="H163" s="21">
        <v>46204</v>
      </c>
      <c r="I163" s="21">
        <v>46568</v>
      </c>
      <c r="J163" s="19" t="s">
        <v>2064</v>
      </c>
      <c r="L163" s="19">
        <v>99.391890750000002</v>
      </c>
      <c r="M163" s="19">
        <v>99.391890750000002</v>
      </c>
      <c r="N163" s="19" t="s">
        <v>1475</v>
      </c>
      <c r="O163" s="20">
        <v>3</v>
      </c>
      <c r="S163" s="19" t="s">
        <v>20</v>
      </c>
      <c r="T163" s="19" t="s">
        <v>1471</v>
      </c>
    </row>
    <row r="164" spans="1:20">
      <c r="A164" s="20">
        <v>202603328015896</v>
      </c>
      <c r="B164" s="19" t="s">
        <v>20</v>
      </c>
      <c r="C164" s="19" t="s">
        <v>21</v>
      </c>
      <c r="D164" s="19" t="s">
        <v>20</v>
      </c>
      <c r="E164" s="21">
        <v>46204</v>
      </c>
      <c r="F164" s="21">
        <v>46568</v>
      </c>
      <c r="G164" s="21"/>
      <c r="H164" s="21">
        <v>46204</v>
      </c>
      <c r="I164" s="21">
        <v>46568</v>
      </c>
      <c r="J164" s="19" t="s">
        <v>2064</v>
      </c>
      <c r="L164" s="19">
        <v>0</v>
      </c>
      <c r="M164" s="19">
        <v>0</v>
      </c>
      <c r="N164" s="19" t="s">
        <v>2394</v>
      </c>
      <c r="O164" s="20">
        <v>3</v>
      </c>
      <c r="S164" s="19" t="s">
        <v>20</v>
      </c>
      <c r="T164" s="19" t="s">
        <v>1471</v>
      </c>
    </row>
    <row r="165" spans="1:20">
      <c r="A165" s="20">
        <v>202603328015896</v>
      </c>
      <c r="B165" s="19" t="s">
        <v>20</v>
      </c>
      <c r="C165" s="19" t="s">
        <v>21</v>
      </c>
      <c r="D165" s="19" t="s">
        <v>20</v>
      </c>
      <c r="E165" s="21">
        <v>46204</v>
      </c>
      <c r="F165" s="21">
        <v>46568</v>
      </c>
      <c r="G165" s="21"/>
      <c r="H165" s="21">
        <v>46204</v>
      </c>
      <c r="I165" s="21">
        <v>46568</v>
      </c>
      <c r="J165" s="19" t="s">
        <v>2064</v>
      </c>
      <c r="L165" s="19">
        <v>99.391890750000002</v>
      </c>
      <c r="M165" s="19">
        <v>99.391890750000002</v>
      </c>
      <c r="N165" s="19" t="s">
        <v>1475</v>
      </c>
      <c r="O165" s="20">
        <v>3</v>
      </c>
      <c r="S165" s="19" t="s">
        <v>20</v>
      </c>
      <c r="T165" s="19" t="s">
        <v>1471</v>
      </c>
    </row>
    <row r="166" spans="1:20">
      <c r="A166" s="20">
        <v>202603328016063</v>
      </c>
      <c r="B166" s="19" t="s">
        <v>20</v>
      </c>
      <c r="C166" s="19" t="s">
        <v>21</v>
      </c>
      <c r="D166" s="19" t="s">
        <v>20</v>
      </c>
      <c r="E166" s="21">
        <v>46204</v>
      </c>
      <c r="F166" s="21">
        <v>46568</v>
      </c>
      <c r="G166" s="21"/>
      <c r="H166" s="21">
        <v>46204</v>
      </c>
      <c r="I166" s="21">
        <v>46568</v>
      </c>
      <c r="J166" s="19" t="s">
        <v>2087</v>
      </c>
      <c r="L166" s="19">
        <v>0</v>
      </c>
      <c r="M166" s="19">
        <v>0</v>
      </c>
      <c r="N166" s="19" t="s">
        <v>2394</v>
      </c>
      <c r="O166" s="20">
        <v>4</v>
      </c>
      <c r="S166" s="19" t="s">
        <v>20</v>
      </c>
      <c r="T166" s="19" t="s">
        <v>1471</v>
      </c>
    </row>
    <row r="167" spans="1:20">
      <c r="A167" s="20">
        <v>202603328016063</v>
      </c>
      <c r="B167" s="19" t="s">
        <v>20</v>
      </c>
      <c r="C167" s="19" t="s">
        <v>21</v>
      </c>
      <c r="D167" s="19" t="s">
        <v>20</v>
      </c>
      <c r="E167" s="21">
        <v>46204</v>
      </c>
      <c r="F167" s="21">
        <v>46568</v>
      </c>
      <c r="G167" s="21"/>
      <c r="H167" s="21">
        <v>46204</v>
      </c>
      <c r="I167" s="21">
        <v>46568</v>
      </c>
      <c r="J167" s="19" t="s">
        <v>2087</v>
      </c>
      <c r="L167" s="19">
        <v>132.52252100000001</v>
      </c>
      <c r="M167" s="19">
        <v>132.52252100000001</v>
      </c>
      <c r="N167" s="19" t="s">
        <v>1475</v>
      </c>
      <c r="O167" s="20">
        <v>4</v>
      </c>
      <c r="S167" s="19" t="s">
        <v>20</v>
      </c>
      <c r="T167" s="19" t="s">
        <v>1471</v>
      </c>
    </row>
    <row r="168" spans="1:20">
      <c r="A168" s="20">
        <v>202603328017404</v>
      </c>
      <c r="B168" s="19" t="s">
        <v>20</v>
      </c>
      <c r="C168" s="19" t="s">
        <v>21</v>
      </c>
      <c r="D168" s="19" t="s">
        <v>20</v>
      </c>
      <c r="E168" s="21">
        <v>46204</v>
      </c>
      <c r="F168" s="21">
        <v>46568</v>
      </c>
      <c r="G168" s="21"/>
      <c r="H168" s="21">
        <v>46204</v>
      </c>
      <c r="I168" s="21">
        <v>46568</v>
      </c>
      <c r="J168" s="19" t="s">
        <v>2099</v>
      </c>
      <c r="L168" s="19">
        <v>0</v>
      </c>
      <c r="M168" s="19">
        <v>0</v>
      </c>
      <c r="N168" s="19" t="s">
        <v>2394</v>
      </c>
      <c r="O168" s="20">
        <v>3</v>
      </c>
      <c r="S168" s="19" t="s">
        <v>20</v>
      </c>
      <c r="T168" s="19" t="s">
        <v>1471</v>
      </c>
    </row>
    <row r="169" spans="1:20">
      <c r="A169" s="20">
        <v>202603328017404</v>
      </c>
      <c r="B169" s="19" t="s">
        <v>20</v>
      </c>
      <c r="C169" s="19" t="s">
        <v>21</v>
      </c>
      <c r="D169" s="19" t="s">
        <v>20</v>
      </c>
      <c r="E169" s="21">
        <v>46204</v>
      </c>
      <c r="F169" s="21">
        <v>46568</v>
      </c>
      <c r="G169" s="21"/>
      <c r="H169" s="21">
        <v>46204</v>
      </c>
      <c r="I169" s="21">
        <v>46568</v>
      </c>
      <c r="J169" s="19" t="s">
        <v>2099</v>
      </c>
      <c r="L169" s="19">
        <v>78.776052000000007</v>
      </c>
      <c r="M169" s="19">
        <v>78.776052000000007</v>
      </c>
      <c r="N169" s="19" t="s">
        <v>1475</v>
      </c>
      <c r="O169" s="20">
        <v>3</v>
      </c>
      <c r="S169" s="19" t="s">
        <v>20</v>
      </c>
      <c r="T169" s="19" t="s">
        <v>1471</v>
      </c>
    </row>
    <row r="170" spans="1:20">
      <c r="A170" s="20">
        <v>202603328018133</v>
      </c>
      <c r="B170" s="19" t="s">
        <v>20</v>
      </c>
      <c r="C170" s="19" t="s">
        <v>21</v>
      </c>
      <c r="D170" s="19" t="s">
        <v>20</v>
      </c>
      <c r="E170" s="21">
        <v>46204</v>
      </c>
      <c r="F170" s="21">
        <v>46568</v>
      </c>
      <c r="G170" s="21"/>
      <c r="H170" s="21">
        <v>46204</v>
      </c>
      <c r="I170" s="21">
        <v>46568</v>
      </c>
      <c r="J170" s="19" t="s">
        <v>2064</v>
      </c>
      <c r="L170" s="19">
        <v>33.130630250000003</v>
      </c>
      <c r="M170" s="19">
        <v>33.130630250000003</v>
      </c>
      <c r="N170" s="19" t="s">
        <v>1475</v>
      </c>
      <c r="O170" s="20">
        <v>1</v>
      </c>
      <c r="S170" s="19" t="s">
        <v>20</v>
      </c>
      <c r="T170" s="19" t="s">
        <v>1471</v>
      </c>
    </row>
    <row r="171" spans="1:20">
      <c r="A171" s="20">
        <v>202603328018268</v>
      </c>
      <c r="B171" s="19" t="s">
        <v>20</v>
      </c>
      <c r="C171" s="19" t="s">
        <v>21</v>
      </c>
      <c r="D171" s="19" t="s">
        <v>2119</v>
      </c>
      <c r="E171" s="21">
        <v>46204</v>
      </c>
      <c r="F171" s="21">
        <v>46568</v>
      </c>
      <c r="G171" s="21"/>
      <c r="H171" s="21">
        <v>46204</v>
      </c>
      <c r="I171" s="21">
        <v>46568</v>
      </c>
      <c r="J171" s="19" t="s">
        <v>2073</v>
      </c>
      <c r="L171" s="19">
        <v>19.899142999999999</v>
      </c>
      <c r="M171" s="19">
        <v>19.899142999999999</v>
      </c>
      <c r="N171" s="19" t="s">
        <v>1467</v>
      </c>
      <c r="O171" s="20">
        <v>2</v>
      </c>
      <c r="S171" s="19" t="s">
        <v>20</v>
      </c>
      <c r="T171" s="19" t="s">
        <v>1471</v>
      </c>
    </row>
    <row r="172" spans="1:20">
      <c r="A172" s="20">
        <v>202603328018486</v>
      </c>
      <c r="B172" s="19" t="s">
        <v>20</v>
      </c>
      <c r="C172" s="19" t="s">
        <v>21</v>
      </c>
      <c r="D172" s="19" t="s">
        <v>20</v>
      </c>
      <c r="E172" s="21">
        <v>46204</v>
      </c>
      <c r="F172" s="21">
        <v>46568</v>
      </c>
      <c r="G172" s="21"/>
      <c r="H172" s="21">
        <v>46204</v>
      </c>
      <c r="I172" s="21">
        <v>46568</v>
      </c>
      <c r="J172" s="19" t="s">
        <v>2093</v>
      </c>
      <c r="L172" s="19">
        <v>0</v>
      </c>
      <c r="M172" s="19">
        <v>0</v>
      </c>
      <c r="N172" s="19" t="s">
        <v>2394</v>
      </c>
      <c r="O172" s="20">
        <v>7</v>
      </c>
      <c r="S172" s="19" t="s">
        <v>20</v>
      </c>
      <c r="T172" s="19" t="s">
        <v>1471</v>
      </c>
    </row>
    <row r="173" spans="1:20">
      <c r="A173" s="20">
        <v>202603328018486</v>
      </c>
      <c r="B173" s="19" t="s">
        <v>20</v>
      </c>
      <c r="C173" s="19" t="s">
        <v>21</v>
      </c>
      <c r="D173" s="19" t="s">
        <v>20</v>
      </c>
      <c r="E173" s="21">
        <v>46204</v>
      </c>
      <c r="F173" s="21">
        <v>46568</v>
      </c>
      <c r="G173" s="21"/>
      <c r="H173" s="21">
        <v>46204</v>
      </c>
      <c r="I173" s="21">
        <v>46568</v>
      </c>
      <c r="J173" s="19" t="s">
        <v>2093</v>
      </c>
      <c r="L173" s="19">
        <v>201.43223975000001</v>
      </c>
      <c r="M173" s="19">
        <v>201.43223975000001</v>
      </c>
      <c r="N173" s="19" t="s">
        <v>1475</v>
      </c>
      <c r="O173" s="20">
        <v>7</v>
      </c>
      <c r="S173" s="19" t="s">
        <v>20</v>
      </c>
      <c r="T173" s="19" t="s">
        <v>1471</v>
      </c>
    </row>
    <row r="174" spans="1:20">
      <c r="A174" s="20">
        <v>202603328018605</v>
      </c>
      <c r="B174" s="19" t="s">
        <v>20</v>
      </c>
      <c r="C174" s="19" t="s">
        <v>21</v>
      </c>
      <c r="D174" s="19" t="s">
        <v>20</v>
      </c>
      <c r="E174" s="21">
        <v>46204</v>
      </c>
      <c r="F174" s="21">
        <v>46568</v>
      </c>
      <c r="G174" s="21"/>
      <c r="H174" s="21">
        <v>46204</v>
      </c>
      <c r="I174" s="21">
        <v>46568</v>
      </c>
      <c r="J174" s="19" t="s">
        <v>2120</v>
      </c>
      <c r="L174" s="19">
        <v>0</v>
      </c>
      <c r="M174" s="19">
        <v>0</v>
      </c>
      <c r="N174" s="19" t="s">
        <v>2394</v>
      </c>
      <c r="O174" s="20">
        <v>5</v>
      </c>
      <c r="S174" s="19" t="s">
        <v>20</v>
      </c>
      <c r="T174" s="19" t="s">
        <v>1471</v>
      </c>
    </row>
    <row r="175" spans="1:20">
      <c r="A175" s="20">
        <v>202603328018605</v>
      </c>
      <c r="B175" s="19" t="s">
        <v>20</v>
      </c>
      <c r="C175" s="19" t="s">
        <v>21</v>
      </c>
      <c r="D175" s="19" t="s">
        <v>20</v>
      </c>
      <c r="E175" s="21">
        <v>46204</v>
      </c>
      <c r="F175" s="21">
        <v>46568</v>
      </c>
      <c r="G175" s="21"/>
      <c r="H175" s="21">
        <v>46204</v>
      </c>
      <c r="I175" s="21">
        <v>46568</v>
      </c>
      <c r="J175" s="19" t="s">
        <v>2120</v>
      </c>
      <c r="L175" s="19">
        <v>189.73977500000001</v>
      </c>
      <c r="M175" s="19">
        <v>189.73977500000001</v>
      </c>
      <c r="N175" s="19" t="s">
        <v>1475</v>
      </c>
      <c r="O175" s="20">
        <v>5</v>
      </c>
      <c r="S175" s="19" t="s">
        <v>20</v>
      </c>
      <c r="T175" s="19" t="s">
        <v>1471</v>
      </c>
    </row>
    <row r="176" spans="1:20">
      <c r="A176" s="20">
        <v>202603328018858</v>
      </c>
      <c r="B176" s="19" t="s">
        <v>20</v>
      </c>
      <c r="C176" s="19" t="s">
        <v>21</v>
      </c>
      <c r="D176" s="19" t="s">
        <v>20</v>
      </c>
      <c r="E176" s="21">
        <v>46204</v>
      </c>
      <c r="F176" s="21">
        <v>46568</v>
      </c>
      <c r="G176" s="21"/>
      <c r="H176" s="21">
        <v>46204</v>
      </c>
      <c r="I176" s="21">
        <v>46568</v>
      </c>
      <c r="J176" s="19" t="s">
        <v>2064</v>
      </c>
      <c r="L176" s="19">
        <v>0</v>
      </c>
      <c r="M176" s="19">
        <v>0</v>
      </c>
      <c r="N176" s="19" t="s">
        <v>2394</v>
      </c>
      <c r="O176" s="20">
        <v>6</v>
      </c>
      <c r="S176" s="19" t="s">
        <v>20</v>
      </c>
      <c r="T176" s="19" t="s">
        <v>1471</v>
      </c>
    </row>
    <row r="177" spans="1:20">
      <c r="A177" s="20">
        <v>202603328018858</v>
      </c>
      <c r="B177" s="19" t="s">
        <v>20</v>
      </c>
      <c r="C177" s="19" t="s">
        <v>21</v>
      </c>
      <c r="D177" s="19" t="s">
        <v>20</v>
      </c>
      <c r="E177" s="21">
        <v>46204</v>
      </c>
      <c r="F177" s="21">
        <v>46568</v>
      </c>
      <c r="G177" s="21"/>
      <c r="H177" s="21">
        <v>46204</v>
      </c>
      <c r="I177" s="21">
        <v>46568</v>
      </c>
      <c r="J177" s="19" t="s">
        <v>2064</v>
      </c>
      <c r="L177" s="19">
        <v>198.7837815</v>
      </c>
      <c r="M177" s="19">
        <v>198.7837815</v>
      </c>
      <c r="N177" s="19" t="s">
        <v>1475</v>
      </c>
      <c r="O177" s="20">
        <v>6</v>
      </c>
      <c r="S177" s="19" t="s">
        <v>20</v>
      </c>
      <c r="T177" s="19" t="s">
        <v>1471</v>
      </c>
    </row>
    <row r="178" spans="1:20">
      <c r="A178" s="20">
        <v>202603328019072</v>
      </c>
      <c r="B178" s="19" t="s">
        <v>20</v>
      </c>
      <c r="C178" s="19" t="s">
        <v>21</v>
      </c>
      <c r="D178" s="19" t="s">
        <v>2121</v>
      </c>
      <c r="E178" s="21">
        <v>46204</v>
      </c>
      <c r="F178" s="21">
        <v>46568</v>
      </c>
      <c r="G178" s="21"/>
      <c r="H178" s="21">
        <v>46204</v>
      </c>
      <c r="I178" s="21">
        <v>46568</v>
      </c>
      <c r="J178" s="19" t="s">
        <v>2086</v>
      </c>
      <c r="L178" s="19">
        <v>66.261260500000006</v>
      </c>
      <c r="M178" s="19">
        <v>66.261260500000006</v>
      </c>
      <c r="N178" s="19" t="s">
        <v>1467</v>
      </c>
      <c r="O178" s="20">
        <v>2</v>
      </c>
      <c r="S178" s="19" t="s">
        <v>20</v>
      </c>
      <c r="T178" s="19" t="s">
        <v>1471</v>
      </c>
    </row>
    <row r="179" spans="1:20">
      <c r="A179" s="20">
        <v>202603328020098</v>
      </c>
      <c r="B179" s="19" t="s">
        <v>20</v>
      </c>
      <c r="C179" s="19" t="s">
        <v>21</v>
      </c>
      <c r="D179" s="19" t="s">
        <v>20</v>
      </c>
      <c r="E179" s="21">
        <v>46204</v>
      </c>
      <c r="F179" s="21">
        <v>46568</v>
      </c>
      <c r="G179" s="21"/>
      <c r="H179" s="21">
        <v>46204</v>
      </c>
      <c r="I179" s="21">
        <v>46568</v>
      </c>
      <c r="J179" s="19" t="s">
        <v>2064</v>
      </c>
      <c r="L179" s="19">
        <v>33.130630250000003</v>
      </c>
      <c r="M179" s="19">
        <v>33.130630250000003</v>
      </c>
      <c r="N179" s="19" t="s">
        <v>1475</v>
      </c>
      <c r="O179" s="20">
        <v>1</v>
      </c>
      <c r="S179" s="19" t="s">
        <v>20</v>
      </c>
      <c r="T179" s="19" t="s">
        <v>1471</v>
      </c>
    </row>
    <row r="180" spans="1:20">
      <c r="A180" s="20">
        <v>202603328020570</v>
      </c>
      <c r="B180" s="19" t="s">
        <v>20</v>
      </c>
      <c r="C180" s="19" t="s">
        <v>21</v>
      </c>
      <c r="D180" s="19" t="s">
        <v>20</v>
      </c>
      <c r="E180" s="21">
        <v>46204</v>
      </c>
      <c r="F180" s="21">
        <v>46568</v>
      </c>
      <c r="G180" s="21"/>
      <c r="H180" s="21">
        <v>46204</v>
      </c>
      <c r="I180" s="21">
        <v>46568</v>
      </c>
      <c r="J180" s="19" t="s">
        <v>2062</v>
      </c>
      <c r="L180" s="19">
        <v>0</v>
      </c>
      <c r="M180" s="19">
        <v>0</v>
      </c>
      <c r="N180" s="19" t="s">
        <v>2394</v>
      </c>
      <c r="O180" s="20">
        <v>3</v>
      </c>
      <c r="S180" s="19" t="s">
        <v>20</v>
      </c>
      <c r="T180" s="19" t="s">
        <v>1471</v>
      </c>
    </row>
    <row r="181" spans="1:20">
      <c r="A181" s="20">
        <v>202603328020570</v>
      </c>
      <c r="B181" s="19" t="s">
        <v>20</v>
      </c>
      <c r="C181" s="19" t="s">
        <v>21</v>
      </c>
      <c r="D181" s="19" t="s">
        <v>20</v>
      </c>
      <c r="E181" s="21">
        <v>46204</v>
      </c>
      <c r="F181" s="21">
        <v>46568</v>
      </c>
      <c r="G181" s="21"/>
      <c r="H181" s="21">
        <v>46204</v>
      </c>
      <c r="I181" s="21">
        <v>46568</v>
      </c>
      <c r="J181" s="19" t="s">
        <v>2062</v>
      </c>
      <c r="L181" s="19">
        <v>99.391890750000002</v>
      </c>
      <c r="M181" s="19">
        <v>99.391890750000002</v>
      </c>
      <c r="N181" s="19" t="s">
        <v>1475</v>
      </c>
      <c r="O181" s="20">
        <v>3</v>
      </c>
      <c r="S181" s="19" t="s">
        <v>20</v>
      </c>
      <c r="T181" s="19" t="s">
        <v>1471</v>
      </c>
    </row>
    <row r="182" spans="1:20">
      <c r="A182" s="20">
        <v>202603328021098</v>
      </c>
      <c r="B182" s="19" t="s">
        <v>20</v>
      </c>
      <c r="C182" s="19" t="s">
        <v>21</v>
      </c>
      <c r="D182" s="19" t="s">
        <v>20</v>
      </c>
      <c r="E182" s="21">
        <v>46204</v>
      </c>
      <c r="F182" s="21">
        <v>46568</v>
      </c>
      <c r="G182" s="21"/>
      <c r="H182" s="21">
        <v>46204</v>
      </c>
      <c r="I182" s="21">
        <v>46568</v>
      </c>
      <c r="J182" s="19" t="s">
        <v>2068</v>
      </c>
      <c r="L182" s="19">
        <v>0</v>
      </c>
      <c r="M182" s="19">
        <v>0</v>
      </c>
      <c r="N182" s="19" t="s">
        <v>2394</v>
      </c>
      <c r="O182" s="20">
        <v>2</v>
      </c>
      <c r="S182" s="19" t="s">
        <v>20</v>
      </c>
      <c r="T182" s="19" t="s">
        <v>1471</v>
      </c>
    </row>
    <row r="183" spans="1:20">
      <c r="A183" s="20">
        <v>202603328021098</v>
      </c>
      <c r="B183" s="19" t="s">
        <v>20</v>
      </c>
      <c r="C183" s="19" t="s">
        <v>21</v>
      </c>
      <c r="D183" s="19" t="s">
        <v>20</v>
      </c>
      <c r="E183" s="21">
        <v>46204</v>
      </c>
      <c r="F183" s="21">
        <v>46568</v>
      </c>
      <c r="G183" s="21"/>
      <c r="H183" s="21">
        <v>46204</v>
      </c>
      <c r="I183" s="21">
        <v>46568</v>
      </c>
      <c r="J183" s="19" t="s">
        <v>2068</v>
      </c>
      <c r="L183" s="19">
        <v>52.517367999999998</v>
      </c>
      <c r="M183" s="19">
        <v>52.517367999999998</v>
      </c>
      <c r="N183" s="19" t="s">
        <v>1475</v>
      </c>
      <c r="O183" s="20">
        <v>2</v>
      </c>
      <c r="S183" s="19" t="s">
        <v>20</v>
      </c>
      <c r="T183" s="19" t="s">
        <v>1471</v>
      </c>
    </row>
    <row r="184" spans="1:20">
      <c r="A184" s="20">
        <v>202603328021214</v>
      </c>
      <c r="B184" s="19" t="s">
        <v>20</v>
      </c>
      <c r="C184" s="19" t="s">
        <v>21</v>
      </c>
      <c r="D184" s="19" t="s">
        <v>20</v>
      </c>
      <c r="E184" s="21">
        <v>46204</v>
      </c>
      <c r="F184" s="21">
        <v>46568</v>
      </c>
      <c r="G184" s="21"/>
      <c r="H184" s="21">
        <v>46204</v>
      </c>
      <c r="I184" s="21">
        <v>46568</v>
      </c>
      <c r="J184" s="19" t="s">
        <v>2122</v>
      </c>
      <c r="L184" s="19">
        <v>0</v>
      </c>
      <c r="M184" s="19">
        <v>0</v>
      </c>
      <c r="N184" s="19" t="s">
        <v>2394</v>
      </c>
      <c r="O184" s="20">
        <v>3</v>
      </c>
      <c r="S184" s="19" t="s">
        <v>20</v>
      </c>
      <c r="T184" s="19" t="s">
        <v>1471</v>
      </c>
    </row>
    <row r="185" spans="1:20">
      <c r="A185" s="20">
        <v>202603328021214</v>
      </c>
      <c r="B185" s="19" t="s">
        <v>20</v>
      </c>
      <c r="C185" s="19" t="s">
        <v>21</v>
      </c>
      <c r="D185" s="19" t="s">
        <v>2123</v>
      </c>
      <c r="E185" s="21">
        <v>46204</v>
      </c>
      <c r="F185" s="21">
        <v>46568</v>
      </c>
      <c r="G185" s="21"/>
      <c r="H185" s="21">
        <v>46204</v>
      </c>
      <c r="I185" s="21">
        <v>46568</v>
      </c>
      <c r="J185" s="19" t="s">
        <v>2122</v>
      </c>
      <c r="L185" s="19">
        <v>71.904872249999997</v>
      </c>
      <c r="M185" s="19">
        <v>71.904872249999997</v>
      </c>
      <c r="N185" s="19" t="s">
        <v>1467</v>
      </c>
      <c r="O185" s="20">
        <v>3</v>
      </c>
      <c r="S185" s="19" t="s">
        <v>20</v>
      </c>
      <c r="T185" s="19" t="s">
        <v>1471</v>
      </c>
    </row>
    <row r="186" spans="1:20">
      <c r="A186" s="20">
        <v>202603328021244</v>
      </c>
      <c r="B186" s="19" t="s">
        <v>20</v>
      </c>
      <c r="C186" s="19" t="s">
        <v>21</v>
      </c>
      <c r="D186" s="19" t="s">
        <v>20</v>
      </c>
      <c r="E186" s="21">
        <v>46204</v>
      </c>
      <c r="F186" s="21">
        <v>46568</v>
      </c>
      <c r="G186" s="21"/>
      <c r="H186" s="21">
        <v>46204</v>
      </c>
      <c r="I186" s="21">
        <v>46568</v>
      </c>
      <c r="J186" s="19" t="s">
        <v>2068</v>
      </c>
      <c r="L186" s="19">
        <v>0</v>
      </c>
      <c r="M186" s="19">
        <v>0</v>
      </c>
      <c r="N186" s="19" t="s">
        <v>2394</v>
      </c>
      <c r="O186" s="20">
        <v>4</v>
      </c>
      <c r="S186" s="19" t="s">
        <v>20</v>
      </c>
      <c r="T186" s="19" t="s">
        <v>1471</v>
      </c>
    </row>
    <row r="187" spans="1:20">
      <c r="A187" s="20">
        <v>202603328021244</v>
      </c>
      <c r="B187" s="19" t="s">
        <v>20</v>
      </c>
      <c r="C187" s="19" t="s">
        <v>21</v>
      </c>
      <c r="D187" s="19" t="s">
        <v>20</v>
      </c>
      <c r="E187" s="21">
        <v>46204</v>
      </c>
      <c r="F187" s="21">
        <v>46568</v>
      </c>
      <c r="G187" s="21"/>
      <c r="H187" s="21">
        <v>46204</v>
      </c>
      <c r="I187" s="21">
        <v>46568</v>
      </c>
      <c r="J187" s="19" t="s">
        <v>2068</v>
      </c>
      <c r="L187" s="19">
        <v>105.034736</v>
      </c>
      <c r="M187" s="19">
        <v>105.034736</v>
      </c>
      <c r="N187" s="19" t="s">
        <v>1475</v>
      </c>
      <c r="O187" s="20">
        <v>4</v>
      </c>
      <c r="S187" s="19" t="s">
        <v>20</v>
      </c>
      <c r="T187" s="19" t="s">
        <v>1471</v>
      </c>
    </row>
    <row r="188" spans="1:20">
      <c r="A188" s="20">
        <v>202603328021834</v>
      </c>
      <c r="B188" s="19" t="s">
        <v>20</v>
      </c>
      <c r="C188" s="19" t="s">
        <v>21</v>
      </c>
      <c r="D188" s="19" t="s">
        <v>20</v>
      </c>
      <c r="E188" s="21">
        <v>46204</v>
      </c>
      <c r="F188" s="21">
        <v>46568</v>
      </c>
      <c r="G188" s="21"/>
      <c r="H188" s="21">
        <v>46204</v>
      </c>
      <c r="I188" s="21">
        <v>46568</v>
      </c>
      <c r="J188" s="19" t="s">
        <v>2073</v>
      </c>
      <c r="L188" s="19">
        <v>0</v>
      </c>
      <c r="M188" s="19">
        <v>0</v>
      </c>
      <c r="N188" s="19" t="s">
        <v>2394</v>
      </c>
      <c r="O188" s="20">
        <v>4</v>
      </c>
      <c r="S188" s="19" t="s">
        <v>20</v>
      </c>
      <c r="T188" s="19" t="s">
        <v>1471</v>
      </c>
    </row>
    <row r="189" spans="1:20">
      <c r="A189" s="20">
        <v>202603328021834</v>
      </c>
      <c r="B189" s="19" t="s">
        <v>20</v>
      </c>
      <c r="C189" s="19" t="s">
        <v>21</v>
      </c>
      <c r="D189" s="19" t="s">
        <v>20</v>
      </c>
      <c r="E189" s="21">
        <v>46204</v>
      </c>
      <c r="F189" s="21">
        <v>46568</v>
      </c>
      <c r="G189" s="21"/>
      <c r="H189" s="21">
        <v>46204</v>
      </c>
      <c r="I189" s="21">
        <v>46568</v>
      </c>
      <c r="J189" s="19" t="s">
        <v>2073</v>
      </c>
      <c r="L189" s="19">
        <v>105.034736</v>
      </c>
      <c r="M189" s="19">
        <v>105.034736</v>
      </c>
      <c r="N189" s="19" t="s">
        <v>1475</v>
      </c>
      <c r="O189" s="20">
        <v>4</v>
      </c>
      <c r="S189" s="19" t="s">
        <v>20</v>
      </c>
      <c r="T189" s="19" t="s">
        <v>1471</v>
      </c>
    </row>
    <row r="190" spans="1:20">
      <c r="A190" s="20">
        <v>202603328022338</v>
      </c>
      <c r="B190" s="19" t="s">
        <v>20</v>
      </c>
      <c r="C190" s="19" t="s">
        <v>21</v>
      </c>
      <c r="D190" s="19" t="s">
        <v>20</v>
      </c>
      <c r="E190" s="21">
        <v>46204</v>
      </c>
      <c r="F190" s="21">
        <v>46568</v>
      </c>
      <c r="G190" s="21"/>
      <c r="H190" s="21">
        <v>46204</v>
      </c>
      <c r="I190" s="21">
        <v>46568</v>
      </c>
      <c r="J190" s="19" t="s">
        <v>2068</v>
      </c>
      <c r="L190" s="19">
        <v>0</v>
      </c>
      <c r="M190" s="19">
        <v>0</v>
      </c>
      <c r="N190" s="19" t="s">
        <v>2394</v>
      </c>
      <c r="O190" s="20">
        <v>3</v>
      </c>
      <c r="S190" s="19" t="s">
        <v>20</v>
      </c>
      <c r="T190" s="19" t="s">
        <v>1471</v>
      </c>
    </row>
    <row r="191" spans="1:20">
      <c r="A191" s="20">
        <v>202603328022338</v>
      </c>
      <c r="B191" s="19" t="s">
        <v>20</v>
      </c>
      <c r="C191" s="19" t="s">
        <v>21</v>
      </c>
      <c r="D191" s="19" t="s">
        <v>20</v>
      </c>
      <c r="E191" s="21">
        <v>46204</v>
      </c>
      <c r="F191" s="21">
        <v>46568</v>
      </c>
      <c r="G191" s="21"/>
      <c r="H191" s="21">
        <v>46204</v>
      </c>
      <c r="I191" s="21">
        <v>46568</v>
      </c>
      <c r="J191" s="19" t="s">
        <v>2068</v>
      </c>
      <c r="L191" s="19">
        <v>78.776052000000007</v>
      </c>
      <c r="M191" s="19">
        <v>78.776052000000007</v>
      </c>
      <c r="N191" s="19" t="s">
        <v>1475</v>
      </c>
      <c r="O191" s="20">
        <v>3</v>
      </c>
      <c r="S191" s="19" t="s">
        <v>20</v>
      </c>
      <c r="T191" s="19" t="s">
        <v>1471</v>
      </c>
    </row>
    <row r="192" spans="1:20">
      <c r="A192" s="20">
        <v>202603328022751</v>
      </c>
      <c r="B192" s="19" t="s">
        <v>20</v>
      </c>
      <c r="C192" s="19" t="s">
        <v>21</v>
      </c>
      <c r="D192" s="19" t="s">
        <v>20</v>
      </c>
      <c r="E192" s="21">
        <v>46204</v>
      </c>
      <c r="F192" s="21">
        <v>46568</v>
      </c>
      <c r="G192" s="21"/>
      <c r="H192" s="21">
        <v>46204</v>
      </c>
      <c r="I192" s="21">
        <v>46568</v>
      </c>
      <c r="J192" s="19" t="s">
        <v>2083</v>
      </c>
      <c r="L192" s="19">
        <v>0</v>
      </c>
      <c r="M192" s="19">
        <v>0</v>
      </c>
      <c r="N192" s="19" t="s">
        <v>2394</v>
      </c>
      <c r="O192" s="20">
        <v>2</v>
      </c>
      <c r="S192" s="19" t="s">
        <v>20</v>
      </c>
      <c r="T192" s="19" t="s">
        <v>1471</v>
      </c>
    </row>
    <row r="193" spans="1:20">
      <c r="A193" s="20">
        <v>202603328022751</v>
      </c>
      <c r="B193" s="19" t="s">
        <v>20</v>
      </c>
      <c r="C193" s="19" t="s">
        <v>21</v>
      </c>
      <c r="D193" s="19" t="s">
        <v>20</v>
      </c>
      <c r="E193" s="21">
        <v>46204</v>
      </c>
      <c r="F193" s="21">
        <v>46568</v>
      </c>
      <c r="G193" s="21"/>
      <c r="H193" s="21">
        <v>46204</v>
      </c>
      <c r="I193" s="21">
        <v>46568</v>
      </c>
      <c r="J193" s="19" t="s">
        <v>2083</v>
      </c>
      <c r="L193" s="19">
        <v>66.261260500000006</v>
      </c>
      <c r="M193" s="19">
        <v>66.261260500000006</v>
      </c>
      <c r="N193" s="19" t="s">
        <v>1475</v>
      </c>
      <c r="O193" s="20">
        <v>2</v>
      </c>
      <c r="S193" s="19" t="s">
        <v>20</v>
      </c>
      <c r="T193" s="19" t="s">
        <v>1471</v>
      </c>
    </row>
    <row r="194" spans="1:20">
      <c r="A194" s="20">
        <v>202603328022775</v>
      </c>
      <c r="B194" s="19" t="s">
        <v>20</v>
      </c>
      <c r="C194" s="19" t="s">
        <v>21</v>
      </c>
      <c r="D194" s="19" t="s">
        <v>20</v>
      </c>
      <c r="E194" s="21">
        <v>46204</v>
      </c>
      <c r="F194" s="21">
        <v>46568</v>
      </c>
      <c r="G194" s="21"/>
      <c r="H194" s="21">
        <v>46204</v>
      </c>
      <c r="I194" s="21">
        <v>46568</v>
      </c>
      <c r="J194" s="19" t="s">
        <v>1473</v>
      </c>
      <c r="L194" s="19">
        <v>0</v>
      </c>
      <c r="M194" s="19">
        <v>0</v>
      </c>
      <c r="N194" s="19" t="s">
        <v>2394</v>
      </c>
      <c r="O194" s="20">
        <v>2</v>
      </c>
      <c r="S194" s="19" t="s">
        <v>20</v>
      </c>
      <c r="T194" s="19" t="s">
        <v>1471</v>
      </c>
    </row>
    <row r="195" spans="1:20">
      <c r="A195" s="20">
        <v>202603328022775</v>
      </c>
      <c r="B195" s="19" t="s">
        <v>20</v>
      </c>
      <c r="C195" s="19" t="s">
        <v>21</v>
      </c>
      <c r="D195" s="19" t="s">
        <v>20</v>
      </c>
      <c r="E195" s="21">
        <v>46204</v>
      </c>
      <c r="F195" s="21">
        <v>46568</v>
      </c>
      <c r="G195" s="21"/>
      <c r="H195" s="21">
        <v>46204</v>
      </c>
      <c r="I195" s="21">
        <v>46568</v>
      </c>
      <c r="J195" s="19" t="s">
        <v>1473</v>
      </c>
      <c r="L195" s="19">
        <v>49.241346999999998</v>
      </c>
      <c r="M195" s="19">
        <v>49.241346999999998</v>
      </c>
      <c r="N195" s="19" t="s">
        <v>1475</v>
      </c>
      <c r="O195" s="20">
        <v>2</v>
      </c>
      <c r="S195" s="19" t="s">
        <v>20</v>
      </c>
      <c r="T195" s="19" t="s">
        <v>1471</v>
      </c>
    </row>
    <row r="196" spans="1:20">
      <c r="A196" s="20">
        <v>202603328023814</v>
      </c>
      <c r="B196" s="19" t="s">
        <v>20</v>
      </c>
      <c r="C196" s="19" t="s">
        <v>21</v>
      </c>
      <c r="D196" s="19" t="s">
        <v>20</v>
      </c>
      <c r="E196" s="21">
        <v>46204</v>
      </c>
      <c r="F196" s="21">
        <v>46568</v>
      </c>
      <c r="G196" s="21"/>
      <c r="H196" s="21">
        <v>46204</v>
      </c>
      <c r="I196" s="21">
        <v>46568</v>
      </c>
      <c r="J196" s="19" t="s">
        <v>2083</v>
      </c>
      <c r="L196" s="19">
        <v>33.130630250000003</v>
      </c>
      <c r="M196" s="19">
        <v>33.130630250000003</v>
      </c>
      <c r="N196" s="19" t="s">
        <v>1475</v>
      </c>
      <c r="O196" s="20">
        <v>1</v>
      </c>
      <c r="S196" s="19" t="s">
        <v>20</v>
      </c>
      <c r="T196" s="19" t="s">
        <v>1471</v>
      </c>
    </row>
    <row r="197" spans="1:20">
      <c r="A197" s="20">
        <v>202603328024373</v>
      </c>
      <c r="B197" s="19" t="s">
        <v>20</v>
      </c>
      <c r="C197" s="19" t="s">
        <v>21</v>
      </c>
      <c r="D197" s="19" t="s">
        <v>20</v>
      </c>
      <c r="E197" s="21">
        <v>46204</v>
      </c>
      <c r="F197" s="21">
        <v>46568</v>
      </c>
      <c r="G197" s="21"/>
      <c r="H197" s="21">
        <v>46204</v>
      </c>
      <c r="I197" s="21">
        <v>46568</v>
      </c>
      <c r="J197" s="19" t="s">
        <v>2080</v>
      </c>
      <c r="L197" s="19">
        <v>0</v>
      </c>
      <c r="M197" s="19">
        <v>0</v>
      </c>
      <c r="N197" s="19" t="s">
        <v>2394</v>
      </c>
      <c r="O197" s="20">
        <v>4</v>
      </c>
      <c r="S197" s="19" t="s">
        <v>20</v>
      </c>
      <c r="T197" s="19" t="s">
        <v>1471</v>
      </c>
    </row>
    <row r="198" spans="1:20">
      <c r="A198" s="20">
        <v>202603328024373</v>
      </c>
      <c r="B198" s="19" t="s">
        <v>20</v>
      </c>
      <c r="C198" s="19" t="s">
        <v>21</v>
      </c>
      <c r="D198" s="19" t="s">
        <v>20</v>
      </c>
      <c r="E198" s="21">
        <v>46204</v>
      </c>
      <c r="F198" s="21">
        <v>46568</v>
      </c>
      <c r="G198" s="21"/>
      <c r="H198" s="21">
        <v>46204</v>
      </c>
      <c r="I198" s="21">
        <v>46568</v>
      </c>
      <c r="J198" s="19" t="s">
        <v>2080</v>
      </c>
      <c r="L198" s="19">
        <v>132.52252100000001</v>
      </c>
      <c r="M198" s="19">
        <v>132.52252100000001</v>
      </c>
      <c r="N198" s="19" t="s">
        <v>1475</v>
      </c>
      <c r="O198" s="20">
        <v>4</v>
      </c>
      <c r="S198" s="19" t="s">
        <v>20</v>
      </c>
      <c r="T198" s="19" t="s">
        <v>1471</v>
      </c>
    </row>
    <row r="199" spans="1:20">
      <c r="A199" s="20">
        <v>202603328025386</v>
      </c>
      <c r="B199" s="19" t="s">
        <v>20</v>
      </c>
      <c r="C199" s="19" t="s">
        <v>21</v>
      </c>
      <c r="D199" s="19" t="s">
        <v>20</v>
      </c>
      <c r="E199" s="21">
        <v>46204</v>
      </c>
      <c r="F199" s="21">
        <v>46568</v>
      </c>
      <c r="G199" s="21"/>
      <c r="H199" s="21">
        <v>46204</v>
      </c>
      <c r="I199" s="21">
        <v>46568</v>
      </c>
      <c r="J199" s="19" t="s">
        <v>2087</v>
      </c>
      <c r="L199" s="19">
        <v>0</v>
      </c>
      <c r="M199" s="19">
        <v>0</v>
      </c>
      <c r="N199" s="19" t="s">
        <v>2394</v>
      </c>
      <c r="O199" s="20">
        <v>5</v>
      </c>
      <c r="S199" s="19" t="s">
        <v>20</v>
      </c>
      <c r="T199" s="19" t="s">
        <v>1471</v>
      </c>
    </row>
    <row r="200" spans="1:20">
      <c r="A200" s="20">
        <v>202603328025386</v>
      </c>
      <c r="B200" s="19" t="s">
        <v>20</v>
      </c>
      <c r="C200" s="19" t="s">
        <v>21</v>
      </c>
      <c r="D200" s="19" t="s">
        <v>20</v>
      </c>
      <c r="E200" s="21">
        <v>46204</v>
      </c>
      <c r="F200" s="21">
        <v>46568</v>
      </c>
      <c r="G200" s="21"/>
      <c r="H200" s="21">
        <v>46204</v>
      </c>
      <c r="I200" s="21">
        <v>46568</v>
      </c>
      <c r="J200" s="19" t="s">
        <v>2087</v>
      </c>
      <c r="L200" s="19">
        <v>165.65315125000001</v>
      </c>
      <c r="M200" s="19">
        <v>165.65315125000001</v>
      </c>
      <c r="N200" s="19" t="s">
        <v>1475</v>
      </c>
      <c r="O200" s="20">
        <v>5</v>
      </c>
      <c r="S200" s="19" t="s">
        <v>20</v>
      </c>
      <c r="T200" s="19" t="s">
        <v>1471</v>
      </c>
    </row>
    <row r="201" spans="1:20">
      <c r="A201" s="20">
        <v>202603328028584</v>
      </c>
      <c r="B201" s="19" t="s">
        <v>20</v>
      </c>
      <c r="C201" s="19" t="s">
        <v>21</v>
      </c>
      <c r="D201" s="19" t="s">
        <v>20</v>
      </c>
      <c r="E201" s="21">
        <v>46204</v>
      </c>
      <c r="F201" s="21">
        <v>46568</v>
      </c>
      <c r="G201" s="21"/>
      <c r="H201" s="21">
        <v>46204</v>
      </c>
      <c r="I201" s="21">
        <v>46568</v>
      </c>
      <c r="J201" s="19" t="s">
        <v>2124</v>
      </c>
      <c r="L201" s="19">
        <v>0</v>
      </c>
      <c r="M201" s="19">
        <v>0</v>
      </c>
      <c r="N201" s="19" t="s">
        <v>2394</v>
      </c>
      <c r="O201" s="20">
        <v>2</v>
      </c>
      <c r="S201" s="19" t="s">
        <v>20</v>
      </c>
      <c r="T201" s="19" t="s">
        <v>1471</v>
      </c>
    </row>
    <row r="202" spans="1:20">
      <c r="A202" s="20">
        <v>202603328028584</v>
      </c>
      <c r="B202" s="19" t="s">
        <v>20</v>
      </c>
      <c r="C202" s="19" t="s">
        <v>21</v>
      </c>
      <c r="D202" s="19" t="s">
        <v>2125</v>
      </c>
      <c r="E202" s="21">
        <v>46204</v>
      </c>
      <c r="F202" s="21">
        <v>46568</v>
      </c>
      <c r="G202" s="21"/>
      <c r="H202" s="21">
        <v>46204</v>
      </c>
      <c r="I202" s="21">
        <v>46568</v>
      </c>
      <c r="J202" s="19" t="s">
        <v>2124</v>
      </c>
      <c r="L202" s="19">
        <v>68.933498499999999</v>
      </c>
      <c r="M202" s="19">
        <v>68.933498499999999</v>
      </c>
      <c r="N202" s="19" t="s">
        <v>1467</v>
      </c>
      <c r="O202" s="20">
        <v>2</v>
      </c>
      <c r="S202" s="19" t="s">
        <v>20</v>
      </c>
      <c r="T202" s="19" t="s">
        <v>1471</v>
      </c>
    </row>
    <row r="203" spans="1:20">
      <c r="A203" s="20">
        <v>202603328030130</v>
      </c>
      <c r="B203" s="19" t="s">
        <v>20</v>
      </c>
      <c r="C203" s="19" t="s">
        <v>21</v>
      </c>
      <c r="D203" s="19" t="s">
        <v>2126</v>
      </c>
      <c r="E203" s="21">
        <v>46204</v>
      </c>
      <c r="F203" s="21">
        <v>46568</v>
      </c>
      <c r="G203" s="21"/>
      <c r="H203" s="21">
        <v>46204</v>
      </c>
      <c r="I203" s="21">
        <v>46568</v>
      </c>
      <c r="J203" s="19" t="s">
        <v>2069</v>
      </c>
      <c r="L203" s="19">
        <v>33.130630250000003</v>
      </c>
      <c r="M203" s="19">
        <v>33.130630250000003</v>
      </c>
      <c r="N203" s="19" t="s">
        <v>1467</v>
      </c>
      <c r="O203" s="20">
        <v>1</v>
      </c>
      <c r="S203" s="19" t="s">
        <v>20</v>
      </c>
      <c r="T203" s="19" t="s">
        <v>1471</v>
      </c>
    </row>
    <row r="204" spans="1:20">
      <c r="A204" s="20">
        <v>202603328030393</v>
      </c>
      <c r="B204" s="19" t="s">
        <v>20</v>
      </c>
      <c r="C204" s="19" t="s">
        <v>21</v>
      </c>
      <c r="D204" s="19" t="s">
        <v>20</v>
      </c>
      <c r="E204" s="21">
        <v>46204</v>
      </c>
      <c r="F204" s="21">
        <v>46568</v>
      </c>
      <c r="G204" s="21"/>
      <c r="H204" s="21">
        <v>46204</v>
      </c>
      <c r="I204" s="21">
        <v>46568</v>
      </c>
      <c r="J204" s="19" t="s">
        <v>2085</v>
      </c>
      <c r="L204" s="19">
        <v>0</v>
      </c>
      <c r="M204" s="19">
        <v>0</v>
      </c>
      <c r="N204" s="19" t="s">
        <v>2394</v>
      </c>
      <c r="O204" s="20">
        <v>4</v>
      </c>
      <c r="S204" s="19" t="s">
        <v>20</v>
      </c>
      <c r="T204" s="19" t="s">
        <v>1471</v>
      </c>
    </row>
    <row r="205" spans="1:20">
      <c r="A205" s="20">
        <v>202603328030393</v>
      </c>
      <c r="B205" s="19" t="s">
        <v>20</v>
      </c>
      <c r="C205" s="19" t="s">
        <v>21</v>
      </c>
      <c r="D205" s="19" t="s">
        <v>20</v>
      </c>
      <c r="E205" s="21">
        <v>46204</v>
      </c>
      <c r="F205" s="21">
        <v>46568</v>
      </c>
      <c r="G205" s="21"/>
      <c r="H205" s="21">
        <v>46204</v>
      </c>
      <c r="I205" s="21">
        <v>46568</v>
      </c>
      <c r="J205" s="19" t="s">
        <v>2085</v>
      </c>
      <c r="L205" s="19">
        <v>98.482693999999995</v>
      </c>
      <c r="M205" s="19">
        <v>98.482693999999995</v>
      </c>
      <c r="N205" s="19" t="s">
        <v>1475</v>
      </c>
      <c r="O205" s="20">
        <v>4</v>
      </c>
      <c r="S205" s="19" t="s">
        <v>20</v>
      </c>
      <c r="T205" s="19" t="s">
        <v>1471</v>
      </c>
    </row>
    <row r="206" spans="1:20">
      <c r="A206" s="20">
        <v>202603328030786</v>
      </c>
      <c r="B206" s="19" t="s">
        <v>20</v>
      </c>
      <c r="C206" s="19" t="s">
        <v>21</v>
      </c>
      <c r="D206" s="19" t="s">
        <v>20</v>
      </c>
      <c r="E206" s="21">
        <v>46204</v>
      </c>
      <c r="F206" s="21">
        <v>46568</v>
      </c>
      <c r="G206" s="21"/>
      <c r="H206" s="21">
        <v>46204</v>
      </c>
      <c r="I206" s="21">
        <v>46568</v>
      </c>
      <c r="J206" s="19" t="s">
        <v>2065</v>
      </c>
      <c r="L206" s="19">
        <v>0</v>
      </c>
      <c r="M206" s="19">
        <v>0</v>
      </c>
      <c r="N206" s="19" t="s">
        <v>2394</v>
      </c>
      <c r="O206" s="20">
        <v>5</v>
      </c>
      <c r="S206" s="19" t="s">
        <v>20</v>
      </c>
      <c r="T206" s="19" t="s">
        <v>1471</v>
      </c>
    </row>
    <row r="207" spans="1:20">
      <c r="A207" s="20">
        <v>202603328030786</v>
      </c>
      <c r="B207" s="19" t="s">
        <v>20</v>
      </c>
      <c r="C207" s="19" t="s">
        <v>21</v>
      </c>
      <c r="D207" s="19" t="s">
        <v>2127</v>
      </c>
      <c r="E207" s="21">
        <v>46204</v>
      </c>
      <c r="F207" s="21">
        <v>46568</v>
      </c>
      <c r="G207" s="21"/>
      <c r="H207" s="21">
        <v>46204</v>
      </c>
      <c r="I207" s="21">
        <v>46568</v>
      </c>
      <c r="J207" s="19" t="s">
        <v>2065</v>
      </c>
      <c r="L207" s="19">
        <v>131.29342</v>
      </c>
      <c r="M207" s="19">
        <v>131.29342</v>
      </c>
      <c r="N207" s="19" t="s">
        <v>1467</v>
      </c>
      <c r="O207" s="20">
        <v>5</v>
      </c>
      <c r="S207" s="19" t="s">
        <v>20</v>
      </c>
      <c r="T207" s="19" t="s">
        <v>1471</v>
      </c>
    </row>
    <row r="208" spans="1:20">
      <c r="A208" s="20">
        <v>202603328031255</v>
      </c>
      <c r="B208" s="19" t="s">
        <v>20</v>
      </c>
      <c r="C208" s="19" t="s">
        <v>21</v>
      </c>
      <c r="D208" s="19" t="s">
        <v>20</v>
      </c>
      <c r="E208" s="21">
        <v>46204</v>
      </c>
      <c r="F208" s="21">
        <v>46568</v>
      </c>
      <c r="G208" s="21"/>
      <c r="H208" s="21">
        <v>46204</v>
      </c>
      <c r="I208" s="21">
        <v>46568</v>
      </c>
      <c r="J208" s="19" t="s">
        <v>2077</v>
      </c>
      <c r="L208" s="19">
        <v>0</v>
      </c>
      <c r="M208" s="19">
        <v>0</v>
      </c>
      <c r="N208" s="19" t="s">
        <v>2394</v>
      </c>
      <c r="O208" s="20">
        <v>5</v>
      </c>
      <c r="S208" s="19" t="s">
        <v>20</v>
      </c>
      <c r="T208" s="19" t="s">
        <v>1471</v>
      </c>
    </row>
    <row r="209" spans="1:20">
      <c r="A209" s="20">
        <v>202603328031255</v>
      </c>
      <c r="B209" s="19" t="s">
        <v>20</v>
      </c>
      <c r="C209" s="19" t="s">
        <v>21</v>
      </c>
      <c r="D209" s="19" t="s">
        <v>20</v>
      </c>
      <c r="E209" s="21">
        <v>46204</v>
      </c>
      <c r="F209" s="21">
        <v>46568</v>
      </c>
      <c r="G209" s="21"/>
      <c r="H209" s="21">
        <v>46204</v>
      </c>
      <c r="I209" s="21">
        <v>46568</v>
      </c>
      <c r="J209" s="19" t="s">
        <v>2077</v>
      </c>
      <c r="L209" s="19">
        <v>149.08780874999999</v>
      </c>
      <c r="M209" s="19">
        <v>149.08780874999999</v>
      </c>
      <c r="N209" s="19" t="s">
        <v>1475</v>
      </c>
      <c r="O209" s="20">
        <v>5</v>
      </c>
      <c r="S209" s="19" t="s">
        <v>20</v>
      </c>
      <c r="T209" s="19" t="s">
        <v>1471</v>
      </c>
    </row>
    <row r="210" spans="1:20">
      <c r="A210" s="20">
        <v>202603328031375</v>
      </c>
      <c r="B210" s="19" t="s">
        <v>20</v>
      </c>
      <c r="C210" s="19" t="s">
        <v>21</v>
      </c>
      <c r="D210" s="19" t="s">
        <v>20</v>
      </c>
      <c r="E210" s="21">
        <v>46204</v>
      </c>
      <c r="F210" s="21">
        <v>46568</v>
      </c>
      <c r="G210" s="21"/>
      <c r="H210" s="21">
        <v>46204</v>
      </c>
      <c r="I210" s="21">
        <v>46568</v>
      </c>
      <c r="J210" s="19" t="s">
        <v>2128</v>
      </c>
      <c r="L210" s="19">
        <v>29.817561749999999</v>
      </c>
      <c r="M210" s="19">
        <v>29.817561749999999</v>
      </c>
      <c r="N210" s="19" t="s">
        <v>1475</v>
      </c>
      <c r="O210" s="20">
        <v>1</v>
      </c>
      <c r="S210" s="19" t="s">
        <v>20</v>
      </c>
      <c r="T210" s="19" t="s">
        <v>1471</v>
      </c>
    </row>
    <row r="211" spans="1:20">
      <c r="A211" s="20">
        <v>202603328032436</v>
      </c>
      <c r="B211" s="19" t="s">
        <v>20</v>
      </c>
      <c r="C211" s="19" t="s">
        <v>21</v>
      </c>
      <c r="D211" s="19" t="s">
        <v>20</v>
      </c>
      <c r="E211" s="21">
        <v>46204</v>
      </c>
      <c r="F211" s="21">
        <v>46568</v>
      </c>
      <c r="G211" s="21"/>
      <c r="H211" s="21">
        <v>46204</v>
      </c>
      <c r="I211" s="21">
        <v>46568</v>
      </c>
      <c r="J211" s="19" t="s">
        <v>2129</v>
      </c>
      <c r="L211" s="19">
        <v>33.130630250000003</v>
      </c>
      <c r="M211" s="19">
        <v>33.130630250000003</v>
      </c>
      <c r="N211" s="19" t="s">
        <v>1475</v>
      </c>
      <c r="O211" s="20">
        <v>1</v>
      </c>
      <c r="S211" s="19" t="s">
        <v>20</v>
      </c>
      <c r="T211" s="19" t="s">
        <v>1471</v>
      </c>
    </row>
    <row r="212" spans="1:20">
      <c r="A212" s="20">
        <v>202603328032779</v>
      </c>
      <c r="B212" s="19" t="s">
        <v>20</v>
      </c>
      <c r="C212" s="19" t="s">
        <v>21</v>
      </c>
      <c r="D212" s="19" t="s">
        <v>20</v>
      </c>
      <c r="E212" s="21">
        <v>46204</v>
      </c>
      <c r="F212" s="21">
        <v>46568</v>
      </c>
      <c r="G212" s="21"/>
      <c r="H212" s="21">
        <v>46204</v>
      </c>
      <c r="I212" s="21">
        <v>46568</v>
      </c>
      <c r="J212" s="19" t="s">
        <v>2064</v>
      </c>
      <c r="L212" s="19">
        <v>33.130630250000003</v>
      </c>
      <c r="M212" s="19">
        <v>33.130630250000003</v>
      </c>
      <c r="N212" s="19" t="s">
        <v>1475</v>
      </c>
      <c r="O212" s="20">
        <v>1</v>
      </c>
      <c r="S212" s="19" t="s">
        <v>20</v>
      </c>
      <c r="T212" s="19" t="s">
        <v>1471</v>
      </c>
    </row>
    <row r="213" spans="1:20">
      <c r="A213" s="20">
        <v>202603328032809</v>
      </c>
      <c r="B213" s="19" t="s">
        <v>20</v>
      </c>
      <c r="C213" s="19" t="s">
        <v>21</v>
      </c>
      <c r="D213" s="19" t="s">
        <v>20</v>
      </c>
      <c r="E213" s="21">
        <v>46204</v>
      </c>
      <c r="F213" s="21">
        <v>46568</v>
      </c>
      <c r="G213" s="21"/>
      <c r="H213" s="21">
        <v>46204</v>
      </c>
      <c r="I213" s="21">
        <v>46568</v>
      </c>
      <c r="J213" s="19" t="s">
        <v>2130</v>
      </c>
      <c r="L213" s="19">
        <v>18.160082249999999</v>
      </c>
      <c r="M213" s="19">
        <v>18.160082249999999</v>
      </c>
      <c r="N213" s="19" t="s">
        <v>1475</v>
      </c>
      <c r="O213" s="20">
        <v>1</v>
      </c>
      <c r="S213" s="19" t="s">
        <v>20</v>
      </c>
      <c r="T213" s="19" t="s">
        <v>1471</v>
      </c>
    </row>
    <row r="214" spans="1:20">
      <c r="A214" s="20">
        <v>202603328034825</v>
      </c>
      <c r="B214" s="19" t="s">
        <v>20</v>
      </c>
      <c r="C214" s="19" t="s">
        <v>21</v>
      </c>
      <c r="D214" s="19" t="s">
        <v>20</v>
      </c>
      <c r="E214" s="21">
        <v>46204</v>
      </c>
      <c r="F214" s="21">
        <v>46568</v>
      </c>
      <c r="G214" s="21"/>
      <c r="H214" s="21">
        <v>46204</v>
      </c>
      <c r="I214" s="21">
        <v>46568</v>
      </c>
      <c r="J214" s="19" t="s">
        <v>2085</v>
      </c>
      <c r="L214" s="19">
        <v>0</v>
      </c>
      <c r="M214" s="19">
        <v>0</v>
      </c>
      <c r="N214" s="19" t="s">
        <v>2394</v>
      </c>
      <c r="O214" s="20">
        <v>3</v>
      </c>
      <c r="S214" s="19" t="s">
        <v>20</v>
      </c>
      <c r="T214" s="19" t="s">
        <v>1471</v>
      </c>
    </row>
    <row r="215" spans="1:20">
      <c r="A215" s="20">
        <v>202603328034825</v>
      </c>
      <c r="B215" s="19" t="s">
        <v>20</v>
      </c>
      <c r="C215" s="19" t="s">
        <v>21</v>
      </c>
      <c r="D215" s="19" t="s">
        <v>20</v>
      </c>
      <c r="E215" s="21">
        <v>46204</v>
      </c>
      <c r="F215" s="21">
        <v>46568</v>
      </c>
      <c r="G215" s="21"/>
      <c r="H215" s="21">
        <v>46204</v>
      </c>
      <c r="I215" s="21">
        <v>46568</v>
      </c>
      <c r="J215" s="19" t="s">
        <v>2085</v>
      </c>
      <c r="L215" s="19">
        <v>73.8620205</v>
      </c>
      <c r="M215" s="19">
        <v>73.8620205</v>
      </c>
      <c r="N215" s="19" t="s">
        <v>1475</v>
      </c>
      <c r="O215" s="20">
        <v>3</v>
      </c>
      <c r="S215" s="19" t="s">
        <v>20</v>
      </c>
      <c r="T215" s="19" t="s">
        <v>1471</v>
      </c>
    </row>
    <row r="216" spans="1:20">
      <c r="A216" s="20">
        <v>202603328034976</v>
      </c>
      <c r="B216" s="19" t="s">
        <v>20</v>
      </c>
      <c r="C216" s="19" t="s">
        <v>21</v>
      </c>
      <c r="D216" s="19" t="s">
        <v>20</v>
      </c>
      <c r="E216" s="21">
        <v>46204</v>
      </c>
      <c r="F216" s="21">
        <v>46568</v>
      </c>
      <c r="G216" s="21"/>
      <c r="H216" s="21">
        <v>46204</v>
      </c>
      <c r="I216" s="21">
        <v>46568</v>
      </c>
      <c r="J216" s="19" t="s">
        <v>2131</v>
      </c>
      <c r="L216" s="19">
        <v>38.659559000000002</v>
      </c>
      <c r="M216" s="19">
        <v>38.659559000000002</v>
      </c>
      <c r="N216" s="19" t="s">
        <v>1475</v>
      </c>
      <c r="O216" s="20">
        <v>1</v>
      </c>
      <c r="S216" s="19" t="s">
        <v>20</v>
      </c>
      <c r="T216" s="19" t="s">
        <v>1471</v>
      </c>
    </row>
    <row r="217" spans="1:20">
      <c r="A217" s="20">
        <v>202603328035123</v>
      </c>
      <c r="B217" s="19" t="s">
        <v>20</v>
      </c>
      <c r="C217" s="19" t="s">
        <v>21</v>
      </c>
      <c r="D217" s="19" t="s">
        <v>20</v>
      </c>
      <c r="E217" s="21">
        <v>46204</v>
      </c>
      <c r="F217" s="21">
        <v>46568</v>
      </c>
      <c r="G217" s="21"/>
      <c r="H217" s="21">
        <v>46204</v>
      </c>
      <c r="I217" s="21">
        <v>46568</v>
      </c>
      <c r="J217" s="19" t="s">
        <v>2064</v>
      </c>
      <c r="L217" s="19">
        <v>33.130630250000003</v>
      </c>
      <c r="M217" s="19">
        <v>33.130630250000003</v>
      </c>
      <c r="N217" s="19" t="s">
        <v>1475</v>
      </c>
      <c r="O217" s="20">
        <v>1</v>
      </c>
      <c r="S217" s="19" t="s">
        <v>20</v>
      </c>
      <c r="T217" s="19" t="s">
        <v>1471</v>
      </c>
    </row>
    <row r="218" spans="1:20">
      <c r="A218" s="20">
        <v>202603328035670</v>
      </c>
      <c r="B218" s="19" t="s">
        <v>20</v>
      </c>
      <c r="C218" s="19" t="s">
        <v>21</v>
      </c>
      <c r="D218" s="19" t="s">
        <v>20</v>
      </c>
      <c r="E218" s="21">
        <v>46204</v>
      </c>
      <c r="F218" s="21">
        <v>46568</v>
      </c>
      <c r="G218" s="21"/>
      <c r="H218" s="21">
        <v>46204</v>
      </c>
      <c r="I218" s="21">
        <v>46568</v>
      </c>
      <c r="J218" s="19" t="s">
        <v>2132</v>
      </c>
      <c r="L218" s="19">
        <v>0</v>
      </c>
      <c r="M218" s="19">
        <v>0</v>
      </c>
      <c r="N218" s="19" t="s">
        <v>2394</v>
      </c>
      <c r="O218" s="20">
        <v>3</v>
      </c>
      <c r="S218" s="19" t="s">
        <v>20</v>
      </c>
      <c r="T218" s="19" t="s">
        <v>1471</v>
      </c>
    </row>
    <row r="219" spans="1:20">
      <c r="A219" s="20">
        <v>202603328035670</v>
      </c>
      <c r="B219" s="19" t="s">
        <v>20</v>
      </c>
      <c r="C219" s="19" t="s">
        <v>21</v>
      </c>
      <c r="D219" s="19" t="s">
        <v>2133</v>
      </c>
      <c r="E219" s="21">
        <v>46204</v>
      </c>
      <c r="F219" s="21">
        <v>46568</v>
      </c>
      <c r="G219" s="21"/>
      <c r="H219" s="21">
        <v>46204</v>
      </c>
      <c r="I219" s="21">
        <v>46568</v>
      </c>
      <c r="J219" s="19" t="s">
        <v>2132</v>
      </c>
      <c r="L219" s="19">
        <v>89.452685250000002</v>
      </c>
      <c r="M219" s="19">
        <v>89.452685250000002</v>
      </c>
      <c r="N219" s="19" t="s">
        <v>1467</v>
      </c>
      <c r="O219" s="20">
        <v>3</v>
      </c>
      <c r="S219" s="19" t="s">
        <v>20</v>
      </c>
      <c r="T219" s="19" t="s">
        <v>1471</v>
      </c>
    </row>
    <row r="220" spans="1:20">
      <c r="A220" s="20">
        <v>202603328036920</v>
      </c>
      <c r="B220" s="19" t="s">
        <v>20</v>
      </c>
      <c r="C220" s="19" t="s">
        <v>21</v>
      </c>
      <c r="D220" s="19" t="s">
        <v>20</v>
      </c>
      <c r="E220" s="21">
        <v>46204</v>
      </c>
      <c r="F220" s="21">
        <v>46568</v>
      </c>
      <c r="G220" s="21"/>
      <c r="H220" s="21">
        <v>46204</v>
      </c>
      <c r="I220" s="21">
        <v>46568</v>
      </c>
      <c r="J220" s="19" t="s">
        <v>2099</v>
      </c>
      <c r="L220" s="19">
        <v>0</v>
      </c>
      <c r="M220" s="19">
        <v>0</v>
      </c>
      <c r="N220" s="19" t="s">
        <v>2394</v>
      </c>
      <c r="O220" s="20">
        <v>3</v>
      </c>
      <c r="S220" s="19" t="s">
        <v>20</v>
      </c>
      <c r="T220" s="19" t="s">
        <v>1471</v>
      </c>
    </row>
    <row r="221" spans="1:20">
      <c r="A221" s="20">
        <v>202603328036920</v>
      </c>
      <c r="B221" s="19" t="s">
        <v>20</v>
      </c>
      <c r="C221" s="19" t="s">
        <v>21</v>
      </c>
      <c r="D221" s="19" t="s">
        <v>20</v>
      </c>
      <c r="E221" s="21">
        <v>46204</v>
      </c>
      <c r="F221" s="21">
        <v>46568</v>
      </c>
      <c r="G221" s="21"/>
      <c r="H221" s="21">
        <v>46204</v>
      </c>
      <c r="I221" s="21">
        <v>46568</v>
      </c>
      <c r="J221" s="19" t="s">
        <v>2099</v>
      </c>
      <c r="L221" s="19">
        <v>78.776052000000007</v>
      </c>
      <c r="M221" s="19">
        <v>78.776052000000007</v>
      </c>
      <c r="N221" s="19" t="s">
        <v>1475</v>
      </c>
      <c r="O221" s="20">
        <v>3</v>
      </c>
      <c r="S221" s="19" t="s">
        <v>20</v>
      </c>
      <c r="T221" s="19" t="s">
        <v>1471</v>
      </c>
    </row>
    <row r="222" spans="1:20">
      <c r="A222" s="20">
        <v>202603328038749</v>
      </c>
      <c r="B222" s="19" t="s">
        <v>20</v>
      </c>
      <c r="C222" s="19" t="s">
        <v>21</v>
      </c>
      <c r="D222" s="19" t="s">
        <v>20</v>
      </c>
      <c r="E222" s="21">
        <v>46204</v>
      </c>
      <c r="F222" s="21">
        <v>46568</v>
      </c>
      <c r="G222" s="21"/>
      <c r="H222" s="21">
        <v>46204</v>
      </c>
      <c r="I222" s="21">
        <v>46568</v>
      </c>
      <c r="J222" s="19" t="s">
        <v>2064</v>
      </c>
      <c r="L222" s="19">
        <v>33.130630250000003</v>
      </c>
      <c r="M222" s="19">
        <v>33.130630250000003</v>
      </c>
      <c r="N222" s="19" t="s">
        <v>1475</v>
      </c>
      <c r="O222" s="20">
        <v>1</v>
      </c>
      <c r="S222" s="19" t="s">
        <v>20</v>
      </c>
      <c r="T222" s="19" t="s">
        <v>1471</v>
      </c>
    </row>
    <row r="223" spans="1:20">
      <c r="A223" s="20">
        <v>202603328039700</v>
      </c>
      <c r="B223" s="19" t="s">
        <v>20</v>
      </c>
      <c r="C223" s="19" t="s">
        <v>21</v>
      </c>
      <c r="D223" s="19" t="s">
        <v>20</v>
      </c>
      <c r="E223" s="21">
        <v>46204</v>
      </c>
      <c r="F223" s="21">
        <v>46568</v>
      </c>
      <c r="G223" s="21"/>
      <c r="H223" s="21">
        <v>46204</v>
      </c>
      <c r="I223" s="21">
        <v>46568</v>
      </c>
      <c r="J223" s="19" t="s">
        <v>2129</v>
      </c>
      <c r="L223" s="19">
        <v>33.130630250000003</v>
      </c>
      <c r="M223" s="19">
        <v>33.130630250000003</v>
      </c>
      <c r="N223" s="19" t="s">
        <v>1475</v>
      </c>
      <c r="O223" s="20">
        <v>1</v>
      </c>
      <c r="S223" s="19" t="s">
        <v>20</v>
      </c>
      <c r="T223" s="19" t="s">
        <v>1471</v>
      </c>
    </row>
    <row r="224" spans="1:20">
      <c r="A224" s="20">
        <v>202603328040057</v>
      </c>
      <c r="B224" s="19" t="s">
        <v>20</v>
      </c>
      <c r="C224" s="19" t="s">
        <v>21</v>
      </c>
      <c r="D224" s="19" t="s">
        <v>20</v>
      </c>
      <c r="E224" s="21">
        <v>46204</v>
      </c>
      <c r="F224" s="21">
        <v>46568</v>
      </c>
      <c r="G224" s="21"/>
      <c r="H224" s="21">
        <v>46204</v>
      </c>
      <c r="I224" s="21">
        <v>46568</v>
      </c>
      <c r="J224" s="19" t="s">
        <v>2130</v>
      </c>
      <c r="L224" s="19">
        <v>54.480246749999999</v>
      </c>
      <c r="M224" s="19">
        <v>54.480246749999999</v>
      </c>
      <c r="N224" s="19" t="s">
        <v>1475</v>
      </c>
      <c r="O224" s="20">
        <v>3</v>
      </c>
      <c r="S224" s="19" t="s">
        <v>20</v>
      </c>
      <c r="T224" s="19" t="s">
        <v>1471</v>
      </c>
    </row>
    <row r="225" spans="1:20">
      <c r="A225" s="20">
        <v>202603328042051</v>
      </c>
      <c r="B225" s="19" t="s">
        <v>20</v>
      </c>
      <c r="C225" s="19" t="s">
        <v>21</v>
      </c>
      <c r="D225" s="19" t="s">
        <v>20</v>
      </c>
      <c r="E225" s="21">
        <v>46204</v>
      </c>
      <c r="F225" s="21">
        <v>46568</v>
      </c>
      <c r="G225" s="21"/>
      <c r="H225" s="21">
        <v>46204</v>
      </c>
      <c r="I225" s="21">
        <v>46568</v>
      </c>
      <c r="J225" s="19" t="s">
        <v>2064</v>
      </c>
      <c r="L225" s="19">
        <v>0</v>
      </c>
      <c r="M225" s="19">
        <v>0</v>
      </c>
      <c r="N225" s="19" t="s">
        <v>2394</v>
      </c>
      <c r="O225" s="20">
        <v>4</v>
      </c>
      <c r="S225" s="19" t="s">
        <v>20</v>
      </c>
      <c r="T225" s="19" t="s">
        <v>1471</v>
      </c>
    </row>
    <row r="226" spans="1:20">
      <c r="A226" s="20">
        <v>202603328042051</v>
      </c>
      <c r="B226" s="19" t="s">
        <v>20</v>
      </c>
      <c r="C226" s="19" t="s">
        <v>21</v>
      </c>
      <c r="D226" s="19" t="s">
        <v>20</v>
      </c>
      <c r="E226" s="21">
        <v>46204</v>
      </c>
      <c r="F226" s="21">
        <v>46568</v>
      </c>
      <c r="G226" s="21"/>
      <c r="H226" s="21">
        <v>46204</v>
      </c>
      <c r="I226" s="21">
        <v>46568</v>
      </c>
      <c r="J226" s="19" t="s">
        <v>2064</v>
      </c>
      <c r="L226" s="19">
        <v>132.52252100000001</v>
      </c>
      <c r="M226" s="19">
        <v>132.52252100000001</v>
      </c>
      <c r="N226" s="19" t="s">
        <v>1475</v>
      </c>
      <c r="O226" s="20">
        <v>4</v>
      </c>
      <c r="S226" s="19" t="s">
        <v>20</v>
      </c>
      <c r="T226" s="19" t="s">
        <v>1471</v>
      </c>
    </row>
    <row r="227" spans="1:20">
      <c r="A227" s="20">
        <v>202603328042601</v>
      </c>
      <c r="B227" s="19" t="s">
        <v>20</v>
      </c>
      <c r="C227" s="19" t="s">
        <v>21</v>
      </c>
      <c r="D227" s="19" t="s">
        <v>2134</v>
      </c>
      <c r="E227" s="21">
        <v>46204</v>
      </c>
      <c r="F227" s="21">
        <v>46568</v>
      </c>
      <c r="G227" s="21"/>
      <c r="H227" s="21">
        <v>46204</v>
      </c>
      <c r="I227" s="21">
        <v>46568</v>
      </c>
      <c r="J227" s="19" t="s">
        <v>2069</v>
      </c>
      <c r="L227" s="19">
        <v>66.261260500000006</v>
      </c>
      <c r="M227" s="19">
        <v>66.261260500000006</v>
      </c>
      <c r="N227" s="19" t="s">
        <v>1467</v>
      </c>
      <c r="O227" s="20">
        <v>2</v>
      </c>
      <c r="S227" s="19" t="s">
        <v>20</v>
      </c>
      <c r="T227" s="19" t="s">
        <v>1471</v>
      </c>
    </row>
    <row r="228" spans="1:20">
      <c r="A228" s="20">
        <v>202603328043334</v>
      </c>
      <c r="B228" s="19" t="s">
        <v>20</v>
      </c>
      <c r="C228" s="19" t="s">
        <v>21</v>
      </c>
      <c r="D228" s="19" t="s">
        <v>20</v>
      </c>
      <c r="E228" s="21">
        <v>46204</v>
      </c>
      <c r="F228" s="21">
        <v>46568</v>
      </c>
      <c r="G228" s="21"/>
      <c r="H228" s="21">
        <v>46204</v>
      </c>
      <c r="I228" s="21">
        <v>46568</v>
      </c>
      <c r="J228" s="19" t="s">
        <v>2135</v>
      </c>
      <c r="L228" s="19">
        <v>0</v>
      </c>
      <c r="M228" s="19">
        <v>0</v>
      </c>
      <c r="N228" s="19" t="s">
        <v>2394</v>
      </c>
      <c r="O228" s="20">
        <v>5</v>
      </c>
      <c r="S228" s="19" t="s">
        <v>20</v>
      </c>
      <c r="T228" s="19" t="s">
        <v>1471</v>
      </c>
    </row>
    <row r="229" spans="1:20">
      <c r="A229" s="20">
        <v>202603328043334</v>
      </c>
      <c r="B229" s="19" t="s">
        <v>20</v>
      </c>
      <c r="C229" s="19" t="s">
        <v>21</v>
      </c>
      <c r="D229" s="19" t="s">
        <v>20</v>
      </c>
      <c r="E229" s="21">
        <v>46204</v>
      </c>
      <c r="F229" s="21">
        <v>46568</v>
      </c>
      <c r="G229" s="21"/>
      <c r="H229" s="21">
        <v>46204</v>
      </c>
      <c r="I229" s="21">
        <v>46568</v>
      </c>
      <c r="J229" s="19" t="s">
        <v>2135</v>
      </c>
      <c r="L229" s="19">
        <v>165.65315125000001</v>
      </c>
      <c r="M229" s="19">
        <v>165.65315125000001</v>
      </c>
      <c r="N229" s="19" t="s">
        <v>1475</v>
      </c>
      <c r="O229" s="20">
        <v>5</v>
      </c>
      <c r="S229" s="19" t="s">
        <v>20</v>
      </c>
      <c r="T229" s="19" t="s">
        <v>1471</v>
      </c>
    </row>
    <row r="230" spans="1:20">
      <c r="A230" s="20">
        <v>202603328043382</v>
      </c>
      <c r="B230" s="19" t="s">
        <v>20</v>
      </c>
      <c r="C230" s="19" t="s">
        <v>21</v>
      </c>
      <c r="D230" s="19" t="s">
        <v>20</v>
      </c>
      <c r="E230" s="21">
        <v>46204</v>
      </c>
      <c r="F230" s="21">
        <v>46568</v>
      </c>
      <c r="G230" s="21"/>
      <c r="H230" s="21">
        <v>46204</v>
      </c>
      <c r="I230" s="21">
        <v>46568</v>
      </c>
      <c r="J230" s="19" t="s">
        <v>2064</v>
      </c>
      <c r="L230" s="19">
        <v>0</v>
      </c>
      <c r="M230" s="19">
        <v>0</v>
      </c>
      <c r="N230" s="19" t="s">
        <v>2394</v>
      </c>
      <c r="O230" s="20">
        <v>3</v>
      </c>
      <c r="S230" s="19" t="s">
        <v>20</v>
      </c>
      <c r="T230" s="19" t="s">
        <v>1471</v>
      </c>
    </row>
    <row r="231" spans="1:20">
      <c r="A231" s="20">
        <v>202603328043382</v>
      </c>
      <c r="B231" s="19" t="s">
        <v>20</v>
      </c>
      <c r="C231" s="19" t="s">
        <v>21</v>
      </c>
      <c r="D231" s="19" t="s">
        <v>20</v>
      </c>
      <c r="E231" s="21">
        <v>46204</v>
      </c>
      <c r="F231" s="21">
        <v>46568</v>
      </c>
      <c r="G231" s="21"/>
      <c r="H231" s="21">
        <v>46204</v>
      </c>
      <c r="I231" s="21">
        <v>46568</v>
      </c>
      <c r="J231" s="19" t="s">
        <v>2064</v>
      </c>
      <c r="L231" s="19">
        <v>99.391890750000002</v>
      </c>
      <c r="M231" s="19">
        <v>99.391890750000002</v>
      </c>
      <c r="N231" s="19" t="s">
        <v>1475</v>
      </c>
      <c r="O231" s="20">
        <v>3</v>
      </c>
      <c r="S231" s="19" t="s">
        <v>20</v>
      </c>
      <c r="T231" s="19" t="s">
        <v>1471</v>
      </c>
    </row>
    <row r="232" spans="1:20">
      <c r="A232" s="20">
        <v>202603328043670</v>
      </c>
      <c r="B232" s="19" t="s">
        <v>20</v>
      </c>
      <c r="C232" s="19" t="s">
        <v>21</v>
      </c>
      <c r="D232" s="19" t="s">
        <v>20</v>
      </c>
      <c r="E232" s="21">
        <v>46204</v>
      </c>
      <c r="F232" s="21">
        <v>46568</v>
      </c>
      <c r="G232" s="21"/>
      <c r="H232" s="21">
        <v>46204</v>
      </c>
      <c r="I232" s="21">
        <v>46568</v>
      </c>
      <c r="J232" s="19" t="s">
        <v>2094</v>
      </c>
      <c r="L232" s="19">
        <v>22.300039999999999</v>
      </c>
      <c r="M232" s="19">
        <v>22.300039999999999</v>
      </c>
      <c r="N232" s="19" t="s">
        <v>1475</v>
      </c>
      <c r="O232" s="20">
        <v>2</v>
      </c>
      <c r="S232" s="19" t="s">
        <v>20</v>
      </c>
      <c r="T232" s="19" t="s">
        <v>1471</v>
      </c>
    </row>
    <row r="233" spans="1:20">
      <c r="A233" s="20">
        <v>202603328044481</v>
      </c>
      <c r="B233" s="19" t="s">
        <v>20</v>
      </c>
      <c r="C233" s="19" t="s">
        <v>21</v>
      </c>
      <c r="D233" s="19" t="s">
        <v>20</v>
      </c>
      <c r="E233" s="21">
        <v>46204</v>
      </c>
      <c r="F233" s="21">
        <v>46568</v>
      </c>
      <c r="G233" s="21"/>
      <c r="H233" s="21">
        <v>46204</v>
      </c>
      <c r="I233" s="21">
        <v>46568</v>
      </c>
      <c r="J233" s="19" t="s">
        <v>2111</v>
      </c>
      <c r="L233" s="19">
        <v>99.391890750000002</v>
      </c>
      <c r="M233" s="19">
        <v>99.391890750000002</v>
      </c>
      <c r="N233" s="19" t="s">
        <v>1475</v>
      </c>
      <c r="O233" s="20">
        <v>3</v>
      </c>
      <c r="S233" s="19" t="s">
        <v>20</v>
      </c>
      <c r="T233" s="19" t="s">
        <v>1471</v>
      </c>
    </row>
    <row r="234" spans="1:20">
      <c r="A234" s="20">
        <v>202603328045510</v>
      </c>
      <c r="B234" s="19" t="s">
        <v>20</v>
      </c>
      <c r="C234" s="19" t="s">
        <v>21</v>
      </c>
      <c r="D234" s="19" t="s">
        <v>20</v>
      </c>
      <c r="E234" s="21">
        <v>46204</v>
      </c>
      <c r="F234" s="21">
        <v>46568</v>
      </c>
      <c r="G234" s="21"/>
      <c r="H234" s="21">
        <v>46204</v>
      </c>
      <c r="I234" s="21">
        <v>46568</v>
      </c>
      <c r="J234" s="19" t="s">
        <v>2136</v>
      </c>
      <c r="L234" s="19">
        <v>26.504493249999999</v>
      </c>
      <c r="M234" s="19">
        <v>26.504493249999999</v>
      </c>
      <c r="N234" s="19" t="s">
        <v>1475</v>
      </c>
      <c r="O234" s="20">
        <v>1</v>
      </c>
      <c r="S234" s="19" t="s">
        <v>20</v>
      </c>
      <c r="T234" s="19" t="s">
        <v>1471</v>
      </c>
    </row>
    <row r="235" spans="1:20">
      <c r="A235" s="20">
        <v>202603328045539</v>
      </c>
      <c r="B235" s="19" t="s">
        <v>20</v>
      </c>
      <c r="C235" s="19" t="s">
        <v>21</v>
      </c>
      <c r="D235" s="19" t="s">
        <v>20</v>
      </c>
      <c r="E235" s="21">
        <v>46204</v>
      </c>
      <c r="F235" s="21">
        <v>46568</v>
      </c>
      <c r="G235" s="21"/>
      <c r="H235" s="21">
        <v>46204</v>
      </c>
      <c r="I235" s="21">
        <v>46568</v>
      </c>
      <c r="J235" s="19" t="s">
        <v>2131</v>
      </c>
      <c r="L235" s="19">
        <v>0</v>
      </c>
      <c r="M235" s="19">
        <v>0</v>
      </c>
      <c r="N235" s="19" t="s">
        <v>2394</v>
      </c>
      <c r="O235" s="20">
        <v>4</v>
      </c>
      <c r="S235" s="19" t="s">
        <v>20</v>
      </c>
      <c r="T235" s="19" t="s">
        <v>1471</v>
      </c>
    </row>
    <row r="236" spans="1:20">
      <c r="A236" s="20">
        <v>202603328045539</v>
      </c>
      <c r="B236" s="19" t="s">
        <v>20</v>
      </c>
      <c r="C236" s="19" t="s">
        <v>21</v>
      </c>
      <c r="D236" s="19" t="s">
        <v>2137</v>
      </c>
      <c r="E236" s="21">
        <v>46204</v>
      </c>
      <c r="F236" s="21">
        <v>46568</v>
      </c>
      <c r="G236" s="21"/>
      <c r="H236" s="21">
        <v>46204</v>
      </c>
      <c r="I236" s="21">
        <v>46568</v>
      </c>
      <c r="J236" s="19" t="s">
        <v>2131</v>
      </c>
      <c r="L236" s="19">
        <v>154.63823600000001</v>
      </c>
      <c r="M236" s="19">
        <v>154.63823600000001</v>
      </c>
      <c r="N236" s="19" t="s">
        <v>1467</v>
      </c>
      <c r="O236" s="20">
        <v>4</v>
      </c>
      <c r="S236" s="19" t="s">
        <v>20</v>
      </c>
      <c r="T236" s="19" t="s">
        <v>1471</v>
      </c>
    </row>
    <row r="237" spans="1:20">
      <c r="A237" s="20">
        <v>202603328046641</v>
      </c>
      <c r="B237" s="19" t="s">
        <v>20</v>
      </c>
      <c r="C237" s="19" t="s">
        <v>21</v>
      </c>
      <c r="D237" s="19" t="s">
        <v>20</v>
      </c>
      <c r="E237" s="21">
        <v>46204</v>
      </c>
      <c r="F237" s="21">
        <v>46568</v>
      </c>
      <c r="G237" s="21"/>
      <c r="H237" s="21">
        <v>46204</v>
      </c>
      <c r="I237" s="21">
        <v>46568</v>
      </c>
      <c r="J237" s="19" t="s">
        <v>2105</v>
      </c>
      <c r="L237" s="19">
        <v>26.258683999999999</v>
      </c>
      <c r="M237" s="19">
        <v>26.258683999999999</v>
      </c>
      <c r="N237" s="19" t="s">
        <v>1475</v>
      </c>
      <c r="O237" s="20">
        <v>1</v>
      </c>
      <c r="S237" s="19" t="s">
        <v>20</v>
      </c>
      <c r="T237" s="19" t="s">
        <v>1471</v>
      </c>
    </row>
    <row r="238" spans="1:20">
      <c r="A238" s="20">
        <v>202603328046890</v>
      </c>
      <c r="B238" s="19" t="s">
        <v>20</v>
      </c>
      <c r="C238" s="19" t="s">
        <v>21</v>
      </c>
      <c r="D238" s="19" t="s">
        <v>20</v>
      </c>
      <c r="E238" s="21">
        <v>46204</v>
      </c>
      <c r="F238" s="21">
        <v>46568</v>
      </c>
      <c r="G238" s="21"/>
      <c r="H238" s="21">
        <v>46204</v>
      </c>
      <c r="I238" s="21">
        <v>46568</v>
      </c>
      <c r="J238" s="19" t="s">
        <v>2062</v>
      </c>
      <c r="L238" s="19">
        <v>33.130630250000003</v>
      </c>
      <c r="M238" s="19">
        <v>33.130630250000003</v>
      </c>
      <c r="N238" s="19" t="s">
        <v>1475</v>
      </c>
      <c r="O238" s="20">
        <v>1</v>
      </c>
      <c r="S238" s="19" t="s">
        <v>20</v>
      </c>
      <c r="T238" s="19" t="s">
        <v>1471</v>
      </c>
    </row>
    <row r="239" spans="1:20">
      <c r="A239" s="20">
        <v>202603328046995</v>
      </c>
      <c r="B239" s="19" t="s">
        <v>20</v>
      </c>
      <c r="C239" s="19" t="s">
        <v>21</v>
      </c>
      <c r="D239" s="19" t="s">
        <v>20</v>
      </c>
      <c r="E239" s="21">
        <v>46204</v>
      </c>
      <c r="F239" s="21">
        <v>46568</v>
      </c>
      <c r="G239" s="21"/>
      <c r="H239" s="21">
        <v>46204</v>
      </c>
      <c r="I239" s="21">
        <v>46568</v>
      </c>
      <c r="J239" s="19" t="s">
        <v>2122</v>
      </c>
      <c r="L239" s="19">
        <v>0</v>
      </c>
      <c r="M239" s="19">
        <v>0</v>
      </c>
      <c r="N239" s="19" t="s">
        <v>2394</v>
      </c>
      <c r="O239" s="20">
        <v>2</v>
      </c>
      <c r="S239" s="19" t="s">
        <v>20</v>
      </c>
      <c r="T239" s="19" t="s">
        <v>1471</v>
      </c>
    </row>
    <row r="240" spans="1:20">
      <c r="A240" s="20">
        <v>202603328046995</v>
      </c>
      <c r="B240" s="19" t="s">
        <v>20</v>
      </c>
      <c r="C240" s="19" t="s">
        <v>21</v>
      </c>
      <c r="D240" s="19" t="s">
        <v>2138</v>
      </c>
      <c r="E240" s="21">
        <v>46204</v>
      </c>
      <c r="F240" s="21">
        <v>46568</v>
      </c>
      <c r="G240" s="21"/>
      <c r="H240" s="21">
        <v>46204</v>
      </c>
      <c r="I240" s="21">
        <v>46568</v>
      </c>
      <c r="J240" s="19" t="s">
        <v>2122</v>
      </c>
      <c r="L240" s="19">
        <v>47.936581500000003</v>
      </c>
      <c r="M240" s="19">
        <v>47.936581500000003</v>
      </c>
      <c r="N240" s="19" t="s">
        <v>1467</v>
      </c>
      <c r="O240" s="20">
        <v>2</v>
      </c>
      <c r="S240" s="19" t="s">
        <v>20</v>
      </c>
      <c r="T240" s="19" t="s">
        <v>1471</v>
      </c>
    </row>
    <row r="241" spans="1:20">
      <c r="A241" s="20">
        <v>202603328048312</v>
      </c>
      <c r="B241" s="19" t="s">
        <v>20</v>
      </c>
      <c r="C241" s="19" t="s">
        <v>21</v>
      </c>
      <c r="D241" s="19" t="s">
        <v>20</v>
      </c>
      <c r="E241" s="21">
        <v>46204</v>
      </c>
      <c r="F241" s="21">
        <v>46568</v>
      </c>
      <c r="G241" s="21"/>
      <c r="H241" s="21">
        <v>46204</v>
      </c>
      <c r="I241" s="21">
        <v>46568</v>
      </c>
      <c r="J241" s="19" t="s">
        <v>2139</v>
      </c>
      <c r="L241" s="19">
        <v>0</v>
      </c>
      <c r="M241" s="19">
        <v>0</v>
      </c>
      <c r="N241" s="19" t="s">
        <v>2394</v>
      </c>
      <c r="O241" s="20">
        <v>6</v>
      </c>
      <c r="S241" s="19" t="s">
        <v>20</v>
      </c>
      <c r="T241" s="19" t="s">
        <v>1471</v>
      </c>
    </row>
    <row r="242" spans="1:20">
      <c r="A242" s="20">
        <v>202603328048312</v>
      </c>
      <c r="B242" s="19" t="s">
        <v>20</v>
      </c>
      <c r="C242" s="19" t="s">
        <v>21</v>
      </c>
      <c r="D242" s="19" t="s">
        <v>2140</v>
      </c>
      <c r="E242" s="21">
        <v>46204</v>
      </c>
      <c r="F242" s="21">
        <v>46568</v>
      </c>
      <c r="G242" s="21"/>
      <c r="H242" s="21">
        <v>46204</v>
      </c>
      <c r="I242" s="21">
        <v>46568</v>
      </c>
      <c r="J242" s="19" t="s">
        <v>2139</v>
      </c>
      <c r="L242" s="19">
        <v>231.95735400000001</v>
      </c>
      <c r="M242" s="19">
        <v>231.95735400000001</v>
      </c>
      <c r="N242" s="19" t="s">
        <v>1467</v>
      </c>
      <c r="O242" s="20">
        <v>6</v>
      </c>
      <c r="S242" s="19" t="s">
        <v>20</v>
      </c>
      <c r="T242" s="19" t="s">
        <v>1471</v>
      </c>
    </row>
    <row r="243" spans="1:20">
      <c r="A243" s="20">
        <v>202603328049039</v>
      </c>
      <c r="B243" s="19" t="s">
        <v>20</v>
      </c>
      <c r="C243" s="19" t="s">
        <v>21</v>
      </c>
      <c r="D243" s="19" t="s">
        <v>20</v>
      </c>
      <c r="E243" s="21">
        <v>46204</v>
      </c>
      <c r="F243" s="21">
        <v>46568</v>
      </c>
      <c r="G243" s="21"/>
      <c r="H243" s="21">
        <v>46204</v>
      </c>
      <c r="I243" s="21">
        <v>46568</v>
      </c>
      <c r="J243" s="19" t="s">
        <v>2064</v>
      </c>
      <c r="L243" s="19">
        <v>0</v>
      </c>
      <c r="M243" s="19">
        <v>0</v>
      </c>
      <c r="N243" s="19" t="s">
        <v>2394</v>
      </c>
      <c r="O243" s="20">
        <v>3</v>
      </c>
      <c r="S243" s="19" t="s">
        <v>20</v>
      </c>
      <c r="T243" s="19" t="s">
        <v>1471</v>
      </c>
    </row>
    <row r="244" spans="1:20">
      <c r="A244" s="20">
        <v>202603328049039</v>
      </c>
      <c r="B244" s="19" t="s">
        <v>20</v>
      </c>
      <c r="C244" s="19" t="s">
        <v>21</v>
      </c>
      <c r="D244" s="19" t="s">
        <v>20</v>
      </c>
      <c r="E244" s="21">
        <v>46204</v>
      </c>
      <c r="F244" s="21">
        <v>46568</v>
      </c>
      <c r="G244" s="21"/>
      <c r="H244" s="21">
        <v>46204</v>
      </c>
      <c r="I244" s="21">
        <v>46568</v>
      </c>
      <c r="J244" s="19" t="s">
        <v>2064</v>
      </c>
      <c r="L244" s="19">
        <v>99.391890750000002</v>
      </c>
      <c r="M244" s="19">
        <v>99.391890750000002</v>
      </c>
      <c r="N244" s="19" t="s">
        <v>1475</v>
      </c>
      <c r="O244" s="20">
        <v>3</v>
      </c>
      <c r="S244" s="19" t="s">
        <v>20</v>
      </c>
      <c r="T244" s="19" t="s">
        <v>1471</v>
      </c>
    </row>
    <row r="245" spans="1:20">
      <c r="A245" s="20">
        <v>202603328051119</v>
      </c>
      <c r="B245" s="19" t="s">
        <v>20</v>
      </c>
      <c r="C245" s="19" t="s">
        <v>21</v>
      </c>
      <c r="D245" s="19" t="s">
        <v>20</v>
      </c>
      <c r="E245" s="21">
        <v>46204</v>
      </c>
      <c r="F245" s="21">
        <v>46568</v>
      </c>
      <c r="G245" s="21"/>
      <c r="H245" s="21">
        <v>46204</v>
      </c>
      <c r="I245" s="21">
        <v>46568</v>
      </c>
      <c r="J245" s="19" t="s">
        <v>2062</v>
      </c>
      <c r="L245" s="19">
        <v>0</v>
      </c>
      <c r="M245" s="19">
        <v>0</v>
      </c>
      <c r="N245" s="19" t="s">
        <v>2394</v>
      </c>
      <c r="O245" s="20">
        <v>4</v>
      </c>
      <c r="S245" s="19" t="s">
        <v>20</v>
      </c>
      <c r="T245" s="19" t="s">
        <v>1471</v>
      </c>
    </row>
    <row r="246" spans="1:20">
      <c r="A246" s="20">
        <v>202603328051119</v>
      </c>
      <c r="B246" s="19" t="s">
        <v>20</v>
      </c>
      <c r="C246" s="19" t="s">
        <v>21</v>
      </c>
      <c r="D246" s="19" t="s">
        <v>20</v>
      </c>
      <c r="E246" s="21">
        <v>46204</v>
      </c>
      <c r="F246" s="21">
        <v>46568</v>
      </c>
      <c r="G246" s="21"/>
      <c r="H246" s="21">
        <v>46204</v>
      </c>
      <c r="I246" s="21">
        <v>46568</v>
      </c>
      <c r="J246" s="19" t="s">
        <v>2062</v>
      </c>
      <c r="L246" s="19">
        <v>132.52252100000001</v>
      </c>
      <c r="M246" s="19">
        <v>132.52252100000001</v>
      </c>
      <c r="N246" s="19" t="s">
        <v>1475</v>
      </c>
      <c r="O246" s="20">
        <v>4</v>
      </c>
      <c r="S246" s="19" t="s">
        <v>20</v>
      </c>
      <c r="T246" s="19" t="s">
        <v>1471</v>
      </c>
    </row>
    <row r="247" spans="1:20">
      <c r="A247" s="20">
        <v>202603328051491</v>
      </c>
      <c r="B247" s="19" t="s">
        <v>20</v>
      </c>
      <c r="C247" s="19" t="s">
        <v>21</v>
      </c>
      <c r="D247" s="19" t="s">
        <v>20</v>
      </c>
      <c r="E247" s="21">
        <v>46204</v>
      </c>
      <c r="F247" s="21">
        <v>46568</v>
      </c>
      <c r="G247" s="21"/>
      <c r="H247" s="21">
        <v>46204</v>
      </c>
      <c r="I247" s="21">
        <v>46568</v>
      </c>
      <c r="J247" s="19" t="s">
        <v>2089</v>
      </c>
      <c r="L247" s="19">
        <v>23.968290750000001</v>
      </c>
      <c r="M247" s="19">
        <v>23.968290750000001</v>
      </c>
      <c r="N247" s="19" t="s">
        <v>1475</v>
      </c>
      <c r="O247" s="20">
        <v>1</v>
      </c>
      <c r="S247" s="19" t="s">
        <v>20</v>
      </c>
      <c r="T247" s="19" t="s">
        <v>1471</v>
      </c>
    </row>
    <row r="248" spans="1:20">
      <c r="A248" s="20">
        <v>202603328052032</v>
      </c>
      <c r="B248" s="19" t="s">
        <v>20</v>
      </c>
      <c r="C248" s="19" t="s">
        <v>21</v>
      </c>
      <c r="D248" s="19" t="s">
        <v>20</v>
      </c>
      <c r="E248" s="21">
        <v>46204</v>
      </c>
      <c r="F248" s="21">
        <v>46568</v>
      </c>
      <c r="G248" s="21"/>
      <c r="H248" s="21">
        <v>46204</v>
      </c>
      <c r="I248" s="21">
        <v>46568</v>
      </c>
      <c r="J248" s="19" t="s">
        <v>2101</v>
      </c>
      <c r="L248" s="19">
        <v>0</v>
      </c>
      <c r="M248" s="19">
        <v>0</v>
      </c>
      <c r="N248" s="19" t="s">
        <v>2394</v>
      </c>
      <c r="O248" s="20">
        <v>2</v>
      </c>
      <c r="S248" s="19" t="s">
        <v>20</v>
      </c>
      <c r="T248" s="19" t="s">
        <v>1471</v>
      </c>
    </row>
    <row r="249" spans="1:20">
      <c r="A249" s="20">
        <v>202603328052032</v>
      </c>
      <c r="B249" s="19" t="s">
        <v>20</v>
      </c>
      <c r="C249" s="19" t="s">
        <v>21</v>
      </c>
      <c r="D249" s="19" t="s">
        <v>2141</v>
      </c>
      <c r="E249" s="21">
        <v>46204</v>
      </c>
      <c r="F249" s="21">
        <v>46568</v>
      </c>
      <c r="G249" s="21"/>
      <c r="H249" s="21">
        <v>46204</v>
      </c>
      <c r="I249" s="21">
        <v>46568</v>
      </c>
      <c r="J249" s="19" t="s">
        <v>2101</v>
      </c>
      <c r="L249" s="19">
        <v>59.635123499999999</v>
      </c>
      <c r="M249" s="19">
        <v>59.635123499999999</v>
      </c>
      <c r="N249" s="19" t="s">
        <v>1467</v>
      </c>
      <c r="O249" s="20">
        <v>2</v>
      </c>
      <c r="S249" s="19" t="s">
        <v>20</v>
      </c>
      <c r="T249" s="19" t="s">
        <v>1471</v>
      </c>
    </row>
    <row r="250" spans="1:20">
      <c r="A250" s="20">
        <v>202603328052544</v>
      </c>
      <c r="B250" s="19" t="s">
        <v>20</v>
      </c>
      <c r="C250" s="19" t="s">
        <v>21</v>
      </c>
      <c r="D250" s="19" t="s">
        <v>20</v>
      </c>
      <c r="E250" s="21">
        <v>46204</v>
      </c>
      <c r="F250" s="21">
        <v>46568</v>
      </c>
      <c r="G250" s="21"/>
      <c r="H250" s="21">
        <v>46204</v>
      </c>
      <c r="I250" s="21">
        <v>46568</v>
      </c>
      <c r="J250" s="19" t="s">
        <v>2135</v>
      </c>
      <c r="L250" s="19">
        <v>0</v>
      </c>
      <c r="M250" s="19">
        <v>0</v>
      </c>
      <c r="N250" s="19" t="s">
        <v>2394</v>
      </c>
      <c r="O250" s="20">
        <v>2</v>
      </c>
      <c r="S250" s="19" t="s">
        <v>20</v>
      </c>
      <c r="T250" s="19" t="s">
        <v>1471</v>
      </c>
    </row>
    <row r="251" spans="1:20">
      <c r="A251" s="20">
        <v>202603328052544</v>
      </c>
      <c r="B251" s="19" t="s">
        <v>20</v>
      </c>
      <c r="C251" s="19" t="s">
        <v>21</v>
      </c>
      <c r="D251" s="19" t="s">
        <v>20</v>
      </c>
      <c r="E251" s="21">
        <v>46204</v>
      </c>
      <c r="F251" s="21">
        <v>46568</v>
      </c>
      <c r="G251" s="21"/>
      <c r="H251" s="21">
        <v>46204</v>
      </c>
      <c r="I251" s="21">
        <v>46568</v>
      </c>
      <c r="J251" s="19" t="s">
        <v>2135</v>
      </c>
      <c r="L251" s="19">
        <v>66.261260500000006</v>
      </c>
      <c r="M251" s="19">
        <v>66.261260500000006</v>
      </c>
      <c r="N251" s="19" t="s">
        <v>1475</v>
      </c>
      <c r="O251" s="20">
        <v>2</v>
      </c>
      <c r="S251" s="19" t="s">
        <v>20</v>
      </c>
      <c r="T251" s="19" t="s">
        <v>1471</v>
      </c>
    </row>
    <row r="252" spans="1:20">
      <c r="A252" s="20">
        <v>202603328053068</v>
      </c>
      <c r="B252" s="19" t="s">
        <v>20</v>
      </c>
      <c r="C252" s="19" t="s">
        <v>21</v>
      </c>
      <c r="D252" s="19" t="s">
        <v>20</v>
      </c>
      <c r="E252" s="21">
        <v>46204</v>
      </c>
      <c r="F252" s="21">
        <v>46568</v>
      </c>
      <c r="G252" s="21"/>
      <c r="H252" s="21">
        <v>46204</v>
      </c>
      <c r="I252" s="21">
        <v>46568</v>
      </c>
      <c r="J252" s="19" t="s">
        <v>2064</v>
      </c>
      <c r="L252" s="19">
        <v>99.391890750000002</v>
      </c>
      <c r="M252" s="19">
        <v>99.391890750000002</v>
      </c>
      <c r="N252" s="19" t="s">
        <v>1475</v>
      </c>
      <c r="O252" s="20">
        <v>3</v>
      </c>
      <c r="S252" s="19" t="s">
        <v>20</v>
      </c>
      <c r="T252" s="19" t="s">
        <v>1471</v>
      </c>
    </row>
    <row r="253" spans="1:20">
      <c r="A253" s="20">
        <v>202603328054005</v>
      </c>
      <c r="B253" s="19" t="s">
        <v>20</v>
      </c>
      <c r="C253" s="19" t="s">
        <v>21</v>
      </c>
      <c r="D253" s="19" t="s">
        <v>20</v>
      </c>
      <c r="E253" s="21">
        <v>46204</v>
      </c>
      <c r="F253" s="21">
        <v>46568</v>
      </c>
      <c r="G253" s="21"/>
      <c r="H253" s="21">
        <v>46204</v>
      </c>
      <c r="I253" s="21">
        <v>46568</v>
      </c>
      <c r="J253" s="19" t="s">
        <v>2135</v>
      </c>
      <c r="L253" s="19">
        <v>0</v>
      </c>
      <c r="M253" s="19">
        <v>0</v>
      </c>
      <c r="N253" s="19" t="s">
        <v>2394</v>
      </c>
      <c r="O253" s="20">
        <v>6</v>
      </c>
      <c r="S253" s="19" t="s">
        <v>20</v>
      </c>
      <c r="T253" s="19" t="s">
        <v>1471</v>
      </c>
    </row>
    <row r="254" spans="1:20">
      <c r="A254" s="20">
        <v>202603328054005</v>
      </c>
      <c r="B254" s="19" t="s">
        <v>20</v>
      </c>
      <c r="C254" s="19" t="s">
        <v>21</v>
      </c>
      <c r="D254" s="19" t="s">
        <v>20</v>
      </c>
      <c r="E254" s="21">
        <v>46204</v>
      </c>
      <c r="F254" s="21">
        <v>46568</v>
      </c>
      <c r="G254" s="21"/>
      <c r="H254" s="21">
        <v>46204</v>
      </c>
      <c r="I254" s="21">
        <v>46568</v>
      </c>
      <c r="J254" s="19" t="s">
        <v>2135</v>
      </c>
      <c r="L254" s="19">
        <v>198.7837815</v>
      </c>
      <c r="M254" s="19">
        <v>198.7837815</v>
      </c>
      <c r="N254" s="19" t="s">
        <v>1475</v>
      </c>
      <c r="O254" s="20">
        <v>6</v>
      </c>
      <c r="S254" s="19" t="s">
        <v>20</v>
      </c>
      <c r="T254" s="19" t="s">
        <v>1471</v>
      </c>
    </row>
    <row r="255" spans="1:20">
      <c r="A255" s="20">
        <v>202603328054677</v>
      </c>
      <c r="B255" s="19" t="s">
        <v>20</v>
      </c>
      <c r="C255" s="19" t="s">
        <v>21</v>
      </c>
      <c r="D255" s="19" t="s">
        <v>20</v>
      </c>
      <c r="E255" s="21">
        <v>46204</v>
      </c>
      <c r="F255" s="21">
        <v>46568</v>
      </c>
      <c r="G255" s="21"/>
      <c r="H255" s="21">
        <v>46204</v>
      </c>
      <c r="I255" s="21">
        <v>46568</v>
      </c>
      <c r="J255" s="19" t="s">
        <v>2064</v>
      </c>
      <c r="L255" s="19">
        <v>0</v>
      </c>
      <c r="M255" s="19">
        <v>0</v>
      </c>
      <c r="N255" s="19" t="s">
        <v>2394</v>
      </c>
      <c r="O255" s="20">
        <v>3</v>
      </c>
      <c r="S255" s="19" t="s">
        <v>20</v>
      </c>
      <c r="T255" s="19" t="s">
        <v>1471</v>
      </c>
    </row>
    <row r="256" spans="1:20">
      <c r="A256" s="20">
        <v>202603328054677</v>
      </c>
      <c r="B256" s="19" t="s">
        <v>20</v>
      </c>
      <c r="C256" s="19" t="s">
        <v>21</v>
      </c>
      <c r="D256" s="19" t="s">
        <v>20</v>
      </c>
      <c r="E256" s="21">
        <v>46204</v>
      </c>
      <c r="F256" s="21">
        <v>46568</v>
      </c>
      <c r="G256" s="21"/>
      <c r="H256" s="21">
        <v>46204</v>
      </c>
      <c r="I256" s="21">
        <v>46568</v>
      </c>
      <c r="J256" s="19" t="s">
        <v>2064</v>
      </c>
      <c r="L256" s="19">
        <v>99.391890750000002</v>
      </c>
      <c r="M256" s="19">
        <v>99.391890750000002</v>
      </c>
      <c r="N256" s="19" t="s">
        <v>1475</v>
      </c>
      <c r="O256" s="20">
        <v>3</v>
      </c>
      <c r="S256" s="19" t="s">
        <v>20</v>
      </c>
      <c r="T256" s="19" t="s">
        <v>1471</v>
      </c>
    </row>
    <row r="257" spans="1:20">
      <c r="A257" s="20">
        <v>202603328055869</v>
      </c>
      <c r="B257" s="19" t="s">
        <v>20</v>
      </c>
      <c r="C257" s="19" t="s">
        <v>21</v>
      </c>
      <c r="D257" s="19" t="s">
        <v>20</v>
      </c>
      <c r="E257" s="21">
        <v>46204</v>
      </c>
      <c r="F257" s="21">
        <v>46568</v>
      </c>
      <c r="G257" s="21"/>
      <c r="H257" s="21">
        <v>46204</v>
      </c>
      <c r="I257" s="21">
        <v>46568</v>
      </c>
      <c r="J257" s="19" t="s">
        <v>2064</v>
      </c>
      <c r="L257" s="19">
        <v>0</v>
      </c>
      <c r="M257" s="19">
        <v>0</v>
      </c>
      <c r="N257" s="19" t="s">
        <v>2394</v>
      </c>
      <c r="O257" s="20">
        <v>3</v>
      </c>
      <c r="S257" s="19" t="s">
        <v>20</v>
      </c>
      <c r="T257" s="19" t="s">
        <v>1471</v>
      </c>
    </row>
    <row r="258" spans="1:20">
      <c r="A258" s="20">
        <v>202603328055869</v>
      </c>
      <c r="B258" s="19" t="s">
        <v>20</v>
      </c>
      <c r="C258" s="19" t="s">
        <v>21</v>
      </c>
      <c r="D258" s="19" t="s">
        <v>20</v>
      </c>
      <c r="E258" s="21">
        <v>46204</v>
      </c>
      <c r="F258" s="21">
        <v>46568</v>
      </c>
      <c r="G258" s="21"/>
      <c r="H258" s="21">
        <v>46204</v>
      </c>
      <c r="I258" s="21">
        <v>46568</v>
      </c>
      <c r="J258" s="19" t="s">
        <v>2064</v>
      </c>
      <c r="L258" s="19">
        <v>99.391890750000002</v>
      </c>
      <c r="M258" s="19">
        <v>99.391890750000002</v>
      </c>
      <c r="N258" s="19" t="s">
        <v>1475</v>
      </c>
      <c r="O258" s="20">
        <v>3</v>
      </c>
      <c r="S258" s="19" t="s">
        <v>20</v>
      </c>
      <c r="T258" s="19" t="s">
        <v>1471</v>
      </c>
    </row>
    <row r="259" spans="1:20">
      <c r="A259" s="20">
        <v>202603328056275</v>
      </c>
      <c r="B259" s="19" t="s">
        <v>20</v>
      </c>
      <c r="C259" s="19" t="s">
        <v>21</v>
      </c>
      <c r="D259" s="19" t="s">
        <v>20</v>
      </c>
      <c r="E259" s="21">
        <v>46204</v>
      </c>
      <c r="F259" s="21">
        <v>46568</v>
      </c>
      <c r="G259" s="21"/>
      <c r="H259" s="21">
        <v>46204</v>
      </c>
      <c r="I259" s="21">
        <v>46568</v>
      </c>
      <c r="J259" s="19" t="s">
        <v>2142</v>
      </c>
      <c r="L259" s="19">
        <v>0</v>
      </c>
      <c r="M259" s="19">
        <v>0</v>
      </c>
      <c r="N259" s="19" t="s">
        <v>2394</v>
      </c>
      <c r="O259" s="20">
        <v>2</v>
      </c>
      <c r="S259" s="19" t="s">
        <v>20</v>
      </c>
      <c r="T259" s="19" t="s">
        <v>1471</v>
      </c>
    </row>
    <row r="260" spans="1:20">
      <c r="A260" s="20">
        <v>202603328056275</v>
      </c>
      <c r="B260" s="19" t="s">
        <v>20</v>
      </c>
      <c r="C260" s="19" t="s">
        <v>21</v>
      </c>
      <c r="D260" s="19" t="s">
        <v>2143</v>
      </c>
      <c r="E260" s="21">
        <v>46204</v>
      </c>
      <c r="F260" s="21">
        <v>46568</v>
      </c>
      <c r="G260" s="21"/>
      <c r="H260" s="21">
        <v>46204</v>
      </c>
      <c r="I260" s="21">
        <v>46568</v>
      </c>
      <c r="J260" s="19" t="s">
        <v>2142</v>
      </c>
      <c r="L260" s="19">
        <v>60.066589999999998</v>
      </c>
      <c r="M260" s="19">
        <v>60.066589999999998</v>
      </c>
      <c r="N260" s="19" t="s">
        <v>1467</v>
      </c>
      <c r="O260" s="20">
        <v>2</v>
      </c>
      <c r="S260" s="19" t="s">
        <v>20</v>
      </c>
      <c r="T260" s="19" t="s">
        <v>1471</v>
      </c>
    </row>
    <row r="261" spans="1:20">
      <c r="A261" s="20">
        <v>202603328057013</v>
      </c>
      <c r="B261" s="19" t="s">
        <v>20</v>
      </c>
      <c r="C261" s="19" t="s">
        <v>21</v>
      </c>
      <c r="D261" s="19" t="s">
        <v>20</v>
      </c>
      <c r="E261" s="21">
        <v>46204</v>
      </c>
      <c r="F261" s="21">
        <v>46568</v>
      </c>
      <c r="G261" s="21"/>
      <c r="H261" s="21">
        <v>46204</v>
      </c>
      <c r="I261" s="21">
        <v>46568</v>
      </c>
      <c r="J261" s="19" t="s">
        <v>2144</v>
      </c>
      <c r="L261" s="19">
        <v>0</v>
      </c>
      <c r="M261" s="19">
        <v>0</v>
      </c>
      <c r="N261" s="19" t="s">
        <v>2394</v>
      </c>
      <c r="O261" s="20">
        <v>5</v>
      </c>
      <c r="S261" s="19" t="s">
        <v>20</v>
      </c>
      <c r="T261" s="19" t="s">
        <v>1471</v>
      </c>
    </row>
    <row r="262" spans="1:20">
      <c r="A262" s="20">
        <v>202603328057013</v>
      </c>
      <c r="B262" s="19" t="s">
        <v>20</v>
      </c>
      <c r="C262" s="19" t="s">
        <v>21</v>
      </c>
      <c r="D262" s="19" t="s">
        <v>2145</v>
      </c>
      <c r="E262" s="21">
        <v>46204</v>
      </c>
      <c r="F262" s="21">
        <v>46568</v>
      </c>
      <c r="G262" s="21"/>
      <c r="H262" s="21">
        <v>46204</v>
      </c>
      <c r="I262" s="21">
        <v>46568</v>
      </c>
      <c r="J262" s="19" t="s">
        <v>2144</v>
      </c>
      <c r="L262" s="19">
        <v>99.579117499999995</v>
      </c>
      <c r="M262" s="19">
        <v>99.579117499999995</v>
      </c>
      <c r="N262" s="19" t="s">
        <v>1467</v>
      </c>
      <c r="O262" s="20">
        <v>5</v>
      </c>
      <c r="S262" s="19" t="s">
        <v>20</v>
      </c>
      <c r="T262" s="19" t="s">
        <v>1471</v>
      </c>
    </row>
    <row r="263" spans="1:20">
      <c r="A263" s="20">
        <v>202603328057650</v>
      </c>
      <c r="B263" s="19" t="s">
        <v>20</v>
      </c>
      <c r="C263" s="19" t="s">
        <v>21</v>
      </c>
      <c r="D263" s="19" t="s">
        <v>20</v>
      </c>
      <c r="E263" s="21">
        <v>46204</v>
      </c>
      <c r="F263" s="21">
        <v>46568</v>
      </c>
      <c r="G263" s="21"/>
      <c r="H263" s="21">
        <v>46204</v>
      </c>
      <c r="I263" s="21">
        <v>46568</v>
      </c>
      <c r="J263" s="19" t="s">
        <v>2146</v>
      </c>
      <c r="L263" s="19">
        <v>0</v>
      </c>
      <c r="M263" s="19">
        <v>0</v>
      </c>
      <c r="N263" s="19" t="s">
        <v>2394</v>
      </c>
      <c r="O263" s="20">
        <v>2</v>
      </c>
      <c r="S263" s="19" t="s">
        <v>20</v>
      </c>
      <c r="T263" s="19" t="s">
        <v>1471</v>
      </c>
    </row>
    <row r="264" spans="1:20">
      <c r="A264" s="20">
        <v>202603328057650</v>
      </c>
      <c r="B264" s="19" t="s">
        <v>20</v>
      </c>
      <c r="C264" s="19" t="s">
        <v>21</v>
      </c>
      <c r="D264" s="19" t="s">
        <v>20</v>
      </c>
      <c r="E264" s="21">
        <v>46204</v>
      </c>
      <c r="F264" s="21">
        <v>46568</v>
      </c>
      <c r="G264" s="21"/>
      <c r="H264" s="21">
        <v>46204</v>
      </c>
      <c r="I264" s="21">
        <v>46568</v>
      </c>
      <c r="J264" s="19" t="s">
        <v>2146</v>
      </c>
      <c r="L264" s="19">
        <v>47.936581500000003</v>
      </c>
      <c r="M264" s="19">
        <v>47.936581500000003</v>
      </c>
      <c r="N264" s="19" t="s">
        <v>1475</v>
      </c>
      <c r="O264" s="20">
        <v>2</v>
      </c>
      <c r="S264" s="19" t="s">
        <v>20</v>
      </c>
      <c r="T264" s="19" t="s">
        <v>1471</v>
      </c>
    </row>
    <row r="265" spans="1:20">
      <c r="A265" s="20">
        <v>202603328058082</v>
      </c>
      <c r="B265" s="19" t="s">
        <v>20</v>
      </c>
      <c r="C265" s="19" t="s">
        <v>21</v>
      </c>
      <c r="D265" s="19" t="s">
        <v>20</v>
      </c>
      <c r="E265" s="21">
        <v>46204</v>
      </c>
      <c r="F265" s="21">
        <v>46568</v>
      </c>
      <c r="G265" s="21"/>
      <c r="H265" s="21">
        <v>46204</v>
      </c>
      <c r="I265" s="21">
        <v>46568</v>
      </c>
      <c r="J265" s="19" t="s">
        <v>2064</v>
      </c>
      <c r="L265" s="19">
        <v>99.391890750000002</v>
      </c>
      <c r="M265" s="19">
        <v>99.391890750000002</v>
      </c>
      <c r="N265" s="19" t="s">
        <v>1475</v>
      </c>
      <c r="O265" s="20">
        <v>3</v>
      </c>
      <c r="S265" s="19" t="s">
        <v>20</v>
      </c>
      <c r="T265" s="19" t="s">
        <v>1471</v>
      </c>
    </row>
    <row r="266" spans="1:20">
      <c r="A266" s="20">
        <v>202603328059050</v>
      </c>
      <c r="B266" s="19" t="s">
        <v>20</v>
      </c>
      <c r="C266" s="19" t="s">
        <v>21</v>
      </c>
      <c r="D266" s="19" t="s">
        <v>20</v>
      </c>
      <c r="E266" s="21">
        <v>46204</v>
      </c>
      <c r="F266" s="21">
        <v>46568</v>
      </c>
      <c r="G266" s="21"/>
      <c r="H266" s="21">
        <v>46204</v>
      </c>
      <c r="I266" s="21">
        <v>46568</v>
      </c>
      <c r="J266" s="19" t="s">
        <v>2064</v>
      </c>
      <c r="L266" s="19">
        <v>33.130630250000003</v>
      </c>
      <c r="M266" s="19">
        <v>33.130630250000003</v>
      </c>
      <c r="N266" s="19" t="s">
        <v>1475</v>
      </c>
      <c r="O266" s="20">
        <v>1</v>
      </c>
      <c r="S266" s="19" t="s">
        <v>20</v>
      </c>
      <c r="T266" s="19" t="s">
        <v>1471</v>
      </c>
    </row>
    <row r="267" spans="1:20">
      <c r="A267" s="20">
        <v>202603328059066</v>
      </c>
      <c r="B267" s="19" t="s">
        <v>20</v>
      </c>
      <c r="C267" s="19" t="s">
        <v>21</v>
      </c>
      <c r="D267" s="19" t="s">
        <v>20</v>
      </c>
      <c r="E267" s="21">
        <v>46204</v>
      </c>
      <c r="F267" s="21">
        <v>46568</v>
      </c>
      <c r="G267" s="21"/>
      <c r="H267" s="21">
        <v>46204</v>
      </c>
      <c r="I267" s="21">
        <v>46568</v>
      </c>
      <c r="J267" s="19" t="s">
        <v>2064</v>
      </c>
      <c r="L267" s="19">
        <v>0</v>
      </c>
      <c r="M267" s="19">
        <v>0</v>
      </c>
      <c r="N267" s="19" t="s">
        <v>2394</v>
      </c>
      <c r="O267" s="20">
        <v>4</v>
      </c>
      <c r="S267" s="19" t="s">
        <v>20</v>
      </c>
      <c r="T267" s="19" t="s">
        <v>1471</v>
      </c>
    </row>
    <row r="268" spans="1:20">
      <c r="A268" s="20">
        <v>202603328059066</v>
      </c>
      <c r="B268" s="19" t="s">
        <v>20</v>
      </c>
      <c r="C268" s="19" t="s">
        <v>21</v>
      </c>
      <c r="D268" s="19" t="s">
        <v>20</v>
      </c>
      <c r="E268" s="21">
        <v>46204</v>
      </c>
      <c r="F268" s="21">
        <v>46568</v>
      </c>
      <c r="G268" s="21"/>
      <c r="H268" s="21">
        <v>46204</v>
      </c>
      <c r="I268" s="21">
        <v>46568</v>
      </c>
      <c r="J268" s="19" t="s">
        <v>2064</v>
      </c>
      <c r="L268" s="19">
        <v>132.52252100000001</v>
      </c>
      <c r="M268" s="19">
        <v>132.52252100000001</v>
      </c>
      <c r="N268" s="19" t="s">
        <v>1475</v>
      </c>
      <c r="O268" s="20">
        <v>4</v>
      </c>
      <c r="S268" s="19" t="s">
        <v>20</v>
      </c>
      <c r="T268" s="19" t="s">
        <v>1471</v>
      </c>
    </row>
    <row r="269" spans="1:20">
      <c r="A269" s="20">
        <v>202603328060179</v>
      </c>
      <c r="B269" s="19" t="s">
        <v>20</v>
      </c>
      <c r="C269" s="19" t="s">
        <v>21</v>
      </c>
      <c r="D269" s="19" t="s">
        <v>20</v>
      </c>
      <c r="E269" s="21">
        <v>46204</v>
      </c>
      <c r="F269" s="21">
        <v>46568</v>
      </c>
      <c r="G269" s="21"/>
      <c r="H269" s="21">
        <v>46204</v>
      </c>
      <c r="I269" s="21">
        <v>46568</v>
      </c>
      <c r="J269" s="19" t="s">
        <v>2147</v>
      </c>
      <c r="L269" s="19">
        <v>0</v>
      </c>
      <c r="M269" s="19">
        <v>0</v>
      </c>
      <c r="N269" s="19" t="s">
        <v>2394</v>
      </c>
      <c r="O269" s="20">
        <v>4</v>
      </c>
      <c r="S269" s="19" t="s">
        <v>20</v>
      </c>
      <c r="T269" s="19" t="s">
        <v>1471</v>
      </c>
    </row>
    <row r="270" spans="1:20">
      <c r="A270" s="20">
        <v>202603328060179</v>
      </c>
      <c r="B270" s="19" t="s">
        <v>20</v>
      </c>
      <c r="C270" s="19" t="s">
        <v>21</v>
      </c>
      <c r="D270" s="19" t="s">
        <v>20</v>
      </c>
      <c r="E270" s="21">
        <v>46204</v>
      </c>
      <c r="F270" s="21">
        <v>46568</v>
      </c>
      <c r="G270" s="21"/>
      <c r="H270" s="21">
        <v>46204</v>
      </c>
      <c r="I270" s="21">
        <v>46568</v>
      </c>
      <c r="J270" s="19" t="s">
        <v>2147</v>
      </c>
      <c r="L270" s="19">
        <v>106.017973</v>
      </c>
      <c r="M270" s="19">
        <v>106.017973</v>
      </c>
      <c r="N270" s="19" t="s">
        <v>1475</v>
      </c>
      <c r="O270" s="20">
        <v>4</v>
      </c>
      <c r="S270" s="19" t="s">
        <v>20</v>
      </c>
      <c r="T270" s="19" t="s">
        <v>1471</v>
      </c>
    </row>
    <row r="271" spans="1:20">
      <c r="A271" s="20">
        <v>202603328061510</v>
      </c>
      <c r="B271" s="19" t="s">
        <v>20</v>
      </c>
      <c r="C271" s="19" t="s">
        <v>21</v>
      </c>
      <c r="D271" s="19" t="s">
        <v>20</v>
      </c>
      <c r="E271" s="21">
        <v>46204</v>
      </c>
      <c r="F271" s="21">
        <v>46568</v>
      </c>
      <c r="G271" s="21"/>
      <c r="H271" s="21">
        <v>46204</v>
      </c>
      <c r="I271" s="21">
        <v>46568</v>
      </c>
      <c r="J271" s="19" t="s">
        <v>2064</v>
      </c>
      <c r="L271" s="19">
        <v>33.130630250000003</v>
      </c>
      <c r="M271" s="19">
        <v>33.130630250000003</v>
      </c>
      <c r="N271" s="19" t="s">
        <v>1475</v>
      </c>
      <c r="O271" s="20">
        <v>1</v>
      </c>
      <c r="S271" s="19" t="s">
        <v>20</v>
      </c>
      <c r="T271" s="19" t="s">
        <v>1471</v>
      </c>
    </row>
    <row r="272" spans="1:20">
      <c r="A272" s="20">
        <v>202603328061925</v>
      </c>
      <c r="B272" s="19" t="s">
        <v>20</v>
      </c>
      <c r="C272" s="19" t="s">
        <v>21</v>
      </c>
      <c r="D272" s="19" t="s">
        <v>20</v>
      </c>
      <c r="E272" s="21">
        <v>46204</v>
      </c>
      <c r="F272" s="21">
        <v>46568</v>
      </c>
      <c r="G272" s="21"/>
      <c r="H272" s="21">
        <v>46204</v>
      </c>
      <c r="I272" s="21">
        <v>46568</v>
      </c>
      <c r="J272" s="19" t="s">
        <v>2089</v>
      </c>
      <c r="L272" s="19">
        <v>0</v>
      </c>
      <c r="M272" s="19">
        <v>0</v>
      </c>
      <c r="N272" s="19" t="s">
        <v>2394</v>
      </c>
      <c r="O272" s="20">
        <v>6</v>
      </c>
      <c r="S272" s="19" t="s">
        <v>20</v>
      </c>
      <c r="T272" s="19" t="s">
        <v>1471</v>
      </c>
    </row>
    <row r="273" spans="1:20">
      <c r="A273" s="20">
        <v>202603328061925</v>
      </c>
      <c r="B273" s="19" t="s">
        <v>20</v>
      </c>
      <c r="C273" s="19" t="s">
        <v>21</v>
      </c>
      <c r="D273" s="19" t="s">
        <v>2148</v>
      </c>
      <c r="E273" s="21">
        <v>46204</v>
      </c>
      <c r="F273" s="21">
        <v>46568</v>
      </c>
      <c r="G273" s="21"/>
      <c r="H273" s="21">
        <v>46204</v>
      </c>
      <c r="I273" s="21">
        <v>46568</v>
      </c>
      <c r="J273" s="19" t="s">
        <v>2089</v>
      </c>
      <c r="L273" s="19">
        <v>143.80974449999999</v>
      </c>
      <c r="M273" s="19">
        <v>143.80974449999999</v>
      </c>
      <c r="N273" s="19" t="s">
        <v>1467</v>
      </c>
      <c r="O273" s="20">
        <v>6</v>
      </c>
      <c r="S273" s="19" t="s">
        <v>20</v>
      </c>
      <c r="T273" s="19" t="s">
        <v>1471</v>
      </c>
    </row>
    <row r="274" spans="1:20">
      <c r="A274" s="20">
        <v>202603328061995</v>
      </c>
      <c r="B274" s="19" t="s">
        <v>20</v>
      </c>
      <c r="C274" s="19" t="s">
        <v>21</v>
      </c>
      <c r="D274" s="19" t="s">
        <v>20</v>
      </c>
      <c r="E274" s="21">
        <v>46204</v>
      </c>
      <c r="F274" s="21">
        <v>46568</v>
      </c>
      <c r="G274" s="21"/>
      <c r="H274" s="21">
        <v>46204</v>
      </c>
      <c r="I274" s="21">
        <v>46568</v>
      </c>
      <c r="J274" s="19" t="s">
        <v>2062</v>
      </c>
      <c r="L274" s="19">
        <v>0</v>
      </c>
      <c r="M274" s="19">
        <v>0</v>
      </c>
      <c r="N274" s="19" t="s">
        <v>2394</v>
      </c>
      <c r="O274" s="20">
        <v>8</v>
      </c>
      <c r="S274" s="19" t="s">
        <v>20</v>
      </c>
      <c r="T274" s="19" t="s">
        <v>1471</v>
      </c>
    </row>
    <row r="275" spans="1:20">
      <c r="A275" s="20">
        <v>202603328061995</v>
      </c>
      <c r="B275" s="19" t="s">
        <v>20</v>
      </c>
      <c r="C275" s="19" t="s">
        <v>21</v>
      </c>
      <c r="D275" s="19" t="s">
        <v>20</v>
      </c>
      <c r="E275" s="21">
        <v>46204</v>
      </c>
      <c r="F275" s="21">
        <v>46568</v>
      </c>
      <c r="G275" s="21"/>
      <c r="H275" s="21">
        <v>46204</v>
      </c>
      <c r="I275" s="21">
        <v>46568</v>
      </c>
      <c r="J275" s="19" t="s">
        <v>2062</v>
      </c>
      <c r="L275" s="19">
        <v>265.04504200000002</v>
      </c>
      <c r="M275" s="19">
        <v>265.04504200000002</v>
      </c>
      <c r="N275" s="19" t="s">
        <v>1475</v>
      </c>
      <c r="O275" s="20">
        <v>8</v>
      </c>
      <c r="S275" s="19" t="s">
        <v>20</v>
      </c>
      <c r="T275" s="19" t="s">
        <v>1471</v>
      </c>
    </row>
    <row r="276" spans="1:20">
      <c r="A276" s="20">
        <v>202603328062014</v>
      </c>
      <c r="B276" s="19" t="s">
        <v>20</v>
      </c>
      <c r="C276" s="19" t="s">
        <v>21</v>
      </c>
      <c r="D276" s="19" t="s">
        <v>20</v>
      </c>
      <c r="E276" s="21">
        <v>46204</v>
      </c>
      <c r="F276" s="21">
        <v>46568</v>
      </c>
      <c r="G276" s="21"/>
      <c r="H276" s="21">
        <v>46204</v>
      </c>
      <c r="I276" s="21">
        <v>46568</v>
      </c>
      <c r="J276" s="19" t="s">
        <v>2120</v>
      </c>
      <c r="L276" s="19">
        <v>0</v>
      </c>
      <c r="M276" s="19">
        <v>0</v>
      </c>
      <c r="N276" s="19" t="s">
        <v>2394</v>
      </c>
      <c r="O276" s="20">
        <v>6</v>
      </c>
      <c r="S276" s="19" t="s">
        <v>20</v>
      </c>
      <c r="T276" s="19" t="s">
        <v>1471</v>
      </c>
    </row>
    <row r="277" spans="1:20">
      <c r="A277" s="20">
        <v>202603328062014</v>
      </c>
      <c r="B277" s="19" t="s">
        <v>20</v>
      </c>
      <c r="C277" s="19" t="s">
        <v>21</v>
      </c>
      <c r="D277" s="19" t="s">
        <v>2149</v>
      </c>
      <c r="E277" s="21">
        <v>46204</v>
      </c>
      <c r="F277" s="21">
        <v>46568</v>
      </c>
      <c r="G277" s="21"/>
      <c r="H277" s="21">
        <v>46204</v>
      </c>
      <c r="I277" s="21">
        <v>46568</v>
      </c>
      <c r="J277" s="19" t="s">
        <v>2120</v>
      </c>
      <c r="L277" s="19">
        <v>119.494941</v>
      </c>
      <c r="M277" s="19">
        <v>119.494941</v>
      </c>
      <c r="N277" s="19" t="s">
        <v>1467</v>
      </c>
      <c r="O277" s="20">
        <v>6</v>
      </c>
      <c r="S277" s="19" t="s">
        <v>20</v>
      </c>
      <c r="T277" s="19" t="s">
        <v>1471</v>
      </c>
    </row>
    <row r="278" spans="1:20">
      <c r="A278" s="20">
        <v>202603328062061</v>
      </c>
      <c r="B278" s="19" t="s">
        <v>20</v>
      </c>
      <c r="C278" s="19" t="s">
        <v>21</v>
      </c>
      <c r="D278" s="19" t="s">
        <v>20</v>
      </c>
      <c r="E278" s="21">
        <v>46204</v>
      </c>
      <c r="F278" s="21">
        <v>46568</v>
      </c>
      <c r="G278" s="21"/>
      <c r="H278" s="21">
        <v>46204</v>
      </c>
      <c r="I278" s="21">
        <v>46568</v>
      </c>
      <c r="J278" s="19" t="s">
        <v>2068</v>
      </c>
      <c r="L278" s="19">
        <v>131.29342</v>
      </c>
      <c r="M278" s="19">
        <v>131.29342</v>
      </c>
      <c r="N278" s="19" t="s">
        <v>1475</v>
      </c>
      <c r="O278" s="20">
        <v>5</v>
      </c>
      <c r="S278" s="19" t="s">
        <v>20</v>
      </c>
      <c r="T278" s="19" t="s">
        <v>1471</v>
      </c>
    </row>
    <row r="279" spans="1:20">
      <c r="A279" s="20">
        <v>202603328062142</v>
      </c>
      <c r="B279" s="19" t="s">
        <v>20</v>
      </c>
      <c r="C279" s="19" t="s">
        <v>21</v>
      </c>
      <c r="D279" s="19" t="s">
        <v>20</v>
      </c>
      <c r="E279" s="21">
        <v>46204</v>
      </c>
      <c r="F279" s="21">
        <v>46568</v>
      </c>
      <c r="G279" s="21"/>
      <c r="H279" s="21">
        <v>46204</v>
      </c>
      <c r="I279" s="21">
        <v>46568</v>
      </c>
      <c r="J279" s="19" t="s">
        <v>2064</v>
      </c>
      <c r="L279" s="19">
        <v>0</v>
      </c>
      <c r="M279" s="19">
        <v>0</v>
      </c>
      <c r="N279" s="19" t="s">
        <v>2394</v>
      </c>
      <c r="O279" s="20">
        <v>6</v>
      </c>
      <c r="S279" s="19" t="s">
        <v>20</v>
      </c>
      <c r="T279" s="19" t="s">
        <v>1471</v>
      </c>
    </row>
    <row r="280" spans="1:20">
      <c r="A280" s="20">
        <v>202603328062142</v>
      </c>
      <c r="B280" s="19" t="s">
        <v>20</v>
      </c>
      <c r="C280" s="19" t="s">
        <v>21</v>
      </c>
      <c r="D280" s="19" t="s">
        <v>20</v>
      </c>
      <c r="E280" s="21">
        <v>46204</v>
      </c>
      <c r="F280" s="21">
        <v>46568</v>
      </c>
      <c r="G280" s="21"/>
      <c r="H280" s="21">
        <v>46204</v>
      </c>
      <c r="I280" s="21">
        <v>46568</v>
      </c>
      <c r="J280" s="19" t="s">
        <v>2064</v>
      </c>
      <c r="L280" s="19">
        <v>198.7837815</v>
      </c>
      <c r="M280" s="19">
        <v>198.7837815</v>
      </c>
      <c r="N280" s="19" t="s">
        <v>1475</v>
      </c>
      <c r="O280" s="20">
        <v>6</v>
      </c>
      <c r="S280" s="19" t="s">
        <v>20</v>
      </c>
      <c r="T280" s="19" t="s">
        <v>1471</v>
      </c>
    </row>
    <row r="281" spans="1:20">
      <c r="A281" s="20">
        <v>202603328062185</v>
      </c>
      <c r="B281" s="19" t="s">
        <v>20</v>
      </c>
      <c r="C281" s="19" t="s">
        <v>21</v>
      </c>
      <c r="D281" s="19" t="s">
        <v>20</v>
      </c>
      <c r="E281" s="21">
        <v>46204</v>
      </c>
      <c r="F281" s="21">
        <v>46568</v>
      </c>
      <c r="G281" s="21"/>
      <c r="H281" s="21">
        <v>46204</v>
      </c>
      <c r="I281" s="21">
        <v>46568</v>
      </c>
      <c r="J281" s="19" t="s">
        <v>2120</v>
      </c>
      <c r="L281" s="19">
        <v>0</v>
      </c>
      <c r="M281" s="19">
        <v>0</v>
      </c>
      <c r="N281" s="19" t="s">
        <v>2394</v>
      </c>
      <c r="O281" s="20">
        <v>6</v>
      </c>
      <c r="S281" s="19" t="s">
        <v>20</v>
      </c>
      <c r="T281" s="19" t="s">
        <v>1471</v>
      </c>
    </row>
    <row r="282" spans="1:20">
      <c r="A282" s="20">
        <v>202603328062185</v>
      </c>
      <c r="B282" s="19" t="s">
        <v>20</v>
      </c>
      <c r="C282" s="19" t="s">
        <v>21</v>
      </c>
      <c r="D282" s="19" t="s">
        <v>2150</v>
      </c>
      <c r="E282" s="21">
        <v>46204</v>
      </c>
      <c r="F282" s="21">
        <v>46568</v>
      </c>
      <c r="G282" s="21"/>
      <c r="H282" s="21">
        <v>46204</v>
      </c>
      <c r="I282" s="21">
        <v>46568</v>
      </c>
      <c r="J282" s="19" t="s">
        <v>2120</v>
      </c>
      <c r="L282" s="19">
        <v>227.68772999999999</v>
      </c>
      <c r="M282" s="19">
        <v>227.68772999999999</v>
      </c>
      <c r="N282" s="19" t="s">
        <v>1467</v>
      </c>
      <c r="O282" s="20">
        <v>6</v>
      </c>
      <c r="S282" s="19" t="s">
        <v>20</v>
      </c>
      <c r="T282" s="19" t="s">
        <v>1471</v>
      </c>
    </row>
    <row r="283" spans="1:20">
      <c r="A283" s="20">
        <v>202603328062252</v>
      </c>
      <c r="B283" s="19" t="s">
        <v>20</v>
      </c>
      <c r="C283" s="19" t="s">
        <v>21</v>
      </c>
      <c r="D283" s="19" t="s">
        <v>20</v>
      </c>
      <c r="E283" s="21">
        <v>46204</v>
      </c>
      <c r="F283" s="21">
        <v>46568</v>
      </c>
      <c r="G283" s="21"/>
      <c r="H283" s="21">
        <v>46204</v>
      </c>
      <c r="I283" s="21">
        <v>46568</v>
      </c>
      <c r="J283" s="19" t="s">
        <v>2068</v>
      </c>
      <c r="L283" s="19">
        <v>0</v>
      </c>
      <c r="M283" s="19">
        <v>0</v>
      </c>
      <c r="N283" s="19" t="s">
        <v>2394</v>
      </c>
      <c r="O283" s="20">
        <v>6</v>
      </c>
      <c r="S283" s="19" t="s">
        <v>20</v>
      </c>
      <c r="T283" s="19" t="s">
        <v>1471</v>
      </c>
    </row>
    <row r="284" spans="1:20">
      <c r="A284" s="20">
        <v>202603328062252</v>
      </c>
      <c r="B284" s="19" t="s">
        <v>20</v>
      </c>
      <c r="C284" s="19" t="s">
        <v>21</v>
      </c>
      <c r="D284" s="19" t="s">
        <v>20</v>
      </c>
      <c r="E284" s="21">
        <v>46204</v>
      </c>
      <c r="F284" s="21">
        <v>46568</v>
      </c>
      <c r="G284" s="21"/>
      <c r="H284" s="21">
        <v>46204</v>
      </c>
      <c r="I284" s="21">
        <v>46568</v>
      </c>
      <c r="J284" s="19" t="s">
        <v>2068</v>
      </c>
      <c r="L284" s="19">
        <v>157.55210400000001</v>
      </c>
      <c r="M284" s="19">
        <v>157.55210400000001</v>
      </c>
      <c r="N284" s="19" t="s">
        <v>1475</v>
      </c>
      <c r="O284" s="20">
        <v>6</v>
      </c>
      <c r="S284" s="19" t="s">
        <v>20</v>
      </c>
      <c r="T284" s="19" t="s">
        <v>1471</v>
      </c>
    </row>
    <row r="285" spans="1:20">
      <c r="A285" s="20">
        <v>202603328062578</v>
      </c>
      <c r="B285" s="19" t="s">
        <v>20</v>
      </c>
      <c r="C285" s="19" t="s">
        <v>21</v>
      </c>
      <c r="D285" s="19" t="s">
        <v>20</v>
      </c>
      <c r="E285" s="21">
        <v>46204</v>
      </c>
      <c r="F285" s="21">
        <v>46568</v>
      </c>
      <c r="G285" s="21"/>
      <c r="H285" s="21">
        <v>46204</v>
      </c>
      <c r="I285" s="21">
        <v>46568</v>
      </c>
      <c r="J285" s="19" t="s">
        <v>2085</v>
      </c>
      <c r="L285" s="19">
        <v>49.241346999999998</v>
      </c>
      <c r="M285" s="19">
        <v>49.241346999999998</v>
      </c>
      <c r="N285" s="19" t="s">
        <v>1475</v>
      </c>
      <c r="O285" s="20">
        <v>2</v>
      </c>
      <c r="S285" s="19" t="s">
        <v>20</v>
      </c>
      <c r="T285" s="19" t="s">
        <v>1471</v>
      </c>
    </row>
    <row r="286" spans="1:20">
      <c r="A286" s="20">
        <v>202603328063051</v>
      </c>
      <c r="B286" s="19" t="s">
        <v>20</v>
      </c>
      <c r="C286" s="19" t="s">
        <v>21</v>
      </c>
      <c r="D286" s="19" t="s">
        <v>20</v>
      </c>
      <c r="E286" s="21">
        <v>46204</v>
      </c>
      <c r="F286" s="21">
        <v>46568</v>
      </c>
      <c r="G286" s="21"/>
      <c r="H286" s="21">
        <v>46204</v>
      </c>
      <c r="I286" s="21">
        <v>46568</v>
      </c>
      <c r="J286" s="19" t="s">
        <v>2115</v>
      </c>
      <c r="L286" s="19">
        <v>12.743409249999999</v>
      </c>
      <c r="M286" s="19">
        <v>12.743409249999999</v>
      </c>
      <c r="N286" s="19" t="s">
        <v>1475</v>
      </c>
      <c r="O286" s="20">
        <v>1</v>
      </c>
      <c r="S286" s="19" t="s">
        <v>20</v>
      </c>
      <c r="T286" s="19" t="s">
        <v>1471</v>
      </c>
    </row>
    <row r="287" spans="1:20">
      <c r="A287" s="20">
        <v>202603328063624</v>
      </c>
      <c r="B287" s="19" t="s">
        <v>20</v>
      </c>
      <c r="C287" s="19" t="s">
        <v>21</v>
      </c>
      <c r="D287" s="19" t="s">
        <v>20</v>
      </c>
      <c r="E287" s="21">
        <v>46204</v>
      </c>
      <c r="F287" s="21">
        <v>46568</v>
      </c>
      <c r="G287" s="21"/>
      <c r="H287" s="21">
        <v>46204</v>
      </c>
      <c r="I287" s="21">
        <v>46568</v>
      </c>
      <c r="J287" s="19" t="s">
        <v>2128</v>
      </c>
      <c r="L287" s="19">
        <v>0</v>
      </c>
      <c r="M287" s="19">
        <v>0</v>
      </c>
      <c r="N287" s="19" t="s">
        <v>2394</v>
      </c>
      <c r="O287" s="20">
        <v>2</v>
      </c>
      <c r="S287" s="19" t="s">
        <v>20</v>
      </c>
      <c r="T287" s="19" t="s">
        <v>1471</v>
      </c>
    </row>
    <row r="288" spans="1:20">
      <c r="A288" s="20">
        <v>202603328063624</v>
      </c>
      <c r="B288" s="19" t="s">
        <v>20</v>
      </c>
      <c r="C288" s="19" t="s">
        <v>21</v>
      </c>
      <c r="D288" s="19" t="s">
        <v>20</v>
      </c>
      <c r="E288" s="21">
        <v>46204</v>
      </c>
      <c r="F288" s="21">
        <v>46568</v>
      </c>
      <c r="G288" s="21"/>
      <c r="H288" s="21">
        <v>46204</v>
      </c>
      <c r="I288" s="21">
        <v>46568</v>
      </c>
      <c r="J288" s="19" t="s">
        <v>2128</v>
      </c>
      <c r="L288" s="19">
        <v>59.635123499999999</v>
      </c>
      <c r="M288" s="19">
        <v>59.635123499999999</v>
      </c>
      <c r="N288" s="19" t="s">
        <v>1475</v>
      </c>
      <c r="O288" s="20">
        <v>2</v>
      </c>
      <c r="S288" s="19" t="s">
        <v>20</v>
      </c>
      <c r="T288" s="19" t="s">
        <v>1471</v>
      </c>
    </row>
    <row r="289" spans="1:20">
      <c r="A289" s="20">
        <v>202603328065628</v>
      </c>
      <c r="B289" s="19" t="s">
        <v>20</v>
      </c>
      <c r="C289" s="19" t="s">
        <v>21</v>
      </c>
      <c r="D289" s="19" t="s">
        <v>20</v>
      </c>
      <c r="E289" s="21">
        <v>46204</v>
      </c>
      <c r="F289" s="21">
        <v>46568</v>
      </c>
      <c r="G289" s="21"/>
      <c r="H289" s="21">
        <v>46204</v>
      </c>
      <c r="I289" s="21">
        <v>46568</v>
      </c>
      <c r="J289" s="19" t="s">
        <v>2151</v>
      </c>
      <c r="L289" s="19">
        <v>33.130630250000003</v>
      </c>
      <c r="M289" s="19">
        <v>33.130630250000003</v>
      </c>
      <c r="N289" s="19" t="s">
        <v>1475</v>
      </c>
      <c r="O289" s="20">
        <v>1</v>
      </c>
      <c r="S289" s="19" t="s">
        <v>20</v>
      </c>
      <c r="T289" s="19" t="s">
        <v>1471</v>
      </c>
    </row>
    <row r="290" spans="1:20">
      <c r="A290" s="20">
        <v>202603328065649</v>
      </c>
      <c r="B290" s="19" t="s">
        <v>20</v>
      </c>
      <c r="C290" s="19" t="s">
        <v>21</v>
      </c>
      <c r="D290" s="19" t="s">
        <v>20</v>
      </c>
      <c r="E290" s="21">
        <v>46204</v>
      </c>
      <c r="F290" s="21">
        <v>46568</v>
      </c>
      <c r="G290" s="21"/>
      <c r="H290" s="21">
        <v>46204</v>
      </c>
      <c r="I290" s="21">
        <v>46568</v>
      </c>
      <c r="J290" s="19" t="s">
        <v>2087</v>
      </c>
      <c r="L290" s="19">
        <v>33.130630250000003</v>
      </c>
      <c r="M290" s="19">
        <v>33.130630250000003</v>
      </c>
      <c r="N290" s="19" t="s">
        <v>1475</v>
      </c>
      <c r="O290" s="20">
        <v>1</v>
      </c>
      <c r="S290" s="19" t="s">
        <v>20</v>
      </c>
      <c r="T290" s="19" t="s">
        <v>1471</v>
      </c>
    </row>
    <row r="291" spans="1:20">
      <c r="A291" s="20">
        <v>202603328066672</v>
      </c>
      <c r="B291" s="19" t="s">
        <v>20</v>
      </c>
      <c r="C291" s="19" t="s">
        <v>21</v>
      </c>
      <c r="D291" s="19" t="s">
        <v>20</v>
      </c>
      <c r="E291" s="21">
        <v>46204</v>
      </c>
      <c r="F291" s="21">
        <v>46568</v>
      </c>
      <c r="G291" s="21"/>
      <c r="H291" s="21">
        <v>46204</v>
      </c>
      <c r="I291" s="21">
        <v>46568</v>
      </c>
      <c r="J291" s="19" t="s">
        <v>2064</v>
      </c>
      <c r="L291" s="19">
        <v>0</v>
      </c>
      <c r="M291" s="19">
        <v>0</v>
      </c>
      <c r="N291" s="19" t="s">
        <v>2394</v>
      </c>
      <c r="O291" s="20">
        <v>5</v>
      </c>
      <c r="S291" s="19" t="s">
        <v>20</v>
      </c>
      <c r="T291" s="19" t="s">
        <v>1471</v>
      </c>
    </row>
    <row r="292" spans="1:20">
      <c r="A292" s="20">
        <v>202603328066672</v>
      </c>
      <c r="B292" s="19" t="s">
        <v>20</v>
      </c>
      <c r="C292" s="19" t="s">
        <v>21</v>
      </c>
      <c r="D292" s="19" t="s">
        <v>20</v>
      </c>
      <c r="E292" s="21">
        <v>46204</v>
      </c>
      <c r="F292" s="21">
        <v>46568</v>
      </c>
      <c r="G292" s="21"/>
      <c r="H292" s="21">
        <v>46204</v>
      </c>
      <c r="I292" s="21">
        <v>46568</v>
      </c>
      <c r="J292" s="19" t="s">
        <v>2064</v>
      </c>
      <c r="L292" s="19">
        <v>165.65315125000001</v>
      </c>
      <c r="M292" s="19">
        <v>165.65315125000001</v>
      </c>
      <c r="N292" s="19" t="s">
        <v>1475</v>
      </c>
      <c r="O292" s="20">
        <v>5</v>
      </c>
      <c r="S292" s="19" t="s">
        <v>20</v>
      </c>
      <c r="T292" s="19" t="s">
        <v>1471</v>
      </c>
    </row>
    <row r="293" spans="1:20">
      <c r="A293" s="20">
        <v>202603328067187</v>
      </c>
      <c r="B293" s="19" t="s">
        <v>20</v>
      </c>
      <c r="C293" s="19" t="s">
        <v>21</v>
      </c>
      <c r="D293" s="19" t="s">
        <v>20</v>
      </c>
      <c r="E293" s="21">
        <v>46204</v>
      </c>
      <c r="F293" s="21">
        <v>46568</v>
      </c>
      <c r="G293" s="21"/>
      <c r="H293" s="21">
        <v>46204</v>
      </c>
      <c r="I293" s="21">
        <v>46568</v>
      </c>
      <c r="J293" s="19" t="s">
        <v>2085</v>
      </c>
      <c r="L293" s="19">
        <v>0</v>
      </c>
      <c r="M293" s="19">
        <v>0</v>
      </c>
      <c r="N293" s="19" t="s">
        <v>2394</v>
      </c>
      <c r="O293" s="20">
        <v>3</v>
      </c>
      <c r="S293" s="19" t="s">
        <v>20</v>
      </c>
      <c r="T293" s="19" t="s">
        <v>1471</v>
      </c>
    </row>
    <row r="294" spans="1:20">
      <c r="A294" s="20">
        <v>202603328067187</v>
      </c>
      <c r="B294" s="19" t="s">
        <v>20</v>
      </c>
      <c r="C294" s="19" t="s">
        <v>21</v>
      </c>
      <c r="D294" s="19" t="s">
        <v>20</v>
      </c>
      <c r="E294" s="21">
        <v>46204</v>
      </c>
      <c r="F294" s="21">
        <v>46568</v>
      </c>
      <c r="G294" s="21"/>
      <c r="H294" s="21">
        <v>46204</v>
      </c>
      <c r="I294" s="21">
        <v>46568</v>
      </c>
      <c r="J294" s="19" t="s">
        <v>2085</v>
      </c>
      <c r="L294" s="19">
        <v>73.8620205</v>
      </c>
      <c r="M294" s="19">
        <v>73.8620205</v>
      </c>
      <c r="N294" s="19" t="s">
        <v>1475</v>
      </c>
      <c r="O294" s="20">
        <v>3</v>
      </c>
      <c r="S294" s="19" t="s">
        <v>20</v>
      </c>
      <c r="T294" s="19" t="s">
        <v>1471</v>
      </c>
    </row>
    <row r="295" spans="1:20">
      <c r="A295" s="20">
        <v>202603328067974</v>
      </c>
      <c r="B295" s="19" t="s">
        <v>20</v>
      </c>
      <c r="C295" s="19" t="s">
        <v>21</v>
      </c>
      <c r="D295" s="19" t="s">
        <v>20</v>
      </c>
      <c r="E295" s="21">
        <v>46204</v>
      </c>
      <c r="F295" s="21">
        <v>46568</v>
      </c>
      <c r="G295" s="21"/>
      <c r="H295" s="21">
        <v>46204</v>
      </c>
      <c r="I295" s="21">
        <v>46568</v>
      </c>
      <c r="J295" s="19" t="s">
        <v>2068</v>
      </c>
      <c r="L295" s="19">
        <v>0</v>
      </c>
      <c r="M295" s="19">
        <v>0</v>
      </c>
      <c r="N295" s="19" t="s">
        <v>2394</v>
      </c>
      <c r="O295" s="20">
        <v>2</v>
      </c>
      <c r="S295" s="19" t="s">
        <v>20</v>
      </c>
      <c r="T295" s="19" t="s">
        <v>1471</v>
      </c>
    </row>
    <row r="296" spans="1:20">
      <c r="A296" s="20">
        <v>202603328067974</v>
      </c>
      <c r="B296" s="19" t="s">
        <v>20</v>
      </c>
      <c r="C296" s="19" t="s">
        <v>21</v>
      </c>
      <c r="D296" s="19" t="s">
        <v>20</v>
      </c>
      <c r="E296" s="21">
        <v>46204</v>
      </c>
      <c r="F296" s="21">
        <v>46568</v>
      </c>
      <c r="G296" s="21"/>
      <c r="H296" s="21">
        <v>46204</v>
      </c>
      <c r="I296" s="21">
        <v>46568</v>
      </c>
      <c r="J296" s="19" t="s">
        <v>2068</v>
      </c>
      <c r="L296" s="19">
        <v>52.517367999999998</v>
      </c>
      <c r="M296" s="19">
        <v>52.517367999999998</v>
      </c>
      <c r="N296" s="19" t="s">
        <v>1475</v>
      </c>
      <c r="O296" s="20">
        <v>2</v>
      </c>
      <c r="S296" s="19" t="s">
        <v>20</v>
      </c>
      <c r="T296" s="19" t="s">
        <v>1471</v>
      </c>
    </row>
    <row r="297" spans="1:20">
      <c r="A297" s="20">
        <v>202603328068256</v>
      </c>
      <c r="B297" s="19" t="s">
        <v>20</v>
      </c>
      <c r="C297" s="19" t="s">
        <v>21</v>
      </c>
      <c r="D297" s="19" t="s">
        <v>20</v>
      </c>
      <c r="E297" s="21">
        <v>46204</v>
      </c>
      <c r="F297" s="21">
        <v>46568</v>
      </c>
      <c r="G297" s="21"/>
      <c r="H297" s="21">
        <v>46204</v>
      </c>
      <c r="I297" s="21">
        <v>46568</v>
      </c>
      <c r="J297" s="19" t="s">
        <v>2103</v>
      </c>
      <c r="L297" s="19">
        <v>0</v>
      </c>
      <c r="M297" s="19">
        <v>0</v>
      </c>
      <c r="N297" s="19" t="s">
        <v>2394</v>
      </c>
      <c r="O297" s="20">
        <v>3</v>
      </c>
      <c r="S297" s="19" t="s">
        <v>20</v>
      </c>
      <c r="T297" s="19" t="s">
        <v>1471</v>
      </c>
    </row>
    <row r="298" spans="1:20">
      <c r="A298" s="20">
        <v>202603328068256</v>
      </c>
      <c r="B298" s="19" t="s">
        <v>20</v>
      </c>
      <c r="C298" s="19" t="s">
        <v>21</v>
      </c>
      <c r="D298" s="19" t="s">
        <v>2152</v>
      </c>
      <c r="E298" s="21">
        <v>46204</v>
      </c>
      <c r="F298" s="21">
        <v>46568</v>
      </c>
      <c r="G298" s="21"/>
      <c r="H298" s="21">
        <v>46204</v>
      </c>
      <c r="I298" s="21">
        <v>46568</v>
      </c>
      <c r="J298" s="19" t="s">
        <v>2103</v>
      </c>
      <c r="L298" s="19">
        <v>71.904872249999997</v>
      </c>
      <c r="M298" s="19">
        <v>71.904872249999997</v>
      </c>
      <c r="N298" s="19" t="s">
        <v>1467</v>
      </c>
      <c r="O298" s="20">
        <v>3</v>
      </c>
      <c r="S298" s="19" t="s">
        <v>20</v>
      </c>
      <c r="T298" s="19" t="s">
        <v>1471</v>
      </c>
    </row>
    <row r="299" spans="1:20">
      <c r="A299" s="20">
        <v>202603328068261</v>
      </c>
      <c r="B299" s="19" t="s">
        <v>20</v>
      </c>
      <c r="C299" s="19" t="s">
        <v>21</v>
      </c>
      <c r="D299" s="19" t="s">
        <v>20</v>
      </c>
      <c r="E299" s="21">
        <v>46204</v>
      </c>
      <c r="F299" s="21">
        <v>46568</v>
      </c>
      <c r="G299" s="21"/>
      <c r="H299" s="21">
        <v>46204</v>
      </c>
      <c r="I299" s="21">
        <v>46568</v>
      </c>
      <c r="J299" s="19" t="s">
        <v>2086</v>
      </c>
      <c r="L299" s="19">
        <v>0</v>
      </c>
      <c r="M299" s="19">
        <v>0</v>
      </c>
      <c r="N299" s="19" t="s">
        <v>2394</v>
      </c>
      <c r="O299" s="20">
        <v>2</v>
      </c>
      <c r="S299" s="19" t="s">
        <v>20</v>
      </c>
      <c r="T299" s="19" t="s">
        <v>1471</v>
      </c>
    </row>
    <row r="300" spans="1:20">
      <c r="A300" s="20">
        <v>202603328068261</v>
      </c>
      <c r="B300" s="19" t="s">
        <v>20</v>
      </c>
      <c r="C300" s="19" t="s">
        <v>21</v>
      </c>
      <c r="D300" s="19" t="s">
        <v>20</v>
      </c>
      <c r="E300" s="21">
        <v>46204</v>
      </c>
      <c r="F300" s="21">
        <v>46568</v>
      </c>
      <c r="G300" s="21"/>
      <c r="H300" s="21">
        <v>46204</v>
      </c>
      <c r="I300" s="21">
        <v>46568</v>
      </c>
      <c r="J300" s="19" t="s">
        <v>2086</v>
      </c>
      <c r="L300" s="19">
        <v>66.261260500000006</v>
      </c>
      <c r="M300" s="19">
        <v>66.261260500000006</v>
      </c>
      <c r="N300" s="19" t="s">
        <v>1475</v>
      </c>
      <c r="O300" s="20">
        <v>2</v>
      </c>
      <c r="S300" s="19" t="s">
        <v>20</v>
      </c>
      <c r="T300" s="19" t="s">
        <v>1471</v>
      </c>
    </row>
    <row r="301" spans="1:20">
      <c r="A301" s="20">
        <v>202603328068471</v>
      </c>
      <c r="B301" s="19" t="s">
        <v>20</v>
      </c>
      <c r="C301" s="19" t="s">
        <v>21</v>
      </c>
      <c r="D301" s="19" t="s">
        <v>20</v>
      </c>
      <c r="E301" s="21">
        <v>46204</v>
      </c>
      <c r="F301" s="21">
        <v>46568</v>
      </c>
      <c r="G301" s="21"/>
      <c r="H301" s="21">
        <v>46204</v>
      </c>
      <c r="I301" s="21">
        <v>46568</v>
      </c>
      <c r="J301" s="19" t="s">
        <v>2092</v>
      </c>
      <c r="L301" s="19">
        <v>38.659559000000002</v>
      </c>
      <c r="M301" s="19">
        <v>38.659559000000002</v>
      </c>
      <c r="N301" s="19" t="s">
        <v>1475</v>
      </c>
      <c r="O301" s="20">
        <v>1</v>
      </c>
      <c r="S301" s="19" t="s">
        <v>20</v>
      </c>
      <c r="T301" s="19" t="s">
        <v>1471</v>
      </c>
    </row>
    <row r="302" spans="1:20">
      <c r="A302" s="20">
        <v>202603328069039</v>
      </c>
      <c r="B302" s="19" t="s">
        <v>20</v>
      </c>
      <c r="C302" s="19" t="s">
        <v>21</v>
      </c>
      <c r="D302" s="19" t="s">
        <v>20</v>
      </c>
      <c r="E302" s="21">
        <v>46204</v>
      </c>
      <c r="F302" s="21">
        <v>46568</v>
      </c>
      <c r="G302" s="21"/>
      <c r="H302" s="21">
        <v>46204</v>
      </c>
      <c r="I302" s="21">
        <v>46568</v>
      </c>
      <c r="J302" s="19" t="s">
        <v>2153</v>
      </c>
      <c r="L302" s="19">
        <v>23.968290750000001</v>
      </c>
      <c r="M302" s="19">
        <v>23.968290750000001</v>
      </c>
      <c r="N302" s="19" t="s">
        <v>1475</v>
      </c>
      <c r="O302" s="20">
        <v>1</v>
      </c>
      <c r="S302" s="19" t="s">
        <v>20</v>
      </c>
      <c r="T302" s="19" t="s">
        <v>1471</v>
      </c>
    </row>
    <row r="303" spans="1:20">
      <c r="A303" s="20">
        <v>202603328070924</v>
      </c>
      <c r="B303" s="19" t="s">
        <v>20</v>
      </c>
      <c r="C303" s="19" t="s">
        <v>21</v>
      </c>
      <c r="D303" s="19" t="s">
        <v>20</v>
      </c>
      <c r="E303" s="21">
        <v>46204</v>
      </c>
      <c r="F303" s="21">
        <v>46568</v>
      </c>
      <c r="G303" s="21"/>
      <c r="H303" s="21">
        <v>46204</v>
      </c>
      <c r="I303" s="21">
        <v>46568</v>
      </c>
      <c r="J303" s="19" t="s">
        <v>2085</v>
      </c>
      <c r="L303" s="19">
        <v>0</v>
      </c>
      <c r="M303" s="19">
        <v>0</v>
      </c>
      <c r="N303" s="19" t="s">
        <v>2394</v>
      </c>
      <c r="O303" s="20">
        <v>5</v>
      </c>
      <c r="S303" s="19" t="s">
        <v>20</v>
      </c>
      <c r="T303" s="19" t="s">
        <v>1471</v>
      </c>
    </row>
    <row r="304" spans="1:20">
      <c r="A304" s="20">
        <v>202603328070924</v>
      </c>
      <c r="B304" s="19" t="s">
        <v>20</v>
      </c>
      <c r="C304" s="19" t="s">
        <v>21</v>
      </c>
      <c r="D304" s="19" t="s">
        <v>20</v>
      </c>
      <c r="E304" s="21">
        <v>46204</v>
      </c>
      <c r="F304" s="21">
        <v>46568</v>
      </c>
      <c r="G304" s="21"/>
      <c r="H304" s="21">
        <v>46204</v>
      </c>
      <c r="I304" s="21">
        <v>46568</v>
      </c>
      <c r="J304" s="19" t="s">
        <v>2085</v>
      </c>
      <c r="L304" s="19">
        <v>123.1033675</v>
      </c>
      <c r="M304" s="19">
        <v>123.1033675</v>
      </c>
      <c r="N304" s="19" t="s">
        <v>1475</v>
      </c>
      <c r="O304" s="20">
        <v>5</v>
      </c>
      <c r="S304" s="19" t="s">
        <v>20</v>
      </c>
      <c r="T304" s="19" t="s">
        <v>1471</v>
      </c>
    </row>
    <row r="305" spans="1:20">
      <c r="A305" s="20">
        <v>202603328071022</v>
      </c>
      <c r="B305" s="19" t="s">
        <v>20</v>
      </c>
      <c r="C305" s="19" t="s">
        <v>21</v>
      </c>
      <c r="D305" s="19" t="s">
        <v>20</v>
      </c>
      <c r="E305" s="21">
        <v>46204</v>
      </c>
      <c r="F305" s="21">
        <v>46568</v>
      </c>
      <c r="G305" s="21"/>
      <c r="H305" s="21">
        <v>46204</v>
      </c>
      <c r="I305" s="21">
        <v>46568</v>
      </c>
      <c r="J305" s="19" t="s">
        <v>2064</v>
      </c>
      <c r="L305" s="19">
        <v>0</v>
      </c>
      <c r="M305" s="19">
        <v>0</v>
      </c>
      <c r="N305" s="19" t="s">
        <v>2394</v>
      </c>
      <c r="O305" s="20">
        <v>2</v>
      </c>
      <c r="S305" s="19" t="s">
        <v>20</v>
      </c>
      <c r="T305" s="19" t="s">
        <v>1471</v>
      </c>
    </row>
    <row r="306" spans="1:20">
      <c r="A306" s="20">
        <v>202603328071022</v>
      </c>
      <c r="B306" s="19" t="s">
        <v>20</v>
      </c>
      <c r="C306" s="19" t="s">
        <v>21</v>
      </c>
      <c r="D306" s="19" t="s">
        <v>20</v>
      </c>
      <c r="E306" s="21">
        <v>46204</v>
      </c>
      <c r="F306" s="21">
        <v>46568</v>
      </c>
      <c r="G306" s="21"/>
      <c r="H306" s="21">
        <v>46204</v>
      </c>
      <c r="I306" s="21">
        <v>46568</v>
      </c>
      <c r="J306" s="19" t="s">
        <v>2064</v>
      </c>
      <c r="L306" s="19">
        <v>66.261260500000006</v>
      </c>
      <c r="M306" s="19">
        <v>66.261260500000006</v>
      </c>
      <c r="N306" s="19" t="s">
        <v>1475</v>
      </c>
      <c r="O306" s="20">
        <v>2</v>
      </c>
      <c r="S306" s="19" t="s">
        <v>20</v>
      </c>
      <c r="T306" s="19" t="s">
        <v>1471</v>
      </c>
    </row>
    <row r="307" spans="1:20">
      <c r="A307" s="20">
        <v>202603328072940</v>
      </c>
      <c r="B307" s="19" t="s">
        <v>20</v>
      </c>
      <c r="C307" s="19" t="s">
        <v>21</v>
      </c>
      <c r="D307" s="19" t="s">
        <v>20</v>
      </c>
      <c r="E307" s="21">
        <v>46204</v>
      </c>
      <c r="F307" s="21">
        <v>46568</v>
      </c>
      <c r="G307" s="21"/>
      <c r="H307" s="21">
        <v>46204</v>
      </c>
      <c r="I307" s="21">
        <v>46568</v>
      </c>
      <c r="J307" s="19" t="s">
        <v>2068</v>
      </c>
      <c r="L307" s="19">
        <v>0</v>
      </c>
      <c r="M307" s="19">
        <v>0</v>
      </c>
      <c r="N307" s="19" t="s">
        <v>2394</v>
      </c>
      <c r="O307" s="20">
        <v>4</v>
      </c>
      <c r="S307" s="19" t="s">
        <v>20</v>
      </c>
      <c r="T307" s="19" t="s">
        <v>1471</v>
      </c>
    </row>
    <row r="308" spans="1:20">
      <c r="A308" s="20">
        <v>202603328072940</v>
      </c>
      <c r="B308" s="19" t="s">
        <v>20</v>
      </c>
      <c r="C308" s="19" t="s">
        <v>21</v>
      </c>
      <c r="D308" s="19" t="s">
        <v>20</v>
      </c>
      <c r="E308" s="21">
        <v>46204</v>
      </c>
      <c r="F308" s="21">
        <v>46568</v>
      </c>
      <c r="G308" s="21"/>
      <c r="H308" s="21">
        <v>46204</v>
      </c>
      <c r="I308" s="21">
        <v>46568</v>
      </c>
      <c r="J308" s="19" t="s">
        <v>2068</v>
      </c>
      <c r="L308" s="19">
        <v>105.034736</v>
      </c>
      <c r="M308" s="19">
        <v>105.034736</v>
      </c>
      <c r="N308" s="19" t="s">
        <v>1475</v>
      </c>
      <c r="O308" s="20">
        <v>4</v>
      </c>
      <c r="S308" s="19" t="s">
        <v>20</v>
      </c>
      <c r="T308" s="19" t="s">
        <v>1471</v>
      </c>
    </row>
    <row r="309" spans="1:20">
      <c r="A309" s="20">
        <v>202603328074881</v>
      </c>
      <c r="B309" s="19" t="s">
        <v>20</v>
      </c>
      <c r="C309" s="19" t="s">
        <v>21</v>
      </c>
      <c r="D309" s="19" t="s">
        <v>20</v>
      </c>
      <c r="E309" s="21">
        <v>46204</v>
      </c>
      <c r="F309" s="21">
        <v>46568</v>
      </c>
      <c r="G309" s="21"/>
      <c r="H309" s="21">
        <v>46204</v>
      </c>
      <c r="I309" s="21">
        <v>46568</v>
      </c>
      <c r="J309" s="19" t="s">
        <v>2068</v>
      </c>
      <c r="L309" s="19">
        <v>0</v>
      </c>
      <c r="M309" s="19">
        <v>0</v>
      </c>
      <c r="N309" s="19" t="s">
        <v>2394</v>
      </c>
      <c r="O309" s="20">
        <v>2</v>
      </c>
      <c r="S309" s="19" t="s">
        <v>20</v>
      </c>
      <c r="T309" s="19" t="s">
        <v>1471</v>
      </c>
    </row>
    <row r="310" spans="1:20">
      <c r="A310" s="20">
        <v>202603328074881</v>
      </c>
      <c r="B310" s="19" t="s">
        <v>20</v>
      </c>
      <c r="C310" s="19" t="s">
        <v>21</v>
      </c>
      <c r="D310" s="19" t="s">
        <v>20</v>
      </c>
      <c r="E310" s="21">
        <v>46204</v>
      </c>
      <c r="F310" s="21">
        <v>46568</v>
      </c>
      <c r="G310" s="21"/>
      <c r="H310" s="21">
        <v>46204</v>
      </c>
      <c r="I310" s="21">
        <v>46568</v>
      </c>
      <c r="J310" s="19" t="s">
        <v>2068</v>
      </c>
      <c r="L310" s="19">
        <v>52.517367999999998</v>
      </c>
      <c r="M310" s="19">
        <v>52.517367999999998</v>
      </c>
      <c r="N310" s="19" t="s">
        <v>1475</v>
      </c>
      <c r="O310" s="20">
        <v>2</v>
      </c>
      <c r="S310" s="19" t="s">
        <v>20</v>
      </c>
      <c r="T310" s="19" t="s">
        <v>1471</v>
      </c>
    </row>
    <row r="311" spans="1:20">
      <c r="A311" s="20">
        <v>202603328074886</v>
      </c>
      <c r="B311" s="19" t="s">
        <v>20</v>
      </c>
      <c r="C311" s="19" t="s">
        <v>21</v>
      </c>
      <c r="D311" s="19" t="s">
        <v>20</v>
      </c>
      <c r="E311" s="21">
        <v>46204</v>
      </c>
      <c r="F311" s="21">
        <v>46568</v>
      </c>
      <c r="G311" s="21"/>
      <c r="H311" s="21">
        <v>46204</v>
      </c>
      <c r="I311" s="21">
        <v>46568</v>
      </c>
      <c r="J311" s="19" t="s">
        <v>2122</v>
      </c>
      <c r="L311" s="19">
        <v>0</v>
      </c>
      <c r="M311" s="19">
        <v>0</v>
      </c>
      <c r="N311" s="19" t="s">
        <v>2394</v>
      </c>
      <c r="O311" s="20">
        <v>4</v>
      </c>
      <c r="S311" s="19" t="s">
        <v>20</v>
      </c>
      <c r="T311" s="19" t="s">
        <v>1471</v>
      </c>
    </row>
    <row r="312" spans="1:20">
      <c r="A312" s="20">
        <v>202603328074886</v>
      </c>
      <c r="B312" s="19" t="s">
        <v>20</v>
      </c>
      <c r="C312" s="19" t="s">
        <v>21</v>
      </c>
      <c r="D312" s="19" t="s">
        <v>2154</v>
      </c>
      <c r="E312" s="21">
        <v>46204</v>
      </c>
      <c r="F312" s="21">
        <v>46568</v>
      </c>
      <c r="G312" s="21"/>
      <c r="H312" s="21">
        <v>46204</v>
      </c>
      <c r="I312" s="21">
        <v>46568</v>
      </c>
      <c r="J312" s="19" t="s">
        <v>2122</v>
      </c>
      <c r="L312" s="19">
        <v>95.873163000000005</v>
      </c>
      <c r="M312" s="19">
        <v>95.873163000000005</v>
      </c>
      <c r="N312" s="19" t="s">
        <v>1467</v>
      </c>
      <c r="O312" s="20">
        <v>4</v>
      </c>
      <c r="S312" s="19" t="s">
        <v>20</v>
      </c>
      <c r="T312" s="19" t="s">
        <v>1471</v>
      </c>
    </row>
    <row r="313" spans="1:20">
      <c r="A313" s="20">
        <v>202603328075489</v>
      </c>
      <c r="B313" s="19" t="s">
        <v>20</v>
      </c>
      <c r="C313" s="19" t="s">
        <v>21</v>
      </c>
      <c r="D313" s="19" t="s">
        <v>20</v>
      </c>
      <c r="E313" s="21">
        <v>46204</v>
      </c>
      <c r="F313" s="21">
        <v>46568</v>
      </c>
      <c r="G313" s="21"/>
      <c r="H313" s="21">
        <v>46204</v>
      </c>
      <c r="I313" s="21">
        <v>46568</v>
      </c>
      <c r="J313" s="19" t="s">
        <v>2111</v>
      </c>
      <c r="L313" s="19">
        <v>33.130630250000003</v>
      </c>
      <c r="M313" s="19">
        <v>33.130630250000003</v>
      </c>
      <c r="N313" s="19" t="s">
        <v>1475</v>
      </c>
      <c r="O313" s="20">
        <v>1</v>
      </c>
      <c r="S313" s="19" t="s">
        <v>20</v>
      </c>
      <c r="T313" s="19" t="s">
        <v>1471</v>
      </c>
    </row>
    <row r="314" spans="1:20">
      <c r="A314" s="20">
        <v>202603328076317</v>
      </c>
      <c r="B314" s="19" t="s">
        <v>20</v>
      </c>
      <c r="C314" s="19" t="s">
        <v>21</v>
      </c>
      <c r="D314" s="19" t="s">
        <v>20</v>
      </c>
      <c r="E314" s="21">
        <v>46204</v>
      </c>
      <c r="F314" s="21">
        <v>46568</v>
      </c>
      <c r="G314" s="21"/>
      <c r="H314" s="21">
        <v>46204</v>
      </c>
      <c r="I314" s="21">
        <v>46568</v>
      </c>
      <c r="J314" s="19" t="s">
        <v>2087</v>
      </c>
      <c r="L314" s="19">
        <v>99.391890750000002</v>
      </c>
      <c r="M314" s="19">
        <v>99.391890750000002</v>
      </c>
      <c r="N314" s="19" t="s">
        <v>1475</v>
      </c>
      <c r="O314" s="20">
        <v>3</v>
      </c>
      <c r="S314" s="19" t="s">
        <v>20</v>
      </c>
      <c r="T314" s="19" t="s">
        <v>1471</v>
      </c>
    </row>
    <row r="315" spans="1:20">
      <c r="A315" s="20">
        <v>202603328077115</v>
      </c>
      <c r="B315" s="19" t="s">
        <v>20</v>
      </c>
      <c r="C315" s="19" t="s">
        <v>21</v>
      </c>
      <c r="D315" s="19" t="s">
        <v>20</v>
      </c>
      <c r="E315" s="21">
        <v>46204</v>
      </c>
      <c r="F315" s="21">
        <v>46568</v>
      </c>
      <c r="G315" s="21"/>
      <c r="H315" s="21">
        <v>46204</v>
      </c>
      <c r="I315" s="21">
        <v>46568</v>
      </c>
      <c r="J315" s="19" t="s">
        <v>2087</v>
      </c>
      <c r="L315" s="19">
        <v>33.130630250000003</v>
      </c>
      <c r="M315" s="19">
        <v>33.130630250000003</v>
      </c>
      <c r="N315" s="19" t="s">
        <v>1475</v>
      </c>
      <c r="O315" s="20">
        <v>1</v>
      </c>
      <c r="S315" s="19" t="s">
        <v>20</v>
      </c>
      <c r="T315" s="19" t="s">
        <v>1471</v>
      </c>
    </row>
    <row r="316" spans="1:20">
      <c r="A316" s="20">
        <v>202603328077530</v>
      </c>
      <c r="B316" s="19" t="s">
        <v>20</v>
      </c>
      <c r="C316" s="19" t="s">
        <v>21</v>
      </c>
      <c r="D316" s="19" t="s">
        <v>20</v>
      </c>
      <c r="E316" s="21">
        <v>46204</v>
      </c>
      <c r="F316" s="21">
        <v>46568</v>
      </c>
      <c r="G316" s="21"/>
      <c r="H316" s="21">
        <v>46204</v>
      </c>
      <c r="I316" s="21">
        <v>46568</v>
      </c>
      <c r="J316" s="19" t="s">
        <v>2093</v>
      </c>
      <c r="L316" s="19">
        <v>0</v>
      </c>
      <c r="M316" s="19">
        <v>0</v>
      </c>
      <c r="N316" s="19" t="s">
        <v>2394</v>
      </c>
      <c r="O316" s="20">
        <v>7</v>
      </c>
      <c r="S316" s="19" t="s">
        <v>20</v>
      </c>
      <c r="T316" s="19" t="s">
        <v>1471</v>
      </c>
    </row>
    <row r="317" spans="1:20">
      <c r="A317" s="20">
        <v>202603328077530</v>
      </c>
      <c r="B317" s="19" t="s">
        <v>20</v>
      </c>
      <c r="C317" s="19" t="s">
        <v>21</v>
      </c>
      <c r="D317" s="19" t="s">
        <v>20</v>
      </c>
      <c r="E317" s="21">
        <v>46204</v>
      </c>
      <c r="F317" s="21">
        <v>46568</v>
      </c>
      <c r="G317" s="21"/>
      <c r="H317" s="21">
        <v>46204</v>
      </c>
      <c r="I317" s="21">
        <v>46568</v>
      </c>
      <c r="J317" s="19" t="s">
        <v>2093</v>
      </c>
      <c r="L317" s="19">
        <v>201.43223975000001</v>
      </c>
      <c r="M317" s="19">
        <v>201.43223975000001</v>
      </c>
      <c r="N317" s="19" t="s">
        <v>1475</v>
      </c>
      <c r="O317" s="20">
        <v>7</v>
      </c>
      <c r="S317" s="19" t="s">
        <v>20</v>
      </c>
      <c r="T317" s="19" t="s">
        <v>1471</v>
      </c>
    </row>
    <row r="318" spans="1:20">
      <c r="A318" s="20">
        <v>202603328077571</v>
      </c>
      <c r="B318" s="19" t="s">
        <v>20</v>
      </c>
      <c r="C318" s="19" t="s">
        <v>21</v>
      </c>
      <c r="D318" s="19" t="s">
        <v>20</v>
      </c>
      <c r="E318" s="21">
        <v>46204</v>
      </c>
      <c r="F318" s="21">
        <v>46568</v>
      </c>
      <c r="G318" s="21"/>
      <c r="H318" s="21">
        <v>46204</v>
      </c>
      <c r="I318" s="21">
        <v>46568</v>
      </c>
      <c r="J318" s="19" t="s">
        <v>2065</v>
      </c>
      <c r="L318" s="19">
        <v>0</v>
      </c>
      <c r="M318" s="19">
        <v>0</v>
      </c>
      <c r="N318" s="19" t="s">
        <v>2394</v>
      </c>
      <c r="O318" s="20">
        <v>2</v>
      </c>
      <c r="S318" s="19" t="s">
        <v>20</v>
      </c>
      <c r="T318" s="19" t="s">
        <v>1471</v>
      </c>
    </row>
    <row r="319" spans="1:20">
      <c r="A319" s="20">
        <v>202603328077571</v>
      </c>
      <c r="B319" s="19" t="s">
        <v>20</v>
      </c>
      <c r="C319" s="19" t="s">
        <v>21</v>
      </c>
      <c r="D319" s="19" t="s">
        <v>20</v>
      </c>
      <c r="E319" s="21">
        <v>46204</v>
      </c>
      <c r="F319" s="21">
        <v>46568</v>
      </c>
      <c r="G319" s="21"/>
      <c r="H319" s="21">
        <v>46204</v>
      </c>
      <c r="I319" s="21">
        <v>46568</v>
      </c>
      <c r="J319" s="19" t="s">
        <v>2065</v>
      </c>
      <c r="L319" s="19">
        <v>52.517367999999998</v>
      </c>
      <c r="M319" s="19">
        <v>52.517367999999998</v>
      </c>
      <c r="N319" s="19" t="s">
        <v>1475</v>
      </c>
      <c r="O319" s="20">
        <v>2</v>
      </c>
      <c r="S319" s="19" t="s">
        <v>20</v>
      </c>
      <c r="T319" s="19" t="s">
        <v>1471</v>
      </c>
    </row>
    <row r="320" spans="1:20">
      <c r="A320" s="20">
        <v>202603328078638</v>
      </c>
      <c r="B320" s="19" t="s">
        <v>20</v>
      </c>
      <c r="C320" s="19" t="s">
        <v>21</v>
      </c>
      <c r="D320" s="19" t="s">
        <v>20</v>
      </c>
      <c r="E320" s="21">
        <v>46204</v>
      </c>
      <c r="F320" s="21">
        <v>46568</v>
      </c>
      <c r="G320" s="21"/>
      <c r="H320" s="21">
        <v>46204</v>
      </c>
      <c r="I320" s="21">
        <v>46568</v>
      </c>
      <c r="J320" s="19" t="s">
        <v>2093</v>
      </c>
      <c r="L320" s="19">
        <v>0</v>
      </c>
      <c r="M320" s="19">
        <v>0</v>
      </c>
      <c r="N320" s="19" t="s">
        <v>2394</v>
      </c>
      <c r="O320" s="20">
        <v>4</v>
      </c>
      <c r="S320" s="19" t="s">
        <v>20</v>
      </c>
      <c r="T320" s="19" t="s">
        <v>1471</v>
      </c>
    </row>
    <row r="321" spans="1:20">
      <c r="A321" s="20">
        <v>202603328078638</v>
      </c>
      <c r="B321" s="19" t="s">
        <v>20</v>
      </c>
      <c r="C321" s="19" t="s">
        <v>21</v>
      </c>
      <c r="D321" s="19" t="s">
        <v>20</v>
      </c>
      <c r="E321" s="21">
        <v>46204</v>
      </c>
      <c r="F321" s="21">
        <v>46568</v>
      </c>
      <c r="G321" s="21"/>
      <c r="H321" s="21">
        <v>46204</v>
      </c>
      <c r="I321" s="21">
        <v>46568</v>
      </c>
      <c r="J321" s="19" t="s">
        <v>2093</v>
      </c>
      <c r="L321" s="19">
        <v>115.10413699999999</v>
      </c>
      <c r="M321" s="19">
        <v>115.10413699999999</v>
      </c>
      <c r="N321" s="19" t="s">
        <v>1475</v>
      </c>
      <c r="O321" s="20">
        <v>4</v>
      </c>
      <c r="S321" s="19" t="s">
        <v>20</v>
      </c>
      <c r="T321" s="19" t="s">
        <v>1471</v>
      </c>
    </row>
    <row r="322" spans="1:20">
      <c r="A322" s="20">
        <v>202603328078878</v>
      </c>
      <c r="B322" s="19" t="s">
        <v>20</v>
      </c>
      <c r="C322" s="19" t="s">
        <v>21</v>
      </c>
      <c r="D322" s="19" t="s">
        <v>20</v>
      </c>
      <c r="E322" s="21">
        <v>46204</v>
      </c>
      <c r="F322" s="21">
        <v>46568</v>
      </c>
      <c r="G322" s="21"/>
      <c r="H322" s="21">
        <v>46204</v>
      </c>
      <c r="I322" s="21">
        <v>46568</v>
      </c>
      <c r="J322" s="19" t="s">
        <v>2104</v>
      </c>
      <c r="L322" s="19">
        <v>33.130630250000003</v>
      </c>
      <c r="M322" s="19">
        <v>33.130630250000003</v>
      </c>
      <c r="N322" s="19" t="s">
        <v>1475</v>
      </c>
      <c r="O322" s="20">
        <v>1</v>
      </c>
      <c r="S322" s="19" t="s">
        <v>20</v>
      </c>
      <c r="T322" s="19" t="s">
        <v>1471</v>
      </c>
    </row>
    <row r="323" spans="1:20">
      <c r="A323" s="20">
        <v>202603328078978</v>
      </c>
      <c r="B323" s="19" t="s">
        <v>20</v>
      </c>
      <c r="C323" s="19" t="s">
        <v>21</v>
      </c>
      <c r="D323" s="19" t="s">
        <v>20</v>
      </c>
      <c r="E323" s="21">
        <v>46204</v>
      </c>
      <c r="F323" s="21">
        <v>46568</v>
      </c>
      <c r="G323" s="21"/>
      <c r="H323" s="21">
        <v>46204</v>
      </c>
      <c r="I323" s="21">
        <v>46568</v>
      </c>
      <c r="J323" s="19" t="s">
        <v>2064</v>
      </c>
      <c r="L323" s="19">
        <v>132.52252100000001</v>
      </c>
      <c r="M323" s="19">
        <v>132.52252100000001</v>
      </c>
      <c r="N323" s="19" t="s">
        <v>1475</v>
      </c>
      <c r="O323" s="20">
        <v>4</v>
      </c>
      <c r="S323" s="19" t="s">
        <v>20</v>
      </c>
      <c r="T323" s="19" t="s">
        <v>1471</v>
      </c>
    </row>
    <row r="324" spans="1:20">
      <c r="A324" s="20">
        <v>202603328079531</v>
      </c>
      <c r="B324" s="19" t="s">
        <v>20</v>
      </c>
      <c r="C324" s="19" t="s">
        <v>21</v>
      </c>
      <c r="D324" s="19" t="s">
        <v>20</v>
      </c>
      <c r="E324" s="21">
        <v>46204</v>
      </c>
      <c r="F324" s="21">
        <v>46568</v>
      </c>
      <c r="G324" s="21"/>
      <c r="H324" s="21">
        <v>46204</v>
      </c>
      <c r="I324" s="21">
        <v>46568</v>
      </c>
      <c r="J324" s="19" t="s">
        <v>2064</v>
      </c>
      <c r="L324" s="19">
        <v>0</v>
      </c>
      <c r="M324" s="19">
        <v>0</v>
      </c>
      <c r="N324" s="19" t="s">
        <v>2394</v>
      </c>
      <c r="O324" s="20">
        <v>5</v>
      </c>
      <c r="S324" s="19" t="s">
        <v>20</v>
      </c>
      <c r="T324" s="19" t="s">
        <v>1471</v>
      </c>
    </row>
    <row r="325" spans="1:20">
      <c r="A325" s="20">
        <v>202603328079531</v>
      </c>
      <c r="B325" s="19" t="s">
        <v>20</v>
      </c>
      <c r="C325" s="19" t="s">
        <v>21</v>
      </c>
      <c r="D325" s="19" t="s">
        <v>20</v>
      </c>
      <c r="E325" s="21">
        <v>46204</v>
      </c>
      <c r="F325" s="21">
        <v>46568</v>
      </c>
      <c r="G325" s="21"/>
      <c r="H325" s="21">
        <v>46204</v>
      </c>
      <c r="I325" s="21">
        <v>46568</v>
      </c>
      <c r="J325" s="19" t="s">
        <v>2064</v>
      </c>
      <c r="L325" s="19">
        <v>165.65315125000001</v>
      </c>
      <c r="M325" s="19">
        <v>165.65315125000001</v>
      </c>
      <c r="N325" s="19" t="s">
        <v>1475</v>
      </c>
      <c r="O325" s="20">
        <v>5</v>
      </c>
      <c r="S325" s="19" t="s">
        <v>20</v>
      </c>
      <c r="T325" s="19" t="s">
        <v>1471</v>
      </c>
    </row>
    <row r="326" spans="1:20">
      <c r="A326" s="20">
        <v>202603328079595</v>
      </c>
      <c r="B326" s="19" t="s">
        <v>20</v>
      </c>
      <c r="C326" s="19" t="s">
        <v>21</v>
      </c>
      <c r="D326" s="19" t="s">
        <v>20</v>
      </c>
      <c r="E326" s="21">
        <v>46204</v>
      </c>
      <c r="F326" s="21">
        <v>46568</v>
      </c>
      <c r="G326" s="21"/>
      <c r="H326" s="21">
        <v>46204</v>
      </c>
      <c r="I326" s="21">
        <v>46568</v>
      </c>
      <c r="J326" s="19" t="s">
        <v>2095</v>
      </c>
      <c r="L326" s="19">
        <v>0</v>
      </c>
      <c r="M326" s="19">
        <v>0</v>
      </c>
      <c r="N326" s="19" t="s">
        <v>2394</v>
      </c>
      <c r="O326" s="20">
        <v>4</v>
      </c>
      <c r="S326" s="19" t="s">
        <v>20</v>
      </c>
      <c r="T326" s="19" t="s">
        <v>1471</v>
      </c>
    </row>
    <row r="327" spans="1:20">
      <c r="A327" s="20">
        <v>202603328079595</v>
      </c>
      <c r="B327" s="19" t="s">
        <v>20</v>
      </c>
      <c r="C327" s="19" t="s">
        <v>21</v>
      </c>
      <c r="D327" s="19" t="s">
        <v>20</v>
      </c>
      <c r="E327" s="21">
        <v>46204</v>
      </c>
      <c r="F327" s="21">
        <v>46568</v>
      </c>
      <c r="G327" s="21"/>
      <c r="H327" s="21">
        <v>46204</v>
      </c>
      <c r="I327" s="21">
        <v>46568</v>
      </c>
      <c r="J327" s="19" t="s">
        <v>2095</v>
      </c>
      <c r="L327" s="19">
        <v>132.52252100000001</v>
      </c>
      <c r="M327" s="19">
        <v>132.52252100000001</v>
      </c>
      <c r="N327" s="19" t="s">
        <v>1475</v>
      </c>
      <c r="O327" s="20">
        <v>4</v>
      </c>
      <c r="S327" s="19" t="s">
        <v>20</v>
      </c>
      <c r="T327" s="19" t="s">
        <v>1471</v>
      </c>
    </row>
    <row r="328" spans="1:20">
      <c r="A328" s="20">
        <v>202603328080304</v>
      </c>
      <c r="B328" s="19" t="s">
        <v>20</v>
      </c>
      <c r="C328" s="19" t="s">
        <v>21</v>
      </c>
      <c r="D328" s="19" t="s">
        <v>20</v>
      </c>
      <c r="E328" s="21">
        <v>46204</v>
      </c>
      <c r="F328" s="21">
        <v>46568</v>
      </c>
      <c r="G328" s="21"/>
      <c r="H328" s="21">
        <v>46204</v>
      </c>
      <c r="I328" s="21">
        <v>46568</v>
      </c>
      <c r="J328" s="19" t="s">
        <v>2064</v>
      </c>
      <c r="L328" s="19">
        <v>33.130630250000003</v>
      </c>
      <c r="M328" s="19">
        <v>33.130630250000003</v>
      </c>
      <c r="N328" s="19" t="s">
        <v>1475</v>
      </c>
      <c r="O328" s="20">
        <v>1</v>
      </c>
      <c r="S328" s="19" t="s">
        <v>20</v>
      </c>
      <c r="T328" s="19" t="s">
        <v>1471</v>
      </c>
    </row>
    <row r="329" spans="1:20">
      <c r="A329" s="20">
        <v>202603328080440</v>
      </c>
      <c r="B329" s="19" t="s">
        <v>20</v>
      </c>
      <c r="C329" s="19" t="s">
        <v>21</v>
      </c>
      <c r="D329" s="19" t="s">
        <v>20</v>
      </c>
      <c r="E329" s="21">
        <v>46204</v>
      </c>
      <c r="F329" s="21">
        <v>46568</v>
      </c>
      <c r="G329" s="21"/>
      <c r="H329" s="21">
        <v>46204</v>
      </c>
      <c r="I329" s="21">
        <v>46568</v>
      </c>
      <c r="J329" s="19" t="s">
        <v>2093</v>
      </c>
      <c r="L329" s="19">
        <v>28.776034249999999</v>
      </c>
      <c r="M329" s="19">
        <v>28.776034249999999</v>
      </c>
      <c r="N329" s="19" t="s">
        <v>1475</v>
      </c>
      <c r="O329" s="20">
        <v>1</v>
      </c>
      <c r="S329" s="19" t="s">
        <v>20</v>
      </c>
      <c r="T329" s="19" t="s">
        <v>1471</v>
      </c>
    </row>
    <row r="330" spans="1:20">
      <c r="A330" s="20">
        <v>202603328082434</v>
      </c>
      <c r="B330" s="19" t="s">
        <v>20</v>
      </c>
      <c r="C330" s="19" t="s">
        <v>21</v>
      </c>
      <c r="D330" s="19" t="s">
        <v>20</v>
      </c>
      <c r="E330" s="21">
        <v>46204</v>
      </c>
      <c r="F330" s="21">
        <v>46568</v>
      </c>
      <c r="G330" s="21"/>
      <c r="H330" s="21">
        <v>46204</v>
      </c>
      <c r="I330" s="21">
        <v>46568</v>
      </c>
      <c r="J330" s="19" t="s">
        <v>2064</v>
      </c>
      <c r="L330" s="19">
        <v>0</v>
      </c>
      <c r="M330" s="19">
        <v>0</v>
      </c>
      <c r="N330" s="19" t="s">
        <v>2394</v>
      </c>
      <c r="O330" s="20">
        <v>7</v>
      </c>
      <c r="S330" s="19" t="s">
        <v>20</v>
      </c>
      <c r="T330" s="19" t="s">
        <v>1471</v>
      </c>
    </row>
    <row r="331" spans="1:20">
      <c r="A331" s="20">
        <v>202603328082434</v>
      </c>
      <c r="B331" s="19" t="s">
        <v>20</v>
      </c>
      <c r="C331" s="19" t="s">
        <v>21</v>
      </c>
      <c r="D331" s="19" t="s">
        <v>20</v>
      </c>
      <c r="E331" s="21">
        <v>46204</v>
      </c>
      <c r="F331" s="21">
        <v>46568</v>
      </c>
      <c r="G331" s="21"/>
      <c r="H331" s="21">
        <v>46204</v>
      </c>
      <c r="I331" s="21">
        <v>46568</v>
      </c>
      <c r="J331" s="19" t="s">
        <v>2064</v>
      </c>
      <c r="L331" s="19">
        <v>231.91441175</v>
      </c>
      <c r="M331" s="19">
        <v>231.91441175</v>
      </c>
      <c r="N331" s="19" t="s">
        <v>1475</v>
      </c>
      <c r="O331" s="20">
        <v>7</v>
      </c>
      <c r="S331" s="19" t="s">
        <v>20</v>
      </c>
      <c r="T331" s="19" t="s">
        <v>1471</v>
      </c>
    </row>
    <row r="332" spans="1:20">
      <c r="A332" s="20">
        <v>202603328083153</v>
      </c>
      <c r="B332" s="19" t="s">
        <v>20</v>
      </c>
      <c r="C332" s="19" t="s">
        <v>21</v>
      </c>
      <c r="D332" s="19" t="s">
        <v>20</v>
      </c>
      <c r="E332" s="21">
        <v>46204</v>
      </c>
      <c r="F332" s="21">
        <v>46568</v>
      </c>
      <c r="G332" s="21"/>
      <c r="H332" s="21">
        <v>46204</v>
      </c>
      <c r="I332" s="21">
        <v>46568</v>
      </c>
      <c r="J332" s="19" t="s">
        <v>2111</v>
      </c>
      <c r="L332" s="19">
        <v>0</v>
      </c>
      <c r="M332" s="19">
        <v>0</v>
      </c>
      <c r="N332" s="19" t="s">
        <v>2394</v>
      </c>
      <c r="O332" s="20">
        <v>5</v>
      </c>
      <c r="S332" s="19" t="s">
        <v>20</v>
      </c>
      <c r="T332" s="19" t="s">
        <v>1471</v>
      </c>
    </row>
    <row r="333" spans="1:20">
      <c r="A333" s="20">
        <v>202603328083153</v>
      </c>
      <c r="B333" s="19" t="s">
        <v>20</v>
      </c>
      <c r="C333" s="19" t="s">
        <v>21</v>
      </c>
      <c r="D333" s="19" t="s">
        <v>20</v>
      </c>
      <c r="E333" s="21">
        <v>46204</v>
      </c>
      <c r="F333" s="21">
        <v>46568</v>
      </c>
      <c r="G333" s="21"/>
      <c r="H333" s="21">
        <v>46204</v>
      </c>
      <c r="I333" s="21">
        <v>46568</v>
      </c>
      <c r="J333" s="19" t="s">
        <v>2111</v>
      </c>
      <c r="L333" s="19">
        <v>165.65315125000001</v>
      </c>
      <c r="M333" s="19">
        <v>165.65315125000001</v>
      </c>
      <c r="N333" s="19" t="s">
        <v>1475</v>
      </c>
      <c r="O333" s="20">
        <v>5</v>
      </c>
      <c r="S333" s="19" t="s">
        <v>20</v>
      </c>
      <c r="T333" s="19" t="s">
        <v>1471</v>
      </c>
    </row>
    <row r="334" spans="1:20">
      <c r="A334" s="20">
        <v>202603328083634</v>
      </c>
      <c r="B334" s="19" t="s">
        <v>20</v>
      </c>
      <c r="C334" s="19" t="s">
        <v>21</v>
      </c>
      <c r="D334" s="19" t="s">
        <v>20</v>
      </c>
      <c r="E334" s="21">
        <v>46204</v>
      </c>
      <c r="F334" s="21">
        <v>46568</v>
      </c>
      <c r="G334" s="21"/>
      <c r="H334" s="21">
        <v>46204</v>
      </c>
      <c r="I334" s="21">
        <v>46568</v>
      </c>
      <c r="J334" s="19" t="s">
        <v>2064</v>
      </c>
      <c r="L334" s="19">
        <v>33.130630250000003</v>
      </c>
      <c r="M334" s="19">
        <v>33.130630250000003</v>
      </c>
      <c r="N334" s="19" t="s">
        <v>1475</v>
      </c>
      <c r="O334" s="20">
        <v>1</v>
      </c>
      <c r="S334" s="19" t="s">
        <v>20</v>
      </c>
      <c r="T334" s="19" t="s">
        <v>1471</v>
      </c>
    </row>
    <row r="335" spans="1:20">
      <c r="A335" s="20">
        <v>202603328086494</v>
      </c>
      <c r="B335" s="19" t="s">
        <v>20</v>
      </c>
      <c r="C335" s="19" t="s">
        <v>21</v>
      </c>
      <c r="D335" s="19" t="s">
        <v>20</v>
      </c>
      <c r="E335" s="21">
        <v>46204</v>
      </c>
      <c r="F335" s="21">
        <v>46568</v>
      </c>
      <c r="G335" s="21"/>
      <c r="H335" s="21">
        <v>46204</v>
      </c>
      <c r="I335" s="21">
        <v>46568</v>
      </c>
      <c r="J335" s="19" t="s">
        <v>1473</v>
      </c>
      <c r="L335" s="19">
        <v>0</v>
      </c>
      <c r="M335" s="19">
        <v>0</v>
      </c>
      <c r="N335" s="19" t="s">
        <v>2394</v>
      </c>
      <c r="O335" s="20">
        <v>2</v>
      </c>
      <c r="S335" s="19" t="s">
        <v>20</v>
      </c>
      <c r="T335" s="19" t="s">
        <v>1471</v>
      </c>
    </row>
    <row r="336" spans="1:20">
      <c r="A336" s="20">
        <v>202603328086494</v>
      </c>
      <c r="B336" s="19" t="s">
        <v>20</v>
      </c>
      <c r="C336" s="19" t="s">
        <v>21</v>
      </c>
      <c r="D336" s="19" t="s">
        <v>20</v>
      </c>
      <c r="E336" s="21">
        <v>46204</v>
      </c>
      <c r="F336" s="21">
        <v>46568</v>
      </c>
      <c r="G336" s="21"/>
      <c r="H336" s="21">
        <v>46204</v>
      </c>
      <c r="I336" s="21">
        <v>46568</v>
      </c>
      <c r="J336" s="19" t="s">
        <v>1473</v>
      </c>
      <c r="L336" s="19">
        <v>49.241346999999998</v>
      </c>
      <c r="M336" s="19">
        <v>49.241346999999998</v>
      </c>
      <c r="N336" s="19" t="s">
        <v>1475</v>
      </c>
      <c r="O336" s="20">
        <v>2</v>
      </c>
      <c r="S336" s="19" t="s">
        <v>20</v>
      </c>
      <c r="T336" s="19" t="s">
        <v>1471</v>
      </c>
    </row>
    <row r="337" spans="1:20">
      <c r="A337" s="20">
        <v>202603328089798</v>
      </c>
      <c r="B337" s="19" t="s">
        <v>20</v>
      </c>
      <c r="C337" s="19" t="s">
        <v>21</v>
      </c>
      <c r="D337" s="19" t="s">
        <v>20</v>
      </c>
      <c r="E337" s="21">
        <v>46204</v>
      </c>
      <c r="F337" s="21">
        <v>46568</v>
      </c>
      <c r="G337" s="21"/>
      <c r="H337" s="21">
        <v>46204</v>
      </c>
      <c r="I337" s="21">
        <v>46568</v>
      </c>
      <c r="J337" s="19" t="s">
        <v>2080</v>
      </c>
      <c r="L337" s="19">
        <v>0</v>
      </c>
      <c r="M337" s="19">
        <v>0</v>
      </c>
      <c r="N337" s="19" t="s">
        <v>2394</v>
      </c>
      <c r="O337" s="20">
        <v>2</v>
      </c>
      <c r="S337" s="19" t="s">
        <v>20</v>
      </c>
      <c r="T337" s="19" t="s">
        <v>1471</v>
      </c>
    </row>
    <row r="338" spans="1:20">
      <c r="A338" s="20">
        <v>202603328089798</v>
      </c>
      <c r="B338" s="19" t="s">
        <v>20</v>
      </c>
      <c r="C338" s="19" t="s">
        <v>21</v>
      </c>
      <c r="D338" s="19" t="s">
        <v>20</v>
      </c>
      <c r="E338" s="21">
        <v>46204</v>
      </c>
      <c r="F338" s="21">
        <v>46568</v>
      </c>
      <c r="G338" s="21"/>
      <c r="H338" s="21">
        <v>46204</v>
      </c>
      <c r="I338" s="21">
        <v>46568</v>
      </c>
      <c r="J338" s="19" t="s">
        <v>2080</v>
      </c>
      <c r="L338" s="19">
        <v>66.261260500000006</v>
      </c>
      <c r="M338" s="19">
        <v>66.261260500000006</v>
      </c>
      <c r="N338" s="19" t="s">
        <v>1475</v>
      </c>
      <c r="O338" s="20">
        <v>2</v>
      </c>
      <c r="S338" s="19" t="s">
        <v>20</v>
      </c>
      <c r="T338" s="19" t="s">
        <v>1471</v>
      </c>
    </row>
    <row r="339" spans="1:20">
      <c r="A339" s="20">
        <v>202603328090148</v>
      </c>
      <c r="B339" s="19" t="s">
        <v>20</v>
      </c>
      <c r="C339" s="19" t="s">
        <v>21</v>
      </c>
      <c r="D339" s="19" t="s">
        <v>20</v>
      </c>
      <c r="E339" s="21">
        <v>46204</v>
      </c>
      <c r="F339" s="21">
        <v>46568</v>
      </c>
      <c r="G339" s="21"/>
      <c r="H339" s="21">
        <v>46204</v>
      </c>
      <c r="I339" s="21">
        <v>46568</v>
      </c>
      <c r="J339" s="19" t="s">
        <v>1473</v>
      </c>
      <c r="L339" s="19">
        <v>0</v>
      </c>
      <c r="M339" s="19">
        <v>0</v>
      </c>
      <c r="N339" s="19" t="s">
        <v>2394</v>
      </c>
      <c r="O339" s="20">
        <v>4</v>
      </c>
      <c r="S339" s="19" t="s">
        <v>20</v>
      </c>
      <c r="T339" s="19" t="s">
        <v>1471</v>
      </c>
    </row>
    <row r="340" spans="1:20">
      <c r="A340" s="20">
        <v>202603328090148</v>
      </c>
      <c r="B340" s="19" t="s">
        <v>20</v>
      </c>
      <c r="C340" s="19" t="s">
        <v>21</v>
      </c>
      <c r="D340" s="19" t="s">
        <v>20</v>
      </c>
      <c r="E340" s="21">
        <v>46204</v>
      </c>
      <c r="F340" s="21">
        <v>46568</v>
      </c>
      <c r="G340" s="21"/>
      <c r="H340" s="21">
        <v>46204</v>
      </c>
      <c r="I340" s="21">
        <v>46568</v>
      </c>
      <c r="J340" s="19" t="s">
        <v>1473</v>
      </c>
      <c r="L340" s="19">
        <v>98.482693999999995</v>
      </c>
      <c r="M340" s="19">
        <v>98.482693999999995</v>
      </c>
      <c r="N340" s="19" t="s">
        <v>1475</v>
      </c>
      <c r="O340" s="20">
        <v>4</v>
      </c>
      <c r="S340" s="19" t="s">
        <v>20</v>
      </c>
      <c r="T340" s="19" t="s">
        <v>1471</v>
      </c>
    </row>
    <row r="341" spans="1:20">
      <c r="A341" s="20">
        <v>202603328090260</v>
      </c>
      <c r="B341" s="19" t="s">
        <v>20</v>
      </c>
      <c r="C341" s="19" t="s">
        <v>21</v>
      </c>
      <c r="D341" s="19" t="s">
        <v>20</v>
      </c>
      <c r="E341" s="21">
        <v>46204</v>
      </c>
      <c r="F341" s="21">
        <v>46568</v>
      </c>
      <c r="G341" s="21"/>
      <c r="H341" s="21">
        <v>46204</v>
      </c>
      <c r="I341" s="21">
        <v>46568</v>
      </c>
      <c r="J341" s="19" t="s">
        <v>2087</v>
      </c>
      <c r="L341" s="19">
        <v>0</v>
      </c>
      <c r="M341" s="19">
        <v>0</v>
      </c>
      <c r="N341" s="19" t="s">
        <v>2394</v>
      </c>
      <c r="O341" s="20">
        <v>3</v>
      </c>
      <c r="S341" s="19" t="s">
        <v>20</v>
      </c>
      <c r="T341" s="19" t="s">
        <v>1471</v>
      </c>
    </row>
    <row r="342" spans="1:20">
      <c r="A342" s="20">
        <v>202603328090260</v>
      </c>
      <c r="B342" s="19" t="s">
        <v>20</v>
      </c>
      <c r="C342" s="19" t="s">
        <v>21</v>
      </c>
      <c r="D342" s="19" t="s">
        <v>20</v>
      </c>
      <c r="E342" s="21">
        <v>46204</v>
      </c>
      <c r="F342" s="21">
        <v>46568</v>
      </c>
      <c r="G342" s="21"/>
      <c r="H342" s="21">
        <v>46204</v>
      </c>
      <c r="I342" s="21">
        <v>46568</v>
      </c>
      <c r="J342" s="19" t="s">
        <v>2087</v>
      </c>
      <c r="L342" s="19">
        <v>99.391890750000002</v>
      </c>
      <c r="M342" s="19">
        <v>99.391890750000002</v>
      </c>
      <c r="N342" s="19" t="s">
        <v>1475</v>
      </c>
      <c r="O342" s="20">
        <v>3</v>
      </c>
      <c r="S342" s="19" t="s">
        <v>20</v>
      </c>
      <c r="T342" s="19" t="s">
        <v>1471</v>
      </c>
    </row>
    <row r="343" spans="1:20">
      <c r="A343" s="20">
        <v>202603328090615</v>
      </c>
      <c r="B343" s="19" t="s">
        <v>20</v>
      </c>
      <c r="C343" s="19" t="s">
        <v>21</v>
      </c>
      <c r="D343" s="19" t="s">
        <v>20</v>
      </c>
      <c r="E343" s="21">
        <v>46204</v>
      </c>
      <c r="F343" s="21">
        <v>46568</v>
      </c>
      <c r="G343" s="21"/>
      <c r="H343" s="21">
        <v>46204</v>
      </c>
      <c r="I343" s="21">
        <v>46568</v>
      </c>
      <c r="J343" s="19" t="s">
        <v>2155</v>
      </c>
      <c r="L343" s="19">
        <v>0</v>
      </c>
      <c r="M343" s="19">
        <v>0</v>
      </c>
      <c r="N343" s="19" t="s">
        <v>2394</v>
      </c>
      <c r="O343" s="20">
        <v>4</v>
      </c>
      <c r="S343" s="19" t="s">
        <v>20</v>
      </c>
      <c r="T343" s="19" t="s">
        <v>1471</v>
      </c>
    </row>
    <row r="344" spans="1:20">
      <c r="A344" s="20">
        <v>202603328090615</v>
      </c>
      <c r="B344" s="19" t="s">
        <v>20</v>
      </c>
      <c r="C344" s="19" t="s">
        <v>21</v>
      </c>
      <c r="D344" s="19" t="s">
        <v>20</v>
      </c>
      <c r="E344" s="21">
        <v>46204</v>
      </c>
      <c r="F344" s="21">
        <v>46568</v>
      </c>
      <c r="G344" s="21"/>
      <c r="H344" s="21">
        <v>46204</v>
      </c>
      <c r="I344" s="21">
        <v>46568</v>
      </c>
      <c r="J344" s="19" t="s">
        <v>2155</v>
      </c>
      <c r="L344" s="19">
        <v>132.52252100000001</v>
      </c>
      <c r="M344" s="19">
        <v>132.52252100000001</v>
      </c>
      <c r="N344" s="19" t="s">
        <v>1475</v>
      </c>
      <c r="O344" s="20">
        <v>4</v>
      </c>
      <c r="S344" s="19" t="s">
        <v>20</v>
      </c>
      <c r="T344" s="19" t="s">
        <v>1471</v>
      </c>
    </row>
    <row r="345" spans="1:20">
      <c r="A345" s="20">
        <v>202603328091271</v>
      </c>
      <c r="B345" s="19" t="s">
        <v>20</v>
      </c>
      <c r="C345" s="19" t="s">
        <v>21</v>
      </c>
      <c r="D345" s="19" t="s">
        <v>2156</v>
      </c>
      <c r="E345" s="21">
        <v>46204</v>
      </c>
      <c r="F345" s="21">
        <v>46568</v>
      </c>
      <c r="G345" s="21"/>
      <c r="H345" s="21">
        <v>46204</v>
      </c>
      <c r="I345" s="21">
        <v>46568</v>
      </c>
      <c r="J345" s="19" t="s">
        <v>2086</v>
      </c>
      <c r="L345" s="19">
        <v>66.261260500000006</v>
      </c>
      <c r="M345" s="19">
        <v>66.261260500000006</v>
      </c>
      <c r="N345" s="19" t="s">
        <v>1467</v>
      </c>
      <c r="O345" s="20">
        <v>2</v>
      </c>
      <c r="S345" s="19" t="s">
        <v>20</v>
      </c>
      <c r="T345" s="19" t="s">
        <v>1471</v>
      </c>
    </row>
    <row r="346" spans="1:20">
      <c r="A346" s="20">
        <v>202603328091631</v>
      </c>
      <c r="B346" s="19" t="s">
        <v>20</v>
      </c>
      <c r="C346" s="19" t="s">
        <v>21</v>
      </c>
      <c r="D346" s="19" t="s">
        <v>20</v>
      </c>
      <c r="E346" s="21">
        <v>46204</v>
      </c>
      <c r="F346" s="21">
        <v>46568</v>
      </c>
      <c r="G346" s="21"/>
      <c r="H346" s="21">
        <v>46204</v>
      </c>
      <c r="I346" s="21">
        <v>46568</v>
      </c>
      <c r="J346" s="19" t="s">
        <v>2068</v>
      </c>
      <c r="L346" s="19">
        <v>0</v>
      </c>
      <c r="M346" s="19">
        <v>0</v>
      </c>
      <c r="N346" s="19" t="s">
        <v>2394</v>
      </c>
      <c r="O346" s="20">
        <v>6</v>
      </c>
      <c r="S346" s="19" t="s">
        <v>20</v>
      </c>
      <c r="T346" s="19" t="s">
        <v>1471</v>
      </c>
    </row>
    <row r="347" spans="1:20">
      <c r="A347" s="20">
        <v>202603328091631</v>
      </c>
      <c r="B347" s="19" t="s">
        <v>20</v>
      </c>
      <c r="C347" s="19" t="s">
        <v>21</v>
      </c>
      <c r="D347" s="19" t="s">
        <v>2157</v>
      </c>
      <c r="E347" s="21">
        <v>46204</v>
      </c>
      <c r="F347" s="21">
        <v>46568</v>
      </c>
      <c r="G347" s="21"/>
      <c r="H347" s="21">
        <v>46204</v>
      </c>
      <c r="I347" s="21">
        <v>46568</v>
      </c>
      <c r="J347" s="19" t="s">
        <v>2068</v>
      </c>
      <c r="L347" s="19">
        <v>59.697429</v>
      </c>
      <c r="M347" s="19">
        <v>59.697429</v>
      </c>
      <c r="N347" s="19" t="s">
        <v>1467</v>
      </c>
      <c r="O347" s="20">
        <v>6</v>
      </c>
      <c r="S347" s="19" t="s">
        <v>20</v>
      </c>
      <c r="T347" s="19" t="s">
        <v>1471</v>
      </c>
    </row>
    <row r="348" spans="1:20">
      <c r="A348" s="20">
        <v>202603328094032</v>
      </c>
      <c r="B348" s="19" t="s">
        <v>20</v>
      </c>
      <c r="C348" s="19" t="s">
        <v>21</v>
      </c>
      <c r="D348" s="19" t="s">
        <v>20</v>
      </c>
      <c r="E348" s="21">
        <v>46204</v>
      </c>
      <c r="F348" s="21">
        <v>46568</v>
      </c>
      <c r="G348" s="21"/>
      <c r="H348" s="21">
        <v>46204</v>
      </c>
      <c r="I348" s="21">
        <v>46568</v>
      </c>
      <c r="J348" s="19" t="s">
        <v>2068</v>
      </c>
      <c r="L348" s="19">
        <v>0</v>
      </c>
      <c r="M348" s="19">
        <v>0</v>
      </c>
      <c r="N348" s="19" t="s">
        <v>2394</v>
      </c>
      <c r="O348" s="20">
        <v>3</v>
      </c>
      <c r="S348" s="19" t="s">
        <v>20</v>
      </c>
      <c r="T348" s="19" t="s">
        <v>1471</v>
      </c>
    </row>
    <row r="349" spans="1:20">
      <c r="A349" s="20">
        <v>202603328094032</v>
      </c>
      <c r="B349" s="19" t="s">
        <v>20</v>
      </c>
      <c r="C349" s="19" t="s">
        <v>21</v>
      </c>
      <c r="D349" s="19" t="s">
        <v>20</v>
      </c>
      <c r="E349" s="21">
        <v>46204</v>
      </c>
      <c r="F349" s="21">
        <v>46568</v>
      </c>
      <c r="G349" s="21"/>
      <c r="H349" s="21">
        <v>46204</v>
      </c>
      <c r="I349" s="21">
        <v>46568</v>
      </c>
      <c r="J349" s="19" t="s">
        <v>2068</v>
      </c>
      <c r="L349" s="19">
        <v>78.776052000000007</v>
      </c>
      <c r="M349" s="19">
        <v>78.776052000000007</v>
      </c>
      <c r="N349" s="19" t="s">
        <v>1475</v>
      </c>
      <c r="O349" s="20">
        <v>3</v>
      </c>
      <c r="S349" s="19" t="s">
        <v>20</v>
      </c>
      <c r="T349" s="19" t="s">
        <v>1471</v>
      </c>
    </row>
    <row r="350" spans="1:20">
      <c r="A350" s="20">
        <v>202603328094937</v>
      </c>
      <c r="B350" s="19" t="s">
        <v>20</v>
      </c>
      <c r="C350" s="19" t="s">
        <v>21</v>
      </c>
      <c r="D350" s="19" t="s">
        <v>20</v>
      </c>
      <c r="E350" s="21">
        <v>46204</v>
      </c>
      <c r="F350" s="21">
        <v>46568</v>
      </c>
      <c r="G350" s="21"/>
      <c r="H350" s="21">
        <v>46204</v>
      </c>
      <c r="I350" s="21">
        <v>46568</v>
      </c>
      <c r="J350" s="19" t="s">
        <v>2064</v>
      </c>
      <c r="L350" s="19">
        <v>0</v>
      </c>
      <c r="M350" s="19">
        <v>0</v>
      </c>
      <c r="N350" s="19" t="s">
        <v>2394</v>
      </c>
      <c r="O350" s="20">
        <v>4</v>
      </c>
      <c r="S350" s="19" t="s">
        <v>20</v>
      </c>
      <c r="T350" s="19" t="s">
        <v>1471</v>
      </c>
    </row>
    <row r="351" spans="1:20">
      <c r="A351" s="20">
        <v>202603328094937</v>
      </c>
      <c r="B351" s="19" t="s">
        <v>20</v>
      </c>
      <c r="C351" s="19" t="s">
        <v>21</v>
      </c>
      <c r="D351" s="19" t="s">
        <v>20</v>
      </c>
      <c r="E351" s="21">
        <v>46204</v>
      </c>
      <c r="F351" s="21">
        <v>46568</v>
      </c>
      <c r="G351" s="21"/>
      <c r="H351" s="21">
        <v>46204</v>
      </c>
      <c r="I351" s="21">
        <v>46568</v>
      </c>
      <c r="J351" s="19" t="s">
        <v>2064</v>
      </c>
      <c r="L351" s="19">
        <v>132.52252100000001</v>
      </c>
      <c r="M351" s="19">
        <v>132.52252100000001</v>
      </c>
      <c r="N351" s="19" t="s">
        <v>1475</v>
      </c>
      <c r="O351" s="20">
        <v>4</v>
      </c>
      <c r="S351" s="19" t="s">
        <v>20</v>
      </c>
      <c r="T351" s="19" t="s">
        <v>1471</v>
      </c>
    </row>
    <row r="352" spans="1:20">
      <c r="A352" s="20">
        <v>202603328095395</v>
      </c>
      <c r="B352" s="19" t="s">
        <v>20</v>
      </c>
      <c r="C352" s="19" t="s">
        <v>21</v>
      </c>
      <c r="D352" s="19" t="s">
        <v>20</v>
      </c>
      <c r="E352" s="21">
        <v>46204</v>
      </c>
      <c r="F352" s="21">
        <v>46568</v>
      </c>
      <c r="G352" s="21"/>
      <c r="H352" s="21">
        <v>46204</v>
      </c>
      <c r="I352" s="21">
        <v>46568</v>
      </c>
      <c r="J352" s="19" t="s">
        <v>2064</v>
      </c>
      <c r="L352" s="19">
        <v>33.130630250000003</v>
      </c>
      <c r="M352" s="19">
        <v>33.130630250000003</v>
      </c>
      <c r="N352" s="19" t="s">
        <v>1475</v>
      </c>
      <c r="O352" s="20">
        <v>1</v>
      </c>
      <c r="S352" s="19" t="s">
        <v>20</v>
      </c>
      <c r="T352" s="19" t="s">
        <v>1471</v>
      </c>
    </row>
    <row r="353" spans="1:20">
      <c r="A353" s="20">
        <v>202603328095459</v>
      </c>
      <c r="B353" s="19" t="s">
        <v>20</v>
      </c>
      <c r="C353" s="19" t="s">
        <v>21</v>
      </c>
      <c r="D353" s="19" t="s">
        <v>20</v>
      </c>
      <c r="E353" s="21">
        <v>46204</v>
      </c>
      <c r="F353" s="21">
        <v>46568</v>
      </c>
      <c r="G353" s="21"/>
      <c r="H353" s="21">
        <v>46204</v>
      </c>
      <c r="I353" s="21">
        <v>46568</v>
      </c>
      <c r="J353" s="19" t="s">
        <v>2065</v>
      </c>
      <c r="L353" s="19">
        <v>26.258683999999999</v>
      </c>
      <c r="M353" s="19">
        <v>26.258683999999999</v>
      </c>
      <c r="N353" s="19" t="s">
        <v>1475</v>
      </c>
      <c r="O353" s="20">
        <v>1</v>
      </c>
      <c r="S353" s="19" t="s">
        <v>20</v>
      </c>
      <c r="T353" s="19" t="s">
        <v>1471</v>
      </c>
    </row>
    <row r="354" spans="1:20">
      <c r="A354" s="20">
        <v>202603328095776</v>
      </c>
      <c r="B354" s="19" t="s">
        <v>20</v>
      </c>
      <c r="C354" s="19" t="s">
        <v>21</v>
      </c>
      <c r="D354" s="19" t="s">
        <v>20</v>
      </c>
      <c r="E354" s="21">
        <v>46204</v>
      </c>
      <c r="F354" s="21">
        <v>46568</v>
      </c>
      <c r="G354" s="21"/>
      <c r="H354" s="21">
        <v>46204</v>
      </c>
      <c r="I354" s="21">
        <v>46568</v>
      </c>
      <c r="J354" s="19" t="s">
        <v>2087</v>
      </c>
      <c r="L354" s="19">
        <v>99.391890750000002</v>
      </c>
      <c r="M354" s="19">
        <v>99.391890750000002</v>
      </c>
      <c r="N354" s="19" t="s">
        <v>1475</v>
      </c>
      <c r="O354" s="20">
        <v>3</v>
      </c>
      <c r="S354" s="19" t="s">
        <v>20</v>
      </c>
      <c r="T354" s="19" t="s">
        <v>1471</v>
      </c>
    </row>
    <row r="355" spans="1:20">
      <c r="A355" s="20">
        <v>202603328096768</v>
      </c>
      <c r="B355" s="19" t="s">
        <v>20</v>
      </c>
      <c r="C355" s="19" t="s">
        <v>21</v>
      </c>
      <c r="D355" s="19" t="s">
        <v>20</v>
      </c>
      <c r="E355" s="21">
        <v>46204</v>
      </c>
      <c r="F355" s="21">
        <v>46568</v>
      </c>
      <c r="G355" s="21"/>
      <c r="H355" s="21">
        <v>46204</v>
      </c>
      <c r="I355" s="21">
        <v>46568</v>
      </c>
      <c r="J355" s="19" t="s">
        <v>2135</v>
      </c>
      <c r="L355" s="19">
        <v>0</v>
      </c>
      <c r="M355" s="19">
        <v>0</v>
      </c>
      <c r="N355" s="19" t="s">
        <v>2394</v>
      </c>
      <c r="O355" s="20">
        <v>6</v>
      </c>
      <c r="S355" s="19" t="s">
        <v>20</v>
      </c>
      <c r="T355" s="19" t="s">
        <v>1471</v>
      </c>
    </row>
    <row r="356" spans="1:20">
      <c r="A356" s="20">
        <v>202603328096768</v>
      </c>
      <c r="B356" s="19" t="s">
        <v>20</v>
      </c>
      <c r="C356" s="19" t="s">
        <v>21</v>
      </c>
      <c r="D356" s="19" t="s">
        <v>20</v>
      </c>
      <c r="E356" s="21">
        <v>46204</v>
      </c>
      <c r="F356" s="21">
        <v>46568</v>
      </c>
      <c r="G356" s="21"/>
      <c r="H356" s="21">
        <v>46204</v>
      </c>
      <c r="I356" s="21">
        <v>46568</v>
      </c>
      <c r="J356" s="19" t="s">
        <v>2135</v>
      </c>
      <c r="L356" s="19">
        <v>198.7837815</v>
      </c>
      <c r="M356" s="19">
        <v>198.7837815</v>
      </c>
      <c r="N356" s="19" t="s">
        <v>1475</v>
      </c>
      <c r="O356" s="20">
        <v>6</v>
      </c>
      <c r="S356" s="19" t="s">
        <v>20</v>
      </c>
      <c r="T356" s="19" t="s">
        <v>1471</v>
      </c>
    </row>
    <row r="357" spans="1:20">
      <c r="A357" s="20">
        <v>202603328097357</v>
      </c>
      <c r="B357" s="19" t="s">
        <v>20</v>
      </c>
      <c r="C357" s="19" t="s">
        <v>21</v>
      </c>
      <c r="D357" s="19" t="s">
        <v>20</v>
      </c>
      <c r="E357" s="21">
        <v>46204</v>
      </c>
      <c r="F357" s="21">
        <v>46568</v>
      </c>
      <c r="G357" s="21"/>
      <c r="H357" s="21">
        <v>46204</v>
      </c>
      <c r="I357" s="21">
        <v>46568</v>
      </c>
      <c r="J357" s="19" t="s">
        <v>2080</v>
      </c>
      <c r="L357" s="19">
        <v>66.261260500000006</v>
      </c>
      <c r="M357" s="19">
        <v>66.261260500000006</v>
      </c>
      <c r="N357" s="19" t="s">
        <v>1475</v>
      </c>
      <c r="O357" s="20">
        <v>2</v>
      </c>
      <c r="S357" s="19" t="s">
        <v>20</v>
      </c>
      <c r="T357" s="19" t="s">
        <v>1471</v>
      </c>
    </row>
    <row r="358" spans="1:20">
      <c r="A358" s="20">
        <v>202603328098161</v>
      </c>
      <c r="B358" s="19" t="s">
        <v>20</v>
      </c>
      <c r="C358" s="19" t="s">
        <v>21</v>
      </c>
      <c r="D358" s="19" t="s">
        <v>20</v>
      </c>
      <c r="E358" s="21">
        <v>46204</v>
      </c>
      <c r="F358" s="21">
        <v>46568</v>
      </c>
      <c r="G358" s="21"/>
      <c r="H358" s="21">
        <v>46204</v>
      </c>
      <c r="I358" s="21">
        <v>46568</v>
      </c>
      <c r="J358" s="19" t="s">
        <v>2069</v>
      </c>
      <c r="L358" s="19">
        <v>0</v>
      </c>
      <c r="M358" s="19">
        <v>0</v>
      </c>
      <c r="N358" s="19" t="s">
        <v>2394</v>
      </c>
      <c r="O358" s="20">
        <v>2</v>
      </c>
      <c r="S358" s="19" t="s">
        <v>20</v>
      </c>
      <c r="T358" s="19" t="s">
        <v>1471</v>
      </c>
    </row>
    <row r="359" spans="1:20">
      <c r="A359" s="20">
        <v>202603328098161</v>
      </c>
      <c r="B359" s="19" t="s">
        <v>20</v>
      </c>
      <c r="C359" s="19" t="s">
        <v>21</v>
      </c>
      <c r="D359" s="19" t="s">
        <v>20</v>
      </c>
      <c r="E359" s="21">
        <v>46204</v>
      </c>
      <c r="F359" s="21">
        <v>46568</v>
      </c>
      <c r="G359" s="21"/>
      <c r="H359" s="21">
        <v>46204</v>
      </c>
      <c r="I359" s="21">
        <v>46568</v>
      </c>
      <c r="J359" s="19" t="s">
        <v>2069</v>
      </c>
      <c r="L359" s="19">
        <v>66.261260500000006</v>
      </c>
      <c r="M359" s="19">
        <v>66.261260500000006</v>
      </c>
      <c r="N359" s="19" t="s">
        <v>1475</v>
      </c>
      <c r="O359" s="20">
        <v>2</v>
      </c>
      <c r="S359" s="19" t="s">
        <v>20</v>
      </c>
      <c r="T359" s="19" t="s">
        <v>1471</v>
      </c>
    </row>
    <row r="360" spans="1:20">
      <c r="A360" s="20">
        <v>202603328098189</v>
      </c>
      <c r="B360" s="19" t="s">
        <v>20</v>
      </c>
      <c r="C360" s="19" t="s">
        <v>21</v>
      </c>
      <c r="D360" s="19" t="s">
        <v>20</v>
      </c>
      <c r="E360" s="21">
        <v>46204</v>
      </c>
      <c r="F360" s="21">
        <v>46568</v>
      </c>
      <c r="G360" s="21"/>
      <c r="H360" s="21">
        <v>46204</v>
      </c>
      <c r="I360" s="21">
        <v>46568</v>
      </c>
      <c r="J360" s="19" t="s">
        <v>2086</v>
      </c>
      <c r="L360" s="19">
        <v>66.261260500000006</v>
      </c>
      <c r="M360" s="19">
        <v>66.261260500000006</v>
      </c>
      <c r="N360" s="19" t="s">
        <v>1475</v>
      </c>
      <c r="O360" s="20">
        <v>2</v>
      </c>
      <c r="S360" s="19" t="s">
        <v>20</v>
      </c>
      <c r="T360" s="19" t="s">
        <v>1471</v>
      </c>
    </row>
    <row r="361" spans="1:20">
      <c r="A361" s="20">
        <v>202603328098206</v>
      </c>
      <c r="B361" s="19" t="s">
        <v>20</v>
      </c>
      <c r="C361" s="19" t="s">
        <v>21</v>
      </c>
      <c r="D361" s="19" t="s">
        <v>20</v>
      </c>
      <c r="E361" s="21">
        <v>46204</v>
      </c>
      <c r="F361" s="21">
        <v>46568</v>
      </c>
      <c r="G361" s="21"/>
      <c r="H361" s="21">
        <v>46204</v>
      </c>
      <c r="I361" s="21">
        <v>46568</v>
      </c>
      <c r="J361" s="19" t="s">
        <v>2120</v>
      </c>
      <c r="L361" s="19">
        <v>0</v>
      </c>
      <c r="M361" s="19">
        <v>0</v>
      </c>
      <c r="N361" s="19" t="s">
        <v>2394</v>
      </c>
      <c r="O361" s="20">
        <v>3</v>
      </c>
      <c r="S361" s="19" t="s">
        <v>20</v>
      </c>
      <c r="T361" s="19" t="s">
        <v>1471</v>
      </c>
    </row>
    <row r="362" spans="1:20">
      <c r="A362" s="20">
        <v>202603328098206</v>
      </c>
      <c r="B362" s="19" t="s">
        <v>20</v>
      </c>
      <c r="C362" s="19" t="s">
        <v>21</v>
      </c>
      <c r="D362" s="19" t="s">
        <v>20</v>
      </c>
      <c r="E362" s="21">
        <v>46204</v>
      </c>
      <c r="F362" s="21">
        <v>46568</v>
      </c>
      <c r="G362" s="21"/>
      <c r="H362" s="21">
        <v>46204</v>
      </c>
      <c r="I362" s="21">
        <v>46568</v>
      </c>
      <c r="J362" s="19" t="s">
        <v>2120</v>
      </c>
      <c r="L362" s="19">
        <v>113.84386499999999</v>
      </c>
      <c r="M362" s="19">
        <v>113.84386499999999</v>
      </c>
      <c r="N362" s="19" t="s">
        <v>1475</v>
      </c>
      <c r="O362" s="20">
        <v>3</v>
      </c>
      <c r="S362" s="19" t="s">
        <v>20</v>
      </c>
      <c r="T362" s="19" t="s">
        <v>1471</v>
      </c>
    </row>
    <row r="363" spans="1:20">
      <c r="A363" s="20">
        <v>202603328099415</v>
      </c>
      <c r="B363" s="19" t="s">
        <v>20</v>
      </c>
      <c r="C363" s="19" t="s">
        <v>21</v>
      </c>
      <c r="D363" s="19" t="s">
        <v>20</v>
      </c>
      <c r="E363" s="21">
        <v>46204</v>
      </c>
      <c r="F363" s="21">
        <v>46568</v>
      </c>
      <c r="G363" s="21"/>
      <c r="H363" s="21">
        <v>46204</v>
      </c>
      <c r="I363" s="21">
        <v>46568</v>
      </c>
      <c r="J363" s="19" t="s">
        <v>2068</v>
      </c>
      <c r="L363" s="19">
        <v>0</v>
      </c>
      <c r="M363" s="19">
        <v>0</v>
      </c>
      <c r="N363" s="19" t="s">
        <v>2394</v>
      </c>
      <c r="O363" s="20">
        <v>5</v>
      </c>
      <c r="S363" s="19" t="s">
        <v>20</v>
      </c>
      <c r="T363" s="19" t="s">
        <v>1471</v>
      </c>
    </row>
    <row r="364" spans="1:20">
      <c r="A364" s="20">
        <v>202603328099415</v>
      </c>
      <c r="B364" s="19" t="s">
        <v>20</v>
      </c>
      <c r="C364" s="19" t="s">
        <v>21</v>
      </c>
      <c r="D364" s="19" t="s">
        <v>20</v>
      </c>
      <c r="E364" s="21">
        <v>46204</v>
      </c>
      <c r="F364" s="21">
        <v>46568</v>
      </c>
      <c r="G364" s="21"/>
      <c r="H364" s="21">
        <v>46204</v>
      </c>
      <c r="I364" s="21">
        <v>46568</v>
      </c>
      <c r="J364" s="19" t="s">
        <v>2068</v>
      </c>
      <c r="L364" s="19">
        <v>131.29342</v>
      </c>
      <c r="M364" s="19">
        <v>131.29342</v>
      </c>
      <c r="N364" s="19" t="s">
        <v>1475</v>
      </c>
      <c r="O364" s="20">
        <v>5</v>
      </c>
      <c r="S364" s="19" t="s">
        <v>20</v>
      </c>
      <c r="T364" s="19" t="s">
        <v>1471</v>
      </c>
    </row>
    <row r="365" spans="1:20">
      <c r="A365" s="20">
        <v>202603328099485</v>
      </c>
      <c r="B365" s="19" t="s">
        <v>20</v>
      </c>
      <c r="C365" s="19" t="s">
        <v>21</v>
      </c>
      <c r="D365" s="19" t="s">
        <v>20</v>
      </c>
      <c r="E365" s="21">
        <v>46204</v>
      </c>
      <c r="F365" s="21">
        <v>46568</v>
      </c>
      <c r="G365" s="21"/>
      <c r="H365" s="21">
        <v>46204</v>
      </c>
      <c r="I365" s="21">
        <v>46568</v>
      </c>
      <c r="J365" s="19" t="s">
        <v>2068</v>
      </c>
      <c r="L365" s="19">
        <v>0</v>
      </c>
      <c r="M365" s="19">
        <v>0</v>
      </c>
      <c r="N365" s="19" t="s">
        <v>2394</v>
      </c>
      <c r="O365" s="20">
        <v>4</v>
      </c>
      <c r="S365" s="19" t="s">
        <v>20</v>
      </c>
      <c r="T365" s="19" t="s">
        <v>1471</v>
      </c>
    </row>
    <row r="366" spans="1:20">
      <c r="A366" s="20">
        <v>202603328099485</v>
      </c>
      <c r="B366" s="19" t="s">
        <v>20</v>
      </c>
      <c r="C366" s="19" t="s">
        <v>21</v>
      </c>
      <c r="D366" s="19" t="s">
        <v>2158</v>
      </c>
      <c r="E366" s="21">
        <v>46204</v>
      </c>
      <c r="F366" s="21">
        <v>46568</v>
      </c>
      <c r="G366" s="21"/>
      <c r="H366" s="21">
        <v>46204</v>
      </c>
      <c r="I366" s="21">
        <v>46568</v>
      </c>
      <c r="J366" s="19" t="s">
        <v>2068</v>
      </c>
      <c r="L366" s="19">
        <v>105.034736</v>
      </c>
      <c r="M366" s="19">
        <v>105.034736</v>
      </c>
      <c r="N366" s="19" t="s">
        <v>1467</v>
      </c>
      <c r="O366" s="20">
        <v>4</v>
      </c>
      <c r="S366" s="19" t="s">
        <v>20</v>
      </c>
      <c r="T366" s="19" t="s">
        <v>1471</v>
      </c>
    </row>
    <row r="367" spans="1:20">
      <c r="A367" s="20">
        <v>202603328099989</v>
      </c>
      <c r="B367" s="19" t="s">
        <v>20</v>
      </c>
      <c r="C367" s="19" t="s">
        <v>21</v>
      </c>
      <c r="D367" s="19" t="s">
        <v>20</v>
      </c>
      <c r="E367" s="21">
        <v>46204</v>
      </c>
      <c r="F367" s="21">
        <v>46568</v>
      </c>
      <c r="G367" s="21"/>
      <c r="H367" s="21">
        <v>46204</v>
      </c>
      <c r="I367" s="21">
        <v>46568</v>
      </c>
      <c r="J367" s="19" t="s">
        <v>2111</v>
      </c>
      <c r="L367" s="19">
        <v>33.130630250000003</v>
      </c>
      <c r="M367" s="19">
        <v>33.130630250000003</v>
      </c>
      <c r="N367" s="19" t="s">
        <v>1475</v>
      </c>
      <c r="O367" s="20">
        <v>1</v>
      </c>
      <c r="S367" s="19" t="s">
        <v>20</v>
      </c>
      <c r="T367" s="19" t="s">
        <v>1471</v>
      </c>
    </row>
    <row r="368" spans="1:20">
      <c r="A368" s="20">
        <v>202603328100395</v>
      </c>
      <c r="B368" s="19" t="s">
        <v>20</v>
      </c>
      <c r="C368" s="19" t="s">
        <v>21</v>
      </c>
      <c r="D368" s="19" t="s">
        <v>20</v>
      </c>
      <c r="E368" s="21">
        <v>46204</v>
      </c>
      <c r="F368" s="21">
        <v>46568</v>
      </c>
      <c r="G368" s="21"/>
      <c r="H368" s="21">
        <v>46204</v>
      </c>
      <c r="I368" s="21">
        <v>46568</v>
      </c>
      <c r="J368" s="19" t="s">
        <v>2086</v>
      </c>
      <c r="L368" s="19">
        <v>0</v>
      </c>
      <c r="M368" s="19">
        <v>0</v>
      </c>
      <c r="N368" s="19" t="s">
        <v>2394</v>
      </c>
      <c r="O368" s="20">
        <v>6</v>
      </c>
      <c r="S368" s="19" t="s">
        <v>20</v>
      </c>
      <c r="T368" s="19" t="s">
        <v>1471</v>
      </c>
    </row>
    <row r="369" spans="1:20">
      <c r="A369" s="20">
        <v>202603328100395</v>
      </c>
      <c r="B369" s="19" t="s">
        <v>20</v>
      </c>
      <c r="C369" s="19" t="s">
        <v>21</v>
      </c>
      <c r="D369" s="19" t="s">
        <v>20</v>
      </c>
      <c r="E369" s="21">
        <v>46204</v>
      </c>
      <c r="F369" s="21">
        <v>46568</v>
      </c>
      <c r="G369" s="21"/>
      <c r="H369" s="21">
        <v>46204</v>
      </c>
      <c r="I369" s="21">
        <v>46568</v>
      </c>
      <c r="J369" s="19" t="s">
        <v>2086</v>
      </c>
      <c r="L369" s="19">
        <v>198.7837815</v>
      </c>
      <c r="M369" s="19">
        <v>198.7837815</v>
      </c>
      <c r="N369" s="19" t="s">
        <v>1475</v>
      </c>
      <c r="O369" s="20">
        <v>6</v>
      </c>
      <c r="S369" s="19" t="s">
        <v>20</v>
      </c>
      <c r="T369" s="19" t="s">
        <v>1471</v>
      </c>
    </row>
    <row r="370" spans="1:20">
      <c r="A370" s="20">
        <v>202603328100417</v>
      </c>
      <c r="B370" s="19" t="s">
        <v>20</v>
      </c>
      <c r="C370" s="19" t="s">
        <v>21</v>
      </c>
      <c r="D370" s="19" t="s">
        <v>20</v>
      </c>
      <c r="E370" s="21">
        <v>46204</v>
      </c>
      <c r="F370" s="21">
        <v>46568</v>
      </c>
      <c r="G370" s="21"/>
      <c r="H370" s="21">
        <v>46204</v>
      </c>
      <c r="I370" s="21">
        <v>46568</v>
      </c>
      <c r="J370" s="19" t="s">
        <v>2086</v>
      </c>
      <c r="L370" s="19">
        <v>33.130630250000003</v>
      </c>
      <c r="M370" s="19">
        <v>33.130630250000003</v>
      </c>
      <c r="N370" s="19" t="s">
        <v>1475</v>
      </c>
      <c r="O370" s="20">
        <v>1</v>
      </c>
      <c r="S370" s="19" t="s">
        <v>20</v>
      </c>
      <c r="T370" s="19" t="s">
        <v>1471</v>
      </c>
    </row>
    <row r="371" spans="1:20">
      <c r="A371" s="20">
        <v>202603328100737</v>
      </c>
      <c r="B371" s="19" t="s">
        <v>20</v>
      </c>
      <c r="C371" s="19" t="s">
        <v>21</v>
      </c>
      <c r="D371" s="19" t="s">
        <v>20</v>
      </c>
      <c r="E371" s="21">
        <v>46204</v>
      </c>
      <c r="F371" s="21">
        <v>46568</v>
      </c>
      <c r="G371" s="21"/>
      <c r="H371" s="21">
        <v>46204</v>
      </c>
      <c r="I371" s="21">
        <v>46568</v>
      </c>
      <c r="J371" s="19" t="s">
        <v>2159</v>
      </c>
      <c r="L371" s="19">
        <v>66.261260500000006</v>
      </c>
      <c r="M371" s="19">
        <v>66.261260500000006</v>
      </c>
      <c r="N371" s="19" t="s">
        <v>1475</v>
      </c>
      <c r="O371" s="20">
        <v>2</v>
      </c>
      <c r="S371" s="19" t="s">
        <v>20</v>
      </c>
      <c r="T371" s="19" t="s">
        <v>1471</v>
      </c>
    </row>
    <row r="372" spans="1:20">
      <c r="A372" s="20">
        <v>202603328101427</v>
      </c>
      <c r="B372" s="19" t="s">
        <v>20</v>
      </c>
      <c r="C372" s="19" t="s">
        <v>21</v>
      </c>
      <c r="D372" s="19" t="s">
        <v>20</v>
      </c>
      <c r="E372" s="21">
        <v>46204</v>
      </c>
      <c r="F372" s="21">
        <v>46568</v>
      </c>
      <c r="G372" s="21"/>
      <c r="H372" s="21">
        <v>46204</v>
      </c>
      <c r="I372" s="21">
        <v>46568</v>
      </c>
      <c r="J372" s="19" t="s">
        <v>2064</v>
      </c>
      <c r="L372" s="19">
        <v>33.130630250000003</v>
      </c>
      <c r="M372" s="19">
        <v>33.130630250000003</v>
      </c>
      <c r="N372" s="19" t="s">
        <v>1475</v>
      </c>
      <c r="O372" s="20">
        <v>1</v>
      </c>
      <c r="S372" s="19" t="s">
        <v>20</v>
      </c>
      <c r="T372" s="19" t="s">
        <v>1471</v>
      </c>
    </row>
    <row r="373" spans="1:20">
      <c r="A373" s="20">
        <v>202603328102007</v>
      </c>
      <c r="B373" s="19" t="s">
        <v>20</v>
      </c>
      <c r="C373" s="19" t="s">
        <v>21</v>
      </c>
      <c r="D373" s="19" t="s">
        <v>20</v>
      </c>
      <c r="E373" s="21">
        <v>46204</v>
      </c>
      <c r="F373" s="21">
        <v>46568</v>
      </c>
      <c r="G373" s="21"/>
      <c r="H373" s="21">
        <v>46204</v>
      </c>
      <c r="I373" s="21">
        <v>46568</v>
      </c>
      <c r="J373" s="19" t="s">
        <v>2151</v>
      </c>
      <c r="L373" s="19">
        <v>0</v>
      </c>
      <c r="M373" s="19">
        <v>0</v>
      </c>
      <c r="N373" s="19" t="s">
        <v>2394</v>
      </c>
      <c r="O373" s="20">
        <v>4</v>
      </c>
      <c r="S373" s="19" t="s">
        <v>20</v>
      </c>
      <c r="T373" s="19" t="s">
        <v>1471</v>
      </c>
    </row>
    <row r="374" spans="1:20">
      <c r="A374" s="20">
        <v>202603328102007</v>
      </c>
      <c r="B374" s="19" t="s">
        <v>20</v>
      </c>
      <c r="C374" s="19" t="s">
        <v>21</v>
      </c>
      <c r="D374" s="19" t="s">
        <v>2160</v>
      </c>
      <c r="E374" s="21">
        <v>46204</v>
      </c>
      <c r="F374" s="21">
        <v>46568</v>
      </c>
      <c r="G374" s="21"/>
      <c r="H374" s="21">
        <v>46204</v>
      </c>
      <c r="I374" s="21">
        <v>46568</v>
      </c>
      <c r="J374" s="19" t="s">
        <v>2151</v>
      </c>
      <c r="L374" s="19">
        <v>132.52252100000001</v>
      </c>
      <c r="M374" s="19">
        <v>132.52252100000001</v>
      </c>
      <c r="N374" s="19" t="s">
        <v>1467</v>
      </c>
      <c r="O374" s="20">
        <v>4</v>
      </c>
      <c r="S374" s="19" t="s">
        <v>20</v>
      </c>
      <c r="T374" s="19" t="s">
        <v>1471</v>
      </c>
    </row>
    <row r="375" spans="1:20">
      <c r="A375" s="20">
        <v>202603328102408</v>
      </c>
      <c r="B375" s="19" t="s">
        <v>20</v>
      </c>
      <c r="C375" s="19" t="s">
        <v>21</v>
      </c>
      <c r="D375" s="19" t="s">
        <v>20</v>
      </c>
      <c r="E375" s="21">
        <v>46204</v>
      </c>
      <c r="F375" s="21">
        <v>46568</v>
      </c>
      <c r="G375" s="21"/>
      <c r="H375" s="21">
        <v>46204</v>
      </c>
      <c r="I375" s="21">
        <v>46568</v>
      </c>
      <c r="J375" s="19" t="s">
        <v>2064</v>
      </c>
      <c r="L375" s="19">
        <v>0</v>
      </c>
      <c r="M375" s="19">
        <v>0</v>
      </c>
      <c r="N375" s="19" t="s">
        <v>2394</v>
      </c>
      <c r="O375" s="20">
        <v>6</v>
      </c>
      <c r="S375" s="19" t="s">
        <v>20</v>
      </c>
      <c r="T375" s="19" t="s">
        <v>1471</v>
      </c>
    </row>
    <row r="376" spans="1:20">
      <c r="A376" s="20">
        <v>202603328102408</v>
      </c>
      <c r="B376" s="19" t="s">
        <v>20</v>
      </c>
      <c r="C376" s="19" t="s">
        <v>21</v>
      </c>
      <c r="D376" s="19" t="s">
        <v>20</v>
      </c>
      <c r="E376" s="21">
        <v>46204</v>
      </c>
      <c r="F376" s="21">
        <v>46568</v>
      </c>
      <c r="G376" s="21"/>
      <c r="H376" s="21">
        <v>46204</v>
      </c>
      <c r="I376" s="21">
        <v>46568</v>
      </c>
      <c r="J376" s="19" t="s">
        <v>2064</v>
      </c>
      <c r="L376" s="19">
        <v>198.7837815</v>
      </c>
      <c r="M376" s="19">
        <v>198.7837815</v>
      </c>
      <c r="N376" s="19" t="s">
        <v>1475</v>
      </c>
      <c r="O376" s="20">
        <v>6</v>
      </c>
      <c r="S376" s="19" t="s">
        <v>20</v>
      </c>
      <c r="T376" s="19" t="s">
        <v>1471</v>
      </c>
    </row>
    <row r="377" spans="1:20">
      <c r="A377" s="20">
        <v>202603328102746</v>
      </c>
      <c r="B377" s="19" t="s">
        <v>20</v>
      </c>
      <c r="C377" s="19" t="s">
        <v>21</v>
      </c>
      <c r="D377" s="19" t="s">
        <v>20</v>
      </c>
      <c r="E377" s="21">
        <v>46204</v>
      </c>
      <c r="F377" s="21">
        <v>46568</v>
      </c>
      <c r="G377" s="21"/>
      <c r="H377" s="21">
        <v>46204</v>
      </c>
      <c r="I377" s="21">
        <v>46568</v>
      </c>
      <c r="J377" s="19" t="s">
        <v>2161</v>
      </c>
      <c r="L377" s="19">
        <v>0</v>
      </c>
      <c r="M377" s="19">
        <v>0</v>
      </c>
      <c r="N377" s="19" t="s">
        <v>2394</v>
      </c>
      <c r="O377" s="20">
        <v>2</v>
      </c>
      <c r="S377" s="19" t="s">
        <v>20</v>
      </c>
      <c r="T377" s="19" t="s">
        <v>1471</v>
      </c>
    </row>
    <row r="378" spans="1:20">
      <c r="A378" s="20">
        <v>202603328102746</v>
      </c>
      <c r="B378" s="19" t="s">
        <v>20</v>
      </c>
      <c r="C378" s="19" t="s">
        <v>21</v>
      </c>
      <c r="D378" s="19" t="s">
        <v>20</v>
      </c>
      <c r="E378" s="21">
        <v>46204</v>
      </c>
      <c r="F378" s="21">
        <v>46568</v>
      </c>
      <c r="G378" s="21"/>
      <c r="H378" s="21">
        <v>46204</v>
      </c>
      <c r="I378" s="21">
        <v>46568</v>
      </c>
      <c r="J378" s="19" t="s">
        <v>2161</v>
      </c>
      <c r="L378" s="19">
        <v>77.319118000000003</v>
      </c>
      <c r="M378" s="19">
        <v>77.319118000000003</v>
      </c>
      <c r="N378" s="19" t="s">
        <v>1475</v>
      </c>
      <c r="O378" s="20">
        <v>2</v>
      </c>
      <c r="S378" s="19" t="s">
        <v>20</v>
      </c>
      <c r="T378" s="19" t="s">
        <v>1471</v>
      </c>
    </row>
    <row r="379" spans="1:20">
      <c r="A379" s="20">
        <v>202603328105073</v>
      </c>
      <c r="B379" s="19" t="s">
        <v>20</v>
      </c>
      <c r="C379" s="19" t="s">
        <v>21</v>
      </c>
      <c r="D379" s="19" t="s">
        <v>20</v>
      </c>
      <c r="E379" s="21">
        <v>46204</v>
      </c>
      <c r="F379" s="21">
        <v>46568</v>
      </c>
      <c r="G379" s="21"/>
      <c r="H379" s="21">
        <v>46204</v>
      </c>
      <c r="I379" s="21">
        <v>46568</v>
      </c>
      <c r="J379" s="19" t="s">
        <v>2064</v>
      </c>
      <c r="L379" s="19">
        <v>99.391890750000002</v>
      </c>
      <c r="M379" s="19">
        <v>99.391890750000002</v>
      </c>
      <c r="N379" s="19" t="s">
        <v>1475</v>
      </c>
      <c r="O379" s="20">
        <v>3</v>
      </c>
      <c r="S379" s="19" t="s">
        <v>20</v>
      </c>
      <c r="T379" s="19" t="s">
        <v>1471</v>
      </c>
    </row>
    <row r="380" spans="1:20">
      <c r="A380" s="20">
        <v>202603328105543</v>
      </c>
      <c r="B380" s="19" t="s">
        <v>20</v>
      </c>
      <c r="C380" s="19" t="s">
        <v>21</v>
      </c>
      <c r="D380" s="19" t="s">
        <v>20</v>
      </c>
      <c r="E380" s="21">
        <v>46204</v>
      </c>
      <c r="F380" s="21">
        <v>46568</v>
      </c>
      <c r="G380" s="21"/>
      <c r="H380" s="21">
        <v>46204</v>
      </c>
      <c r="I380" s="21">
        <v>46568</v>
      </c>
      <c r="J380" s="19" t="s">
        <v>2068</v>
      </c>
      <c r="L380" s="19">
        <v>0</v>
      </c>
      <c r="M380" s="19">
        <v>0</v>
      </c>
      <c r="N380" s="19" t="s">
        <v>2394</v>
      </c>
      <c r="O380" s="20">
        <v>2</v>
      </c>
      <c r="S380" s="19" t="s">
        <v>20</v>
      </c>
      <c r="T380" s="19" t="s">
        <v>1471</v>
      </c>
    </row>
    <row r="381" spans="1:20">
      <c r="A381" s="20">
        <v>202603328105543</v>
      </c>
      <c r="B381" s="19" t="s">
        <v>20</v>
      </c>
      <c r="C381" s="19" t="s">
        <v>21</v>
      </c>
      <c r="D381" s="19" t="s">
        <v>20</v>
      </c>
      <c r="E381" s="21">
        <v>46204</v>
      </c>
      <c r="F381" s="21">
        <v>46568</v>
      </c>
      <c r="G381" s="21"/>
      <c r="H381" s="21">
        <v>46204</v>
      </c>
      <c r="I381" s="21">
        <v>46568</v>
      </c>
      <c r="J381" s="19" t="s">
        <v>2068</v>
      </c>
      <c r="L381" s="19">
        <v>52.517367999999998</v>
      </c>
      <c r="M381" s="19">
        <v>52.517367999999998</v>
      </c>
      <c r="N381" s="19" t="s">
        <v>1475</v>
      </c>
      <c r="O381" s="20">
        <v>2</v>
      </c>
      <c r="S381" s="19" t="s">
        <v>20</v>
      </c>
      <c r="T381" s="19" t="s">
        <v>1471</v>
      </c>
    </row>
    <row r="382" spans="1:20">
      <c r="A382" s="20">
        <v>202603328105590</v>
      </c>
      <c r="B382" s="19" t="s">
        <v>20</v>
      </c>
      <c r="C382" s="19" t="s">
        <v>21</v>
      </c>
      <c r="D382" s="19" t="s">
        <v>20</v>
      </c>
      <c r="E382" s="21">
        <v>46204</v>
      </c>
      <c r="F382" s="21">
        <v>46568</v>
      </c>
      <c r="G382" s="21"/>
      <c r="H382" s="21">
        <v>46204</v>
      </c>
      <c r="I382" s="21">
        <v>46568</v>
      </c>
      <c r="J382" s="19" t="s">
        <v>2128</v>
      </c>
      <c r="L382" s="19">
        <v>29.817561749999999</v>
      </c>
      <c r="M382" s="19">
        <v>29.817561749999999</v>
      </c>
      <c r="N382" s="19" t="s">
        <v>1475</v>
      </c>
      <c r="O382" s="20">
        <v>1</v>
      </c>
      <c r="S382" s="19" t="s">
        <v>20</v>
      </c>
      <c r="T382" s="19" t="s">
        <v>1471</v>
      </c>
    </row>
    <row r="383" spans="1:20">
      <c r="A383" s="20">
        <v>202603328106078</v>
      </c>
      <c r="B383" s="19" t="s">
        <v>20</v>
      </c>
      <c r="C383" s="19" t="s">
        <v>21</v>
      </c>
      <c r="D383" s="19" t="s">
        <v>20</v>
      </c>
      <c r="E383" s="21">
        <v>46204</v>
      </c>
      <c r="F383" s="21">
        <v>46568</v>
      </c>
      <c r="G383" s="21"/>
      <c r="H383" s="21">
        <v>46204</v>
      </c>
      <c r="I383" s="21">
        <v>46568</v>
      </c>
      <c r="J383" s="19" t="s">
        <v>2068</v>
      </c>
      <c r="L383" s="19">
        <v>0</v>
      </c>
      <c r="M383" s="19">
        <v>0</v>
      </c>
      <c r="N383" s="19" t="s">
        <v>2394</v>
      </c>
      <c r="O383" s="20">
        <v>3</v>
      </c>
      <c r="S383" s="19" t="s">
        <v>20</v>
      </c>
      <c r="T383" s="19" t="s">
        <v>1471</v>
      </c>
    </row>
    <row r="384" spans="1:20">
      <c r="A384" s="20">
        <v>202603328106078</v>
      </c>
      <c r="B384" s="19" t="s">
        <v>20</v>
      </c>
      <c r="C384" s="19" t="s">
        <v>21</v>
      </c>
      <c r="D384" s="19" t="s">
        <v>20</v>
      </c>
      <c r="E384" s="21">
        <v>46204</v>
      </c>
      <c r="F384" s="21">
        <v>46568</v>
      </c>
      <c r="G384" s="21"/>
      <c r="H384" s="21">
        <v>46204</v>
      </c>
      <c r="I384" s="21">
        <v>46568</v>
      </c>
      <c r="J384" s="19" t="s">
        <v>2068</v>
      </c>
      <c r="L384" s="19">
        <v>78.776052000000007</v>
      </c>
      <c r="M384" s="19">
        <v>78.776052000000007</v>
      </c>
      <c r="N384" s="19" t="s">
        <v>1475</v>
      </c>
      <c r="O384" s="20">
        <v>3</v>
      </c>
      <c r="S384" s="19" t="s">
        <v>20</v>
      </c>
      <c r="T384" s="19" t="s">
        <v>1471</v>
      </c>
    </row>
    <row r="385" spans="1:20">
      <c r="A385" s="20">
        <v>202603328106147</v>
      </c>
      <c r="B385" s="19" t="s">
        <v>20</v>
      </c>
      <c r="C385" s="19" t="s">
        <v>21</v>
      </c>
      <c r="D385" s="19" t="s">
        <v>20</v>
      </c>
      <c r="E385" s="21">
        <v>46204</v>
      </c>
      <c r="F385" s="21">
        <v>46568</v>
      </c>
      <c r="G385" s="21"/>
      <c r="H385" s="21">
        <v>46204</v>
      </c>
      <c r="I385" s="21">
        <v>46568</v>
      </c>
      <c r="J385" s="19" t="s">
        <v>2128</v>
      </c>
      <c r="L385" s="19">
        <v>0</v>
      </c>
      <c r="M385" s="19">
        <v>0</v>
      </c>
      <c r="N385" s="19" t="s">
        <v>2394</v>
      </c>
      <c r="O385" s="20">
        <v>3</v>
      </c>
      <c r="S385" s="19" t="s">
        <v>20</v>
      </c>
      <c r="T385" s="19" t="s">
        <v>1471</v>
      </c>
    </row>
    <row r="386" spans="1:20">
      <c r="A386" s="20">
        <v>202603328106147</v>
      </c>
      <c r="B386" s="19" t="s">
        <v>20</v>
      </c>
      <c r="C386" s="19" t="s">
        <v>21</v>
      </c>
      <c r="D386" s="19" t="s">
        <v>20</v>
      </c>
      <c r="E386" s="21">
        <v>46204</v>
      </c>
      <c r="F386" s="21">
        <v>46568</v>
      </c>
      <c r="G386" s="21"/>
      <c r="H386" s="21">
        <v>46204</v>
      </c>
      <c r="I386" s="21">
        <v>46568</v>
      </c>
      <c r="J386" s="19" t="s">
        <v>2128</v>
      </c>
      <c r="L386" s="19">
        <v>89.452685250000002</v>
      </c>
      <c r="M386" s="19">
        <v>89.452685250000002</v>
      </c>
      <c r="N386" s="19" t="s">
        <v>1475</v>
      </c>
      <c r="O386" s="20">
        <v>3</v>
      </c>
      <c r="S386" s="19" t="s">
        <v>20</v>
      </c>
      <c r="T386" s="19" t="s">
        <v>1471</v>
      </c>
    </row>
    <row r="387" spans="1:20">
      <c r="A387" s="20">
        <v>202603328106149</v>
      </c>
      <c r="B387" s="19" t="s">
        <v>20</v>
      </c>
      <c r="C387" s="19" t="s">
        <v>21</v>
      </c>
      <c r="D387" s="19" t="s">
        <v>20</v>
      </c>
      <c r="E387" s="21">
        <v>46204</v>
      </c>
      <c r="F387" s="21">
        <v>46568</v>
      </c>
      <c r="G387" s="21"/>
      <c r="H387" s="21">
        <v>46204</v>
      </c>
      <c r="I387" s="21">
        <v>46568</v>
      </c>
      <c r="J387" s="19" t="s">
        <v>2085</v>
      </c>
      <c r="L387" s="19">
        <v>24.620673499999999</v>
      </c>
      <c r="M387" s="19">
        <v>24.620673499999999</v>
      </c>
      <c r="N387" s="19" t="s">
        <v>1475</v>
      </c>
      <c r="O387" s="20">
        <v>1</v>
      </c>
      <c r="S387" s="19" t="s">
        <v>20</v>
      </c>
      <c r="T387" s="19" t="s">
        <v>1471</v>
      </c>
    </row>
    <row r="388" spans="1:20">
      <c r="A388" s="20">
        <v>202603328106196</v>
      </c>
      <c r="B388" s="19" t="s">
        <v>20</v>
      </c>
      <c r="C388" s="19" t="s">
        <v>21</v>
      </c>
      <c r="D388" s="19" t="s">
        <v>20</v>
      </c>
      <c r="E388" s="21">
        <v>46204</v>
      </c>
      <c r="F388" s="21">
        <v>46568</v>
      </c>
      <c r="G388" s="21"/>
      <c r="H388" s="21">
        <v>46204</v>
      </c>
      <c r="I388" s="21">
        <v>46568</v>
      </c>
      <c r="J388" s="19" t="s">
        <v>2118</v>
      </c>
      <c r="L388" s="19">
        <v>33.130630250000003</v>
      </c>
      <c r="M388" s="19">
        <v>33.130630250000003</v>
      </c>
      <c r="N388" s="19" t="s">
        <v>1475</v>
      </c>
      <c r="O388" s="20">
        <v>1</v>
      </c>
      <c r="S388" s="19" t="s">
        <v>20</v>
      </c>
      <c r="T388" s="19" t="s">
        <v>1471</v>
      </c>
    </row>
    <row r="389" spans="1:20">
      <c r="A389" s="20">
        <v>202603328107120</v>
      </c>
      <c r="B389" s="19" t="s">
        <v>20</v>
      </c>
      <c r="C389" s="19" t="s">
        <v>21</v>
      </c>
      <c r="D389" s="19" t="s">
        <v>20</v>
      </c>
      <c r="E389" s="21">
        <v>46204</v>
      </c>
      <c r="F389" s="21">
        <v>46568</v>
      </c>
      <c r="G389" s="21"/>
      <c r="H389" s="21">
        <v>46204</v>
      </c>
      <c r="I389" s="21">
        <v>46568</v>
      </c>
      <c r="J389" s="19" t="s">
        <v>2068</v>
      </c>
      <c r="L389" s="19">
        <v>0</v>
      </c>
      <c r="M389" s="19">
        <v>0</v>
      </c>
      <c r="N389" s="19" t="s">
        <v>2394</v>
      </c>
      <c r="O389" s="20">
        <v>2</v>
      </c>
      <c r="S389" s="19" t="s">
        <v>20</v>
      </c>
      <c r="T389" s="19" t="s">
        <v>1471</v>
      </c>
    </row>
    <row r="390" spans="1:20">
      <c r="A390" s="20">
        <v>202603328107120</v>
      </c>
      <c r="B390" s="19" t="s">
        <v>20</v>
      </c>
      <c r="C390" s="19" t="s">
        <v>21</v>
      </c>
      <c r="D390" s="19" t="s">
        <v>20</v>
      </c>
      <c r="E390" s="21">
        <v>46204</v>
      </c>
      <c r="F390" s="21">
        <v>46568</v>
      </c>
      <c r="G390" s="21"/>
      <c r="H390" s="21">
        <v>46204</v>
      </c>
      <c r="I390" s="21">
        <v>46568</v>
      </c>
      <c r="J390" s="19" t="s">
        <v>2068</v>
      </c>
      <c r="L390" s="19">
        <v>52.517367999999998</v>
      </c>
      <c r="M390" s="19">
        <v>52.517367999999998</v>
      </c>
      <c r="N390" s="19" t="s">
        <v>1475</v>
      </c>
      <c r="O390" s="20">
        <v>2</v>
      </c>
      <c r="S390" s="19" t="s">
        <v>20</v>
      </c>
      <c r="T390" s="19" t="s">
        <v>1471</v>
      </c>
    </row>
    <row r="391" spans="1:20">
      <c r="A391" s="20">
        <v>202603328107159</v>
      </c>
      <c r="B391" s="19" t="s">
        <v>20</v>
      </c>
      <c r="C391" s="19" t="s">
        <v>21</v>
      </c>
      <c r="D391" s="19" t="s">
        <v>20</v>
      </c>
      <c r="E391" s="21">
        <v>46204</v>
      </c>
      <c r="F391" s="21">
        <v>46568</v>
      </c>
      <c r="G391" s="21"/>
      <c r="H391" s="21">
        <v>46204</v>
      </c>
      <c r="I391" s="21">
        <v>46568</v>
      </c>
      <c r="J391" s="19" t="s">
        <v>2142</v>
      </c>
      <c r="L391" s="19">
        <v>0</v>
      </c>
      <c r="M391" s="19">
        <v>0</v>
      </c>
      <c r="N391" s="19" t="s">
        <v>2394</v>
      </c>
      <c r="O391" s="20">
        <v>4</v>
      </c>
      <c r="S391" s="19" t="s">
        <v>20</v>
      </c>
      <c r="T391" s="19" t="s">
        <v>1471</v>
      </c>
    </row>
    <row r="392" spans="1:20">
      <c r="A392" s="20">
        <v>202603328107159</v>
      </c>
      <c r="B392" s="19" t="s">
        <v>20</v>
      </c>
      <c r="C392" s="19" t="s">
        <v>21</v>
      </c>
      <c r="D392" s="19" t="s">
        <v>20</v>
      </c>
      <c r="E392" s="21">
        <v>46204</v>
      </c>
      <c r="F392" s="21">
        <v>46568</v>
      </c>
      <c r="G392" s="21"/>
      <c r="H392" s="21">
        <v>46204</v>
      </c>
      <c r="I392" s="21">
        <v>46568</v>
      </c>
      <c r="J392" s="19" t="s">
        <v>2142</v>
      </c>
      <c r="L392" s="19">
        <v>120.13318</v>
      </c>
      <c r="M392" s="19">
        <v>120.13318</v>
      </c>
      <c r="N392" s="19" t="s">
        <v>1475</v>
      </c>
      <c r="O392" s="20">
        <v>4</v>
      </c>
      <c r="S392" s="19" t="s">
        <v>20</v>
      </c>
      <c r="T392" s="19" t="s">
        <v>1471</v>
      </c>
    </row>
    <row r="393" spans="1:20">
      <c r="A393" s="20">
        <v>202603328107373</v>
      </c>
      <c r="B393" s="19" t="s">
        <v>20</v>
      </c>
      <c r="C393" s="19" t="s">
        <v>21</v>
      </c>
      <c r="D393" s="19" t="s">
        <v>20</v>
      </c>
      <c r="E393" s="21">
        <v>46204</v>
      </c>
      <c r="F393" s="21">
        <v>46568</v>
      </c>
      <c r="G393" s="21"/>
      <c r="H393" s="21">
        <v>46204</v>
      </c>
      <c r="I393" s="21">
        <v>46568</v>
      </c>
      <c r="J393" s="19" t="s">
        <v>2064</v>
      </c>
      <c r="L393" s="19">
        <v>33.130630250000003</v>
      </c>
      <c r="M393" s="19">
        <v>33.130630250000003</v>
      </c>
      <c r="N393" s="19" t="s">
        <v>1475</v>
      </c>
      <c r="O393" s="20">
        <v>1</v>
      </c>
      <c r="S393" s="19" t="s">
        <v>20</v>
      </c>
      <c r="T393" s="19" t="s">
        <v>1471</v>
      </c>
    </row>
    <row r="394" spans="1:20">
      <c r="A394" s="20">
        <v>202603328108457</v>
      </c>
      <c r="B394" s="19" t="s">
        <v>20</v>
      </c>
      <c r="C394" s="19" t="s">
        <v>21</v>
      </c>
      <c r="D394" s="19" t="s">
        <v>20</v>
      </c>
      <c r="E394" s="21">
        <v>46204</v>
      </c>
      <c r="F394" s="21">
        <v>46568</v>
      </c>
      <c r="G394" s="21"/>
      <c r="H394" s="21">
        <v>46204</v>
      </c>
      <c r="I394" s="21">
        <v>46568</v>
      </c>
      <c r="J394" s="19" t="s">
        <v>2064</v>
      </c>
      <c r="L394" s="19">
        <v>33.130630250000003</v>
      </c>
      <c r="M394" s="19">
        <v>33.130630250000003</v>
      </c>
      <c r="N394" s="19" t="s">
        <v>1475</v>
      </c>
      <c r="O394" s="20">
        <v>1</v>
      </c>
      <c r="S394" s="19" t="s">
        <v>20</v>
      </c>
      <c r="T394" s="19" t="s">
        <v>1471</v>
      </c>
    </row>
    <row r="395" spans="1:20">
      <c r="A395" s="20">
        <v>202603328108832</v>
      </c>
      <c r="B395" s="19" t="s">
        <v>20</v>
      </c>
      <c r="C395" s="19" t="s">
        <v>21</v>
      </c>
      <c r="D395" s="19" t="s">
        <v>20</v>
      </c>
      <c r="E395" s="21">
        <v>46204</v>
      </c>
      <c r="F395" s="21">
        <v>46568</v>
      </c>
      <c r="G395" s="21"/>
      <c r="H395" s="21">
        <v>46204</v>
      </c>
      <c r="I395" s="21">
        <v>46568</v>
      </c>
      <c r="J395" s="19" t="s">
        <v>2151</v>
      </c>
      <c r="L395" s="19">
        <v>33.130630250000003</v>
      </c>
      <c r="M395" s="19">
        <v>33.130630250000003</v>
      </c>
      <c r="N395" s="19" t="s">
        <v>1475</v>
      </c>
      <c r="O395" s="20">
        <v>1</v>
      </c>
      <c r="S395" s="19" t="s">
        <v>20</v>
      </c>
      <c r="T395" s="19" t="s">
        <v>1471</v>
      </c>
    </row>
    <row r="396" spans="1:20">
      <c r="A396" s="20">
        <v>202603328108996</v>
      </c>
      <c r="B396" s="19" t="s">
        <v>20</v>
      </c>
      <c r="C396" s="19" t="s">
        <v>21</v>
      </c>
      <c r="D396" s="19" t="s">
        <v>20</v>
      </c>
      <c r="E396" s="21">
        <v>46204</v>
      </c>
      <c r="F396" s="21">
        <v>46568</v>
      </c>
      <c r="G396" s="21"/>
      <c r="H396" s="21">
        <v>46204</v>
      </c>
      <c r="I396" s="21">
        <v>46568</v>
      </c>
      <c r="J396" s="19" t="s">
        <v>2155</v>
      </c>
      <c r="L396" s="19">
        <v>0</v>
      </c>
      <c r="M396" s="19">
        <v>0</v>
      </c>
      <c r="N396" s="19" t="s">
        <v>2394</v>
      </c>
      <c r="O396" s="20">
        <v>4</v>
      </c>
      <c r="S396" s="19" t="s">
        <v>20</v>
      </c>
      <c r="T396" s="19" t="s">
        <v>1471</v>
      </c>
    </row>
    <row r="397" spans="1:20">
      <c r="A397" s="20">
        <v>202603328108996</v>
      </c>
      <c r="B397" s="19" t="s">
        <v>20</v>
      </c>
      <c r="C397" s="19" t="s">
        <v>21</v>
      </c>
      <c r="D397" s="19" t="s">
        <v>20</v>
      </c>
      <c r="E397" s="21">
        <v>46204</v>
      </c>
      <c r="F397" s="21">
        <v>46568</v>
      </c>
      <c r="G397" s="21"/>
      <c r="H397" s="21">
        <v>46204</v>
      </c>
      <c r="I397" s="21">
        <v>46568</v>
      </c>
      <c r="J397" s="19" t="s">
        <v>2155</v>
      </c>
      <c r="L397" s="19">
        <v>132.52252100000001</v>
      </c>
      <c r="M397" s="19">
        <v>132.52252100000001</v>
      </c>
      <c r="N397" s="19" t="s">
        <v>1475</v>
      </c>
      <c r="O397" s="20">
        <v>4</v>
      </c>
      <c r="S397" s="19" t="s">
        <v>20</v>
      </c>
      <c r="T397" s="19" t="s">
        <v>1471</v>
      </c>
    </row>
    <row r="398" spans="1:20">
      <c r="A398" s="20">
        <v>202603328109140</v>
      </c>
      <c r="B398" s="19" t="s">
        <v>20</v>
      </c>
      <c r="C398" s="19" t="s">
        <v>21</v>
      </c>
      <c r="D398" s="19" t="s">
        <v>20</v>
      </c>
      <c r="E398" s="21">
        <v>46204</v>
      </c>
      <c r="F398" s="21">
        <v>46568</v>
      </c>
      <c r="G398" s="21"/>
      <c r="H398" s="21">
        <v>46204</v>
      </c>
      <c r="I398" s="21">
        <v>46568</v>
      </c>
      <c r="J398" s="19" t="s">
        <v>2135</v>
      </c>
      <c r="L398" s="19">
        <v>33.130630250000003</v>
      </c>
      <c r="M398" s="19">
        <v>33.130630250000003</v>
      </c>
      <c r="N398" s="19" t="s">
        <v>1475</v>
      </c>
      <c r="O398" s="20">
        <v>1</v>
      </c>
      <c r="S398" s="19" t="s">
        <v>20</v>
      </c>
      <c r="T398" s="19" t="s">
        <v>1471</v>
      </c>
    </row>
    <row r="399" spans="1:20">
      <c r="A399" s="20">
        <v>202603328109345</v>
      </c>
      <c r="B399" s="19" t="s">
        <v>20</v>
      </c>
      <c r="C399" s="19" t="s">
        <v>21</v>
      </c>
      <c r="D399" s="19" t="s">
        <v>20</v>
      </c>
      <c r="E399" s="21">
        <v>46204</v>
      </c>
      <c r="F399" s="21">
        <v>46568</v>
      </c>
      <c r="G399" s="21"/>
      <c r="H399" s="21">
        <v>46204</v>
      </c>
      <c r="I399" s="21">
        <v>46568</v>
      </c>
      <c r="J399" s="19" t="s">
        <v>2064</v>
      </c>
      <c r="L399" s="19">
        <v>33.130630250000003</v>
      </c>
      <c r="M399" s="19">
        <v>33.130630250000003</v>
      </c>
      <c r="N399" s="19" t="s">
        <v>1475</v>
      </c>
      <c r="O399" s="20">
        <v>1</v>
      </c>
      <c r="S399" s="19" t="s">
        <v>20</v>
      </c>
      <c r="T399" s="19" t="s">
        <v>1471</v>
      </c>
    </row>
    <row r="400" spans="1:20">
      <c r="A400" s="20">
        <v>202603328110729</v>
      </c>
      <c r="B400" s="19" t="s">
        <v>20</v>
      </c>
      <c r="C400" s="19" t="s">
        <v>21</v>
      </c>
      <c r="D400" s="19" t="s">
        <v>20</v>
      </c>
      <c r="E400" s="21">
        <v>46204</v>
      </c>
      <c r="F400" s="21">
        <v>46568</v>
      </c>
      <c r="G400" s="21"/>
      <c r="H400" s="21">
        <v>46204</v>
      </c>
      <c r="I400" s="21">
        <v>46568</v>
      </c>
      <c r="J400" s="19" t="s">
        <v>2066</v>
      </c>
      <c r="L400" s="19">
        <v>33.130630250000003</v>
      </c>
      <c r="M400" s="19">
        <v>33.130630250000003</v>
      </c>
      <c r="N400" s="19" t="s">
        <v>1475</v>
      </c>
      <c r="O400" s="20">
        <v>1</v>
      </c>
      <c r="S400" s="19" t="s">
        <v>20</v>
      </c>
      <c r="T400" s="19" t="s">
        <v>1471</v>
      </c>
    </row>
    <row r="401" spans="1:20">
      <c r="A401" s="20">
        <v>202603328111319</v>
      </c>
      <c r="B401" s="19" t="s">
        <v>20</v>
      </c>
      <c r="C401" s="19" t="s">
        <v>21</v>
      </c>
      <c r="D401" s="19" t="s">
        <v>20</v>
      </c>
      <c r="E401" s="21">
        <v>46204</v>
      </c>
      <c r="F401" s="21">
        <v>46568</v>
      </c>
      <c r="G401" s="21"/>
      <c r="H401" s="21">
        <v>46204</v>
      </c>
      <c r="I401" s="21">
        <v>46568</v>
      </c>
      <c r="J401" s="19" t="s">
        <v>2064</v>
      </c>
      <c r="L401" s="19">
        <v>33.130630250000003</v>
      </c>
      <c r="M401" s="19">
        <v>33.130630250000003</v>
      </c>
      <c r="N401" s="19" t="s">
        <v>1475</v>
      </c>
      <c r="O401" s="20">
        <v>1</v>
      </c>
      <c r="S401" s="19" t="s">
        <v>20</v>
      </c>
      <c r="T401" s="19" t="s">
        <v>1471</v>
      </c>
    </row>
    <row r="402" spans="1:20">
      <c r="A402" s="20">
        <v>202603328111772</v>
      </c>
      <c r="B402" s="19" t="s">
        <v>20</v>
      </c>
      <c r="C402" s="19" t="s">
        <v>21</v>
      </c>
      <c r="D402" s="19" t="s">
        <v>20</v>
      </c>
      <c r="E402" s="21">
        <v>46204</v>
      </c>
      <c r="F402" s="21">
        <v>46568</v>
      </c>
      <c r="G402" s="21"/>
      <c r="H402" s="21">
        <v>46204</v>
      </c>
      <c r="I402" s="21">
        <v>46568</v>
      </c>
      <c r="J402" s="19" t="s">
        <v>2078</v>
      </c>
      <c r="L402" s="19">
        <v>0</v>
      </c>
      <c r="M402" s="19">
        <v>0</v>
      </c>
      <c r="N402" s="19" t="s">
        <v>2394</v>
      </c>
      <c r="O402" s="20">
        <v>3</v>
      </c>
      <c r="S402" s="19" t="s">
        <v>20</v>
      </c>
      <c r="T402" s="19" t="s">
        <v>1471</v>
      </c>
    </row>
    <row r="403" spans="1:20">
      <c r="A403" s="20">
        <v>202603328111772</v>
      </c>
      <c r="B403" s="19" t="s">
        <v>20</v>
      </c>
      <c r="C403" s="19" t="s">
        <v>21</v>
      </c>
      <c r="D403" s="19" t="s">
        <v>20</v>
      </c>
      <c r="E403" s="21">
        <v>46204</v>
      </c>
      <c r="F403" s="21">
        <v>46568</v>
      </c>
      <c r="G403" s="21"/>
      <c r="H403" s="21">
        <v>46204</v>
      </c>
      <c r="I403" s="21">
        <v>46568</v>
      </c>
      <c r="J403" s="19" t="s">
        <v>2078</v>
      </c>
      <c r="L403" s="19">
        <v>64.097631750000005</v>
      </c>
      <c r="M403" s="19">
        <v>64.097631750000005</v>
      </c>
      <c r="N403" s="19" t="s">
        <v>1475</v>
      </c>
      <c r="O403" s="20">
        <v>3</v>
      </c>
      <c r="S403" s="19" t="s">
        <v>20</v>
      </c>
      <c r="T403" s="19" t="s">
        <v>1471</v>
      </c>
    </row>
    <row r="404" spans="1:20">
      <c r="A404" s="20">
        <v>202603328111988</v>
      </c>
      <c r="B404" s="19" t="s">
        <v>20</v>
      </c>
      <c r="C404" s="19" t="s">
        <v>21</v>
      </c>
      <c r="D404" s="19" t="s">
        <v>20</v>
      </c>
      <c r="E404" s="21">
        <v>46204</v>
      </c>
      <c r="F404" s="21">
        <v>46568</v>
      </c>
      <c r="G404" s="21"/>
      <c r="H404" s="21">
        <v>46204</v>
      </c>
      <c r="I404" s="21">
        <v>46568</v>
      </c>
      <c r="J404" s="19" t="s">
        <v>2064</v>
      </c>
      <c r="L404" s="19">
        <v>33.130630250000003</v>
      </c>
      <c r="M404" s="19">
        <v>33.130630250000003</v>
      </c>
      <c r="N404" s="19" t="s">
        <v>1475</v>
      </c>
      <c r="O404" s="20">
        <v>1</v>
      </c>
      <c r="S404" s="19" t="s">
        <v>20</v>
      </c>
      <c r="T404" s="19" t="s">
        <v>1471</v>
      </c>
    </row>
    <row r="405" spans="1:20">
      <c r="A405" s="20">
        <v>202603328112102</v>
      </c>
      <c r="B405" s="19" t="s">
        <v>20</v>
      </c>
      <c r="C405" s="19" t="s">
        <v>21</v>
      </c>
      <c r="D405" s="19" t="s">
        <v>20</v>
      </c>
      <c r="E405" s="21">
        <v>46204</v>
      </c>
      <c r="F405" s="21">
        <v>46568</v>
      </c>
      <c r="G405" s="21"/>
      <c r="H405" s="21">
        <v>46204</v>
      </c>
      <c r="I405" s="21">
        <v>46568</v>
      </c>
      <c r="J405" s="19" t="s">
        <v>2064</v>
      </c>
      <c r="L405" s="19">
        <v>0</v>
      </c>
      <c r="M405" s="19">
        <v>0</v>
      </c>
      <c r="N405" s="19" t="s">
        <v>2394</v>
      </c>
      <c r="O405" s="20">
        <v>2</v>
      </c>
      <c r="S405" s="19" t="s">
        <v>20</v>
      </c>
      <c r="T405" s="19" t="s">
        <v>1471</v>
      </c>
    </row>
    <row r="406" spans="1:20">
      <c r="A406" s="20">
        <v>202603328112102</v>
      </c>
      <c r="B406" s="19" t="s">
        <v>20</v>
      </c>
      <c r="C406" s="19" t="s">
        <v>21</v>
      </c>
      <c r="D406" s="19" t="s">
        <v>20</v>
      </c>
      <c r="E406" s="21">
        <v>46204</v>
      </c>
      <c r="F406" s="21">
        <v>46568</v>
      </c>
      <c r="G406" s="21"/>
      <c r="H406" s="21">
        <v>46204</v>
      </c>
      <c r="I406" s="21">
        <v>46568</v>
      </c>
      <c r="J406" s="19" t="s">
        <v>2064</v>
      </c>
      <c r="L406" s="19">
        <v>66.261260500000006</v>
      </c>
      <c r="M406" s="19">
        <v>66.261260500000006</v>
      </c>
      <c r="N406" s="19" t="s">
        <v>1475</v>
      </c>
      <c r="O406" s="20">
        <v>2</v>
      </c>
      <c r="S406" s="19" t="s">
        <v>20</v>
      </c>
      <c r="T406" s="19" t="s">
        <v>1471</v>
      </c>
    </row>
    <row r="407" spans="1:20">
      <c r="A407" s="20">
        <v>202603328112831</v>
      </c>
      <c r="B407" s="19" t="s">
        <v>20</v>
      </c>
      <c r="C407" s="19" t="s">
        <v>21</v>
      </c>
      <c r="D407" s="19" t="s">
        <v>20</v>
      </c>
      <c r="E407" s="21">
        <v>46204</v>
      </c>
      <c r="F407" s="21">
        <v>46568</v>
      </c>
      <c r="G407" s="21"/>
      <c r="H407" s="21">
        <v>46204</v>
      </c>
      <c r="I407" s="21">
        <v>46568</v>
      </c>
      <c r="J407" s="19" t="s">
        <v>2064</v>
      </c>
      <c r="L407" s="19">
        <v>33.130630250000003</v>
      </c>
      <c r="M407" s="19">
        <v>33.130630250000003</v>
      </c>
      <c r="N407" s="19" t="s">
        <v>1475</v>
      </c>
      <c r="O407" s="20">
        <v>1</v>
      </c>
      <c r="S407" s="19" t="s">
        <v>20</v>
      </c>
      <c r="T407" s="19" t="s">
        <v>1471</v>
      </c>
    </row>
    <row r="408" spans="1:20">
      <c r="A408" s="20">
        <v>202603328114354</v>
      </c>
      <c r="B408" s="19" t="s">
        <v>20</v>
      </c>
      <c r="C408" s="19" t="s">
        <v>21</v>
      </c>
      <c r="D408" s="19" t="s">
        <v>20</v>
      </c>
      <c r="E408" s="21">
        <v>46204</v>
      </c>
      <c r="F408" s="21">
        <v>46568</v>
      </c>
      <c r="G408" s="21"/>
      <c r="H408" s="21">
        <v>46204</v>
      </c>
      <c r="I408" s="21">
        <v>46568</v>
      </c>
      <c r="J408" s="19" t="s">
        <v>2064</v>
      </c>
      <c r="L408" s="19">
        <v>0</v>
      </c>
      <c r="M408" s="19">
        <v>0</v>
      </c>
      <c r="N408" s="19" t="s">
        <v>2394</v>
      </c>
      <c r="O408" s="20">
        <v>4</v>
      </c>
      <c r="S408" s="19" t="s">
        <v>20</v>
      </c>
      <c r="T408" s="19" t="s">
        <v>1471</v>
      </c>
    </row>
    <row r="409" spans="1:20">
      <c r="A409" s="20">
        <v>202603328114354</v>
      </c>
      <c r="B409" s="19" t="s">
        <v>20</v>
      </c>
      <c r="C409" s="19" t="s">
        <v>21</v>
      </c>
      <c r="D409" s="19" t="s">
        <v>20</v>
      </c>
      <c r="E409" s="21">
        <v>46204</v>
      </c>
      <c r="F409" s="21">
        <v>46568</v>
      </c>
      <c r="G409" s="21"/>
      <c r="H409" s="21">
        <v>46204</v>
      </c>
      <c r="I409" s="21">
        <v>46568</v>
      </c>
      <c r="J409" s="19" t="s">
        <v>2064</v>
      </c>
      <c r="L409" s="19">
        <v>132.52252100000001</v>
      </c>
      <c r="M409" s="19">
        <v>132.52252100000001</v>
      </c>
      <c r="N409" s="19" t="s">
        <v>1475</v>
      </c>
      <c r="O409" s="20">
        <v>4</v>
      </c>
      <c r="S409" s="19" t="s">
        <v>20</v>
      </c>
      <c r="T409" s="19" t="s">
        <v>1471</v>
      </c>
    </row>
    <row r="410" spans="1:20">
      <c r="A410" s="20">
        <v>202603328114947</v>
      </c>
      <c r="B410" s="19" t="s">
        <v>20</v>
      </c>
      <c r="C410" s="19" t="s">
        <v>21</v>
      </c>
      <c r="D410" s="19" t="s">
        <v>20</v>
      </c>
      <c r="E410" s="21">
        <v>46204</v>
      </c>
      <c r="F410" s="21">
        <v>46568</v>
      </c>
      <c r="G410" s="21"/>
      <c r="H410" s="21">
        <v>46204</v>
      </c>
      <c r="I410" s="21">
        <v>46568</v>
      </c>
      <c r="J410" s="19" t="s">
        <v>2064</v>
      </c>
      <c r="L410" s="19">
        <v>0</v>
      </c>
      <c r="M410" s="19">
        <v>0</v>
      </c>
      <c r="N410" s="19" t="s">
        <v>2394</v>
      </c>
      <c r="O410" s="20">
        <v>4</v>
      </c>
      <c r="S410" s="19" t="s">
        <v>20</v>
      </c>
      <c r="T410" s="19" t="s">
        <v>1471</v>
      </c>
    </row>
    <row r="411" spans="1:20">
      <c r="A411" s="20">
        <v>202603328114947</v>
      </c>
      <c r="B411" s="19" t="s">
        <v>20</v>
      </c>
      <c r="C411" s="19" t="s">
        <v>21</v>
      </c>
      <c r="D411" s="19" t="s">
        <v>20</v>
      </c>
      <c r="E411" s="21">
        <v>46204</v>
      </c>
      <c r="F411" s="21">
        <v>46568</v>
      </c>
      <c r="G411" s="21"/>
      <c r="H411" s="21">
        <v>46204</v>
      </c>
      <c r="I411" s="21">
        <v>46568</v>
      </c>
      <c r="J411" s="19" t="s">
        <v>2064</v>
      </c>
      <c r="L411" s="19">
        <v>132.52252100000001</v>
      </c>
      <c r="M411" s="19">
        <v>132.52252100000001</v>
      </c>
      <c r="N411" s="19" t="s">
        <v>1475</v>
      </c>
      <c r="O411" s="20">
        <v>4</v>
      </c>
      <c r="S411" s="19" t="s">
        <v>20</v>
      </c>
      <c r="T411" s="19" t="s">
        <v>1471</v>
      </c>
    </row>
    <row r="412" spans="1:20">
      <c r="A412" s="20">
        <v>202603328115381</v>
      </c>
      <c r="B412" s="19" t="s">
        <v>20</v>
      </c>
      <c r="C412" s="19" t="s">
        <v>21</v>
      </c>
      <c r="D412" s="19" t="s">
        <v>2162</v>
      </c>
      <c r="E412" s="21">
        <v>46204</v>
      </c>
      <c r="F412" s="21">
        <v>46568</v>
      </c>
      <c r="G412" s="21"/>
      <c r="H412" s="21">
        <v>46204</v>
      </c>
      <c r="I412" s="21">
        <v>46568</v>
      </c>
      <c r="J412" s="19" t="s">
        <v>2068</v>
      </c>
      <c r="L412" s="19">
        <v>26.258683999999999</v>
      </c>
      <c r="M412" s="19">
        <v>26.258683999999999</v>
      </c>
      <c r="N412" s="19" t="s">
        <v>1467</v>
      </c>
      <c r="O412" s="20">
        <v>1</v>
      </c>
      <c r="S412" s="19" t="s">
        <v>20</v>
      </c>
      <c r="T412" s="19" t="s">
        <v>1471</v>
      </c>
    </row>
    <row r="413" spans="1:20">
      <c r="A413" s="20">
        <v>202603328116484</v>
      </c>
      <c r="B413" s="19" t="s">
        <v>20</v>
      </c>
      <c r="C413" s="19" t="s">
        <v>21</v>
      </c>
      <c r="D413" s="19" t="s">
        <v>20</v>
      </c>
      <c r="E413" s="21">
        <v>46204</v>
      </c>
      <c r="F413" s="21">
        <v>46568</v>
      </c>
      <c r="G413" s="21"/>
      <c r="H413" s="21">
        <v>46204</v>
      </c>
      <c r="I413" s="21">
        <v>46568</v>
      </c>
      <c r="J413" s="19" t="s">
        <v>2064</v>
      </c>
      <c r="L413" s="19">
        <v>0</v>
      </c>
      <c r="M413" s="19">
        <v>0</v>
      </c>
      <c r="N413" s="19" t="s">
        <v>2394</v>
      </c>
      <c r="O413" s="20">
        <v>2</v>
      </c>
      <c r="S413" s="19" t="s">
        <v>20</v>
      </c>
      <c r="T413" s="19" t="s">
        <v>1471</v>
      </c>
    </row>
    <row r="414" spans="1:20">
      <c r="A414" s="20">
        <v>202603328116484</v>
      </c>
      <c r="B414" s="19" t="s">
        <v>20</v>
      </c>
      <c r="C414" s="19" t="s">
        <v>21</v>
      </c>
      <c r="D414" s="19" t="s">
        <v>20</v>
      </c>
      <c r="E414" s="21">
        <v>46204</v>
      </c>
      <c r="F414" s="21">
        <v>46568</v>
      </c>
      <c r="G414" s="21"/>
      <c r="H414" s="21">
        <v>46204</v>
      </c>
      <c r="I414" s="21">
        <v>46568</v>
      </c>
      <c r="J414" s="19" t="s">
        <v>2064</v>
      </c>
      <c r="L414" s="19">
        <v>66.261260500000006</v>
      </c>
      <c r="M414" s="19">
        <v>66.261260500000006</v>
      </c>
      <c r="N414" s="19" t="s">
        <v>1475</v>
      </c>
      <c r="O414" s="20">
        <v>2</v>
      </c>
      <c r="S414" s="19" t="s">
        <v>20</v>
      </c>
      <c r="T414" s="19" t="s">
        <v>1471</v>
      </c>
    </row>
    <row r="415" spans="1:20">
      <c r="A415" s="20">
        <v>202603328118486</v>
      </c>
      <c r="B415" s="19" t="s">
        <v>20</v>
      </c>
      <c r="C415" s="19" t="s">
        <v>21</v>
      </c>
      <c r="D415" s="19" t="s">
        <v>20</v>
      </c>
      <c r="E415" s="21">
        <v>46204</v>
      </c>
      <c r="F415" s="21">
        <v>46568</v>
      </c>
      <c r="G415" s="21"/>
      <c r="H415" s="21">
        <v>46204</v>
      </c>
      <c r="I415" s="21">
        <v>46568</v>
      </c>
      <c r="J415" s="19" t="s">
        <v>2066</v>
      </c>
      <c r="L415" s="19">
        <v>99.391890750000002</v>
      </c>
      <c r="M415" s="19">
        <v>99.391890750000002</v>
      </c>
      <c r="N415" s="19" t="s">
        <v>1475</v>
      </c>
      <c r="O415" s="20">
        <v>3</v>
      </c>
      <c r="S415" s="19" t="s">
        <v>20</v>
      </c>
      <c r="T415" s="19" t="s">
        <v>1471</v>
      </c>
    </row>
    <row r="416" spans="1:20">
      <c r="A416" s="20">
        <v>202603328119672</v>
      </c>
      <c r="B416" s="19" t="s">
        <v>20</v>
      </c>
      <c r="C416" s="19" t="s">
        <v>21</v>
      </c>
      <c r="D416" s="19" t="s">
        <v>20</v>
      </c>
      <c r="E416" s="21">
        <v>46204</v>
      </c>
      <c r="F416" s="21">
        <v>46568</v>
      </c>
      <c r="G416" s="21"/>
      <c r="H416" s="21">
        <v>46204</v>
      </c>
      <c r="I416" s="21">
        <v>46568</v>
      </c>
      <c r="J416" s="19" t="s">
        <v>2086</v>
      </c>
      <c r="L416" s="19">
        <v>33.130630250000003</v>
      </c>
      <c r="M416" s="19">
        <v>33.130630250000003</v>
      </c>
      <c r="N416" s="19" t="s">
        <v>1475</v>
      </c>
      <c r="O416" s="20">
        <v>1</v>
      </c>
      <c r="S416" s="19" t="s">
        <v>20</v>
      </c>
      <c r="T416" s="19" t="s">
        <v>1471</v>
      </c>
    </row>
    <row r="417" spans="1:20">
      <c r="A417" s="20">
        <v>202603328120462</v>
      </c>
      <c r="B417" s="19" t="s">
        <v>20</v>
      </c>
      <c r="C417" s="19" t="s">
        <v>21</v>
      </c>
      <c r="D417" s="19" t="s">
        <v>2163</v>
      </c>
      <c r="E417" s="21">
        <v>46204</v>
      </c>
      <c r="F417" s="21">
        <v>46568</v>
      </c>
      <c r="G417" s="21"/>
      <c r="H417" s="21">
        <v>46204</v>
      </c>
      <c r="I417" s="21">
        <v>46568</v>
      </c>
      <c r="J417" s="19" t="s">
        <v>2109</v>
      </c>
      <c r="L417" s="19">
        <v>29.817561749999999</v>
      </c>
      <c r="M417" s="19">
        <v>29.817561749999999</v>
      </c>
      <c r="N417" s="19" t="s">
        <v>1467</v>
      </c>
      <c r="O417" s="20">
        <v>1</v>
      </c>
      <c r="S417" s="19" t="s">
        <v>20</v>
      </c>
      <c r="T417" s="19" t="s">
        <v>1471</v>
      </c>
    </row>
    <row r="418" spans="1:20">
      <c r="A418" s="20">
        <v>202603328121059</v>
      </c>
      <c r="B418" s="19" t="s">
        <v>20</v>
      </c>
      <c r="C418" s="19" t="s">
        <v>21</v>
      </c>
      <c r="D418" s="19" t="s">
        <v>20</v>
      </c>
      <c r="E418" s="21">
        <v>46204</v>
      </c>
      <c r="F418" s="21">
        <v>46568</v>
      </c>
      <c r="G418" s="21"/>
      <c r="H418" s="21">
        <v>46204</v>
      </c>
      <c r="I418" s="21">
        <v>46568</v>
      </c>
      <c r="J418" s="19" t="s">
        <v>2066</v>
      </c>
      <c r="L418" s="19">
        <v>99.391890750000002</v>
      </c>
      <c r="M418" s="19">
        <v>99.391890750000002</v>
      </c>
      <c r="N418" s="19" t="s">
        <v>1475</v>
      </c>
      <c r="O418" s="20">
        <v>3</v>
      </c>
      <c r="S418" s="19" t="s">
        <v>20</v>
      </c>
      <c r="T418" s="19" t="s">
        <v>1471</v>
      </c>
    </row>
    <row r="419" spans="1:20">
      <c r="A419" s="20">
        <v>202603328121285</v>
      </c>
      <c r="B419" s="19" t="s">
        <v>20</v>
      </c>
      <c r="C419" s="19" t="s">
        <v>21</v>
      </c>
      <c r="D419" s="19" t="s">
        <v>20</v>
      </c>
      <c r="E419" s="21">
        <v>46204</v>
      </c>
      <c r="F419" s="21">
        <v>46568</v>
      </c>
      <c r="G419" s="21"/>
      <c r="H419" s="21">
        <v>46204</v>
      </c>
      <c r="I419" s="21">
        <v>46568</v>
      </c>
      <c r="J419" s="19" t="s">
        <v>2111</v>
      </c>
      <c r="L419" s="19">
        <v>0</v>
      </c>
      <c r="M419" s="19">
        <v>0</v>
      </c>
      <c r="N419" s="19" t="s">
        <v>2394</v>
      </c>
      <c r="O419" s="20">
        <v>2</v>
      </c>
      <c r="S419" s="19" t="s">
        <v>20</v>
      </c>
      <c r="T419" s="19" t="s">
        <v>1471</v>
      </c>
    </row>
    <row r="420" spans="1:20">
      <c r="A420" s="20">
        <v>202603328121285</v>
      </c>
      <c r="B420" s="19" t="s">
        <v>20</v>
      </c>
      <c r="C420" s="19" t="s">
        <v>21</v>
      </c>
      <c r="D420" s="19" t="s">
        <v>20</v>
      </c>
      <c r="E420" s="21">
        <v>46204</v>
      </c>
      <c r="F420" s="21">
        <v>46568</v>
      </c>
      <c r="G420" s="21"/>
      <c r="H420" s="21">
        <v>46204</v>
      </c>
      <c r="I420" s="21">
        <v>46568</v>
      </c>
      <c r="J420" s="19" t="s">
        <v>2111</v>
      </c>
      <c r="L420" s="19">
        <v>66.261260500000006</v>
      </c>
      <c r="M420" s="19">
        <v>66.261260500000006</v>
      </c>
      <c r="N420" s="19" t="s">
        <v>1475</v>
      </c>
      <c r="O420" s="20">
        <v>2</v>
      </c>
      <c r="S420" s="19" t="s">
        <v>20</v>
      </c>
      <c r="T420" s="19" t="s">
        <v>1471</v>
      </c>
    </row>
    <row r="421" spans="1:20">
      <c r="A421" s="20">
        <v>202603328121366</v>
      </c>
      <c r="B421" s="19" t="s">
        <v>20</v>
      </c>
      <c r="C421" s="19" t="s">
        <v>21</v>
      </c>
      <c r="D421" s="19" t="s">
        <v>20</v>
      </c>
      <c r="E421" s="21">
        <v>46204</v>
      </c>
      <c r="F421" s="21">
        <v>46568</v>
      </c>
      <c r="G421" s="21"/>
      <c r="H421" s="21">
        <v>46204</v>
      </c>
      <c r="I421" s="21">
        <v>46568</v>
      </c>
      <c r="J421" s="19" t="s">
        <v>2114</v>
      </c>
      <c r="L421" s="19">
        <v>33.130630250000003</v>
      </c>
      <c r="M421" s="19">
        <v>33.130630250000003</v>
      </c>
      <c r="N421" s="19" t="s">
        <v>1475</v>
      </c>
      <c r="O421" s="20">
        <v>1</v>
      </c>
      <c r="S421" s="19" t="s">
        <v>20</v>
      </c>
      <c r="T421" s="19" t="s">
        <v>1471</v>
      </c>
    </row>
    <row r="422" spans="1:20">
      <c r="A422" s="20">
        <v>202603328121402</v>
      </c>
      <c r="B422" s="19" t="s">
        <v>20</v>
      </c>
      <c r="C422" s="19" t="s">
        <v>21</v>
      </c>
      <c r="D422" s="19" t="s">
        <v>20</v>
      </c>
      <c r="E422" s="21">
        <v>46204</v>
      </c>
      <c r="F422" s="21">
        <v>46568</v>
      </c>
      <c r="G422" s="21"/>
      <c r="H422" s="21">
        <v>46204</v>
      </c>
      <c r="I422" s="21">
        <v>46568</v>
      </c>
      <c r="J422" s="19" t="s">
        <v>2064</v>
      </c>
      <c r="L422" s="19">
        <v>0</v>
      </c>
      <c r="M422" s="19">
        <v>0</v>
      </c>
      <c r="N422" s="19" t="s">
        <v>2394</v>
      </c>
      <c r="O422" s="20">
        <v>4</v>
      </c>
      <c r="S422" s="19" t="s">
        <v>20</v>
      </c>
      <c r="T422" s="19" t="s">
        <v>1471</v>
      </c>
    </row>
    <row r="423" spans="1:20">
      <c r="A423" s="20">
        <v>202603328121402</v>
      </c>
      <c r="B423" s="19" t="s">
        <v>20</v>
      </c>
      <c r="C423" s="19" t="s">
        <v>21</v>
      </c>
      <c r="D423" s="19" t="s">
        <v>20</v>
      </c>
      <c r="E423" s="21">
        <v>46204</v>
      </c>
      <c r="F423" s="21">
        <v>46568</v>
      </c>
      <c r="G423" s="21"/>
      <c r="H423" s="21">
        <v>46204</v>
      </c>
      <c r="I423" s="21">
        <v>46568</v>
      </c>
      <c r="J423" s="19" t="s">
        <v>2064</v>
      </c>
      <c r="L423" s="19">
        <v>132.52252100000001</v>
      </c>
      <c r="M423" s="19">
        <v>132.52252100000001</v>
      </c>
      <c r="N423" s="19" t="s">
        <v>1475</v>
      </c>
      <c r="O423" s="20">
        <v>4</v>
      </c>
      <c r="S423" s="19" t="s">
        <v>20</v>
      </c>
      <c r="T423" s="19" t="s">
        <v>1471</v>
      </c>
    </row>
    <row r="424" spans="1:20">
      <c r="A424" s="20">
        <v>202603328121927</v>
      </c>
      <c r="B424" s="19" t="s">
        <v>20</v>
      </c>
      <c r="C424" s="19" t="s">
        <v>21</v>
      </c>
      <c r="D424" s="19" t="s">
        <v>20</v>
      </c>
      <c r="E424" s="21">
        <v>46204</v>
      </c>
      <c r="F424" s="21">
        <v>46568</v>
      </c>
      <c r="G424" s="21"/>
      <c r="H424" s="21">
        <v>46204</v>
      </c>
      <c r="I424" s="21">
        <v>46568</v>
      </c>
      <c r="J424" s="19" t="s">
        <v>2068</v>
      </c>
      <c r="L424" s="19">
        <v>26.258683999999999</v>
      </c>
      <c r="M424" s="19">
        <v>26.258683999999999</v>
      </c>
      <c r="N424" s="19" t="s">
        <v>1475</v>
      </c>
      <c r="O424" s="20">
        <v>1</v>
      </c>
      <c r="S424" s="19" t="s">
        <v>20</v>
      </c>
      <c r="T424" s="19" t="s">
        <v>1471</v>
      </c>
    </row>
    <row r="425" spans="1:20">
      <c r="A425" s="20">
        <v>202603328122593</v>
      </c>
      <c r="B425" s="19" t="s">
        <v>20</v>
      </c>
      <c r="C425" s="19" t="s">
        <v>21</v>
      </c>
      <c r="D425" s="19" t="s">
        <v>20</v>
      </c>
      <c r="E425" s="21">
        <v>46204</v>
      </c>
      <c r="F425" s="21">
        <v>46568</v>
      </c>
      <c r="G425" s="21"/>
      <c r="H425" s="21">
        <v>46204</v>
      </c>
      <c r="I425" s="21">
        <v>46568</v>
      </c>
      <c r="J425" s="19" t="s">
        <v>2068</v>
      </c>
      <c r="L425" s="19">
        <v>0</v>
      </c>
      <c r="M425" s="19">
        <v>0</v>
      </c>
      <c r="N425" s="19" t="s">
        <v>2394</v>
      </c>
      <c r="O425" s="20">
        <v>4</v>
      </c>
      <c r="S425" s="19" t="s">
        <v>20</v>
      </c>
      <c r="T425" s="19" t="s">
        <v>1471</v>
      </c>
    </row>
    <row r="426" spans="1:20">
      <c r="A426" s="20">
        <v>202603328122593</v>
      </c>
      <c r="B426" s="19" t="s">
        <v>20</v>
      </c>
      <c r="C426" s="19" t="s">
        <v>21</v>
      </c>
      <c r="D426" s="19" t="s">
        <v>20</v>
      </c>
      <c r="E426" s="21">
        <v>46204</v>
      </c>
      <c r="F426" s="21">
        <v>46568</v>
      </c>
      <c r="G426" s="21"/>
      <c r="H426" s="21">
        <v>46204</v>
      </c>
      <c r="I426" s="21">
        <v>46568</v>
      </c>
      <c r="J426" s="19" t="s">
        <v>2068</v>
      </c>
      <c r="L426" s="19">
        <v>105.034736</v>
      </c>
      <c r="M426" s="19">
        <v>105.034736</v>
      </c>
      <c r="N426" s="19" t="s">
        <v>1475</v>
      </c>
      <c r="O426" s="20">
        <v>4</v>
      </c>
      <c r="S426" s="19" t="s">
        <v>20</v>
      </c>
      <c r="T426" s="19" t="s">
        <v>1471</v>
      </c>
    </row>
    <row r="427" spans="1:20">
      <c r="A427" s="20">
        <v>202603328123537</v>
      </c>
      <c r="B427" s="19" t="s">
        <v>20</v>
      </c>
      <c r="C427" s="19" t="s">
        <v>21</v>
      </c>
      <c r="D427" s="19" t="s">
        <v>20</v>
      </c>
      <c r="E427" s="21">
        <v>46204</v>
      </c>
      <c r="F427" s="21">
        <v>46568</v>
      </c>
      <c r="G427" s="21"/>
      <c r="H427" s="21">
        <v>46204</v>
      </c>
      <c r="I427" s="21">
        <v>46568</v>
      </c>
      <c r="J427" s="19" t="s">
        <v>2164</v>
      </c>
      <c r="L427" s="19">
        <v>59.863540499999999</v>
      </c>
      <c r="M427" s="19">
        <v>59.863540499999999</v>
      </c>
      <c r="N427" s="19" t="s">
        <v>1475</v>
      </c>
      <c r="O427" s="20">
        <v>2</v>
      </c>
      <c r="S427" s="19" t="s">
        <v>20</v>
      </c>
      <c r="T427" s="19" t="s">
        <v>1471</v>
      </c>
    </row>
    <row r="428" spans="1:20">
      <c r="A428" s="20">
        <v>202603328123717</v>
      </c>
      <c r="B428" s="19" t="s">
        <v>20</v>
      </c>
      <c r="C428" s="19" t="s">
        <v>21</v>
      </c>
      <c r="D428" s="19" t="s">
        <v>20</v>
      </c>
      <c r="E428" s="21">
        <v>46204</v>
      </c>
      <c r="F428" s="21">
        <v>46568</v>
      </c>
      <c r="G428" s="21"/>
      <c r="H428" s="21">
        <v>46204</v>
      </c>
      <c r="I428" s="21">
        <v>46568</v>
      </c>
      <c r="J428" s="19" t="s">
        <v>2069</v>
      </c>
      <c r="L428" s="19">
        <v>33.130630250000003</v>
      </c>
      <c r="M428" s="19">
        <v>33.130630250000003</v>
      </c>
      <c r="N428" s="19" t="s">
        <v>1475</v>
      </c>
      <c r="O428" s="20">
        <v>1</v>
      </c>
      <c r="S428" s="19" t="s">
        <v>20</v>
      </c>
      <c r="T428" s="19" t="s">
        <v>1471</v>
      </c>
    </row>
    <row r="429" spans="1:20">
      <c r="A429" s="20">
        <v>202603328123720</v>
      </c>
      <c r="B429" s="19" t="s">
        <v>20</v>
      </c>
      <c r="C429" s="19" t="s">
        <v>21</v>
      </c>
      <c r="D429" s="19" t="s">
        <v>20</v>
      </c>
      <c r="E429" s="21">
        <v>46204</v>
      </c>
      <c r="F429" s="21">
        <v>46568</v>
      </c>
      <c r="G429" s="21"/>
      <c r="H429" s="21">
        <v>46204</v>
      </c>
      <c r="I429" s="21">
        <v>46568</v>
      </c>
      <c r="J429" s="19" t="s">
        <v>2064</v>
      </c>
      <c r="L429" s="19">
        <v>0</v>
      </c>
      <c r="M429" s="19">
        <v>0</v>
      </c>
      <c r="N429" s="19" t="s">
        <v>2394</v>
      </c>
      <c r="O429" s="20">
        <v>6</v>
      </c>
      <c r="S429" s="19" t="s">
        <v>20</v>
      </c>
      <c r="T429" s="19" t="s">
        <v>1471</v>
      </c>
    </row>
    <row r="430" spans="1:20">
      <c r="A430" s="20">
        <v>202603328123720</v>
      </c>
      <c r="B430" s="19" t="s">
        <v>20</v>
      </c>
      <c r="C430" s="19" t="s">
        <v>21</v>
      </c>
      <c r="D430" s="19" t="s">
        <v>20</v>
      </c>
      <c r="E430" s="21">
        <v>46204</v>
      </c>
      <c r="F430" s="21">
        <v>46568</v>
      </c>
      <c r="G430" s="21"/>
      <c r="H430" s="21">
        <v>46204</v>
      </c>
      <c r="I430" s="21">
        <v>46568</v>
      </c>
      <c r="J430" s="19" t="s">
        <v>2064</v>
      </c>
      <c r="L430" s="19">
        <v>198.7837815</v>
      </c>
      <c r="M430" s="19">
        <v>198.7837815</v>
      </c>
      <c r="N430" s="19" t="s">
        <v>1475</v>
      </c>
      <c r="O430" s="20">
        <v>6</v>
      </c>
      <c r="S430" s="19" t="s">
        <v>20</v>
      </c>
      <c r="T430" s="19" t="s">
        <v>1471</v>
      </c>
    </row>
    <row r="431" spans="1:20">
      <c r="A431" s="20">
        <v>202603328124566</v>
      </c>
      <c r="B431" s="19" t="s">
        <v>20</v>
      </c>
      <c r="C431" s="19" t="s">
        <v>21</v>
      </c>
      <c r="D431" s="19" t="s">
        <v>2165</v>
      </c>
      <c r="E431" s="21">
        <v>46204</v>
      </c>
      <c r="F431" s="21">
        <v>46568</v>
      </c>
      <c r="G431" s="21"/>
      <c r="H431" s="21">
        <v>46204</v>
      </c>
      <c r="I431" s="21">
        <v>46568</v>
      </c>
      <c r="J431" s="19" t="s">
        <v>2062</v>
      </c>
      <c r="L431" s="19">
        <v>66.261260500000006</v>
      </c>
      <c r="M431" s="19">
        <v>66.261260500000006</v>
      </c>
      <c r="N431" s="19" t="s">
        <v>1467</v>
      </c>
      <c r="O431" s="20">
        <v>2</v>
      </c>
      <c r="S431" s="19" t="s">
        <v>20</v>
      </c>
      <c r="T431" s="19" t="s">
        <v>1471</v>
      </c>
    </row>
    <row r="432" spans="1:20">
      <c r="A432" s="20">
        <v>202603328126294</v>
      </c>
      <c r="B432" s="19" t="s">
        <v>20</v>
      </c>
      <c r="C432" s="19" t="s">
        <v>21</v>
      </c>
      <c r="D432" s="19" t="s">
        <v>20</v>
      </c>
      <c r="E432" s="21">
        <v>46204</v>
      </c>
      <c r="F432" s="21">
        <v>46568</v>
      </c>
      <c r="G432" s="21"/>
      <c r="H432" s="21">
        <v>46204</v>
      </c>
      <c r="I432" s="21">
        <v>46568</v>
      </c>
      <c r="J432" s="19" t="s">
        <v>2166</v>
      </c>
      <c r="L432" s="19">
        <v>0</v>
      </c>
      <c r="M432" s="19">
        <v>0</v>
      </c>
      <c r="N432" s="19" t="s">
        <v>2394</v>
      </c>
      <c r="O432" s="20">
        <v>2</v>
      </c>
      <c r="S432" s="19" t="s">
        <v>20</v>
      </c>
      <c r="T432" s="19" t="s">
        <v>1471</v>
      </c>
    </row>
    <row r="433" spans="1:20">
      <c r="A433" s="20">
        <v>202603328126294</v>
      </c>
      <c r="B433" s="19" t="s">
        <v>20</v>
      </c>
      <c r="C433" s="19" t="s">
        <v>21</v>
      </c>
      <c r="D433" s="19" t="s">
        <v>20</v>
      </c>
      <c r="E433" s="21">
        <v>46204</v>
      </c>
      <c r="F433" s="21">
        <v>46568</v>
      </c>
      <c r="G433" s="21"/>
      <c r="H433" s="21">
        <v>46204</v>
      </c>
      <c r="I433" s="21">
        <v>46568</v>
      </c>
      <c r="J433" s="19" t="s">
        <v>2166</v>
      </c>
      <c r="L433" s="19">
        <v>53.008986499999999</v>
      </c>
      <c r="M433" s="19">
        <v>53.008986499999999</v>
      </c>
      <c r="N433" s="19" t="s">
        <v>1475</v>
      </c>
      <c r="O433" s="20">
        <v>2</v>
      </c>
      <c r="S433" s="19" t="s">
        <v>20</v>
      </c>
      <c r="T433" s="19" t="s">
        <v>1471</v>
      </c>
    </row>
    <row r="434" spans="1:20">
      <c r="A434" s="20">
        <v>202603328126555</v>
      </c>
      <c r="B434" s="19" t="s">
        <v>20</v>
      </c>
      <c r="C434" s="19" t="s">
        <v>21</v>
      </c>
      <c r="D434" s="19" t="s">
        <v>20</v>
      </c>
      <c r="E434" s="21">
        <v>46204</v>
      </c>
      <c r="F434" s="21">
        <v>46568</v>
      </c>
      <c r="G434" s="21"/>
      <c r="H434" s="21">
        <v>46204</v>
      </c>
      <c r="I434" s="21">
        <v>46568</v>
      </c>
      <c r="J434" s="19" t="s">
        <v>2064</v>
      </c>
      <c r="L434" s="19">
        <v>0</v>
      </c>
      <c r="M434" s="19">
        <v>0</v>
      </c>
      <c r="N434" s="19" t="s">
        <v>2394</v>
      </c>
      <c r="O434" s="20">
        <v>4</v>
      </c>
      <c r="S434" s="19" t="s">
        <v>20</v>
      </c>
      <c r="T434" s="19" t="s">
        <v>1471</v>
      </c>
    </row>
    <row r="435" spans="1:20">
      <c r="A435" s="20">
        <v>202603328126555</v>
      </c>
      <c r="B435" s="19" t="s">
        <v>20</v>
      </c>
      <c r="C435" s="19" t="s">
        <v>21</v>
      </c>
      <c r="D435" s="19" t="s">
        <v>20</v>
      </c>
      <c r="E435" s="21">
        <v>46204</v>
      </c>
      <c r="F435" s="21">
        <v>46568</v>
      </c>
      <c r="G435" s="21"/>
      <c r="H435" s="21">
        <v>46204</v>
      </c>
      <c r="I435" s="21">
        <v>46568</v>
      </c>
      <c r="J435" s="19" t="s">
        <v>2064</v>
      </c>
      <c r="L435" s="19">
        <v>132.52252100000001</v>
      </c>
      <c r="M435" s="19">
        <v>132.52252100000001</v>
      </c>
      <c r="N435" s="19" t="s">
        <v>1475</v>
      </c>
      <c r="O435" s="20">
        <v>4</v>
      </c>
      <c r="S435" s="19" t="s">
        <v>20</v>
      </c>
      <c r="T435" s="19" t="s">
        <v>1471</v>
      </c>
    </row>
    <row r="436" spans="1:20">
      <c r="A436" s="20">
        <v>202603328126744</v>
      </c>
      <c r="B436" s="19" t="s">
        <v>20</v>
      </c>
      <c r="C436" s="19" t="s">
        <v>21</v>
      </c>
      <c r="D436" s="19" t="s">
        <v>20</v>
      </c>
      <c r="E436" s="21">
        <v>46204</v>
      </c>
      <c r="F436" s="21">
        <v>46568</v>
      </c>
      <c r="G436" s="21"/>
      <c r="H436" s="21">
        <v>46204</v>
      </c>
      <c r="I436" s="21">
        <v>46568</v>
      </c>
      <c r="J436" s="19" t="s">
        <v>2064</v>
      </c>
      <c r="L436" s="19">
        <v>66.261260500000006</v>
      </c>
      <c r="M436" s="19">
        <v>66.261260500000006</v>
      </c>
      <c r="N436" s="19" t="s">
        <v>1475</v>
      </c>
      <c r="O436" s="20">
        <v>2</v>
      </c>
      <c r="S436" s="19" t="s">
        <v>20</v>
      </c>
      <c r="T436" s="19" t="s">
        <v>1471</v>
      </c>
    </row>
    <row r="437" spans="1:20">
      <c r="A437" s="20">
        <v>202603328126837</v>
      </c>
      <c r="B437" s="19" t="s">
        <v>20</v>
      </c>
      <c r="C437" s="19" t="s">
        <v>21</v>
      </c>
      <c r="D437" s="19" t="s">
        <v>20</v>
      </c>
      <c r="E437" s="21">
        <v>46204</v>
      </c>
      <c r="F437" s="21">
        <v>46568</v>
      </c>
      <c r="G437" s="21"/>
      <c r="H437" s="21">
        <v>46204</v>
      </c>
      <c r="I437" s="21">
        <v>46568</v>
      </c>
      <c r="J437" s="19" t="s">
        <v>2093</v>
      </c>
      <c r="L437" s="19">
        <v>0</v>
      </c>
      <c r="M437" s="19">
        <v>0</v>
      </c>
      <c r="N437" s="19" t="s">
        <v>2394</v>
      </c>
      <c r="O437" s="20">
        <v>4</v>
      </c>
      <c r="S437" s="19" t="s">
        <v>20</v>
      </c>
      <c r="T437" s="19" t="s">
        <v>1471</v>
      </c>
    </row>
    <row r="438" spans="1:20">
      <c r="A438" s="20">
        <v>202603328126837</v>
      </c>
      <c r="B438" s="19" t="s">
        <v>20</v>
      </c>
      <c r="C438" s="19" t="s">
        <v>21</v>
      </c>
      <c r="D438" s="19" t="s">
        <v>20</v>
      </c>
      <c r="E438" s="21">
        <v>46204</v>
      </c>
      <c r="F438" s="21">
        <v>46568</v>
      </c>
      <c r="G438" s="21"/>
      <c r="H438" s="21">
        <v>46204</v>
      </c>
      <c r="I438" s="21">
        <v>46568</v>
      </c>
      <c r="J438" s="19" t="s">
        <v>2093</v>
      </c>
      <c r="L438" s="19">
        <v>115.10413699999999</v>
      </c>
      <c r="M438" s="19">
        <v>115.10413699999999</v>
      </c>
      <c r="N438" s="19" t="s">
        <v>1475</v>
      </c>
      <c r="O438" s="20">
        <v>4</v>
      </c>
      <c r="S438" s="19" t="s">
        <v>20</v>
      </c>
      <c r="T438" s="19" t="s">
        <v>1471</v>
      </c>
    </row>
    <row r="439" spans="1:20">
      <c r="A439" s="20">
        <v>202603328126839</v>
      </c>
      <c r="B439" s="19" t="s">
        <v>20</v>
      </c>
      <c r="C439" s="19" t="s">
        <v>21</v>
      </c>
      <c r="D439" s="19" t="s">
        <v>20</v>
      </c>
      <c r="E439" s="21">
        <v>46204</v>
      </c>
      <c r="F439" s="21">
        <v>46568</v>
      </c>
      <c r="G439" s="21"/>
      <c r="H439" s="21">
        <v>46204</v>
      </c>
      <c r="I439" s="21">
        <v>46568</v>
      </c>
      <c r="J439" s="19" t="s">
        <v>2064</v>
      </c>
      <c r="L439" s="19">
        <v>33.130630250000003</v>
      </c>
      <c r="M439" s="19">
        <v>33.130630250000003</v>
      </c>
      <c r="N439" s="19" t="s">
        <v>1475</v>
      </c>
      <c r="O439" s="20">
        <v>1</v>
      </c>
      <c r="S439" s="19" t="s">
        <v>20</v>
      </c>
      <c r="T439" s="19" t="s">
        <v>1471</v>
      </c>
    </row>
    <row r="440" spans="1:20">
      <c r="A440" s="20">
        <v>202603328127059</v>
      </c>
      <c r="B440" s="19" t="s">
        <v>20</v>
      </c>
      <c r="C440" s="19" t="s">
        <v>21</v>
      </c>
      <c r="D440" s="19" t="s">
        <v>2167</v>
      </c>
      <c r="E440" s="21">
        <v>46204</v>
      </c>
      <c r="F440" s="21">
        <v>46568</v>
      </c>
      <c r="G440" s="21"/>
      <c r="H440" s="21">
        <v>46204</v>
      </c>
      <c r="I440" s="21">
        <v>46568</v>
      </c>
      <c r="J440" s="19" t="s">
        <v>2115</v>
      </c>
      <c r="L440" s="19">
        <v>12.743409249999999</v>
      </c>
      <c r="M440" s="19">
        <v>12.743409249999999</v>
      </c>
      <c r="N440" s="19" t="s">
        <v>1467</v>
      </c>
      <c r="O440" s="20">
        <v>1</v>
      </c>
      <c r="S440" s="19" t="s">
        <v>20</v>
      </c>
      <c r="T440" s="19" t="s">
        <v>1471</v>
      </c>
    </row>
    <row r="441" spans="1:20">
      <c r="A441" s="20">
        <v>202603328128439</v>
      </c>
      <c r="B441" s="19" t="s">
        <v>20</v>
      </c>
      <c r="C441" s="19" t="s">
        <v>21</v>
      </c>
      <c r="D441" s="19" t="s">
        <v>20</v>
      </c>
      <c r="E441" s="21">
        <v>46204</v>
      </c>
      <c r="F441" s="21">
        <v>46568</v>
      </c>
      <c r="G441" s="21"/>
      <c r="H441" s="21">
        <v>46204</v>
      </c>
      <c r="I441" s="21">
        <v>46568</v>
      </c>
      <c r="J441" s="19" t="s">
        <v>2106</v>
      </c>
      <c r="L441" s="19">
        <v>0</v>
      </c>
      <c r="M441" s="19">
        <v>0</v>
      </c>
      <c r="N441" s="19" t="s">
        <v>2394</v>
      </c>
      <c r="O441" s="20">
        <v>4</v>
      </c>
      <c r="S441" s="19" t="s">
        <v>20</v>
      </c>
      <c r="T441" s="19" t="s">
        <v>1471</v>
      </c>
    </row>
    <row r="442" spans="1:20">
      <c r="A442" s="20">
        <v>202603328128439</v>
      </c>
      <c r="B442" s="19" t="s">
        <v>20</v>
      </c>
      <c r="C442" s="19" t="s">
        <v>21</v>
      </c>
      <c r="D442" s="19" t="s">
        <v>2168</v>
      </c>
      <c r="E442" s="21">
        <v>46204</v>
      </c>
      <c r="F442" s="21">
        <v>46568</v>
      </c>
      <c r="G442" s="21"/>
      <c r="H442" s="21">
        <v>46204</v>
      </c>
      <c r="I442" s="21">
        <v>46568</v>
      </c>
      <c r="J442" s="19" t="s">
        <v>2106</v>
      </c>
      <c r="L442" s="19">
        <v>132.52252100000001</v>
      </c>
      <c r="M442" s="19">
        <v>132.52252100000001</v>
      </c>
      <c r="N442" s="19" t="s">
        <v>1467</v>
      </c>
      <c r="O442" s="20">
        <v>4</v>
      </c>
      <c r="S442" s="19" t="s">
        <v>20</v>
      </c>
      <c r="T442" s="19" t="s">
        <v>1471</v>
      </c>
    </row>
    <row r="443" spans="1:20">
      <c r="A443" s="20">
        <v>202603328129357</v>
      </c>
      <c r="B443" s="19" t="s">
        <v>20</v>
      </c>
      <c r="C443" s="19" t="s">
        <v>21</v>
      </c>
      <c r="D443" s="19" t="s">
        <v>20</v>
      </c>
      <c r="E443" s="21">
        <v>46204</v>
      </c>
      <c r="F443" s="21">
        <v>46568</v>
      </c>
      <c r="G443" s="21"/>
      <c r="H443" s="21">
        <v>46204</v>
      </c>
      <c r="I443" s="21">
        <v>46568</v>
      </c>
      <c r="J443" s="19" t="s">
        <v>2064</v>
      </c>
      <c r="L443" s="19">
        <v>0</v>
      </c>
      <c r="M443" s="19">
        <v>0</v>
      </c>
      <c r="N443" s="19" t="s">
        <v>2394</v>
      </c>
      <c r="O443" s="20">
        <v>4</v>
      </c>
      <c r="S443" s="19" t="s">
        <v>20</v>
      </c>
      <c r="T443" s="19" t="s">
        <v>1471</v>
      </c>
    </row>
    <row r="444" spans="1:20">
      <c r="A444" s="20">
        <v>202603328129357</v>
      </c>
      <c r="B444" s="19" t="s">
        <v>20</v>
      </c>
      <c r="C444" s="19" t="s">
        <v>21</v>
      </c>
      <c r="D444" s="19" t="s">
        <v>20</v>
      </c>
      <c r="E444" s="21">
        <v>46204</v>
      </c>
      <c r="F444" s="21">
        <v>46568</v>
      </c>
      <c r="G444" s="21"/>
      <c r="H444" s="21">
        <v>46204</v>
      </c>
      <c r="I444" s="21">
        <v>46568</v>
      </c>
      <c r="J444" s="19" t="s">
        <v>2064</v>
      </c>
      <c r="L444" s="19">
        <v>132.52252100000001</v>
      </c>
      <c r="M444" s="19">
        <v>132.52252100000001</v>
      </c>
      <c r="N444" s="19" t="s">
        <v>1475</v>
      </c>
      <c r="O444" s="20">
        <v>4</v>
      </c>
      <c r="S444" s="19" t="s">
        <v>20</v>
      </c>
      <c r="T444" s="19" t="s">
        <v>1471</v>
      </c>
    </row>
    <row r="445" spans="1:20">
      <c r="A445" s="20">
        <v>202603328132148</v>
      </c>
      <c r="B445" s="19" t="s">
        <v>20</v>
      </c>
      <c r="C445" s="19" t="s">
        <v>21</v>
      </c>
      <c r="D445" s="19" t="s">
        <v>20</v>
      </c>
      <c r="E445" s="21">
        <v>46204</v>
      </c>
      <c r="F445" s="21">
        <v>46568</v>
      </c>
      <c r="G445" s="21"/>
      <c r="H445" s="21">
        <v>46204</v>
      </c>
      <c r="I445" s="21">
        <v>46568</v>
      </c>
      <c r="J445" s="19" t="s">
        <v>2087</v>
      </c>
      <c r="L445" s="19">
        <v>33.130630250000003</v>
      </c>
      <c r="M445" s="19">
        <v>33.130630250000003</v>
      </c>
      <c r="N445" s="19" t="s">
        <v>1475</v>
      </c>
      <c r="O445" s="20">
        <v>1</v>
      </c>
      <c r="S445" s="19" t="s">
        <v>20</v>
      </c>
      <c r="T445" s="19" t="s">
        <v>1471</v>
      </c>
    </row>
    <row r="446" spans="1:20">
      <c r="A446" s="20">
        <v>202603328134132</v>
      </c>
      <c r="B446" s="19" t="s">
        <v>20</v>
      </c>
      <c r="C446" s="19" t="s">
        <v>21</v>
      </c>
      <c r="D446" s="19" t="s">
        <v>20</v>
      </c>
      <c r="E446" s="21">
        <v>46204</v>
      </c>
      <c r="F446" s="21">
        <v>46568</v>
      </c>
      <c r="G446" s="21"/>
      <c r="H446" s="21">
        <v>46204</v>
      </c>
      <c r="I446" s="21">
        <v>46568</v>
      </c>
      <c r="J446" s="19" t="s">
        <v>2068</v>
      </c>
      <c r="L446" s="19">
        <v>0</v>
      </c>
      <c r="M446" s="19">
        <v>0</v>
      </c>
      <c r="N446" s="19" t="s">
        <v>2394</v>
      </c>
      <c r="O446" s="20">
        <v>2</v>
      </c>
      <c r="S446" s="19" t="s">
        <v>20</v>
      </c>
      <c r="T446" s="19" t="s">
        <v>1471</v>
      </c>
    </row>
    <row r="447" spans="1:20">
      <c r="A447" s="20">
        <v>202603328134132</v>
      </c>
      <c r="B447" s="19" t="s">
        <v>20</v>
      </c>
      <c r="C447" s="19" t="s">
        <v>21</v>
      </c>
      <c r="D447" s="19" t="s">
        <v>20</v>
      </c>
      <c r="E447" s="21">
        <v>46204</v>
      </c>
      <c r="F447" s="21">
        <v>46568</v>
      </c>
      <c r="G447" s="21"/>
      <c r="H447" s="21">
        <v>46204</v>
      </c>
      <c r="I447" s="21">
        <v>46568</v>
      </c>
      <c r="J447" s="19" t="s">
        <v>2068</v>
      </c>
      <c r="L447" s="19">
        <v>52.517367999999998</v>
      </c>
      <c r="M447" s="19">
        <v>52.517367999999998</v>
      </c>
      <c r="N447" s="19" t="s">
        <v>1475</v>
      </c>
      <c r="O447" s="20">
        <v>2</v>
      </c>
      <c r="S447" s="19" t="s">
        <v>20</v>
      </c>
      <c r="T447" s="19" t="s">
        <v>1471</v>
      </c>
    </row>
    <row r="448" spans="1:20">
      <c r="A448" s="20">
        <v>202603328134225</v>
      </c>
      <c r="B448" s="19" t="s">
        <v>20</v>
      </c>
      <c r="C448" s="19" t="s">
        <v>21</v>
      </c>
      <c r="D448" s="19" t="s">
        <v>20</v>
      </c>
      <c r="E448" s="21">
        <v>46204</v>
      </c>
      <c r="F448" s="21">
        <v>46568</v>
      </c>
      <c r="G448" s="21"/>
      <c r="H448" s="21">
        <v>46204</v>
      </c>
      <c r="I448" s="21">
        <v>46568</v>
      </c>
      <c r="J448" s="19" t="s">
        <v>2064</v>
      </c>
      <c r="L448" s="19">
        <v>33.130630250000003</v>
      </c>
      <c r="M448" s="19">
        <v>33.130630250000003</v>
      </c>
      <c r="N448" s="19" t="s">
        <v>1475</v>
      </c>
      <c r="O448" s="20">
        <v>1</v>
      </c>
      <c r="S448" s="19" t="s">
        <v>20</v>
      </c>
      <c r="T448" s="19" t="s">
        <v>1471</v>
      </c>
    </row>
    <row r="449" spans="1:20">
      <c r="A449" s="20">
        <v>202603328134363</v>
      </c>
      <c r="B449" s="19" t="s">
        <v>20</v>
      </c>
      <c r="C449" s="19" t="s">
        <v>21</v>
      </c>
      <c r="D449" s="19" t="s">
        <v>20</v>
      </c>
      <c r="E449" s="21">
        <v>46204</v>
      </c>
      <c r="F449" s="21">
        <v>46568</v>
      </c>
      <c r="G449" s="21"/>
      <c r="H449" s="21">
        <v>46204</v>
      </c>
      <c r="I449" s="21">
        <v>46568</v>
      </c>
      <c r="J449" s="19" t="s">
        <v>2169</v>
      </c>
      <c r="L449" s="19">
        <v>0</v>
      </c>
      <c r="M449" s="19">
        <v>0</v>
      </c>
      <c r="N449" s="19" t="s">
        <v>2394</v>
      </c>
      <c r="O449" s="20">
        <v>4</v>
      </c>
      <c r="S449" s="19" t="s">
        <v>20</v>
      </c>
      <c r="T449" s="19" t="s">
        <v>1471</v>
      </c>
    </row>
    <row r="450" spans="1:20">
      <c r="A450" s="20">
        <v>202603328134363</v>
      </c>
      <c r="B450" s="19" t="s">
        <v>20</v>
      </c>
      <c r="C450" s="19" t="s">
        <v>21</v>
      </c>
      <c r="D450" s="19" t="s">
        <v>20</v>
      </c>
      <c r="E450" s="21">
        <v>46204</v>
      </c>
      <c r="F450" s="21">
        <v>46568</v>
      </c>
      <c r="G450" s="21"/>
      <c r="H450" s="21">
        <v>46204</v>
      </c>
      <c r="I450" s="21">
        <v>46568</v>
      </c>
      <c r="J450" s="19" t="s">
        <v>2169</v>
      </c>
      <c r="L450" s="19">
        <v>95.873163000000005</v>
      </c>
      <c r="M450" s="19">
        <v>95.873163000000005</v>
      </c>
      <c r="N450" s="19" t="s">
        <v>1475</v>
      </c>
      <c r="O450" s="20">
        <v>4</v>
      </c>
      <c r="S450" s="19" t="s">
        <v>20</v>
      </c>
      <c r="T450" s="19" t="s">
        <v>1471</v>
      </c>
    </row>
    <row r="451" spans="1:20">
      <c r="A451" s="20">
        <v>202603328139438</v>
      </c>
      <c r="B451" s="19" t="s">
        <v>20</v>
      </c>
      <c r="C451" s="19" t="s">
        <v>21</v>
      </c>
      <c r="D451" s="19" t="s">
        <v>20</v>
      </c>
      <c r="E451" s="21">
        <v>46204</v>
      </c>
      <c r="F451" s="21">
        <v>46568</v>
      </c>
      <c r="G451" s="21"/>
      <c r="H451" s="21">
        <v>46204</v>
      </c>
      <c r="I451" s="21">
        <v>46568</v>
      </c>
      <c r="J451" s="19" t="s">
        <v>2129</v>
      </c>
      <c r="L451" s="19">
        <v>99.391890750000002</v>
      </c>
      <c r="M451" s="19">
        <v>99.391890750000002</v>
      </c>
      <c r="N451" s="19" t="s">
        <v>1475</v>
      </c>
      <c r="O451" s="20">
        <v>3</v>
      </c>
      <c r="S451" s="19" t="s">
        <v>20</v>
      </c>
      <c r="T451" s="19" t="s">
        <v>1471</v>
      </c>
    </row>
    <row r="452" spans="1:20">
      <c r="A452" s="20">
        <v>202603328139759</v>
      </c>
      <c r="B452" s="19" t="s">
        <v>20</v>
      </c>
      <c r="C452" s="19" t="s">
        <v>21</v>
      </c>
      <c r="D452" s="19" t="s">
        <v>2170</v>
      </c>
      <c r="E452" s="21">
        <v>46204</v>
      </c>
      <c r="F452" s="21">
        <v>46568</v>
      </c>
      <c r="G452" s="21"/>
      <c r="H452" s="21">
        <v>46204</v>
      </c>
      <c r="I452" s="21">
        <v>46568</v>
      </c>
      <c r="J452" s="19" t="s">
        <v>2087</v>
      </c>
      <c r="L452" s="19">
        <v>33.130630250000003</v>
      </c>
      <c r="M452" s="19">
        <v>33.130630250000003</v>
      </c>
      <c r="N452" s="19" t="s">
        <v>1467</v>
      </c>
      <c r="O452" s="20">
        <v>1</v>
      </c>
      <c r="S452" s="19" t="s">
        <v>20</v>
      </c>
      <c r="T452" s="19" t="s">
        <v>1471</v>
      </c>
    </row>
    <row r="453" spans="1:20">
      <c r="A453" s="20">
        <v>202603328140267</v>
      </c>
      <c r="B453" s="19" t="s">
        <v>20</v>
      </c>
      <c r="C453" s="19" t="s">
        <v>21</v>
      </c>
      <c r="D453" s="19" t="s">
        <v>20</v>
      </c>
      <c r="E453" s="21">
        <v>46204</v>
      </c>
      <c r="F453" s="21">
        <v>46568</v>
      </c>
      <c r="G453" s="21"/>
      <c r="H453" s="21">
        <v>46204</v>
      </c>
      <c r="I453" s="21">
        <v>46568</v>
      </c>
      <c r="J453" s="19" t="s">
        <v>2069</v>
      </c>
      <c r="L453" s="19">
        <v>33.130630250000003</v>
      </c>
      <c r="M453" s="19">
        <v>33.130630250000003</v>
      </c>
      <c r="N453" s="19" t="s">
        <v>1475</v>
      </c>
      <c r="O453" s="20">
        <v>1</v>
      </c>
      <c r="S453" s="19" t="s">
        <v>20</v>
      </c>
      <c r="T453" s="19" t="s">
        <v>1471</v>
      </c>
    </row>
    <row r="454" spans="1:20">
      <c r="A454" s="20">
        <v>202603328140773</v>
      </c>
      <c r="B454" s="19" t="s">
        <v>20</v>
      </c>
      <c r="C454" s="19" t="s">
        <v>21</v>
      </c>
      <c r="D454" s="19" t="s">
        <v>20</v>
      </c>
      <c r="E454" s="21">
        <v>46204</v>
      </c>
      <c r="F454" s="21">
        <v>46568</v>
      </c>
      <c r="G454" s="21"/>
      <c r="H454" s="21">
        <v>46204</v>
      </c>
      <c r="I454" s="21">
        <v>46568</v>
      </c>
      <c r="J454" s="19" t="s">
        <v>2068</v>
      </c>
      <c r="L454" s="19">
        <v>26.258683999999999</v>
      </c>
      <c r="M454" s="19">
        <v>26.258683999999999</v>
      </c>
      <c r="N454" s="19" t="s">
        <v>1475</v>
      </c>
      <c r="O454" s="20">
        <v>1</v>
      </c>
      <c r="S454" s="19" t="s">
        <v>20</v>
      </c>
      <c r="T454" s="19" t="s">
        <v>1471</v>
      </c>
    </row>
    <row r="455" spans="1:20">
      <c r="A455" s="20">
        <v>202603328140870</v>
      </c>
      <c r="B455" s="19" t="s">
        <v>20</v>
      </c>
      <c r="C455" s="19" t="s">
        <v>21</v>
      </c>
      <c r="D455" s="19" t="s">
        <v>20</v>
      </c>
      <c r="E455" s="21">
        <v>46204</v>
      </c>
      <c r="F455" s="21">
        <v>46568</v>
      </c>
      <c r="G455" s="21"/>
      <c r="H455" s="21">
        <v>46204</v>
      </c>
      <c r="I455" s="21">
        <v>46568</v>
      </c>
      <c r="J455" s="19" t="s">
        <v>2092</v>
      </c>
      <c r="L455" s="19">
        <v>0</v>
      </c>
      <c r="M455" s="19">
        <v>0</v>
      </c>
      <c r="N455" s="19" t="s">
        <v>2394</v>
      </c>
      <c r="O455" s="20">
        <v>3</v>
      </c>
      <c r="S455" s="19" t="s">
        <v>20</v>
      </c>
      <c r="T455" s="19" t="s">
        <v>1471</v>
      </c>
    </row>
    <row r="456" spans="1:20">
      <c r="A456" s="20">
        <v>202603328140870</v>
      </c>
      <c r="B456" s="19" t="s">
        <v>20</v>
      </c>
      <c r="C456" s="19" t="s">
        <v>21</v>
      </c>
      <c r="D456" s="19" t="s">
        <v>2171</v>
      </c>
      <c r="E456" s="21">
        <v>46204</v>
      </c>
      <c r="F456" s="21">
        <v>46568</v>
      </c>
      <c r="G456" s="21"/>
      <c r="H456" s="21">
        <v>46204</v>
      </c>
      <c r="I456" s="21">
        <v>46568</v>
      </c>
      <c r="J456" s="19" t="s">
        <v>2092</v>
      </c>
      <c r="L456" s="19">
        <v>115.978677</v>
      </c>
      <c r="M456" s="19">
        <v>115.978677</v>
      </c>
      <c r="N456" s="19" t="s">
        <v>1467</v>
      </c>
      <c r="O456" s="20">
        <v>3</v>
      </c>
      <c r="S456" s="19" t="s">
        <v>20</v>
      </c>
      <c r="T456" s="19" t="s">
        <v>1471</v>
      </c>
    </row>
    <row r="457" spans="1:20">
      <c r="A457" s="20">
        <v>202603328140942</v>
      </c>
      <c r="B457" s="19" t="s">
        <v>20</v>
      </c>
      <c r="C457" s="19" t="s">
        <v>21</v>
      </c>
      <c r="D457" s="19" t="s">
        <v>20</v>
      </c>
      <c r="E457" s="21">
        <v>46204</v>
      </c>
      <c r="F457" s="21">
        <v>46568</v>
      </c>
      <c r="G457" s="21"/>
      <c r="H457" s="21">
        <v>46204</v>
      </c>
      <c r="I457" s="21">
        <v>46568</v>
      </c>
      <c r="J457" s="19" t="s">
        <v>2114</v>
      </c>
      <c r="L457" s="19">
        <v>0</v>
      </c>
      <c r="M457" s="19">
        <v>0</v>
      </c>
      <c r="N457" s="19" t="s">
        <v>2394</v>
      </c>
      <c r="O457" s="20">
        <v>3</v>
      </c>
      <c r="S457" s="19" t="s">
        <v>20</v>
      </c>
      <c r="T457" s="19" t="s">
        <v>1471</v>
      </c>
    </row>
    <row r="458" spans="1:20">
      <c r="A458" s="20">
        <v>202603328140942</v>
      </c>
      <c r="B458" s="19" t="s">
        <v>20</v>
      </c>
      <c r="C458" s="19" t="s">
        <v>21</v>
      </c>
      <c r="D458" s="19" t="s">
        <v>20</v>
      </c>
      <c r="E458" s="21">
        <v>46204</v>
      </c>
      <c r="F458" s="21">
        <v>46568</v>
      </c>
      <c r="G458" s="21"/>
      <c r="H458" s="21">
        <v>46204</v>
      </c>
      <c r="I458" s="21">
        <v>46568</v>
      </c>
      <c r="J458" s="19" t="s">
        <v>2114</v>
      </c>
      <c r="L458" s="19">
        <v>99.391890750000002</v>
      </c>
      <c r="M458" s="19">
        <v>99.391890750000002</v>
      </c>
      <c r="N458" s="19" t="s">
        <v>1475</v>
      </c>
      <c r="O458" s="20">
        <v>3</v>
      </c>
      <c r="S458" s="19" t="s">
        <v>20</v>
      </c>
      <c r="T458" s="19" t="s">
        <v>1471</v>
      </c>
    </row>
    <row r="459" spans="1:20">
      <c r="A459" s="20">
        <v>202603328141320</v>
      </c>
      <c r="B459" s="19" t="s">
        <v>20</v>
      </c>
      <c r="C459" s="19" t="s">
        <v>21</v>
      </c>
      <c r="D459" s="19" t="s">
        <v>20</v>
      </c>
      <c r="E459" s="21">
        <v>46204</v>
      </c>
      <c r="F459" s="21">
        <v>46568</v>
      </c>
      <c r="G459" s="21"/>
      <c r="H459" s="21">
        <v>46204</v>
      </c>
      <c r="I459" s="21">
        <v>46568</v>
      </c>
      <c r="J459" s="19" t="s">
        <v>2065</v>
      </c>
      <c r="L459" s="19">
        <v>26.258683999999999</v>
      </c>
      <c r="M459" s="19">
        <v>26.258683999999999</v>
      </c>
      <c r="N459" s="19" t="s">
        <v>1475</v>
      </c>
      <c r="O459" s="20">
        <v>1</v>
      </c>
      <c r="S459" s="19" t="s">
        <v>20</v>
      </c>
      <c r="T459" s="19" t="s">
        <v>1471</v>
      </c>
    </row>
    <row r="460" spans="1:20">
      <c r="A460" s="20">
        <v>202603328141472</v>
      </c>
      <c r="B460" s="19" t="s">
        <v>20</v>
      </c>
      <c r="C460" s="19" t="s">
        <v>21</v>
      </c>
      <c r="D460" s="19" t="s">
        <v>20</v>
      </c>
      <c r="E460" s="21">
        <v>46204</v>
      </c>
      <c r="F460" s="21">
        <v>46568</v>
      </c>
      <c r="G460" s="21"/>
      <c r="H460" s="21">
        <v>46204</v>
      </c>
      <c r="I460" s="21">
        <v>46568</v>
      </c>
      <c r="J460" s="19" t="s">
        <v>2104</v>
      </c>
      <c r="L460" s="19">
        <v>33.130630250000003</v>
      </c>
      <c r="M460" s="19">
        <v>33.130630250000003</v>
      </c>
      <c r="N460" s="19" t="s">
        <v>1475</v>
      </c>
      <c r="O460" s="20">
        <v>1</v>
      </c>
      <c r="S460" s="19" t="s">
        <v>20</v>
      </c>
      <c r="T460" s="19" t="s">
        <v>1471</v>
      </c>
    </row>
    <row r="461" spans="1:20">
      <c r="A461" s="20">
        <v>202603328141938</v>
      </c>
      <c r="B461" s="19" t="s">
        <v>20</v>
      </c>
      <c r="C461" s="19" t="s">
        <v>21</v>
      </c>
      <c r="D461" s="19" t="s">
        <v>20</v>
      </c>
      <c r="E461" s="21">
        <v>46204</v>
      </c>
      <c r="F461" s="21">
        <v>46568</v>
      </c>
      <c r="G461" s="21"/>
      <c r="H461" s="21">
        <v>46204</v>
      </c>
      <c r="I461" s="21">
        <v>46568</v>
      </c>
      <c r="J461" s="19" t="s">
        <v>2109</v>
      </c>
      <c r="L461" s="19">
        <v>0</v>
      </c>
      <c r="M461" s="19">
        <v>0</v>
      </c>
      <c r="N461" s="19" t="s">
        <v>2394</v>
      </c>
      <c r="O461" s="20">
        <v>3</v>
      </c>
      <c r="S461" s="19" t="s">
        <v>20</v>
      </c>
      <c r="T461" s="19" t="s">
        <v>1471</v>
      </c>
    </row>
    <row r="462" spans="1:20">
      <c r="A462" s="20">
        <v>202603328141938</v>
      </c>
      <c r="B462" s="19" t="s">
        <v>20</v>
      </c>
      <c r="C462" s="19" t="s">
        <v>21</v>
      </c>
      <c r="D462" s="19" t="s">
        <v>2172</v>
      </c>
      <c r="E462" s="21">
        <v>46204</v>
      </c>
      <c r="F462" s="21">
        <v>46568</v>
      </c>
      <c r="G462" s="21"/>
      <c r="H462" s="21">
        <v>46204</v>
      </c>
      <c r="I462" s="21">
        <v>46568</v>
      </c>
      <c r="J462" s="19" t="s">
        <v>2109</v>
      </c>
      <c r="L462" s="19">
        <v>89.452685250000002</v>
      </c>
      <c r="M462" s="19">
        <v>89.452685250000002</v>
      </c>
      <c r="N462" s="19" t="s">
        <v>1467</v>
      </c>
      <c r="O462" s="20">
        <v>3</v>
      </c>
      <c r="S462" s="19" t="s">
        <v>20</v>
      </c>
      <c r="T462" s="19" t="s">
        <v>1471</v>
      </c>
    </row>
    <row r="463" spans="1:20">
      <c r="A463" s="20">
        <v>202603328141952</v>
      </c>
      <c r="B463" s="19" t="s">
        <v>20</v>
      </c>
      <c r="C463" s="19" t="s">
        <v>21</v>
      </c>
      <c r="D463" s="19" t="s">
        <v>20</v>
      </c>
      <c r="E463" s="21">
        <v>46204</v>
      </c>
      <c r="F463" s="21">
        <v>46568</v>
      </c>
      <c r="G463" s="21"/>
      <c r="H463" s="21">
        <v>46204</v>
      </c>
      <c r="I463" s="21">
        <v>46568</v>
      </c>
      <c r="J463" s="19" t="s">
        <v>2064</v>
      </c>
      <c r="L463" s="19">
        <v>33.130630250000003</v>
      </c>
      <c r="M463" s="19">
        <v>33.130630250000003</v>
      </c>
      <c r="N463" s="19" t="s">
        <v>1475</v>
      </c>
      <c r="O463" s="20">
        <v>1</v>
      </c>
      <c r="S463" s="19" t="s">
        <v>20</v>
      </c>
      <c r="T463" s="19" t="s">
        <v>1471</v>
      </c>
    </row>
    <row r="464" spans="1:20">
      <c r="A464" s="20">
        <v>202603328142885</v>
      </c>
      <c r="B464" s="19" t="s">
        <v>20</v>
      </c>
      <c r="C464" s="19" t="s">
        <v>21</v>
      </c>
      <c r="D464" s="19" t="s">
        <v>2173</v>
      </c>
      <c r="E464" s="21">
        <v>46204</v>
      </c>
      <c r="F464" s="21">
        <v>46568</v>
      </c>
      <c r="G464" s="21"/>
      <c r="H464" s="21">
        <v>46204</v>
      </c>
      <c r="I464" s="21">
        <v>46568</v>
      </c>
      <c r="J464" s="19" t="s">
        <v>2135</v>
      </c>
      <c r="L464" s="19">
        <v>16.727183499999999</v>
      </c>
      <c r="M464" s="19">
        <v>16.727183499999999</v>
      </c>
      <c r="N464" s="19" t="s">
        <v>1467</v>
      </c>
      <c r="O464" s="20">
        <v>1</v>
      </c>
      <c r="S464" s="19" t="s">
        <v>20</v>
      </c>
      <c r="T464" s="19" t="s">
        <v>1471</v>
      </c>
    </row>
    <row r="465" spans="1:20">
      <c r="A465" s="20">
        <v>202603328143054</v>
      </c>
      <c r="B465" s="19" t="s">
        <v>20</v>
      </c>
      <c r="C465" s="19" t="s">
        <v>21</v>
      </c>
      <c r="D465" s="19" t="s">
        <v>20</v>
      </c>
      <c r="E465" s="21">
        <v>46204</v>
      </c>
      <c r="F465" s="21">
        <v>46568</v>
      </c>
      <c r="G465" s="21"/>
      <c r="H465" s="21">
        <v>46204</v>
      </c>
      <c r="I465" s="21">
        <v>46568</v>
      </c>
      <c r="J465" s="19" t="s">
        <v>2064</v>
      </c>
      <c r="L465" s="19">
        <v>33.130630250000003</v>
      </c>
      <c r="M465" s="19">
        <v>33.130630250000003</v>
      </c>
      <c r="N465" s="19" t="s">
        <v>1475</v>
      </c>
      <c r="O465" s="20">
        <v>1</v>
      </c>
      <c r="S465" s="19" t="s">
        <v>20</v>
      </c>
      <c r="T465" s="19" t="s">
        <v>1471</v>
      </c>
    </row>
    <row r="466" spans="1:20">
      <c r="A466" s="20">
        <v>202603328143322</v>
      </c>
      <c r="B466" s="19" t="s">
        <v>20</v>
      </c>
      <c r="C466" s="19" t="s">
        <v>21</v>
      </c>
      <c r="D466" s="19" t="s">
        <v>20</v>
      </c>
      <c r="E466" s="21">
        <v>46204</v>
      </c>
      <c r="F466" s="21">
        <v>46568</v>
      </c>
      <c r="G466" s="21"/>
      <c r="H466" s="21">
        <v>46204</v>
      </c>
      <c r="I466" s="21">
        <v>46568</v>
      </c>
      <c r="J466" s="19" t="s">
        <v>2093</v>
      </c>
      <c r="L466" s="19">
        <v>57.552068499999997</v>
      </c>
      <c r="M466" s="19">
        <v>57.552068499999997</v>
      </c>
      <c r="N466" s="19" t="s">
        <v>1475</v>
      </c>
      <c r="O466" s="20">
        <v>2</v>
      </c>
      <c r="S466" s="19" t="s">
        <v>20</v>
      </c>
      <c r="T466" s="19" t="s">
        <v>1471</v>
      </c>
    </row>
    <row r="467" spans="1:20">
      <c r="A467" s="20">
        <v>202603328143797</v>
      </c>
      <c r="B467" s="19" t="s">
        <v>20</v>
      </c>
      <c r="C467" s="19" t="s">
        <v>21</v>
      </c>
      <c r="D467" s="19" t="s">
        <v>20</v>
      </c>
      <c r="E467" s="21">
        <v>46204</v>
      </c>
      <c r="F467" s="21">
        <v>46568</v>
      </c>
      <c r="G467" s="21"/>
      <c r="H467" s="21">
        <v>46204</v>
      </c>
      <c r="I467" s="21">
        <v>46568</v>
      </c>
      <c r="J467" s="19" t="s">
        <v>2080</v>
      </c>
      <c r="L467" s="19">
        <v>0</v>
      </c>
      <c r="M467" s="19">
        <v>0</v>
      </c>
      <c r="N467" s="19" t="s">
        <v>2394</v>
      </c>
      <c r="O467" s="20">
        <v>4</v>
      </c>
      <c r="S467" s="19" t="s">
        <v>20</v>
      </c>
      <c r="T467" s="19" t="s">
        <v>1471</v>
      </c>
    </row>
    <row r="468" spans="1:20">
      <c r="A468" s="20">
        <v>202603328143797</v>
      </c>
      <c r="B468" s="19" t="s">
        <v>20</v>
      </c>
      <c r="C468" s="19" t="s">
        <v>21</v>
      </c>
      <c r="D468" s="19" t="s">
        <v>20</v>
      </c>
      <c r="E468" s="21">
        <v>46204</v>
      </c>
      <c r="F468" s="21">
        <v>46568</v>
      </c>
      <c r="G468" s="21"/>
      <c r="H468" s="21">
        <v>46204</v>
      </c>
      <c r="I468" s="21">
        <v>46568</v>
      </c>
      <c r="J468" s="19" t="s">
        <v>2080</v>
      </c>
      <c r="L468" s="19">
        <v>132.52252100000001</v>
      </c>
      <c r="M468" s="19">
        <v>132.52252100000001</v>
      </c>
      <c r="N468" s="19" t="s">
        <v>1475</v>
      </c>
      <c r="O468" s="20">
        <v>4</v>
      </c>
      <c r="S468" s="19" t="s">
        <v>20</v>
      </c>
      <c r="T468" s="19" t="s">
        <v>1471</v>
      </c>
    </row>
    <row r="469" spans="1:20">
      <c r="A469" s="20">
        <v>202603328144177</v>
      </c>
      <c r="B469" s="19" t="s">
        <v>20</v>
      </c>
      <c r="C469" s="19" t="s">
        <v>21</v>
      </c>
      <c r="D469" s="19" t="s">
        <v>20</v>
      </c>
      <c r="E469" s="21">
        <v>46204</v>
      </c>
      <c r="F469" s="21">
        <v>46568</v>
      </c>
      <c r="G469" s="21"/>
      <c r="H469" s="21">
        <v>46204</v>
      </c>
      <c r="I469" s="21">
        <v>46568</v>
      </c>
      <c r="J469" s="19" t="s">
        <v>2073</v>
      </c>
      <c r="L469" s="19">
        <v>0</v>
      </c>
      <c r="M469" s="19">
        <v>0</v>
      </c>
      <c r="N469" s="19" t="s">
        <v>2394</v>
      </c>
      <c r="O469" s="20">
        <v>2</v>
      </c>
      <c r="S469" s="19" t="s">
        <v>20</v>
      </c>
      <c r="T469" s="19" t="s">
        <v>1471</v>
      </c>
    </row>
    <row r="470" spans="1:20">
      <c r="A470" s="20">
        <v>202603328144177</v>
      </c>
      <c r="B470" s="19" t="s">
        <v>20</v>
      </c>
      <c r="C470" s="19" t="s">
        <v>21</v>
      </c>
      <c r="D470" s="19" t="s">
        <v>20</v>
      </c>
      <c r="E470" s="21">
        <v>46204</v>
      </c>
      <c r="F470" s="21">
        <v>46568</v>
      </c>
      <c r="G470" s="21"/>
      <c r="H470" s="21">
        <v>46204</v>
      </c>
      <c r="I470" s="21">
        <v>46568</v>
      </c>
      <c r="J470" s="19" t="s">
        <v>2073</v>
      </c>
      <c r="L470" s="19">
        <v>52.517367999999998</v>
      </c>
      <c r="M470" s="19">
        <v>52.517367999999998</v>
      </c>
      <c r="N470" s="19" t="s">
        <v>1475</v>
      </c>
      <c r="O470" s="20">
        <v>2</v>
      </c>
      <c r="S470" s="19" t="s">
        <v>20</v>
      </c>
      <c r="T470" s="19" t="s">
        <v>1471</v>
      </c>
    </row>
    <row r="471" spans="1:20">
      <c r="A471" s="20">
        <v>202603328144197</v>
      </c>
      <c r="B471" s="19" t="s">
        <v>20</v>
      </c>
      <c r="C471" s="19" t="s">
        <v>21</v>
      </c>
      <c r="D471" s="19" t="s">
        <v>20</v>
      </c>
      <c r="E471" s="21">
        <v>46204</v>
      </c>
      <c r="F471" s="21">
        <v>46568</v>
      </c>
      <c r="G471" s="21"/>
      <c r="H471" s="21">
        <v>46204</v>
      </c>
      <c r="I471" s="21">
        <v>46568</v>
      </c>
      <c r="J471" s="19" t="s">
        <v>2077</v>
      </c>
      <c r="L471" s="19">
        <v>0</v>
      </c>
      <c r="M471" s="19">
        <v>0</v>
      </c>
      <c r="N471" s="19" t="s">
        <v>2394</v>
      </c>
      <c r="O471" s="20">
        <v>4</v>
      </c>
      <c r="S471" s="19" t="s">
        <v>20</v>
      </c>
      <c r="T471" s="19" t="s">
        <v>1471</v>
      </c>
    </row>
    <row r="472" spans="1:20">
      <c r="A472" s="20">
        <v>202603328144197</v>
      </c>
      <c r="B472" s="19" t="s">
        <v>20</v>
      </c>
      <c r="C472" s="19" t="s">
        <v>21</v>
      </c>
      <c r="D472" s="19" t="s">
        <v>2174</v>
      </c>
      <c r="E472" s="21">
        <v>46204</v>
      </c>
      <c r="F472" s="21">
        <v>46568</v>
      </c>
      <c r="G472" s="21"/>
      <c r="H472" s="21">
        <v>46204</v>
      </c>
      <c r="I472" s="21">
        <v>46568</v>
      </c>
      <c r="J472" s="19" t="s">
        <v>2077</v>
      </c>
      <c r="L472" s="19">
        <v>119.270247</v>
      </c>
      <c r="M472" s="19">
        <v>119.270247</v>
      </c>
      <c r="N472" s="19" t="s">
        <v>1467</v>
      </c>
      <c r="O472" s="20">
        <v>4</v>
      </c>
      <c r="S472" s="19" t="s">
        <v>20</v>
      </c>
      <c r="T472" s="19" t="s">
        <v>1471</v>
      </c>
    </row>
    <row r="473" spans="1:20">
      <c r="A473" s="20">
        <v>202603328144696</v>
      </c>
      <c r="B473" s="19" t="s">
        <v>20</v>
      </c>
      <c r="C473" s="19" t="s">
        <v>21</v>
      </c>
      <c r="D473" s="19" t="s">
        <v>20</v>
      </c>
      <c r="E473" s="21">
        <v>46204</v>
      </c>
      <c r="F473" s="21">
        <v>46568</v>
      </c>
      <c r="G473" s="21"/>
      <c r="H473" s="21">
        <v>46204</v>
      </c>
      <c r="I473" s="21">
        <v>46568</v>
      </c>
      <c r="J473" s="19" t="s">
        <v>2064</v>
      </c>
      <c r="L473" s="19">
        <v>0</v>
      </c>
      <c r="M473" s="19">
        <v>0</v>
      </c>
      <c r="N473" s="19" t="s">
        <v>2394</v>
      </c>
      <c r="O473" s="20">
        <v>2</v>
      </c>
      <c r="S473" s="19" t="s">
        <v>20</v>
      </c>
      <c r="T473" s="19" t="s">
        <v>1471</v>
      </c>
    </row>
    <row r="474" spans="1:20">
      <c r="A474" s="20">
        <v>202603328144696</v>
      </c>
      <c r="B474" s="19" t="s">
        <v>20</v>
      </c>
      <c r="C474" s="19" t="s">
        <v>21</v>
      </c>
      <c r="D474" s="19" t="s">
        <v>20</v>
      </c>
      <c r="E474" s="21">
        <v>46204</v>
      </c>
      <c r="F474" s="21">
        <v>46568</v>
      </c>
      <c r="G474" s="21"/>
      <c r="H474" s="21">
        <v>46204</v>
      </c>
      <c r="I474" s="21">
        <v>46568</v>
      </c>
      <c r="J474" s="19" t="s">
        <v>2064</v>
      </c>
      <c r="L474" s="19">
        <v>66.261260500000006</v>
      </c>
      <c r="M474" s="19">
        <v>66.261260500000006</v>
      </c>
      <c r="N474" s="19" t="s">
        <v>1475</v>
      </c>
      <c r="O474" s="20">
        <v>2</v>
      </c>
      <c r="S474" s="19" t="s">
        <v>20</v>
      </c>
      <c r="T474" s="19" t="s">
        <v>1471</v>
      </c>
    </row>
    <row r="475" spans="1:20">
      <c r="A475" s="20">
        <v>202603328144856</v>
      </c>
      <c r="B475" s="19" t="s">
        <v>20</v>
      </c>
      <c r="C475" s="19" t="s">
        <v>21</v>
      </c>
      <c r="D475" s="19" t="s">
        <v>20</v>
      </c>
      <c r="E475" s="21">
        <v>46204</v>
      </c>
      <c r="F475" s="21">
        <v>46568</v>
      </c>
      <c r="G475" s="21"/>
      <c r="H475" s="21">
        <v>46204</v>
      </c>
      <c r="I475" s="21">
        <v>46568</v>
      </c>
      <c r="J475" s="19" t="s">
        <v>2085</v>
      </c>
      <c r="L475" s="19">
        <v>0</v>
      </c>
      <c r="M475" s="19">
        <v>0</v>
      </c>
      <c r="N475" s="19" t="s">
        <v>2394</v>
      </c>
      <c r="O475" s="20">
        <v>2</v>
      </c>
      <c r="S475" s="19" t="s">
        <v>20</v>
      </c>
      <c r="T475" s="19" t="s">
        <v>1471</v>
      </c>
    </row>
    <row r="476" spans="1:20">
      <c r="A476" s="20">
        <v>202603328144856</v>
      </c>
      <c r="B476" s="19" t="s">
        <v>20</v>
      </c>
      <c r="C476" s="19" t="s">
        <v>21</v>
      </c>
      <c r="D476" s="19" t="s">
        <v>2175</v>
      </c>
      <c r="E476" s="21">
        <v>46204</v>
      </c>
      <c r="F476" s="21">
        <v>46568</v>
      </c>
      <c r="G476" s="21"/>
      <c r="H476" s="21">
        <v>46204</v>
      </c>
      <c r="I476" s="21">
        <v>46568</v>
      </c>
      <c r="J476" s="19" t="s">
        <v>2085</v>
      </c>
      <c r="L476" s="19">
        <v>49.241346999999998</v>
      </c>
      <c r="M476" s="19">
        <v>49.241346999999998</v>
      </c>
      <c r="N476" s="19" t="s">
        <v>1467</v>
      </c>
      <c r="O476" s="20">
        <v>2</v>
      </c>
      <c r="S476" s="19" t="s">
        <v>20</v>
      </c>
      <c r="T476" s="19" t="s">
        <v>1471</v>
      </c>
    </row>
    <row r="477" spans="1:20">
      <c r="A477" s="20">
        <v>202603328145814</v>
      </c>
      <c r="B477" s="19" t="s">
        <v>20</v>
      </c>
      <c r="C477" s="19" t="s">
        <v>21</v>
      </c>
      <c r="D477" s="19" t="s">
        <v>20</v>
      </c>
      <c r="E477" s="21">
        <v>46204</v>
      </c>
      <c r="F477" s="21">
        <v>46568</v>
      </c>
      <c r="G477" s="21"/>
      <c r="H477" s="21">
        <v>46204</v>
      </c>
      <c r="I477" s="21">
        <v>46568</v>
      </c>
      <c r="J477" s="19" t="s">
        <v>2067</v>
      </c>
      <c r="L477" s="19">
        <v>0</v>
      </c>
      <c r="M477" s="19">
        <v>0</v>
      </c>
      <c r="N477" s="19" t="s">
        <v>2394</v>
      </c>
      <c r="O477" s="20">
        <v>3</v>
      </c>
      <c r="S477" s="19" t="s">
        <v>20</v>
      </c>
      <c r="T477" s="19" t="s">
        <v>1471</v>
      </c>
    </row>
    <row r="478" spans="1:20">
      <c r="A478" s="20">
        <v>202603328145814</v>
      </c>
      <c r="B478" s="19" t="s">
        <v>20</v>
      </c>
      <c r="C478" s="19" t="s">
        <v>21</v>
      </c>
      <c r="D478" s="19" t="s">
        <v>2176</v>
      </c>
      <c r="E478" s="21">
        <v>46204</v>
      </c>
      <c r="F478" s="21">
        <v>46568</v>
      </c>
      <c r="G478" s="21"/>
      <c r="H478" s="21">
        <v>46204</v>
      </c>
      <c r="I478" s="21">
        <v>46568</v>
      </c>
      <c r="J478" s="19" t="s">
        <v>2067</v>
      </c>
      <c r="L478" s="19">
        <v>105.33281325</v>
      </c>
      <c r="M478" s="19">
        <v>105.33281325</v>
      </c>
      <c r="N478" s="19" t="s">
        <v>1467</v>
      </c>
      <c r="O478" s="20">
        <v>3</v>
      </c>
      <c r="S478" s="19" t="s">
        <v>20</v>
      </c>
      <c r="T478" s="19" t="s">
        <v>1471</v>
      </c>
    </row>
    <row r="479" spans="1:20">
      <c r="A479" s="20">
        <v>202603328145928</v>
      </c>
      <c r="B479" s="19" t="s">
        <v>20</v>
      </c>
      <c r="C479" s="19" t="s">
        <v>21</v>
      </c>
      <c r="D479" s="19" t="s">
        <v>20</v>
      </c>
      <c r="E479" s="21">
        <v>46204</v>
      </c>
      <c r="F479" s="21">
        <v>46568</v>
      </c>
      <c r="G479" s="21"/>
      <c r="H479" s="21">
        <v>46204</v>
      </c>
      <c r="I479" s="21">
        <v>46568</v>
      </c>
      <c r="J479" s="19" t="s">
        <v>2177</v>
      </c>
      <c r="L479" s="19">
        <v>15.863192</v>
      </c>
      <c r="M479" s="19">
        <v>15.863192</v>
      </c>
      <c r="N479" s="19" t="s">
        <v>1475</v>
      </c>
      <c r="O479" s="20">
        <v>1</v>
      </c>
      <c r="S479" s="19" t="s">
        <v>20</v>
      </c>
      <c r="T479" s="19" t="s">
        <v>1471</v>
      </c>
    </row>
    <row r="480" spans="1:20">
      <c r="A480" s="20">
        <v>202603328145995</v>
      </c>
      <c r="B480" s="19" t="s">
        <v>20</v>
      </c>
      <c r="C480" s="19" t="s">
        <v>21</v>
      </c>
      <c r="D480" s="19" t="s">
        <v>2178</v>
      </c>
      <c r="E480" s="21">
        <v>46204</v>
      </c>
      <c r="F480" s="21">
        <v>46568</v>
      </c>
      <c r="G480" s="21"/>
      <c r="H480" s="21">
        <v>46204</v>
      </c>
      <c r="I480" s="21">
        <v>46568</v>
      </c>
      <c r="J480" s="19" t="s">
        <v>2083</v>
      </c>
      <c r="L480" s="19">
        <v>33.130630250000003</v>
      </c>
      <c r="M480" s="19">
        <v>33.130630250000003</v>
      </c>
      <c r="N480" s="19" t="s">
        <v>1467</v>
      </c>
      <c r="O480" s="20">
        <v>1</v>
      </c>
      <c r="S480" s="19" t="s">
        <v>20</v>
      </c>
      <c r="T480" s="19" t="s">
        <v>1471</v>
      </c>
    </row>
    <row r="481" spans="1:20">
      <c r="A481" s="20">
        <v>202603328146066</v>
      </c>
      <c r="B481" s="19" t="s">
        <v>20</v>
      </c>
      <c r="C481" s="19" t="s">
        <v>21</v>
      </c>
      <c r="D481" s="19" t="s">
        <v>20</v>
      </c>
      <c r="E481" s="21">
        <v>46204</v>
      </c>
      <c r="F481" s="21">
        <v>46568</v>
      </c>
      <c r="G481" s="21"/>
      <c r="H481" s="21">
        <v>46204</v>
      </c>
      <c r="I481" s="21">
        <v>46568</v>
      </c>
      <c r="J481" s="19" t="s">
        <v>2089</v>
      </c>
      <c r="L481" s="19">
        <v>0</v>
      </c>
      <c r="M481" s="19">
        <v>0</v>
      </c>
      <c r="N481" s="19" t="s">
        <v>2394</v>
      </c>
      <c r="O481" s="20">
        <v>3</v>
      </c>
      <c r="S481" s="19" t="s">
        <v>20</v>
      </c>
      <c r="T481" s="19" t="s">
        <v>1471</v>
      </c>
    </row>
    <row r="482" spans="1:20">
      <c r="A482" s="20">
        <v>202603328146066</v>
      </c>
      <c r="B482" s="19" t="s">
        <v>20</v>
      </c>
      <c r="C482" s="19" t="s">
        <v>21</v>
      </c>
      <c r="D482" s="19" t="s">
        <v>2179</v>
      </c>
      <c r="E482" s="21">
        <v>46204</v>
      </c>
      <c r="F482" s="21">
        <v>46568</v>
      </c>
      <c r="G482" s="21"/>
      <c r="H482" s="21">
        <v>46204</v>
      </c>
      <c r="I482" s="21">
        <v>46568</v>
      </c>
      <c r="J482" s="19" t="s">
        <v>2089</v>
      </c>
      <c r="L482" s="19">
        <v>71.904872249999997</v>
      </c>
      <c r="M482" s="19">
        <v>71.904872249999997</v>
      </c>
      <c r="N482" s="19" t="s">
        <v>1467</v>
      </c>
      <c r="O482" s="20">
        <v>3</v>
      </c>
      <c r="S482" s="19" t="s">
        <v>20</v>
      </c>
      <c r="T482" s="19" t="s">
        <v>1471</v>
      </c>
    </row>
    <row r="483" spans="1:20">
      <c r="A483" s="20">
        <v>202603328147625</v>
      </c>
      <c r="B483" s="19" t="s">
        <v>20</v>
      </c>
      <c r="C483" s="19" t="s">
        <v>21</v>
      </c>
      <c r="D483" s="19" t="s">
        <v>20</v>
      </c>
      <c r="E483" s="21">
        <v>46204</v>
      </c>
      <c r="F483" s="21">
        <v>46568</v>
      </c>
      <c r="G483" s="21"/>
      <c r="H483" s="21">
        <v>46204</v>
      </c>
      <c r="I483" s="21">
        <v>46568</v>
      </c>
      <c r="J483" s="19" t="s">
        <v>2086</v>
      </c>
      <c r="L483" s="19">
        <v>0</v>
      </c>
      <c r="M483" s="19">
        <v>0</v>
      </c>
      <c r="N483" s="19" t="s">
        <v>2394</v>
      </c>
      <c r="O483" s="20">
        <v>5</v>
      </c>
      <c r="S483" s="19" t="s">
        <v>20</v>
      </c>
      <c r="T483" s="19" t="s">
        <v>1471</v>
      </c>
    </row>
    <row r="484" spans="1:20">
      <c r="A484" s="20">
        <v>202603328147625</v>
      </c>
      <c r="B484" s="19" t="s">
        <v>20</v>
      </c>
      <c r="C484" s="19" t="s">
        <v>21</v>
      </c>
      <c r="D484" s="19" t="s">
        <v>20</v>
      </c>
      <c r="E484" s="21">
        <v>46204</v>
      </c>
      <c r="F484" s="21">
        <v>46568</v>
      </c>
      <c r="G484" s="21"/>
      <c r="H484" s="21">
        <v>46204</v>
      </c>
      <c r="I484" s="21">
        <v>46568</v>
      </c>
      <c r="J484" s="19" t="s">
        <v>2086</v>
      </c>
      <c r="L484" s="19">
        <v>165.65315125000001</v>
      </c>
      <c r="M484" s="19">
        <v>165.65315125000001</v>
      </c>
      <c r="N484" s="19" t="s">
        <v>1475</v>
      </c>
      <c r="O484" s="20">
        <v>5</v>
      </c>
      <c r="S484" s="19" t="s">
        <v>20</v>
      </c>
      <c r="T484" s="19" t="s">
        <v>1471</v>
      </c>
    </row>
    <row r="485" spans="1:20">
      <c r="A485" s="20">
        <v>202603328147677</v>
      </c>
      <c r="B485" s="19" t="s">
        <v>20</v>
      </c>
      <c r="C485" s="19" t="s">
        <v>21</v>
      </c>
      <c r="D485" s="19" t="s">
        <v>20</v>
      </c>
      <c r="E485" s="21">
        <v>46204</v>
      </c>
      <c r="F485" s="21">
        <v>46568</v>
      </c>
      <c r="G485" s="21"/>
      <c r="H485" s="21">
        <v>46204</v>
      </c>
      <c r="I485" s="21">
        <v>46568</v>
      </c>
      <c r="J485" s="19" t="s">
        <v>2109</v>
      </c>
      <c r="L485" s="19">
        <v>0</v>
      </c>
      <c r="M485" s="19">
        <v>0</v>
      </c>
      <c r="N485" s="19" t="s">
        <v>2394</v>
      </c>
      <c r="O485" s="20">
        <v>3</v>
      </c>
      <c r="S485" s="19" t="s">
        <v>20</v>
      </c>
      <c r="T485" s="19" t="s">
        <v>1471</v>
      </c>
    </row>
    <row r="486" spans="1:20">
      <c r="A486" s="20">
        <v>202603328147677</v>
      </c>
      <c r="B486" s="19" t="s">
        <v>20</v>
      </c>
      <c r="C486" s="19" t="s">
        <v>21</v>
      </c>
      <c r="D486" s="19" t="s">
        <v>20</v>
      </c>
      <c r="E486" s="21">
        <v>46204</v>
      </c>
      <c r="F486" s="21">
        <v>46568</v>
      </c>
      <c r="G486" s="21"/>
      <c r="H486" s="21">
        <v>46204</v>
      </c>
      <c r="I486" s="21">
        <v>46568</v>
      </c>
      <c r="J486" s="19" t="s">
        <v>2109</v>
      </c>
      <c r="L486" s="19">
        <v>89.452685250000002</v>
      </c>
      <c r="M486" s="19">
        <v>89.452685250000002</v>
      </c>
      <c r="N486" s="19" t="s">
        <v>1475</v>
      </c>
      <c r="O486" s="20">
        <v>3</v>
      </c>
      <c r="S486" s="19" t="s">
        <v>20</v>
      </c>
      <c r="T486" s="19" t="s">
        <v>1471</v>
      </c>
    </row>
    <row r="487" spans="1:20">
      <c r="A487" s="20">
        <v>202603328148439</v>
      </c>
      <c r="B487" s="19" t="s">
        <v>20</v>
      </c>
      <c r="C487" s="19" t="s">
        <v>21</v>
      </c>
      <c r="D487" s="19" t="s">
        <v>20</v>
      </c>
      <c r="E487" s="21">
        <v>46204</v>
      </c>
      <c r="F487" s="21">
        <v>46568</v>
      </c>
      <c r="G487" s="21"/>
      <c r="H487" s="21">
        <v>46204</v>
      </c>
      <c r="I487" s="21">
        <v>46568</v>
      </c>
      <c r="J487" s="19" t="s">
        <v>2087</v>
      </c>
      <c r="L487" s="19">
        <v>66.261260500000006</v>
      </c>
      <c r="M487" s="19">
        <v>66.261260500000006</v>
      </c>
      <c r="N487" s="19" t="s">
        <v>1475</v>
      </c>
      <c r="O487" s="20">
        <v>2</v>
      </c>
      <c r="S487" s="19" t="s">
        <v>20</v>
      </c>
      <c r="T487" s="19" t="s">
        <v>1471</v>
      </c>
    </row>
    <row r="488" spans="1:20">
      <c r="A488" s="20">
        <v>202603328148767</v>
      </c>
      <c r="B488" s="19" t="s">
        <v>20</v>
      </c>
      <c r="C488" s="19" t="s">
        <v>21</v>
      </c>
      <c r="D488" s="19" t="s">
        <v>20</v>
      </c>
      <c r="E488" s="21">
        <v>46204</v>
      </c>
      <c r="F488" s="21">
        <v>46568</v>
      </c>
      <c r="G488" s="21"/>
      <c r="H488" s="21">
        <v>46204</v>
      </c>
      <c r="I488" s="21">
        <v>46568</v>
      </c>
      <c r="J488" s="19" t="s">
        <v>2087</v>
      </c>
      <c r="L488" s="19">
        <v>0</v>
      </c>
      <c r="M488" s="19">
        <v>0</v>
      </c>
      <c r="N488" s="19" t="s">
        <v>2394</v>
      </c>
      <c r="O488" s="20">
        <v>3</v>
      </c>
      <c r="S488" s="19" t="s">
        <v>20</v>
      </c>
      <c r="T488" s="19" t="s">
        <v>1471</v>
      </c>
    </row>
    <row r="489" spans="1:20">
      <c r="A489" s="20">
        <v>202603328148767</v>
      </c>
      <c r="B489" s="19" t="s">
        <v>20</v>
      </c>
      <c r="C489" s="19" t="s">
        <v>21</v>
      </c>
      <c r="D489" s="19" t="s">
        <v>20</v>
      </c>
      <c r="E489" s="21">
        <v>46204</v>
      </c>
      <c r="F489" s="21">
        <v>46568</v>
      </c>
      <c r="G489" s="21"/>
      <c r="H489" s="21">
        <v>46204</v>
      </c>
      <c r="I489" s="21">
        <v>46568</v>
      </c>
      <c r="J489" s="19" t="s">
        <v>2087</v>
      </c>
      <c r="L489" s="19">
        <v>99.391890750000002</v>
      </c>
      <c r="M489" s="19">
        <v>99.391890750000002</v>
      </c>
      <c r="N489" s="19" t="s">
        <v>1475</v>
      </c>
      <c r="O489" s="20">
        <v>3</v>
      </c>
      <c r="S489" s="19" t="s">
        <v>20</v>
      </c>
      <c r="T489" s="19" t="s">
        <v>1471</v>
      </c>
    </row>
    <row r="490" spans="1:20">
      <c r="A490" s="20">
        <v>202603328148808</v>
      </c>
      <c r="B490" s="19" t="s">
        <v>20</v>
      </c>
      <c r="C490" s="19" t="s">
        <v>21</v>
      </c>
      <c r="D490" s="19" t="s">
        <v>20</v>
      </c>
      <c r="E490" s="21">
        <v>46204</v>
      </c>
      <c r="F490" s="21">
        <v>46568</v>
      </c>
      <c r="G490" s="21"/>
      <c r="H490" s="21">
        <v>46204</v>
      </c>
      <c r="I490" s="21">
        <v>46568</v>
      </c>
      <c r="J490" s="19" t="s">
        <v>2111</v>
      </c>
      <c r="L490" s="19">
        <v>0</v>
      </c>
      <c r="M490" s="19">
        <v>0</v>
      </c>
      <c r="N490" s="19" t="s">
        <v>2394</v>
      </c>
      <c r="O490" s="20">
        <v>2</v>
      </c>
      <c r="S490" s="19" t="s">
        <v>20</v>
      </c>
      <c r="T490" s="19" t="s">
        <v>1471</v>
      </c>
    </row>
    <row r="491" spans="1:20">
      <c r="A491" s="20">
        <v>202603328148808</v>
      </c>
      <c r="B491" s="19" t="s">
        <v>20</v>
      </c>
      <c r="C491" s="19" t="s">
        <v>21</v>
      </c>
      <c r="D491" s="19" t="s">
        <v>20</v>
      </c>
      <c r="E491" s="21">
        <v>46204</v>
      </c>
      <c r="F491" s="21">
        <v>46568</v>
      </c>
      <c r="G491" s="21"/>
      <c r="H491" s="21">
        <v>46204</v>
      </c>
      <c r="I491" s="21">
        <v>46568</v>
      </c>
      <c r="J491" s="19" t="s">
        <v>2111</v>
      </c>
      <c r="L491" s="19">
        <v>66.261260500000006</v>
      </c>
      <c r="M491" s="19">
        <v>66.261260500000006</v>
      </c>
      <c r="N491" s="19" t="s">
        <v>1475</v>
      </c>
      <c r="O491" s="20">
        <v>2</v>
      </c>
      <c r="S491" s="19" t="s">
        <v>20</v>
      </c>
      <c r="T491" s="19" t="s">
        <v>1471</v>
      </c>
    </row>
    <row r="492" spans="1:20">
      <c r="A492" s="20">
        <v>202603328149071</v>
      </c>
      <c r="B492" s="19" t="s">
        <v>20</v>
      </c>
      <c r="C492" s="19" t="s">
        <v>21</v>
      </c>
      <c r="D492" s="19" t="s">
        <v>20</v>
      </c>
      <c r="E492" s="21">
        <v>46204</v>
      </c>
      <c r="F492" s="21">
        <v>46568</v>
      </c>
      <c r="G492" s="21"/>
      <c r="H492" s="21">
        <v>46204</v>
      </c>
      <c r="I492" s="21">
        <v>46568</v>
      </c>
      <c r="J492" s="19" t="s">
        <v>2065</v>
      </c>
      <c r="L492" s="19">
        <v>0</v>
      </c>
      <c r="M492" s="19">
        <v>0</v>
      </c>
      <c r="N492" s="19" t="s">
        <v>2394</v>
      </c>
      <c r="O492" s="20">
        <v>6</v>
      </c>
      <c r="S492" s="19" t="s">
        <v>20</v>
      </c>
      <c r="T492" s="19" t="s">
        <v>1471</v>
      </c>
    </row>
    <row r="493" spans="1:20">
      <c r="A493" s="20">
        <v>202603328149071</v>
      </c>
      <c r="B493" s="19" t="s">
        <v>20</v>
      </c>
      <c r="C493" s="19" t="s">
        <v>21</v>
      </c>
      <c r="D493" s="19" t="s">
        <v>20</v>
      </c>
      <c r="E493" s="21">
        <v>46204</v>
      </c>
      <c r="F493" s="21">
        <v>46568</v>
      </c>
      <c r="G493" s="21"/>
      <c r="H493" s="21">
        <v>46204</v>
      </c>
      <c r="I493" s="21">
        <v>46568</v>
      </c>
      <c r="J493" s="19" t="s">
        <v>2065</v>
      </c>
      <c r="L493" s="19">
        <v>157.55210400000001</v>
      </c>
      <c r="M493" s="19">
        <v>157.55210400000001</v>
      </c>
      <c r="N493" s="19" t="s">
        <v>1475</v>
      </c>
      <c r="O493" s="20">
        <v>6</v>
      </c>
      <c r="S493" s="19" t="s">
        <v>20</v>
      </c>
      <c r="T493" s="19" t="s">
        <v>1471</v>
      </c>
    </row>
    <row r="494" spans="1:20">
      <c r="A494" s="20">
        <v>202603328149234</v>
      </c>
      <c r="B494" s="19" t="s">
        <v>20</v>
      </c>
      <c r="C494" s="19" t="s">
        <v>21</v>
      </c>
      <c r="D494" s="19" t="s">
        <v>20</v>
      </c>
      <c r="E494" s="21">
        <v>46204</v>
      </c>
      <c r="F494" s="21">
        <v>46568</v>
      </c>
      <c r="G494" s="21"/>
      <c r="H494" s="21">
        <v>46204</v>
      </c>
      <c r="I494" s="21">
        <v>46568</v>
      </c>
      <c r="J494" s="19" t="s">
        <v>2180</v>
      </c>
      <c r="L494" s="19">
        <v>0</v>
      </c>
      <c r="M494" s="19">
        <v>0</v>
      </c>
      <c r="N494" s="19" t="s">
        <v>2394</v>
      </c>
      <c r="O494" s="20">
        <v>6</v>
      </c>
      <c r="S494" s="19" t="s">
        <v>20</v>
      </c>
      <c r="T494" s="19" t="s">
        <v>1471</v>
      </c>
    </row>
    <row r="495" spans="1:20">
      <c r="A495" s="20">
        <v>202603328149234</v>
      </c>
      <c r="B495" s="19" t="s">
        <v>20</v>
      </c>
      <c r="C495" s="19" t="s">
        <v>21</v>
      </c>
      <c r="D495" s="19" t="s">
        <v>2181</v>
      </c>
      <c r="E495" s="21">
        <v>46204</v>
      </c>
      <c r="F495" s="21">
        <v>46568</v>
      </c>
      <c r="G495" s="21"/>
      <c r="H495" s="21">
        <v>46204</v>
      </c>
      <c r="I495" s="21">
        <v>46568</v>
      </c>
      <c r="J495" s="19" t="s">
        <v>2180</v>
      </c>
      <c r="L495" s="19">
        <v>194.22004050000001</v>
      </c>
      <c r="M495" s="19">
        <v>194.22004050000001</v>
      </c>
      <c r="N495" s="19" t="s">
        <v>1467</v>
      </c>
      <c r="O495" s="20">
        <v>6</v>
      </c>
      <c r="S495" s="19" t="s">
        <v>20</v>
      </c>
      <c r="T495" s="19" t="s">
        <v>1471</v>
      </c>
    </row>
    <row r="496" spans="1:20">
      <c r="A496" s="20">
        <v>202603328150298</v>
      </c>
      <c r="B496" s="19" t="s">
        <v>20</v>
      </c>
      <c r="C496" s="19" t="s">
        <v>21</v>
      </c>
      <c r="D496" s="19" t="s">
        <v>20</v>
      </c>
      <c r="E496" s="21">
        <v>46204</v>
      </c>
      <c r="F496" s="21">
        <v>46568</v>
      </c>
      <c r="G496" s="21"/>
      <c r="H496" s="21">
        <v>46204</v>
      </c>
      <c r="I496" s="21">
        <v>46568</v>
      </c>
      <c r="J496" s="19" t="s">
        <v>2069</v>
      </c>
      <c r="L496" s="19">
        <v>0</v>
      </c>
      <c r="M496" s="19">
        <v>0</v>
      </c>
      <c r="N496" s="19" t="s">
        <v>2394</v>
      </c>
      <c r="O496" s="20">
        <v>2</v>
      </c>
      <c r="S496" s="19" t="s">
        <v>20</v>
      </c>
      <c r="T496" s="19" t="s">
        <v>1471</v>
      </c>
    </row>
    <row r="497" spans="1:20">
      <c r="A497" s="20">
        <v>202603328150298</v>
      </c>
      <c r="B497" s="19" t="s">
        <v>20</v>
      </c>
      <c r="C497" s="19" t="s">
        <v>21</v>
      </c>
      <c r="D497" s="19" t="s">
        <v>20</v>
      </c>
      <c r="E497" s="21">
        <v>46204</v>
      </c>
      <c r="F497" s="21">
        <v>46568</v>
      </c>
      <c r="G497" s="21"/>
      <c r="H497" s="21">
        <v>46204</v>
      </c>
      <c r="I497" s="21">
        <v>46568</v>
      </c>
      <c r="J497" s="19" t="s">
        <v>2069</v>
      </c>
      <c r="L497" s="19">
        <v>66.261260500000006</v>
      </c>
      <c r="M497" s="19">
        <v>66.261260500000006</v>
      </c>
      <c r="N497" s="19" t="s">
        <v>1475</v>
      </c>
      <c r="O497" s="20">
        <v>2</v>
      </c>
      <c r="S497" s="19" t="s">
        <v>20</v>
      </c>
      <c r="T497" s="19" t="s">
        <v>1471</v>
      </c>
    </row>
    <row r="498" spans="1:20">
      <c r="A498" s="20">
        <v>202603328150818</v>
      </c>
      <c r="B498" s="19" t="s">
        <v>20</v>
      </c>
      <c r="C498" s="19" t="s">
        <v>21</v>
      </c>
      <c r="D498" s="19" t="s">
        <v>20</v>
      </c>
      <c r="E498" s="21">
        <v>46204</v>
      </c>
      <c r="F498" s="21">
        <v>46568</v>
      </c>
      <c r="G498" s="21"/>
      <c r="H498" s="21">
        <v>46204</v>
      </c>
      <c r="I498" s="21">
        <v>46568</v>
      </c>
      <c r="J498" s="19" t="s">
        <v>2064</v>
      </c>
      <c r="L498" s="19">
        <v>99.391890750000002</v>
      </c>
      <c r="M498" s="19">
        <v>99.391890750000002</v>
      </c>
      <c r="N498" s="19" t="s">
        <v>1475</v>
      </c>
      <c r="O498" s="20">
        <v>3</v>
      </c>
      <c r="S498" s="19" t="s">
        <v>20</v>
      </c>
      <c r="T498" s="19" t="s">
        <v>1471</v>
      </c>
    </row>
    <row r="499" spans="1:20">
      <c r="A499" s="20">
        <v>202603328151528</v>
      </c>
      <c r="B499" s="19" t="s">
        <v>20</v>
      </c>
      <c r="C499" s="19" t="s">
        <v>21</v>
      </c>
      <c r="D499" s="19" t="s">
        <v>20</v>
      </c>
      <c r="E499" s="21">
        <v>46204</v>
      </c>
      <c r="F499" s="21">
        <v>46568</v>
      </c>
      <c r="G499" s="21"/>
      <c r="H499" s="21">
        <v>46204</v>
      </c>
      <c r="I499" s="21">
        <v>46568</v>
      </c>
      <c r="J499" s="19" t="s">
        <v>2068</v>
      </c>
      <c r="L499" s="19">
        <v>0</v>
      </c>
      <c r="M499" s="19">
        <v>0</v>
      </c>
      <c r="N499" s="19" t="s">
        <v>2394</v>
      </c>
      <c r="O499" s="20">
        <v>2</v>
      </c>
      <c r="S499" s="19" t="s">
        <v>20</v>
      </c>
      <c r="T499" s="19" t="s">
        <v>1471</v>
      </c>
    </row>
    <row r="500" spans="1:20">
      <c r="A500" s="20">
        <v>202603328151528</v>
      </c>
      <c r="B500" s="19" t="s">
        <v>20</v>
      </c>
      <c r="C500" s="19" t="s">
        <v>21</v>
      </c>
      <c r="D500" s="19" t="s">
        <v>20</v>
      </c>
      <c r="E500" s="21">
        <v>46204</v>
      </c>
      <c r="F500" s="21">
        <v>46568</v>
      </c>
      <c r="G500" s="21"/>
      <c r="H500" s="21">
        <v>46204</v>
      </c>
      <c r="I500" s="21">
        <v>46568</v>
      </c>
      <c r="J500" s="19" t="s">
        <v>2068</v>
      </c>
      <c r="L500" s="19">
        <v>52.517367999999998</v>
      </c>
      <c r="M500" s="19">
        <v>52.517367999999998</v>
      </c>
      <c r="N500" s="19" t="s">
        <v>1475</v>
      </c>
      <c r="O500" s="20">
        <v>2</v>
      </c>
      <c r="S500" s="19" t="s">
        <v>20</v>
      </c>
      <c r="T500" s="19" t="s">
        <v>1471</v>
      </c>
    </row>
    <row r="501" spans="1:20">
      <c r="A501" s="20">
        <v>202603328151972</v>
      </c>
      <c r="B501" s="19" t="s">
        <v>20</v>
      </c>
      <c r="C501" s="19" t="s">
        <v>21</v>
      </c>
      <c r="D501" s="19" t="s">
        <v>20</v>
      </c>
      <c r="E501" s="21">
        <v>46204</v>
      </c>
      <c r="F501" s="21">
        <v>46568</v>
      </c>
      <c r="G501" s="21"/>
      <c r="H501" s="21">
        <v>46204</v>
      </c>
      <c r="I501" s="21">
        <v>46568</v>
      </c>
      <c r="J501" s="19" t="s">
        <v>2068</v>
      </c>
      <c r="L501" s="19">
        <v>26.258683999999999</v>
      </c>
      <c r="M501" s="19">
        <v>26.258683999999999</v>
      </c>
      <c r="N501" s="19" t="s">
        <v>1475</v>
      </c>
      <c r="O501" s="20">
        <v>1</v>
      </c>
      <c r="S501" s="19" t="s">
        <v>20</v>
      </c>
      <c r="T501" s="19" t="s">
        <v>1471</v>
      </c>
    </row>
    <row r="502" spans="1:20">
      <c r="A502" s="20">
        <v>202603328153063</v>
      </c>
      <c r="B502" s="19" t="s">
        <v>20</v>
      </c>
      <c r="C502" s="19" t="s">
        <v>21</v>
      </c>
      <c r="D502" s="19" t="s">
        <v>20</v>
      </c>
      <c r="E502" s="21">
        <v>46204</v>
      </c>
      <c r="F502" s="21">
        <v>46568</v>
      </c>
      <c r="G502" s="21"/>
      <c r="H502" s="21">
        <v>46204</v>
      </c>
      <c r="I502" s="21">
        <v>46568</v>
      </c>
      <c r="J502" s="19" t="s">
        <v>2065</v>
      </c>
      <c r="L502" s="19">
        <v>0</v>
      </c>
      <c r="M502" s="19">
        <v>0</v>
      </c>
      <c r="N502" s="19" t="s">
        <v>2394</v>
      </c>
      <c r="O502" s="20">
        <v>2</v>
      </c>
      <c r="S502" s="19" t="s">
        <v>20</v>
      </c>
      <c r="T502" s="19" t="s">
        <v>1471</v>
      </c>
    </row>
    <row r="503" spans="1:20">
      <c r="A503" s="20">
        <v>202603328153063</v>
      </c>
      <c r="B503" s="19" t="s">
        <v>20</v>
      </c>
      <c r="C503" s="19" t="s">
        <v>21</v>
      </c>
      <c r="D503" s="19" t="s">
        <v>20</v>
      </c>
      <c r="E503" s="21">
        <v>46204</v>
      </c>
      <c r="F503" s="21">
        <v>46568</v>
      </c>
      <c r="G503" s="21"/>
      <c r="H503" s="21">
        <v>46204</v>
      </c>
      <c r="I503" s="21">
        <v>46568</v>
      </c>
      <c r="J503" s="19" t="s">
        <v>2065</v>
      </c>
      <c r="L503" s="19">
        <v>52.517367999999998</v>
      </c>
      <c r="M503" s="19">
        <v>52.517367999999998</v>
      </c>
      <c r="N503" s="19" t="s">
        <v>1475</v>
      </c>
      <c r="O503" s="20">
        <v>2</v>
      </c>
      <c r="S503" s="19" t="s">
        <v>20</v>
      </c>
      <c r="T503" s="19" t="s">
        <v>1471</v>
      </c>
    </row>
    <row r="504" spans="1:20">
      <c r="A504" s="20">
        <v>202603328153064</v>
      </c>
      <c r="B504" s="19" t="s">
        <v>20</v>
      </c>
      <c r="C504" s="19" t="s">
        <v>21</v>
      </c>
      <c r="D504" s="19" t="s">
        <v>20</v>
      </c>
      <c r="E504" s="21">
        <v>46204</v>
      </c>
      <c r="F504" s="21">
        <v>46568</v>
      </c>
      <c r="G504" s="21"/>
      <c r="H504" s="21">
        <v>46204</v>
      </c>
      <c r="I504" s="21">
        <v>46568</v>
      </c>
      <c r="J504" s="19" t="s">
        <v>2182</v>
      </c>
      <c r="L504" s="19">
        <v>0</v>
      </c>
      <c r="M504" s="19">
        <v>0</v>
      </c>
      <c r="N504" s="19" t="s">
        <v>2394</v>
      </c>
      <c r="O504" s="20">
        <v>2</v>
      </c>
      <c r="S504" s="19" t="s">
        <v>20</v>
      </c>
      <c r="T504" s="19" t="s">
        <v>1471</v>
      </c>
    </row>
    <row r="505" spans="1:20">
      <c r="A505" s="20">
        <v>202603328153064</v>
      </c>
      <c r="B505" s="19" t="s">
        <v>20</v>
      </c>
      <c r="C505" s="19" t="s">
        <v>21</v>
      </c>
      <c r="D505" s="19" t="s">
        <v>20</v>
      </c>
      <c r="E505" s="21">
        <v>46204</v>
      </c>
      <c r="F505" s="21">
        <v>46568</v>
      </c>
      <c r="G505" s="21"/>
      <c r="H505" s="21">
        <v>46204</v>
      </c>
      <c r="I505" s="21">
        <v>46568</v>
      </c>
      <c r="J505" s="19" t="s">
        <v>2182</v>
      </c>
      <c r="L505" s="19">
        <v>47.936581500000003</v>
      </c>
      <c r="M505" s="19">
        <v>47.936581500000003</v>
      </c>
      <c r="N505" s="19" t="s">
        <v>1475</v>
      </c>
      <c r="O505" s="20">
        <v>2</v>
      </c>
      <c r="S505" s="19" t="s">
        <v>20</v>
      </c>
      <c r="T505" s="19" t="s">
        <v>1471</v>
      </c>
    </row>
    <row r="506" spans="1:20">
      <c r="A506" s="20">
        <v>202603328153556</v>
      </c>
      <c r="B506" s="19" t="s">
        <v>20</v>
      </c>
      <c r="C506" s="19" t="s">
        <v>21</v>
      </c>
      <c r="D506" s="19" t="s">
        <v>20</v>
      </c>
      <c r="E506" s="21">
        <v>46204</v>
      </c>
      <c r="F506" s="21">
        <v>46568</v>
      </c>
      <c r="G506" s="21"/>
      <c r="H506" s="21">
        <v>46204</v>
      </c>
      <c r="I506" s="21">
        <v>46568</v>
      </c>
      <c r="J506" s="19" t="s">
        <v>2065</v>
      </c>
      <c r="L506" s="19">
        <v>0</v>
      </c>
      <c r="M506" s="19">
        <v>0</v>
      </c>
      <c r="N506" s="19" t="s">
        <v>2394</v>
      </c>
      <c r="O506" s="20">
        <v>3</v>
      </c>
      <c r="S506" s="19" t="s">
        <v>20</v>
      </c>
      <c r="T506" s="19" t="s">
        <v>1471</v>
      </c>
    </row>
    <row r="507" spans="1:20">
      <c r="A507" s="20">
        <v>202603328153556</v>
      </c>
      <c r="B507" s="19" t="s">
        <v>20</v>
      </c>
      <c r="C507" s="19" t="s">
        <v>21</v>
      </c>
      <c r="D507" s="19" t="s">
        <v>20</v>
      </c>
      <c r="E507" s="21">
        <v>46204</v>
      </c>
      <c r="F507" s="21">
        <v>46568</v>
      </c>
      <c r="G507" s="21"/>
      <c r="H507" s="21">
        <v>46204</v>
      </c>
      <c r="I507" s="21">
        <v>46568</v>
      </c>
      <c r="J507" s="19" t="s">
        <v>2065</v>
      </c>
      <c r="L507" s="19">
        <v>78.776052000000007</v>
      </c>
      <c r="M507" s="19">
        <v>78.776052000000007</v>
      </c>
      <c r="N507" s="19" t="s">
        <v>1475</v>
      </c>
      <c r="O507" s="20">
        <v>3</v>
      </c>
      <c r="S507" s="19" t="s">
        <v>20</v>
      </c>
      <c r="T507" s="19" t="s">
        <v>1471</v>
      </c>
    </row>
    <row r="508" spans="1:20">
      <c r="A508" s="20">
        <v>202603328153670</v>
      </c>
      <c r="B508" s="19" t="s">
        <v>20</v>
      </c>
      <c r="C508" s="19" t="s">
        <v>21</v>
      </c>
      <c r="D508" s="19" t="s">
        <v>2183</v>
      </c>
      <c r="E508" s="21">
        <v>46204</v>
      </c>
      <c r="F508" s="21">
        <v>46568</v>
      </c>
      <c r="G508" s="21"/>
      <c r="H508" s="21">
        <v>46204</v>
      </c>
      <c r="I508" s="21">
        <v>46568</v>
      </c>
      <c r="J508" s="19" t="s">
        <v>2092</v>
      </c>
      <c r="L508" s="19">
        <v>38.659559000000002</v>
      </c>
      <c r="M508" s="19">
        <v>38.659559000000002</v>
      </c>
      <c r="N508" s="19" t="s">
        <v>1467</v>
      </c>
      <c r="O508" s="20">
        <v>1</v>
      </c>
      <c r="S508" s="19" t="s">
        <v>20</v>
      </c>
      <c r="T508" s="19" t="s">
        <v>1471</v>
      </c>
    </row>
    <row r="509" spans="1:20">
      <c r="A509" s="20">
        <v>202603328155496</v>
      </c>
      <c r="B509" s="19" t="s">
        <v>20</v>
      </c>
      <c r="C509" s="19" t="s">
        <v>21</v>
      </c>
      <c r="D509" s="19" t="s">
        <v>20</v>
      </c>
      <c r="E509" s="21">
        <v>46204</v>
      </c>
      <c r="F509" s="21">
        <v>46568</v>
      </c>
      <c r="G509" s="21"/>
      <c r="H509" s="21">
        <v>46204</v>
      </c>
      <c r="I509" s="21">
        <v>46568</v>
      </c>
      <c r="J509" s="19" t="s">
        <v>2118</v>
      </c>
      <c r="L509" s="19">
        <v>66.261260500000006</v>
      </c>
      <c r="M509" s="19">
        <v>66.261260500000006</v>
      </c>
      <c r="N509" s="19" t="s">
        <v>1475</v>
      </c>
      <c r="O509" s="20">
        <v>2</v>
      </c>
      <c r="S509" s="19" t="s">
        <v>20</v>
      </c>
      <c r="T509" s="19" t="s">
        <v>1471</v>
      </c>
    </row>
    <row r="510" spans="1:20">
      <c r="A510" s="20">
        <v>202603328156322</v>
      </c>
      <c r="B510" s="19" t="s">
        <v>20</v>
      </c>
      <c r="C510" s="19" t="s">
        <v>21</v>
      </c>
      <c r="D510" s="19" t="s">
        <v>20</v>
      </c>
      <c r="E510" s="21">
        <v>46204</v>
      </c>
      <c r="F510" s="21">
        <v>46568</v>
      </c>
      <c r="G510" s="21"/>
      <c r="H510" s="21">
        <v>46204</v>
      </c>
      <c r="I510" s="21">
        <v>46568</v>
      </c>
      <c r="J510" s="19" t="s">
        <v>2120</v>
      </c>
      <c r="L510" s="19">
        <v>0</v>
      </c>
      <c r="M510" s="19">
        <v>0</v>
      </c>
      <c r="N510" s="19" t="s">
        <v>2394</v>
      </c>
      <c r="O510" s="20">
        <v>2</v>
      </c>
      <c r="S510" s="19" t="s">
        <v>20</v>
      </c>
      <c r="T510" s="19" t="s">
        <v>1471</v>
      </c>
    </row>
    <row r="511" spans="1:20">
      <c r="A511" s="20">
        <v>202603328156322</v>
      </c>
      <c r="B511" s="19" t="s">
        <v>20</v>
      </c>
      <c r="C511" s="19" t="s">
        <v>21</v>
      </c>
      <c r="D511" s="19" t="s">
        <v>20</v>
      </c>
      <c r="E511" s="21">
        <v>46204</v>
      </c>
      <c r="F511" s="21">
        <v>46568</v>
      </c>
      <c r="G511" s="21"/>
      <c r="H511" s="21">
        <v>46204</v>
      </c>
      <c r="I511" s="21">
        <v>46568</v>
      </c>
      <c r="J511" s="19" t="s">
        <v>2120</v>
      </c>
      <c r="L511" s="19">
        <v>75.895910000000001</v>
      </c>
      <c r="M511" s="19">
        <v>75.895910000000001</v>
      </c>
      <c r="N511" s="19" t="s">
        <v>1475</v>
      </c>
      <c r="O511" s="20">
        <v>2</v>
      </c>
      <c r="S511" s="19" t="s">
        <v>20</v>
      </c>
      <c r="T511" s="19" t="s">
        <v>1471</v>
      </c>
    </row>
    <row r="512" spans="1:20">
      <c r="A512" s="20">
        <v>202603328156833</v>
      </c>
      <c r="B512" s="19" t="s">
        <v>20</v>
      </c>
      <c r="C512" s="19" t="s">
        <v>21</v>
      </c>
      <c r="D512" s="19" t="s">
        <v>20</v>
      </c>
      <c r="E512" s="21">
        <v>46204</v>
      </c>
      <c r="F512" s="21">
        <v>46568</v>
      </c>
      <c r="G512" s="21"/>
      <c r="H512" s="21">
        <v>46204</v>
      </c>
      <c r="I512" s="21">
        <v>46568</v>
      </c>
      <c r="J512" s="19" t="s">
        <v>2184</v>
      </c>
      <c r="L512" s="19">
        <v>0</v>
      </c>
      <c r="M512" s="19">
        <v>0</v>
      </c>
      <c r="N512" s="19" t="s">
        <v>2394</v>
      </c>
      <c r="O512" s="20">
        <v>3</v>
      </c>
      <c r="S512" s="19" t="s">
        <v>20</v>
      </c>
      <c r="T512" s="19" t="s">
        <v>1471</v>
      </c>
    </row>
    <row r="513" spans="1:20">
      <c r="A513" s="20">
        <v>202603328156833</v>
      </c>
      <c r="B513" s="19" t="s">
        <v>20</v>
      </c>
      <c r="C513" s="19" t="s">
        <v>21</v>
      </c>
      <c r="D513" s="19" t="s">
        <v>20</v>
      </c>
      <c r="E513" s="21">
        <v>46204</v>
      </c>
      <c r="F513" s="21">
        <v>46568</v>
      </c>
      <c r="G513" s="21"/>
      <c r="H513" s="21">
        <v>46204</v>
      </c>
      <c r="I513" s="21">
        <v>46568</v>
      </c>
      <c r="J513" s="19" t="s">
        <v>2184</v>
      </c>
      <c r="L513" s="19">
        <v>89.452685250000002</v>
      </c>
      <c r="M513" s="19">
        <v>89.452685250000002</v>
      </c>
      <c r="N513" s="19" t="s">
        <v>1475</v>
      </c>
      <c r="O513" s="20">
        <v>3</v>
      </c>
      <c r="S513" s="19" t="s">
        <v>20</v>
      </c>
      <c r="T513" s="19" t="s">
        <v>1471</v>
      </c>
    </row>
    <row r="514" spans="1:20">
      <c r="A514" s="20">
        <v>202603328158409</v>
      </c>
      <c r="B514" s="19" t="s">
        <v>20</v>
      </c>
      <c r="C514" s="19" t="s">
        <v>21</v>
      </c>
      <c r="D514" s="19" t="s">
        <v>20</v>
      </c>
      <c r="E514" s="21">
        <v>46204</v>
      </c>
      <c r="F514" s="21">
        <v>46568</v>
      </c>
      <c r="G514" s="21"/>
      <c r="H514" s="21">
        <v>46204</v>
      </c>
      <c r="I514" s="21">
        <v>46568</v>
      </c>
      <c r="J514" s="19" t="s">
        <v>2104</v>
      </c>
      <c r="L514" s="19">
        <v>0</v>
      </c>
      <c r="M514" s="19">
        <v>0</v>
      </c>
      <c r="N514" s="19" t="s">
        <v>2394</v>
      </c>
      <c r="O514" s="20">
        <v>3</v>
      </c>
      <c r="S514" s="19" t="s">
        <v>20</v>
      </c>
      <c r="T514" s="19" t="s">
        <v>1471</v>
      </c>
    </row>
    <row r="515" spans="1:20">
      <c r="A515" s="20">
        <v>202603328158409</v>
      </c>
      <c r="B515" s="19" t="s">
        <v>20</v>
      </c>
      <c r="C515" s="19" t="s">
        <v>21</v>
      </c>
      <c r="D515" s="19" t="s">
        <v>2185</v>
      </c>
      <c r="E515" s="21">
        <v>46204</v>
      </c>
      <c r="F515" s="21">
        <v>46568</v>
      </c>
      <c r="G515" s="21"/>
      <c r="H515" s="21">
        <v>46204</v>
      </c>
      <c r="I515" s="21">
        <v>46568</v>
      </c>
      <c r="J515" s="19" t="s">
        <v>2104</v>
      </c>
      <c r="L515" s="19">
        <v>99.391890750000002</v>
      </c>
      <c r="M515" s="19">
        <v>99.391890750000002</v>
      </c>
      <c r="N515" s="19" t="s">
        <v>1467</v>
      </c>
      <c r="O515" s="20">
        <v>3</v>
      </c>
      <c r="S515" s="19" t="s">
        <v>20</v>
      </c>
      <c r="T515" s="19" t="s">
        <v>1471</v>
      </c>
    </row>
    <row r="516" spans="1:20">
      <c r="A516" s="20">
        <v>202603328159040</v>
      </c>
      <c r="B516" s="19" t="s">
        <v>20</v>
      </c>
      <c r="C516" s="19" t="s">
        <v>21</v>
      </c>
      <c r="D516" s="19" t="s">
        <v>20</v>
      </c>
      <c r="E516" s="21">
        <v>46204</v>
      </c>
      <c r="F516" s="21">
        <v>46568</v>
      </c>
      <c r="G516" s="21"/>
      <c r="H516" s="21">
        <v>46204</v>
      </c>
      <c r="I516" s="21">
        <v>46568</v>
      </c>
      <c r="J516" s="19" t="s">
        <v>2066</v>
      </c>
      <c r="L516" s="19">
        <v>0</v>
      </c>
      <c r="M516" s="19">
        <v>0</v>
      </c>
      <c r="N516" s="19" t="s">
        <v>2394</v>
      </c>
      <c r="O516" s="20">
        <v>6</v>
      </c>
      <c r="S516" s="19" t="s">
        <v>20</v>
      </c>
      <c r="T516" s="19" t="s">
        <v>1471</v>
      </c>
    </row>
    <row r="517" spans="1:20">
      <c r="A517" s="20">
        <v>202603328159040</v>
      </c>
      <c r="B517" s="19" t="s">
        <v>20</v>
      </c>
      <c r="C517" s="19" t="s">
        <v>21</v>
      </c>
      <c r="D517" s="19" t="s">
        <v>2186</v>
      </c>
      <c r="E517" s="21">
        <v>46204</v>
      </c>
      <c r="F517" s="21">
        <v>46568</v>
      </c>
      <c r="G517" s="21"/>
      <c r="H517" s="21">
        <v>46204</v>
      </c>
      <c r="I517" s="21">
        <v>46568</v>
      </c>
      <c r="J517" s="19" t="s">
        <v>2066</v>
      </c>
      <c r="L517" s="19">
        <v>198.7837815</v>
      </c>
      <c r="M517" s="19">
        <v>198.7837815</v>
      </c>
      <c r="N517" s="19" t="s">
        <v>1467</v>
      </c>
      <c r="O517" s="20">
        <v>6</v>
      </c>
      <c r="S517" s="19" t="s">
        <v>20</v>
      </c>
      <c r="T517" s="19" t="s">
        <v>1471</v>
      </c>
    </row>
    <row r="518" spans="1:20">
      <c r="A518" s="20">
        <v>202603328159069</v>
      </c>
      <c r="B518" s="19" t="s">
        <v>20</v>
      </c>
      <c r="C518" s="19" t="s">
        <v>21</v>
      </c>
      <c r="D518" s="19" t="s">
        <v>20</v>
      </c>
      <c r="E518" s="21">
        <v>46204</v>
      </c>
      <c r="F518" s="21">
        <v>46568</v>
      </c>
      <c r="G518" s="21"/>
      <c r="H518" s="21">
        <v>46204</v>
      </c>
      <c r="I518" s="21">
        <v>46568</v>
      </c>
      <c r="J518" s="19" t="s">
        <v>2068</v>
      </c>
      <c r="L518" s="19">
        <v>0</v>
      </c>
      <c r="M518" s="19">
        <v>0</v>
      </c>
      <c r="N518" s="19" t="s">
        <v>2394</v>
      </c>
      <c r="O518" s="20">
        <v>3</v>
      </c>
      <c r="S518" s="19" t="s">
        <v>20</v>
      </c>
      <c r="T518" s="19" t="s">
        <v>1471</v>
      </c>
    </row>
    <row r="519" spans="1:20">
      <c r="A519" s="20">
        <v>202603328159069</v>
      </c>
      <c r="B519" s="19" t="s">
        <v>20</v>
      </c>
      <c r="C519" s="19" t="s">
        <v>21</v>
      </c>
      <c r="D519" s="19" t="s">
        <v>20</v>
      </c>
      <c r="E519" s="21">
        <v>46204</v>
      </c>
      <c r="F519" s="21">
        <v>46568</v>
      </c>
      <c r="G519" s="21"/>
      <c r="H519" s="21">
        <v>46204</v>
      </c>
      <c r="I519" s="21">
        <v>46568</v>
      </c>
      <c r="J519" s="19" t="s">
        <v>2068</v>
      </c>
      <c r="L519" s="19">
        <v>78.776052000000007</v>
      </c>
      <c r="M519" s="19">
        <v>78.776052000000007</v>
      </c>
      <c r="N519" s="19" t="s">
        <v>1475</v>
      </c>
      <c r="O519" s="20">
        <v>3</v>
      </c>
      <c r="S519" s="19" t="s">
        <v>20</v>
      </c>
      <c r="T519" s="19" t="s">
        <v>1471</v>
      </c>
    </row>
    <row r="520" spans="1:20">
      <c r="A520" s="20">
        <v>202603328159968</v>
      </c>
      <c r="B520" s="19" t="s">
        <v>20</v>
      </c>
      <c r="C520" s="19" t="s">
        <v>21</v>
      </c>
      <c r="D520" s="19" t="s">
        <v>20</v>
      </c>
      <c r="E520" s="21">
        <v>46204</v>
      </c>
      <c r="F520" s="21">
        <v>46568</v>
      </c>
      <c r="G520" s="21"/>
      <c r="H520" s="21">
        <v>46204</v>
      </c>
      <c r="I520" s="21">
        <v>46568</v>
      </c>
      <c r="J520" s="19" t="s">
        <v>2064</v>
      </c>
      <c r="L520" s="19">
        <v>0</v>
      </c>
      <c r="M520" s="19">
        <v>0</v>
      </c>
      <c r="N520" s="19" t="s">
        <v>2394</v>
      </c>
      <c r="O520" s="20">
        <v>2</v>
      </c>
      <c r="S520" s="19" t="s">
        <v>20</v>
      </c>
      <c r="T520" s="19" t="s">
        <v>1471</v>
      </c>
    </row>
    <row r="521" spans="1:20">
      <c r="A521" s="20">
        <v>202603328159968</v>
      </c>
      <c r="B521" s="19" t="s">
        <v>20</v>
      </c>
      <c r="C521" s="19" t="s">
        <v>21</v>
      </c>
      <c r="D521" s="19" t="s">
        <v>20</v>
      </c>
      <c r="E521" s="21">
        <v>46204</v>
      </c>
      <c r="F521" s="21">
        <v>46568</v>
      </c>
      <c r="G521" s="21"/>
      <c r="H521" s="21">
        <v>46204</v>
      </c>
      <c r="I521" s="21">
        <v>46568</v>
      </c>
      <c r="J521" s="19" t="s">
        <v>2064</v>
      </c>
      <c r="L521" s="19">
        <v>66.261260500000006</v>
      </c>
      <c r="M521" s="19">
        <v>66.261260500000006</v>
      </c>
      <c r="N521" s="19" t="s">
        <v>1475</v>
      </c>
      <c r="O521" s="20">
        <v>2</v>
      </c>
      <c r="S521" s="19" t="s">
        <v>20</v>
      </c>
      <c r="T521" s="19" t="s">
        <v>1471</v>
      </c>
    </row>
    <row r="522" spans="1:20">
      <c r="A522" s="20">
        <v>202603328160724</v>
      </c>
      <c r="B522" s="19" t="s">
        <v>20</v>
      </c>
      <c r="C522" s="19" t="s">
        <v>21</v>
      </c>
      <c r="D522" s="19" t="s">
        <v>20</v>
      </c>
      <c r="E522" s="21">
        <v>46204</v>
      </c>
      <c r="F522" s="21">
        <v>46568</v>
      </c>
      <c r="G522" s="21"/>
      <c r="H522" s="21">
        <v>46204</v>
      </c>
      <c r="I522" s="21">
        <v>46568</v>
      </c>
      <c r="J522" s="19" t="s">
        <v>2064</v>
      </c>
      <c r="L522" s="19">
        <v>0</v>
      </c>
      <c r="M522" s="19">
        <v>0</v>
      </c>
      <c r="N522" s="19" t="s">
        <v>2394</v>
      </c>
      <c r="O522" s="20">
        <v>3</v>
      </c>
      <c r="S522" s="19" t="s">
        <v>20</v>
      </c>
      <c r="T522" s="19" t="s">
        <v>1471</v>
      </c>
    </row>
    <row r="523" spans="1:20">
      <c r="A523" s="20">
        <v>202603328160724</v>
      </c>
      <c r="B523" s="19" t="s">
        <v>20</v>
      </c>
      <c r="C523" s="19" t="s">
        <v>21</v>
      </c>
      <c r="D523" s="19" t="s">
        <v>20</v>
      </c>
      <c r="E523" s="21">
        <v>46204</v>
      </c>
      <c r="F523" s="21">
        <v>46568</v>
      </c>
      <c r="G523" s="21"/>
      <c r="H523" s="21">
        <v>46204</v>
      </c>
      <c r="I523" s="21">
        <v>46568</v>
      </c>
      <c r="J523" s="19" t="s">
        <v>2064</v>
      </c>
      <c r="L523" s="19">
        <v>99.391890750000002</v>
      </c>
      <c r="M523" s="19">
        <v>99.391890750000002</v>
      </c>
      <c r="N523" s="19" t="s">
        <v>1475</v>
      </c>
      <c r="O523" s="20">
        <v>3</v>
      </c>
      <c r="S523" s="19" t="s">
        <v>20</v>
      </c>
      <c r="T523" s="19" t="s">
        <v>1471</v>
      </c>
    </row>
    <row r="524" spans="1:20">
      <c r="A524" s="20">
        <v>202603328161017</v>
      </c>
      <c r="B524" s="19" t="s">
        <v>20</v>
      </c>
      <c r="C524" s="19" t="s">
        <v>21</v>
      </c>
      <c r="D524" s="19" t="s">
        <v>20</v>
      </c>
      <c r="E524" s="21">
        <v>46204</v>
      </c>
      <c r="F524" s="21">
        <v>46568</v>
      </c>
      <c r="G524" s="21"/>
      <c r="H524" s="21">
        <v>46204</v>
      </c>
      <c r="I524" s="21">
        <v>46568</v>
      </c>
      <c r="J524" s="19" t="s">
        <v>2080</v>
      </c>
      <c r="L524" s="19">
        <v>0</v>
      </c>
      <c r="M524" s="19">
        <v>0</v>
      </c>
      <c r="N524" s="19" t="s">
        <v>2394</v>
      </c>
      <c r="O524" s="20">
        <v>4</v>
      </c>
      <c r="S524" s="19" t="s">
        <v>20</v>
      </c>
      <c r="T524" s="19" t="s">
        <v>1471</v>
      </c>
    </row>
    <row r="525" spans="1:20">
      <c r="A525" s="20">
        <v>202603328161017</v>
      </c>
      <c r="B525" s="19" t="s">
        <v>20</v>
      </c>
      <c r="C525" s="19" t="s">
        <v>21</v>
      </c>
      <c r="D525" s="19" t="s">
        <v>20</v>
      </c>
      <c r="E525" s="21">
        <v>46204</v>
      </c>
      <c r="F525" s="21">
        <v>46568</v>
      </c>
      <c r="G525" s="21"/>
      <c r="H525" s="21">
        <v>46204</v>
      </c>
      <c r="I525" s="21">
        <v>46568</v>
      </c>
      <c r="J525" s="19" t="s">
        <v>2080</v>
      </c>
      <c r="L525" s="19">
        <v>132.52252100000001</v>
      </c>
      <c r="M525" s="19">
        <v>132.52252100000001</v>
      </c>
      <c r="N525" s="19" t="s">
        <v>1475</v>
      </c>
      <c r="O525" s="20">
        <v>4</v>
      </c>
      <c r="S525" s="19" t="s">
        <v>20</v>
      </c>
      <c r="T525" s="19" t="s">
        <v>1471</v>
      </c>
    </row>
    <row r="526" spans="1:20">
      <c r="A526" s="20">
        <v>202603328161592</v>
      </c>
      <c r="B526" s="19" t="s">
        <v>20</v>
      </c>
      <c r="C526" s="19" t="s">
        <v>21</v>
      </c>
      <c r="D526" s="19" t="s">
        <v>20</v>
      </c>
      <c r="E526" s="21">
        <v>46204</v>
      </c>
      <c r="F526" s="21">
        <v>46568</v>
      </c>
      <c r="G526" s="21"/>
      <c r="H526" s="21">
        <v>46204</v>
      </c>
      <c r="I526" s="21">
        <v>46568</v>
      </c>
      <c r="J526" s="19" t="s">
        <v>2187</v>
      </c>
      <c r="L526" s="19">
        <v>38.289795750000003</v>
      </c>
      <c r="M526" s="19">
        <v>38.289795750000003</v>
      </c>
      <c r="N526" s="19" t="s">
        <v>1475</v>
      </c>
      <c r="O526" s="20">
        <v>1</v>
      </c>
      <c r="S526" s="19" t="s">
        <v>20</v>
      </c>
      <c r="T526" s="19" t="s">
        <v>1471</v>
      </c>
    </row>
    <row r="527" spans="1:20">
      <c r="A527" s="20">
        <v>202603328162618</v>
      </c>
      <c r="B527" s="19" t="s">
        <v>20</v>
      </c>
      <c r="C527" s="19" t="s">
        <v>21</v>
      </c>
      <c r="D527" s="19" t="s">
        <v>20</v>
      </c>
      <c r="E527" s="21">
        <v>46204</v>
      </c>
      <c r="F527" s="21">
        <v>46568</v>
      </c>
      <c r="G527" s="21"/>
      <c r="H527" s="21">
        <v>46204</v>
      </c>
      <c r="I527" s="21">
        <v>46568</v>
      </c>
      <c r="J527" s="19" t="s">
        <v>2130</v>
      </c>
      <c r="L527" s="19">
        <v>0</v>
      </c>
      <c r="M527" s="19">
        <v>0</v>
      </c>
      <c r="N527" s="19" t="s">
        <v>2394</v>
      </c>
      <c r="O527" s="20">
        <v>5</v>
      </c>
      <c r="S527" s="19" t="s">
        <v>20</v>
      </c>
      <c r="T527" s="19" t="s">
        <v>1471</v>
      </c>
    </row>
    <row r="528" spans="1:20">
      <c r="A528" s="20">
        <v>202603328162618</v>
      </c>
      <c r="B528" s="19" t="s">
        <v>20</v>
      </c>
      <c r="C528" s="19" t="s">
        <v>21</v>
      </c>
      <c r="D528" s="19" t="s">
        <v>2188</v>
      </c>
      <c r="E528" s="21">
        <v>46204</v>
      </c>
      <c r="F528" s="21">
        <v>46568</v>
      </c>
      <c r="G528" s="21"/>
      <c r="H528" s="21">
        <v>46204</v>
      </c>
      <c r="I528" s="21">
        <v>46568</v>
      </c>
      <c r="J528" s="19" t="s">
        <v>2130</v>
      </c>
      <c r="L528" s="19">
        <v>90.800411249999996</v>
      </c>
      <c r="M528" s="19">
        <v>90.800411249999996</v>
      </c>
      <c r="N528" s="19" t="s">
        <v>1467</v>
      </c>
      <c r="O528" s="20">
        <v>5</v>
      </c>
      <c r="S528" s="19" t="s">
        <v>20</v>
      </c>
      <c r="T528" s="19" t="s">
        <v>1471</v>
      </c>
    </row>
    <row r="529" spans="1:20">
      <c r="A529" s="20">
        <v>202603328162743</v>
      </c>
      <c r="B529" s="19" t="s">
        <v>20</v>
      </c>
      <c r="C529" s="19" t="s">
        <v>21</v>
      </c>
      <c r="D529" s="19" t="s">
        <v>20</v>
      </c>
      <c r="E529" s="21">
        <v>46204</v>
      </c>
      <c r="F529" s="21">
        <v>46568</v>
      </c>
      <c r="G529" s="21"/>
      <c r="H529" s="21">
        <v>46204</v>
      </c>
      <c r="I529" s="21">
        <v>46568</v>
      </c>
      <c r="J529" s="19" t="s">
        <v>2093</v>
      </c>
      <c r="L529" s="19">
        <v>0</v>
      </c>
      <c r="M529" s="19">
        <v>0</v>
      </c>
      <c r="N529" s="19" t="s">
        <v>2394</v>
      </c>
      <c r="O529" s="20">
        <v>4</v>
      </c>
      <c r="S529" s="19" t="s">
        <v>20</v>
      </c>
      <c r="T529" s="19" t="s">
        <v>1471</v>
      </c>
    </row>
    <row r="530" spans="1:20">
      <c r="A530" s="20">
        <v>202603328162743</v>
      </c>
      <c r="B530" s="19" t="s">
        <v>20</v>
      </c>
      <c r="C530" s="19" t="s">
        <v>21</v>
      </c>
      <c r="D530" s="19" t="s">
        <v>2189</v>
      </c>
      <c r="E530" s="21">
        <v>46204</v>
      </c>
      <c r="F530" s="21">
        <v>46568</v>
      </c>
      <c r="G530" s="21"/>
      <c r="H530" s="21">
        <v>46204</v>
      </c>
      <c r="I530" s="21">
        <v>46568</v>
      </c>
      <c r="J530" s="19" t="s">
        <v>2093</v>
      </c>
      <c r="L530" s="19">
        <v>115.10413699999999</v>
      </c>
      <c r="M530" s="19">
        <v>115.10413699999999</v>
      </c>
      <c r="N530" s="19" t="s">
        <v>1467</v>
      </c>
      <c r="O530" s="20">
        <v>4</v>
      </c>
      <c r="S530" s="19" t="s">
        <v>20</v>
      </c>
      <c r="T530" s="19" t="s">
        <v>1471</v>
      </c>
    </row>
    <row r="531" spans="1:20">
      <c r="A531" s="20">
        <v>202603328162786</v>
      </c>
      <c r="B531" s="19" t="s">
        <v>20</v>
      </c>
      <c r="C531" s="19" t="s">
        <v>21</v>
      </c>
      <c r="D531" s="19" t="s">
        <v>20</v>
      </c>
      <c r="E531" s="21">
        <v>46204</v>
      </c>
      <c r="F531" s="21">
        <v>46568</v>
      </c>
      <c r="G531" s="21"/>
      <c r="H531" s="21">
        <v>46204</v>
      </c>
      <c r="I531" s="21">
        <v>46568</v>
      </c>
      <c r="J531" s="19" t="s">
        <v>2064</v>
      </c>
      <c r="L531" s="19">
        <v>33.130630250000003</v>
      </c>
      <c r="M531" s="19">
        <v>33.130630250000003</v>
      </c>
      <c r="N531" s="19" t="s">
        <v>1475</v>
      </c>
      <c r="O531" s="20">
        <v>1</v>
      </c>
      <c r="S531" s="19" t="s">
        <v>20</v>
      </c>
      <c r="T531" s="19" t="s">
        <v>1471</v>
      </c>
    </row>
    <row r="532" spans="1:20">
      <c r="A532" s="20">
        <v>202603328163486</v>
      </c>
      <c r="B532" s="19" t="s">
        <v>20</v>
      </c>
      <c r="C532" s="19" t="s">
        <v>21</v>
      </c>
      <c r="D532" s="19" t="s">
        <v>20</v>
      </c>
      <c r="E532" s="21">
        <v>46204</v>
      </c>
      <c r="F532" s="21">
        <v>46568</v>
      </c>
      <c r="G532" s="21"/>
      <c r="H532" s="21">
        <v>46204</v>
      </c>
      <c r="I532" s="21">
        <v>46568</v>
      </c>
      <c r="J532" s="19" t="s">
        <v>2068</v>
      </c>
      <c r="L532" s="19">
        <v>0</v>
      </c>
      <c r="M532" s="19">
        <v>0</v>
      </c>
      <c r="N532" s="19" t="s">
        <v>2394</v>
      </c>
      <c r="O532" s="20">
        <v>4</v>
      </c>
      <c r="S532" s="19" t="s">
        <v>20</v>
      </c>
      <c r="T532" s="19" t="s">
        <v>1471</v>
      </c>
    </row>
    <row r="533" spans="1:20">
      <c r="A533" s="20">
        <v>202603328163486</v>
      </c>
      <c r="B533" s="19" t="s">
        <v>20</v>
      </c>
      <c r="C533" s="19" t="s">
        <v>21</v>
      </c>
      <c r="D533" s="19" t="s">
        <v>20</v>
      </c>
      <c r="E533" s="21">
        <v>46204</v>
      </c>
      <c r="F533" s="21">
        <v>46568</v>
      </c>
      <c r="G533" s="21"/>
      <c r="H533" s="21">
        <v>46204</v>
      </c>
      <c r="I533" s="21">
        <v>46568</v>
      </c>
      <c r="J533" s="19" t="s">
        <v>2068</v>
      </c>
      <c r="L533" s="19">
        <v>105.034736</v>
      </c>
      <c r="M533" s="19">
        <v>105.034736</v>
      </c>
      <c r="N533" s="19" t="s">
        <v>1475</v>
      </c>
      <c r="O533" s="20">
        <v>4</v>
      </c>
      <c r="S533" s="19" t="s">
        <v>20</v>
      </c>
      <c r="T533" s="19" t="s">
        <v>1471</v>
      </c>
    </row>
    <row r="534" spans="1:20">
      <c r="A534" s="20">
        <v>202603328163487</v>
      </c>
      <c r="B534" s="19" t="s">
        <v>20</v>
      </c>
      <c r="C534" s="19" t="s">
        <v>21</v>
      </c>
      <c r="D534" s="19" t="s">
        <v>20</v>
      </c>
      <c r="E534" s="21">
        <v>46204</v>
      </c>
      <c r="F534" s="21">
        <v>46568</v>
      </c>
      <c r="G534" s="21"/>
      <c r="H534" s="21">
        <v>46204</v>
      </c>
      <c r="I534" s="21">
        <v>46568</v>
      </c>
      <c r="J534" s="19" t="s">
        <v>2190</v>
      </c>
      <c r="L534" s="19">
        <v>33.130630250000003</v>
      </c>
      <c r="M534" s="19">
        <v>33.130630250000003</v>
      </c>
      <c r="N534" s="19" t="s">
        <v>1475</v>
      </c>
      <c r="O534" s="20">
        <v>1</v>
      </c>
      <c r="S534" s="19" t="s">
        <v>20</v>
      </c>
      <c r="T534" s="19" t="s">
        <v>1471</v>
      </c>
    </row>
    <row r="535" spans="1:20">
      <c r="A535" s="20">
        <v>202603328164566</v>
      </c>
      <c r="B535" s="19" t="s">
        <v>20</v>
      </c>
      <c r="C535" s="19" t="s">
        <v>21</v>
      </c>
      <c r="D535" s="19" t="s">
        <v>20</v>
      </c>
      <c r="E535" s="21">
        <v>46204</v>
      </c>
      <c r="F535" s="21">
        <v>46568</v>
      </c>
      <c r="G535" s="21"/>
      <c r="H535" s="21">
        <v>46204</v>
      </c>
      <c r="I535" s="21">
        <v>46568</v>
      </c>
      <c r="J535" s="19" t="s">
        <v>2064</v>
      </c>
      <c r="L535" s="19">
        <v>33.130630250000003</v>
      </c>
      <c r="M535" s="19">
        <v>33.130630250000003</v>
      </c>
      <c r="N535" s="19" t="s">
        <v>1475</v>
      </c>
      <c r="O535" s="20">
        <v>1</v>
      </c>
      <c r="S535" s="19" t="s">
        <v>20</v>
      </c>
      <c r="T535" s="19" t="s">
        <v>1471</v>
      </c>
    </row>
    <row r="536" spans="1:20">
      <c r="A536" s="20">
        <v>202603328165142</v>
      </c>
      <c r="B536" s="19" t="s">
        <v>20</v>
      </c>
      <c r="C536" s="19" t="s">
        <v>21</v>
      </c>
      <c r="D536" s="19" t="s">
        <v>2191</v>
      </c>
      <c r="E536" s="21">
        <v>46204</v>
      </c>
      <c r="F536" s="21">
        <v>46568</v>
      </c>
      <c r="G536" s="21"/>
      <c r="H536" s="21">
        <v>46204</v>
      </c>
      <c r="I536" s="21">
        <v>46568</v>
      </c>
      <c r="J536" s="19" t="s">
        <v>2120</v>
      </c>
      <c r="L536" s="19">
        <v>19.915823499999998</v>
      </c>
      <c r="M536" s="19">
        <v>19.915823499999998</v>
      </c>
      <c r="N536" s="19" t="s">
        <v>1467</v>
      </c>
      <c r="O536" s="20">
        <v>1</v>
      </c>
      <c r="S536" s="19" t="s">
        <v>20</v>
      </c>
      <c r="T536" s="19" t="s">
        <v>1471</v>
      </c>
    </row>
    <row r="537" spans="1:20">
      <c r="A537" s="20">
        <v>202603328166466</v>
      </c>
      <c r="B537" s="19" t="s">
        <v>20</v>
      </c>
      <c r="C537" s="19" t="s">
        <v>21</v>
      </c>
      <c r="D537" s="19" t="s">
        <v>20</v>
      </c>
      <c r="E537" s="21">
        <v>46204</v>
      </c>
      <c r="F537" s="21">
        <v>46568</v>
      </c>
      <c r="G537" s="21"/>
      <c r="H537" s="21">
        <v>46204</v>
      </c>
      <c r="I537" s="21">
        <v>46568</v>
      </c>
      <c r="J537" s="19" t="s">
        <v>2064</v>
      </c>
      <c r="L537" s="19">
        <v>0</v>
      </c>
      <c r="M537" s="19">
        <v>0</v>
      </c>
      <c r="N537" s="19" t="s">
        <v>2394</v>
      </c>
      <c r="O537" s="20">
        <v>5</v>
      </c>
      <c r="S537" s="19" t="s">
        <v>20</v>
      </c>
      <c r="T537" s="19" t="s">
        <v>1471</v>
      </c>
    </row>
    <row r="538" spans="1:20">
      <c r="A538" s="20">
        <v>202603328166466</v>
      </c>
      <c r="B538" s="19" t="s">
        <v>20</v>
      </c>
      <c r="C538" s="19" t="s">
        <v>21</v>
      </c>
      <c r="D538" s="19" t="s">
        <v>20</v>
      </c>
      <c r="E538" s="21">
        <v>46204</v>
      </c>
      <c r="F538" s="21">
        <v>46568</v>
      </c>
      <c r="G538" s="21"/>
      <c r="H538" s="21">
        <v>46204</v>
      </c>
      <c r="I538" s="21">
        <v>46568</v>
      </c>
      <c r="J538" s="19" t="s">
        <v>2064</v>
      </c>
      <c r="L538" s="19">
        <v>165.65315125000001</v>
      </c>
      <c r="M538" s="19">
        <v>165.65315125000001</v>
      </c>
      <c r="N538" s="19" t="s">
        <v>1475</v>
      </c>
      <c r="O538" s="20">
        <v>5</v>
      </c>
      <c r="S538" s="19" t="s">
        <v>20</v>
      </c>
      <c r="T538" s="19" t="s">
        <v>1471</v>
      </c>
    </row>
    <row r="539" spans="1:20">
      <c r="A539" s="20">
        <v>202603328166728</v>
      </c>
      <c r="B539" s="19" t="s">
        <v>20</v>
      </c>
      <c r="C539" s="19" t="s">
        <v>21</v>
      </c>
      <c r="D539" s="19" t="s">
        <v>20</v>
      </c>
      <c r="E539" s="21">
        <v>46204</v>
      </c>
      <c r="F539" s="21">
        <v>46568</v>
      </c>
      <c r="G539" s="21"/>
      <c r="H539" s="21">
        <v>46204</v>
      </c>
      <c r="I539" s="21">
        <v>46568</v>
      </c>
      <c r="J539" s="19" t="s">
        <v>2151</v>
      </c>
      <c r="L539" s="19">
        <v>33.130630250000003</v>
      </c>
      <c r="M539" s="19">
        <v>33.130630250000003</v>
      </c>
      <c r="N539" s="19" t="s">
        <v>1475</v>
      </c>
      <c r="O539" s="20">
        <v>1</v>
      </c>
      <c r="S539" s="19" t="s">
        <v>20</v>
      </c>
      <c r="T539" s="19" t="s">
        <v>1471</v>
      </c>
    </row>
    <row r="540" spans="1:20">
      <c r="A540" s="20">
        <v>202603328166859</v>
      </c>
      <c r="B540" s="19" t="s">
        <v>20</v>
      </c>
      <c r="C540" s="19" t="s">
        <v>21</v>
      </c>
      <c r="D540" s="19" t="s">
        <v>20</v>
      </c>
      <c r="E540" s="21">
        <v>46204</v>
      </c>
      <c r="F540" s="21">
        <v>46568</v>
      </c>
      <c r="G540" s="21"/>
      <c r="H540" s="21">
        <v>46204</v>
      </c>
      <c r="I540" s="21">
        <v>46568</v>
      </c>
      <c r="J540" s="19" t="s">
        <v>2064</v>
      </c>
      <c r="L540" s="19">
        <v>0</v>
      </c>
      <c r="M540" s="19">
        <v>0</v>
      </c>
      <c r="N540" s="19" t="s">
        <v>2394</v>
      </c>
      <c r="O540" s="20">
        <v>4</v>
      </c>
      <c r="S540" s="19" t="s">
        <v>20</v>
      </c>
      <c r="T540" s="19" t="s">
        <v>1471</v>
      </c>
    </row>
    <row r="541" spans="1:20">
      <c r="A541" s="20">
        <v>202603328166859</v>
      </c>
      <c r="B541" s="19" t="s">
        <v>20</v>
      </c>
      <c r="C541" s="19" t="s">
        <v>21</v>
      </c>
      <c r="D541" s="19" t="s">
        <v>20</v>
      </c>
      <c r="E541" s="21">
        <v>46204</v>
      </c>
      <c r="F541" s="21">
        <v>46568</v>
      </c>
      <c r="G541" s="21"/>
      <c r="H541" s="21">
        <v>46204</v>
      </c>
      <c r="I541" s="21">
        <v>46568</v>
      </c>
      <c r="J541" s="19" t="s">
        <v>2064</v>
      </c>
      <c r="L541" s="19">
        <v>132.52252100000001</v>
      </c>
      <c r="M541" s="19">
        <v>132.52252100000001</v>
      </c>
      <c r="N541" s="19" t="s">
        <v>1475</v>
      </c>
      <c r="O541" s="20">
        <v>4</v>
      </c>
      <c r="S541" s="19" t="s">
        <v>20</v>
      </c>
      <c r="T541" s="19" t="s">
        <v>1471</v>
      </c>
    </row>
    <row r="542" spans="1:20">
      <c r="A542" s="20">
        <v>202603328169787</v>
      </c>
      <c r="B542" s="19" t="s">
        <v>20</v>
      </c>
      <c r="C542" s="19" t="s">
        <v>21</v>
      </c>
      <c r="D542" s="19" t="s">
        <v>20</v>
      </c>
      <c r="E542" s="21">
        <v>46204</v>
      </c>
      <c r="F542" s="21">
        <v>46568</v>
      </c>
      <c r="G542" s="21"/>
      <c r="H542" s="21">
        <v>46204</v>
      </c>
      <c r="I542" s="21">
        <v>46568</v>
      </c>
      <c r="J542" s="19" t="s">
        <v>2062</v>
      </c>
      <c r="L542" s="19">
        <v>33.130630250000003</v>
      </c>
      <c r="M542" s="19">
        <v>33.130630250000003</v>
      </c>
      <c r="N542" s="19" t="s">
        <v>1475</v>
      </c>
      <c r="O542" s="20">
        <v>1</v>
      </c>
      <c r="S542" s="19" t="s">
        <v>20</v>
      </c>
      <c r="T542" s="19" t="s">
        <v>1471</v>
      </c>
    </row>
    <row r="543" spans="1:20">
      <c r="A543" s="20">
        <v>202603328170360</v>
      </c>
      <c r="B543" s="19" t="s">
        <v>20</v>
      </c>
      <c r="C543" s="19" t="s">
        <v>21</v>
      </c>
      <c r="D543" s="19" t="s">
        <v>20</v>
      </c>
      <c r="E543" s="21">
        <v>46204</v>
      </c>
      <c r="F543" s="21">
        <v>46568</v>
      </c>
      <c r="G543" s="21"/>
      <c r="H543" s="21">
        <v>46204</v>
      </c>
      <c r="I543" s="21">
        <v>46568</v>
      </c>
      <c r="J543" s="19" t="s">
        <v>2064</v>
      </c>
      <c r="L543" s="19">
        <v>0</v>
      </c>
      <c r="M543" s="19">
        <v>0</v>
      </c>
      <c r="N543" s="19" t="s">
        <v>2394</v>
      </c>
      <c r="O543" s="20">
        <v>3</v>
      </c>
      <c r="S543" s="19" t="s">
        <v>20</v>
      </c>
      <c r="T543" s="19" t="s">
        <v>1471</v>
      </c>
    </row>
    <row r="544" spans="1:20">
      <c r="A544" s="20">
        <v>202603328170360</v>
      </c>
      <c r="B544" s="19" t="s">
        <v>20</v>
      </c>
      <c r="C544" s="19" t="s">
        <v>21</v>
      </c>
      <c r="D544" s="19" t="s">
        <v>20</v>
      </c>
      <c r="E544" s="21">
        <v>46204</v>
      </c>
      <c r="F544" s="21">
        <v>46568</v>
      </c>
      <c r="G544" s="21"/>
      <c r="H544" s="21">
        <v>46204</v>
      </c>
      <c r="I544" s="21">
        <v>46568</v>
      </c>
      <c r="J544" s="19" t="s">
        <v>2064</v>
      </c>
      <c r="L544" s="19">
        <v>99.391890750000002</v>
      </c>
      <c r="M544" s="19">
        <v>99.391890750000002</v>
      </c>
      <c r="N544" s="19" t="s">
        <v>1475</v>
      </c>
      <c r="O544" s="20">
        <v>3</v>
      </c>
      <c r="S544" s="19" t="s">
        <v>20</v>
      </c>
      <c r="T544" s="19" t="s">
        <v>1471</v>
      </c>
    </row>
    <row r="545" spans="1:20">
      <c r="A545" s="20">
        <v>202603328170610</v>
      </c>
      <c r="B545" s="19" t="s">
        <v>20</v>
      </c>
      <c r="C545" s="19" t="s">
        <v>21</v>
      </c>
      <c r="D545" s="19" t="s">
        <v>2192</v>
      </c>
      <c r="E545" s="21">
        <v>46204</v>
      </c>
      <c r="F545" s="21">
        <v>46568</v>
      </c>
      <c r="G545" s="21"/>
      <c r="H545" s="21">
        <v>46204</v>
      </c>
      <c r="I545" s="21">
        <v>46568</v>
      </c>
      <c r="J545" s="19" t="s">
        <v>2092</v>
      </c>
      <c r="L545" s="19">
        <v>38.659559000000002</v>
      </c>
      <c r="M545" s="19">
        <v>38.659559000000002</v>
      </c>
      <c r="N545" s="19" t="s">
        <v>1467</v>
      </c>
      <c r="O545" s="20">
        <v>1</v>
      </c>
      <c r="S545" s="19" t="s">
        <v>20</v>
      </c>
      <c r="T545" s="19" t="s">
        <v>1471</v>
      </c>
    </row>
    <row r="546" spans="1:20">
      <c r="A546" s="20">
        <v>202603328170806</v>
      </c>
      <c r="B546" s="19" t="s">
        <v>20</v>
      </c>
      <c r="C546" s="19" t="s">
        <v>21</v>
      </c>
      <c r="D546" s="19" t="s">
        <v>20</v>
      </c>
      <c r="E546" s="21">
        <v>46204</v>
      </c>
      <c r="F546" s="21">
        <v>46568</v>
      </c>
      <c r="G546" s="21"/>
      <c r="H546" s="21">
        <v>46204</v>
      </c>
      <c r="I546" s="21">
        <v>46568</v>
      </c>
      <c r="J546" s="19" t="s">
        <v>2093</v>
      </c>
      <c r="L546" s="19">
        <v>57.552068499999997</v>
      </c>
      <c r="M546" s="19">
        <v>57.552068499999997</v>
      </c>
      <c r="N546" s="19" t="s">
        <v>1475</v>
      </c>
      <c r="O546" s="20">
        <v>2</v>
      </c>
      <c r="S546" s="19" t="s">
        <v>20</v>
      </c>
      <c r="T546" s="19" t="s">
        <v>1471</v>
      </c>
    </row>
    <row r="547" spans="1:20">
      <c r="A547" s="20">
        <v>202603328171102</v>
      </c>
      <c r="B547" s="19" t="s">
        <v>20</v>
      </c>
      <c r="C547" s="19" t="s">
        <v>21</v>
      </c>
      <c r="D547" s="19" t="s">
        <v>20</v>
      </c>
      <c r="E547" s="21">
        <v>46204</v>
      </c>
      <c r="F547" s="21">
        <v>46568</v>
      </c>
      <c r="G547" s="21"/>
      <c r="H547" s="21">
        <v>46204</v>
      </c>
      <c r="I547" s="21">
        <v>46568</v>
      </c>
      <c r="J547" s="19" t="s">
        <v>2104</v>
      </c>
      <c r="L547" s="19">
        <v>0</v>
      </c>
      <c r="M547" s="19">
        <v>0</v>
      </c>
      <c r="N547" s="19" t="s">
        <v>2394</v>
      </c>
      <c r="O547" s="20">
        <v>4</v>
      </c>
      <c r="S547" s="19" t="s">
        <v>20</v>
      </c>
      <c r="T547" s="19" t="s">
        <v>1471</v>
      </c>
    </row>
    <row r="548" spans="1:20">
      <c r="A548" s="20">
        <v>202603328171102</v>
      </c>
      <c r="B548" s="19" t="s">
        <v>20</v>
      </c>
      <c r="C548" s="19" t="s">
        <v>21</v>
      </c>
      <c r="D548" s="19" t="s">
        <v>20</v>
      </c>
      <c r="E548" s="21">
        <v>46204</v>
      </c>
      <c r="F548" s="21">
        <v>46568</v>
      </c>
      <c r="G548" s="21"/>
      <c r="H548" s="21">
        <v>46204</v>
      </c>
      <c r="I548" s="21">
        <v>46568</v>
      </c>
      <c r="J548" s="19" t="s">
        <v>2104</v>
      </c>
      <c r="L548" s="19">
        <v>132.52252100000001</v>
      </c>
      <c r="M548" s="19">
        <v>132.52252100000001</v>
      </c>
      <c r="N548" s="19" t="s">
        <v>1475</v>
      </c>
      <c r="O548" s="20">
        <v>4</v>
      </c>
      <c r="S548" s="19" t="s">
        <v>20</v>
      </c>
      <c r="T548" s="19" t="s">
        <v>1471</v>
      </c>
    </row>
    <row r="549" spans="1:20">
      <c r="A549" s="20">
        <v>202603328171946</v>
      </c>
      <c r="B549" s="19" t="s">
        <v>20</v>
      </c>
      <c r="C549" s="19" t="s">
        <v>21</v>
      </c>
      <c r="D549" s="19" t="s">
        <v>20</v>
      </c>
      <c r="E549" s="21">
        <v>46204</v>
      </c>
      <c r="F549" s="21">
        <v>46568</v>
      </c>
      <c r="G549" s="21"/>
      <c r="H549" s="21">
        <v>46204</v>
      </c>
      <c r="I549" s="21">
        <v>46568</v>
      </c>
      <c r="J549" s="19" t="s">
        <v>2193</v>
      </c>
      <c r="L549" s="19">
        <v>0</v>
      </c>
      <c r="M549" s="19">
        <v>0</v>
      </c>
      <c r="N549" s="19" t="s">
        <v>2394</v>
      </c>
      <c r="O549" s="20">
        <v>3</v>
      </c>
      <c r="S549" s="19" t="s">
        <v>20</v>
      </c>
      <c r="T549" s="19" t="s">
        <v>1471</v>
      </c>
    </row>
    <row r="550" spans="1:20">
      <c r="A550" s="20">
        <v>202603328171946</v>
      </c>
      <c r="B550" s="19" t="s">
        <v>20</v>
      </c>
      <c r="C550" s="19" t="s">
        <v>21</v>
      </c>
      <c r="D550" s="19" t="s">
        <v>20</v>
      </c>
      <c r="E550" s="21">
        <v>46204</v>
      </c>
      <c r="F550" s="21">
        <v>46568</v>
      </c>
      <c r="G550" s="21"/>
      <c r="H550" s="21">
        <v>46204</v>
      </c>
      <c r="I550" s="21">
        <v>46568</v>
      </c>
      <c r="J550" s="19" t="s">
        <v>2193</v>
      </c>
      <c r="L550" s="19">
        <v>89.452685250000002</v>
      </c>
      <c r="M550" s="19">
        <v>89.452685250000002</v>
      </c>
      <c r="N550" s="19" t="s">
        <v>1475</v>
      </c>
      <c r="O550" s="20">
        <v>3</v>
      </c>
      <c r="S550" s="19" t="s">
        <v>20</v>
      </c>
      <c r="T550" s="19" t="s">
        <v>1471</v>
      </c>
    </row>
    <row r="551" spans="1:20">
      <c r="A551" s="20">
        <v>202603328173037</v>
      </c>
      <c r="B551" s="19" t="s">
        <v>20</v>
      </c>
      <c r="C551" s="19" t="s">
        <v>21</v>
      </c>
      <c r="D551" s="19" t="s">
        <v>20</v>
      </c>
      <c r="E551" s="21">
        <v>46204</v>
      </c>
      <c r="F551" s="21">
        <v>46568</v>
      </c>
      <c r="G551" s="21"/>
      <c r="H551" s="21">
        <v>46204</v>
      </c>
      <c r="I551" s="21">
        <v>46568</v>
      </c>
      <c r="J551" s="19" t="s">
        <v>2068</v>
      </c>
      <c r="L551" s="19">
        <v>26.258683999999999</v>
      </c>
      <c r="M551" s="19">
        <v>26.258683999999999</v>
      </c>
      <c r="N551" s="19" t="s">
        <v>1475</v>
      </c>
      <c r="O551" s="20">
        <v>1</v>
      </c>
      <c r="S551" s="19" t="s">
        <v>20</v>
      </c>
      <c r="T551" s="19" t="s">
        <v>1471</v>
      </c>
    </row>
    <row r="552" spans="1:20">
      <c r="A552" s="20">
        <v>202603328175500</v>
      </c>
      <c r="B552" s="19" t="s">
        <v>20</v>
      </c>
      <c r="C552" s="19" t="s">
        <v>21</v>
      </c>
      <c r="D552" s="19" t="s">
        <v>20</v>
      </c>
      <c r="E552" s="21">
        <v>46204</v>
      </c>
      <c r="F552" s="21">
        <v>46568</v>
      </c>
      <c r="G552" s="21"/>
      <c r="H552" s="21">
        <v>46204</v>
      </c>
      <c r="I552" s="21">
        <v>46568</v>
      </c>
      <c r="J552" s="19" t="s">
        <v>2085</v>
      </c>
      <c r="L552" s="19">
        <v>24.620673499999999</v>
      </c>
      <c r="M552" s="19">
        <v>24.620673499999999</v>
      </c>
      <c r="N552" s="19" t="s">
        <v>1475</v>
      </c>
      <c r="O552" s="20">
        <v>1</v>
      </c>
      <c r="S552" s="19" t="s">
        <v>20</v>
      </c>
      <c r="T552" s="19" t="s">
        <v>1471</v>
      </c>
    </row>
    <row r="553" spans="1:20">
      <c r="A553" s="20">
        <v>202603328175565</v>
      </c>
      <c r="B553" s="19" t="s">
        <v>20</v>
      </c>
      <c r="C553" s="19" t="s">
        <v>21</v>
      </c>
      <c r="D553" s="19" t="s">
        <v>20</v>
      </c>
      <c r="E553" s="21">
        <v>46204</v>
      </c>
      <c r="F553" s="21">
        <v>46568</v>
      </c>
      <c r="G553" s="21"/>
      <c r="H553" s="21">
        <v>46204</v>
      </c>
      <c r="I553" s="21">
        <v>46568</v>
      </c>
      <c r="J553" s="19" t="s">
        <v>2118</v>
      </c>
      <c r="L553" s="19">
        <v>0</v>
      </c>
      <c r="M553" s="19">
        <v>0</v>
      </c>
      <c r="N553" s="19" t="s">
        <v>2394</v>
      </c>
      <c r="O553" s="20">
        <v>3</v>
      </c>
      <c r="S553" s="19" t="s">
        <v>20</v>
      </c>
      <c r="T553" s="19" t="s">
        <v>1471</v>
      </c>
    </row>
    <row r="554" spans="1:20">
      <c r="A554" s="20">
        <v>202603328175565</v>
      </c>
      <c r="B554" s="19" t="s">
        <v>20</v>
      </c>
      <c r="C554" s="19" t="s">
        <v>21</v>
      </c>
      <c r="D554" s="19" t="s">
        <v>20</v>
      </c>
      <c r="E554" s="21">
        <v>46204</v>
      </c>
      <c r="F554" s="21">
        <v>46568</v>
      </c>
      <c r="G554" s="21"/>
      <c r="H554" s="21">
        <v>46204</v>
      </c>
      <c r="I554" s="21">
        <v>46568</v>
      </c>
      <c r="J554" s="19" t="s">
        <v>2118</v>
      </c>
      <c r="L554" s="19">
        <v>99.391890750000002</v>
      </c>
      <c r="M554" s="19">
        <v>99.391890750000002</v>
      </c>
      <c r="N554" s="19" t="s">
        <v>1475</v>
      </c>
      <c r="O554" s="20">
        <v>3</v>
      </c>
      <c r="S554" s="19" t="s">
        <v>20</v>
      </c>
      <c r="T554" s="19" t="s">
        <v>1471</v>
      </c>
    </row>
    <row r="555" spans="1:20">
      <c r="A555" s="20">
        <v>202603328175660</v>
      </c>
      <c r="B555" s="19" t="s">
        <v>20</v>
      </c>
      <c r="C555" s="19" t="s">
        <v>21</v>
      </c>
      <c r="D555" s="19" t="s">
        <v>20</v>
      </c>
      <c r="E555" s="21">
        <v>46204</v>
      </c>
      <c r="F555" s="21">
        <v>46568</v>
      </c>
      <c r="G555" s="21"/>
      <c r="H555" s="21">
        <v>46204</v>
      </c>
      <c r="I555" s="21">
        <v>46568</v>
      </c>
      <c r="J555" s="19" t="s">
        <v>2089</v>
      </c>
      <c r="L555" s="19">
        <v>0</v>
      </c>
      <c r="M555" s="19">
        <v>0</v>
      </c>
      <c r="N555" s="19" t="s">
        <v>2394</v>
      </c>
      <c r="O555" s="20">
        <v>2</v>
      </c>
      <c r="S555" s="19" t="s">
        <v>20</v>
      </c>
      <c r="T555" s="19" t="s">
        <v>1471</v>
      </c>
    </row>
    <row r="556" spans="1:20">
      <c r="A556" s="20">
        <v>202603328175660</v>
      </c>
      <c r="B556" s="19" t="s">
        <v>20</v>
      </c>
      <c r="C556" s="19" t="s">
        <v>21</v>
      </c>
      <c r="D556" s="19" t="s">
        <v>20</v>
      </c>
      <c r="E556" s="21">
        <v>46204</v>
      </c>
      <c r="F556" s="21">
        <v>46568</v>
      </c>
      <c r="G556" s="21"/>
      <c r="H556" s="21">
        <v>46204</v>
      </c>
      <c r="I556" s="21">
        <v>46568</v>
      </c>
      <c r="J556" s="19" t="s">
        <v>2089</v>
      </c>
      <c r="L556" s="19">
        <v>47.936581500000003</v>
      </c>
      <c r="M556" s="19">
        <v>47.936581500000003</v>
      </c>
      <c r="N556" s="19" t="s">
        <v>1475</v>
      </c>
      <c r="O556" s="20">
        <v>2</v>
      </c>
      <c r="S556" s="19" t="s">
        <v>20</v>
      </c>
      <c r="T556" s="19" t="s">
        <v>1471</v>
      </c>
    </row>
    <row r="557" spans="1:20">
      <c r="A557" s="20">
        <v>202603328175857</v>
      </c>
      <c r="B557" s="19" t="s">
        <v>20</v>
      </c>
      <c r="C557" s="19" t="s">
        <v>21</v>
      </c>
      <c r="D557" s="19" t="s">
        <v>20</v>
      </c>
      <c r="E557" s="21">
        <v>46204</v>
      </c>
      <c r="F557" s="21">
        <v>46568</v>
      </c>
      <c r="G557" s="21"/>
      <c r="H557" s="21">
        <v>46204</v>
      </c>
      <c r="I557" s="21">
        <v>46568</v>
      </c>
      <c r="J557" s="19" t="s">
        <v>2135</v>
      </c>
      <c r="L557" s="19">
        <v>99.391890750000002</v>
      </c>
      <c r="M557" s="19">
        <v>99.391890750000002</v>
      </c>
      <c r="N557" s="19" t="s">
        <v>1475</v>
      </c>
      <c r="O557" s="20">
        <v>3</v>
      </c>
      <c r="S557" s="19" t="s">
        <v>20</v>
      </c>
      <c r="T557" s="19" t="s">
        <v>1471</v>
      </c>
    </row>
    <row r="558" spans="1:20">
      <c r="A558" s="20">
        <v>202603328176153</v>
      </c>
      <c r="B558" s="19" t="s">
        <v>20</v>
      </c>
      <c r="C558" s="19" t="s">
        <v>21</v>
      </c>
      <c r="D558" s="19" t="s">
        <v>20</v>
      </c>
      <c r="E558" s="21">
        <v>46204</v>
      </c>
      <c r="F558" s="21">
        <v>46568</v>
      </c>
      <c r="G558" s="21"/>
      <c r="H558" s="21">
        <v>46204</v>
      </c>
      <c r="I558" s="21">
        <v>46568</v>
      </c>
      <c r="J558" s="19" t="s">
        <v>2064</v>
      </c>
      <c r="L558" s="19">
        <v>0</v>
      </c>
      <c r="M558" s="19">
        <v>0</v>
      </c>
      <c r="N558" s="19" t="s">
        <v>2394</v>
      </c>
      <c r="O558" s="20">
        <v>3</v>
      </c>
      <c r="S558" s="19" t="s">
        <v>20</v>
      </c>
      <c r="T558" s="19" t="s">
        <v>1471</v>
      </c>
    </row>
    <row r="559" spans="1:20">
      <c r="A559" s="20">
        <v>202603328176153</v>
      </c>
      <c r="B559" s="19" t="s">
        <v>20</v>
      </c>
      <c r="C559" s="19" t="s">
        <v>21</v>
      </c>
      <c r="D559" s="19" t="s">
        <v>20</v>
      </c>
      <c r="E559" s="21">
        <v>46204</v>
      </c>
      <c r="F559" s="21">
        <v>46568</v>
      </c>
      <c r="G559" s="21"/>
      <c r="H559" s="21">
        <v>46204</v>
      </c>
      <c r="I559" s="21">
        <v>46568</v>
      </c>
      <c r="J559" s="19" t="s">
        <v>2064</v>
      </c>
      <c r="L559" s="19">
        <v>99.391890750000002</v>
      </c>
      <c r="M559" s="19">
        <v>99.391890750000002</v>
      </c>
      <c r="N559" s="19" t="s">
        <v>1475</v>
      </c>
      <c r="O559" s="20">
        <v>3</v>
      </c>
      <c r="S559" s="19" t="s">
        <v>20</v>
      </c>
      <c r="T559" s="19" t="s">
        <v>1471</v>
      </c>
    </row>
    <row r="560" spans="1:20">
      <c r="A560" s="20">
        <v>202603328176740</v>
      </c>
      <c r="B560" s="19" t="s">
        <v>20</v>
      </c>
      <c r="C560" s="19" t="s">
        <v>21</v>
      </c>
      <c r="D560" s="19" t="s">
        <v>20</v>
      </c>
      <c r="E560" s="21">
        <v>46204</v>
      </c>
      <c r="F560" s="21">
        <v>46568</v>
      </c>
      <c r="G560" s="21"/>
      <c r="H560" s="21">
        <v>46204</v>
      </c>
      <c r="I560" s="21">
        <v>46568</v>
      </c>
      <c r="J560" s="19" t="s">
        <v>2067</v>
      </c>
      <c r="L560" s="19">
        <v>0</v>
      </c>
      <c r="M560" s="19">
        <v>0</v>
      </c>
      <c r="N560" s="19" t="s">
        <v>2394</v>
      </c>
      <c r="O560" s="20">
        <v>4</v>
      </c>
      <c r="S560" s="19" t="s">
        <v>20</v>
      </c>
      <c r="T560" s="19" t="s">
        <v>1471</v>
      </c>
    </row>
    <row r="561" spans="1:20">
      <c r="A561" s="20">
        <v>202603328176740</v>
      </c>
      <c r="B561" s="19" t="s">
        <v>20</v>
      </c>
      <c r="C561" s="19" t="s">
        <v>21</v>
      </c>
      <c r="D561" s="19" t="s">
        <v>20</v>
      </c>
      <c r="E561" s="21">
        <v>46204</v>
      </c>
      <c r="F561" s="21">
        <v>46568</v>
      </c>
      <c r="G561" s="21"/>
      <c r="H561" s="21">
        <v>46204</v>
      </c>
      <c r="I561" s="21">
        <v>46568</v>
      </c>
      <c r="J561" s="19" t="s">
        <v>2067</v>
      </c>
      <c r="L561" s="19">
        <v>140.44375099999999</v>
      </c>
      <c r="M561" s="19">
        <v>140.44375099999999</v>
      </c>
      <c r="N561" s="19" t="s">
        <v>1475</v>
      </c>
      <c r="O561" s="20">
        <v>4</v>
      </c>
      <c r="S561" s="19" t="s">
        <v>20</v>
      </c>
      <c r="T561" s="19" t="s">
        <v>1471</v>
      </c>
    </row>
    <row r="562" spans="1:20">
      <c r="A562" s="20">
        <v>202603328177492</v>
      </c>
      <c r="B562" s="19" t="s">
        <v>20</v>
      </c>
      <c r="C562" s="19" t="s">
        <v>21</v>
      </c>
      <c r="D562" s="19" t="s">
        <v>2194</v>
      </c>
      <c r="E562" s="21">
        <v>46204</v>
      </c>
      <c r="F562" s="21">
        <v>46568</v>
      </c>
      <c r="G562" s="21"/>
      <c r="H562" s="21">
        <v>46204</v>
      </c>
      <c r="I562" s="21">
        <v>46568</v>
      </c>
      <c r="J562" s="19" t="s">
        <v>2064</v>
      </c>
      <c r="L562" s="19">
        <v>33.130630250000003</v>
      </c>
      <c r="M562" s="19">
        <v>33.130630250000003</v>
      </c>
      <c r="N562" s="19" t="s">
        <v>1467</v>
      </c>
      <c r="O562" s="20">
        <v>1</v>
      </c>
      <c r="S562" s="19" t="s">
        <v>20</v>
      </c>
      <c r="T562" s="19" t="s">
        <v>1471</v>
      </c>
    </row>
    <row r="563" spans="1:20">
      <c r="A563" s="20">
        <v>202603328177754</v>
      </c>
      <c r="B563" s="19" t="s">
        <v>20</v>
      </c>
      <c r="C563" s="19" t="s">
        <v>21</v>
      </c>
      <c r="D563" s="19" t="s">
        <v>20</v>
      </c>
      <c r="E563" s="21">
        <v>46204</v>
      </c>
      <c r="F563" s="21">
        <v>46568</v>
      </c>
      <c r="G563" s="21"/>
      <c r="H563" s="21">
        <v>46204</v>
      </c>
      <c r="I563" s="21">
        <v>46568</v>
      </c>
      <c r="J563" s="19" t="s">
        <v>2087</v>
      </c>
      <c r="L563" s="19">
        <v>0</v>
      </c>
      <c r="M563" s="19">
        <v>0</v>
      </c>
      <c r="N563" s="19" t="s">
        <v>2394</v>
      </c>
      <c r="O563" s="20">
        <v>3</v>
      </c>
      <c r="S563" s="19" t="s">
        <v>20</v>
      </c>
      <c r="T563" s="19" t="s">
        <v>1471</v>
      </c>
    </row>
    <row r="564" spans="1:20">
      <c r="A564" s="20">
        <v>202603328177754</v>
      </c>
      <c r="B564" s="19" t="s">
        <v>20</v>
      </c>
      <c r="C564" s="19" t="s">
        <v>21</v>
      </c>
      <c r="D564" s="19" t="s">
        <v>20</v>
      </c>
      <c r="E564" s="21">
        <v>46204</v>
      </c>
      <c r="F564" s="21">
        <v>46568</v>
      </c>
      <c r="G564" s="21"/>
      <c r="H564" s="21">
        <v>46204</v>
      </c>
      <c r="I564" s="21">
        <v>46568</v>
      </c>
      <c r="J564" s="19" t="s">
        <v>2087</v>
      </c>
      <c r="L564" s="19">
        <v>99.391890750000002</v>
      </c>
      <c r="M564" s="19">
        <v>99.391890750000002</v>
      </c>
      <c r="N564" s="19" t="s">
        <v>1475</v>
      </c>
      <c r="O564" s="20">
        <v>3</v>
      </c>
      <c r="S564" s="19" t="s">
        <v>20</v>
      </c>
      <c r="T564" s="19" t="s">
        <v>1471</v>
      </c>
    </row>
    <row r="565" spans="1:20">
      <c r="A565" s="20">
        <v>202603328178279</v>
      </c>
      <c r="B565" s="19" t="s">
        <v>20</v>
      </c>
      <c r="C565" s="19" t="s">
        <v>21</v>
      </c>
      <c r="D565" s="19" t="s">
        <v>20</v>
      </c>
      <c r="E565" s="21">
        <v>46204</v>
      </c>
      <c r="F565" s="21">
        <v>46568</v>
      </c>
      <c r="G565" s="21"/>
      <c r="H565" s="21">
        <v>46204</v>
      </c>
      <c r="I565" s="21">
        <v>46568</v>
      </c>
      <c r="J565" s="19" t="s">
        <v>2195</v>
      </c>
      <c r="L565" s="19">
        <v>42.731754500000001</v>
      </c>
      <c r="M565" s="19">
        <v>42.731754500000001</v>
      </c>
      <c r="N565" s="19" t="s">
        <v>1475</v>
      </c>
      <c r="O565" s="20">
        <v>2</v>
      </c>
      <c r="S565" s="19" t="s">
        <v>20</v>
      </c>
      <c r="T565" s="19" t="s">
        <v>1471</v>
      </c>
    </row>
    <row r="566" spans="1:20">
      <c r="A566" s="20">
        <v>202603328178831</v>
      </c>
      <c r="B566" s="19" t="s">
        <v>20</v>
      </c>
      <c r="C566" s="19" t="s">
        <v>21</v>
      </c>
      <c r="D566" s="19" t="s">
        <v>20</v>
      </c>
      <c r="E566" s="21">
        <v>46204</v>
      </c>
      <c r="F566" s="21">
        <v>46568</v>
      </c>
      <c r="G566" s="21"/>
      <c r="H566" s="21">
        <v>46204</v>
      </c>
      <c r="I566" s="21">
        <v>46568</v>
      </c>
      <c r="J566" s="19" t="s">
        <v>2067</v>
      </c>
      <c r="L566" s="19">
        <v>0</v>
      </c>
      <c r="M566" s="19">
        <v>0</v>
      </c>
      <c r="N566" s="19" t="s">
        <v>2394</v>
      </c>
      <c r="O566" s="20">
        <v>6</v>
      </c>
      <c r="S566" s="19" t="s">
        <v>20</v>
      </c>
      <c r="T566" s="19" t="s">
        <v>1471</v>
      </c>
    </row>
    <row r="567" spans="1:20">
      <c r="A567" s="20">
        <v>202603328178831</v>
      </c>
      <c r="B567" s="19" t="s">
        <v>20</v>
      </c>
      <c r="C567" s="19" t="s">
        <v>21</v>
      </c>
      <c r="D567" s="19" t="s">
        <v>20</v>
      </c>
      <c r="E567" s="21">
        <v>46204</v>
      </c>
      <c r="F567" s="21">
        <v>46568</v>
      </c>
      <c r="G567" s="21"/>
      <c r="H567" s="21">
        <v>46204</v>
      </c>
      <c r="I567" s="21">
        <v>46568</v>
      </c>
      <c r="J567" s="19" t="s">
        <v>2067</v>
      </c>
      <c r="L567" s="19">
        <v>210.6656265</v>
      </c>
      <c r="M567" s="19">
        <v>210.6656265</v>
      </c>
      <c r="N567" s="19" t="s">
        <v>1475</v>
      </c>
      <c r="O567" s="20">
        <v>6</v>
      </c>
      <c r="S567" s="19" t="s">
        <v>20</v>
      </c>
      <c r="T567" s="19" t="s">
        <v>1471</v>
      </c>
    </row>
    <row r="568" spans="1:20">
      <c r="A568" s="20">
        <v>202603328179672</v>
      </c>
      <c r="B568" s="19" t="s">
        <v>20</v>
      </c>
      <c r="C568" s="19" t="s">
        <v>21</v>
      </c>
      <c r="D568" s="19" t="s">
        <v>20</v>
      </c>
      <c r="E568" s="21">
        <v>46204</v>
      </c>
      <c r="F568" s="21">
        <v>46568</v>
      </c>
      <c r="G568" s="21"/>
      <c r="H568" s="21">
        <v>46204</v>
      </c>
      <c r="I568" s="21">
        <v>46568</v>
      </c>
      <c r="J568" s="19" t="s">
        <v>2196</v>
      </c>
      <c r="L568" s="19">
        <v>71.904872249999997</v>
      </c>
      <c r="M568" s="19">
        <v>71.904872249999997</v>
      </c>
      <c r="N568" s="19" t="s">
        <v>1475</v>
      </c>
      <c r="O568" s="20">
        <v>3</v>
      </c>
      <c r="S568" s="19" t="s">
        <v>20</v>
      </c>
      <c r="T568" s="19" t="s">
        <v>1471</v>
      </c>
    </row>
    <row r="569" spans="1:20">
      <c r="A569" s="20">
        <v>202603328180274</v>
      </c>
      <c r="B569" s="19" t="s">
        <v>20</v>
      </c>
      <c r="C569" s="19" t="s">
        <v>21</v>
      </c>
      <c r="D569" s="19" t="s">
        <v>20</v>
      </c>
      <c r="E569" s="21">
        <v>46204</v>
      </c>
      <c r="F569" s="21">
        <v>46568</v>
      </c>
      <c r="G569" s="21"/>
      <c r="H569" s="21">
        <v>46204</v>
      </c>
      <c r="I569" s="21">
        <v>46568</v>
      </c>
      <c r="J569" s="19" t="s">
        <v>2083</v>
      </c>
      <c r="L569" s="19">
        <v>0</v>
      </c>
      <c r="M569" s="19">
        <v>0</v>
      </c>
      <c r="N569" s="19" t="s">
        <v>2394</v>
      </c>
      <c r="O569" s="20">
        <v>5</v>
      </c>
      <c r="S569" s="19" t="s">
        <v>20</v>
      </c>
      <c r="T569" s="19" t="s">
        <v>1471</v>
      </c>
    </row>
    <row r="570" spans="1:20">
      <c r="A570" s="20">
        <v>202603328180274</v>
      </c>
      <c r="B570" s="19" t="s">
        <v>20</v>
      </c>
      <c r="C570" s="19" t="s">
        <v>21</v>
      </c>
      <c r="D570" s="19" t="s">
        <v>20</v>
      </c>
      <c r="E570" s="21">
        <v>46204</v>
      </c>
      <c r="F570" s="21">
        <v>46568</v>
      </c>
      <c r="G570" s="21"/>
      <c r="H570" s="21">
        <v>46204</v>
      </c>
      <c r="I570" s="21">
        <v>46568</v>
      </c>
      <c r="J570" s="19" t="s">
        <v>2083</v>
      </c>
      <c r="L570" s="19">
        <v>165.65315125000001</v>
      </c>
      <c r="M570" s="19">
        <v>165.65315125000001</v>
      </c>
      <c r="N570" s="19" t="s">
        <v>1475</v>
      </c>
      <c r="O570" s="20">
        <v>5</v>
      </c>
      <c r="S570" s="19" t="s">
        <v>20</v>
      </c>
      <c r="T570" s="19" t="s">
        <v>1471</v>
      </c>
    </row>
    <row r="571" spans="1:20">
      <c r="A571" s="20">
        <v>202603328180475</v>
      </c>
      <c r="B571" s="19" t="s">
        <v>20</v>
      </c>
      <c r="C571" s="19" t="s">
        <v>21</v>
      </c>
      <c r="D571" s="19" t="s">
        <v>20</v>
      </c>
      <c r="E571" s="21">
        <v>46204</v>
      </c>
      <c r="F571" s="21">
        <v>46568</v>
      </c>
      <c r="G571" s="21"/>
      <c r="H571" s="21">
        <v>46204</v>
      </c>
      <c r="I571" s="21">
        <v>46568</v>
      </c>
      <c r="J571" s="19" t="s">
        <v>2062</v>
      </c>
      <c r="L571" s="19">
        <v>0</v>
      </c>
      <c r="M571" s="19">
        <v>0</v>
      </c>
      <c r="N571" s="19" t="s">
        <v>2394</v>
      </c>
      <c r="O571" s="20">
        <v>2</v>
      </c>
      <c r="S571" s="19" t="s">
        <v>20</v>
      </c>
      <c r="T571" s="19" t="s">
        <v>1471</v>
      </c>
    </row>
    <row r="572" spans="1:20">
      <c r="A572" s="20">
        <v>202603328180475</v>
      </c>
      <c r="B572" s="19" t="s">
        <v>20</v>
      </c>
      <c r="C572" s="19" t="s">
        <v>21</v>
      </c>
      <c r="D572" s="19" t="s">
        <v>20</v>
      </c>
      <c r="E572" s="21">
        <v>46204</v>
      </c>
      <c r="F572" s="21">
        <v>46568</v>
      </c>
      <c r="G572" s="21"/>
      <c r="H572" s="21">
        <v>46204</v>
      </c>
      <c r="I572" s="21">
        <v>46568</v>
      </c>
      <c r="J572" s="19" t="s">
        <v>2062</v>
      </c>
      <c r="L572" s="19">
        <v>66.261260500000006</v>
      </c>
      <c r="M572" s="19">
        <v>66.261260500000006</v>
      </c>
      <c r="N572" s="19" t="s">
        <v>1475</v>
      </c>
      <c r="O572" s="20">
        <v>2</v>
      </c>
      <c r="S572" s="19" t="s">
        <v>20</v>
      </c>
      <c r="T572" s="19" t="s">
        <v>1471</v>
      </c>
    </row>
    <row r="573" spans="1:20">
      <c r="A573" s="20">
        <v>202603328181974</v>
      </c>
      <c r="B573" s="19" t="s">
        <v>20</v>
      </c>
      <c r="C573" s="19" t="s">
        <v>21</v>
      </c>
      <c r="D573" s="19" t="s">
        <v>20</v>
      </c>
      <c r="E573" s="21">
        <v>46204</v>
      </c>
      <c r="F573" s="21">
        <v>46568</v>
      </c>
      <c r="G573" s="21"/>
      <c r="H573" s="21">
        <v>46204</v>
      </c>
      <c r="I573" s="21">
        <v>46568</v>
      </c>
      <c r="J573" s="19" t="s">
        <v>2068</v>
      </c>
      <c r="L573" s="19">
        <v>52.517367999999998</v>
      </c>
      <c r="M573" s="19">
        <v>52.517367999999998</v>
      </c>
      <c r="N573" s="19" t="s">
        <v>1475</v>
      </c>
      <c r="O573" s="20">
        <v>2</v>
      </c>
      <c r="S573" s="19" t="s">
        <v>20</v>
      </c>
      <c r="T573" s="19" t="s">
        <v>1471</v>
      </c>
    </row>
    <row r="574" spans="1:20">
      <c r="A574" s="20">
        <v>202603328182721</v>
      </c>
      <c r="B574" s="19" t="s">
        <v>20</v>
      </c>
      <c r="C574" s="19" t="s">
        <v>21</v>
      </c>
      <c r="D574" s="19" t="s">
        <v>20</v>
      </c>
      <c r="E574" s="21">
        <v>46204</v>
      </c>
      <c r="F574" s="21">
        <v>46568</v>
      </c>
      <c r="G574" s="21"/>
      <c r="H574" s="21">
        <v>46204</v>
      </c>
      <c r="I574" s="21">
        <v>46568</v>
      </c>
      <c r="J574" s="19" t="s">
        <v>2120</v>
      </c>
      <c r="L574" s="19">
        <v>37.947955</v>
      </c>
      <c r="M574" s="19">
        <v>37.947955</v>
      </c>
      <c r="N574" s="19" t="s">
        <v>1475</v>
      </c>
      <c r="O574" s="20">
        <v>1</v>
      </c>
      <c r="S574" s="19" t="s">
        <v>20</v>
      </c>
      <c r="T574" s="19" t="s">
        <v>1471</v>
      </c>
    </row>
    <row r="575" spans="1:20">
      <c r="A575" s="20">
        <v>202603328185375</v>
      </c>
      <c r="B575" s="19" t="s">
        <v>20</v>
      </c>
      <c r="C575" s="19" t="s">
        <v>21</v>
      </c>
      <c r="D575" s="19" t="s">
        <v>20</v>
      </c>
      <c r="E575" s="21">
        <v>46204</v>
      </c>
      <c r="F575" s="21">
        <v>46568</v>
      </c>
      <c r="G575" s="21"/>
      <c r="H575" s="21">
        <v>46204</v>
      </c>
      <c r="I575" s="21">
        <v>46568</v>
      </c>
      <c r="J575" s="19" t="s">
        <v>2064</v>
      </c>
      <c r="L575" s="19">
        <v>0</v>
      </c>
      <c r="M575" s="19">
        <v>0</v>
      </c>
      <c r="N575" s="19" t="s">
        <v>2394</v>
      </c>
      <c r="O575" s="20">
        <v>4</v>
      </c>
      <c r="S575" s="19" t="s">
        <v>20</v>
      </c>
      <c r="T575" s="19" t="s">
        <v>1471</v>
      </c>
    </row>
    <row r="576" spans="1:20">
      <c r="A576" s="20">
        <v>202603328185375</v>
      </c>
      <c r="B576" s="19" t="s">
        <v>20</v>
      </c>
      <c r="C576" s="19" t="s">
        <v>21</v>
      </c>
      <c r="D576" s="19" t="s">
        <v>20</v>
      </c>
      <c r="E576" s="21">
        <v>46204</v>
      </c>
      <c r="F576" s="21">
        <v>46568</v>
      </c>
      <c r="G576" s="21"/>
      <c r="H576" s="21">
        <v>46204</v>
      </c>
      <c r="I576" s="21">
        <v>46568</v>
      </c>
      <c r="J576" s="19" t="s">
        <v>2064</v>
      </c>
      <c r="L576" s="19">
        <v>132.52252100000001</v>
      </c>
      <c r="M576" s="19">
        <v>132.52252100000001</v>
      </c>
      <c r="N576" s="19" t="s">
        <v>1475</v>
      </c>
      <c r="O576" s="20">
        <v>4</v>
      </c>
      <c r="S576" s="19" t="s">
        <v>20</v>
      </c>
      <c r="T576" s="19" t="s">
        <v>1471</v>
      </c>
    </row>
    <row r="577" spans="1:20">
      <c r="A577" s="20">
        <v>202603328186541</v>
      </c>
      <c r="B577" s="19" t="s">
        <v>20</v>
      </c>
      <c r="C577" s="19" t="s">
        <v>21</v>
      </c>
      <c r="D577" s="19" t="s">
        <v>20</v>
      </c>
      <c r="E577" s="21">
        <v>46204</v>
      </c>
      <c r="F577" s="21">
        <v>46568</v>
      </c>
      <c r="G577" s="21"/>
      <c r="H577" s="21">
        <v>46204</v>
      </c>
      <c r="I577" s="21">
        <v>46568</v>
      </c>
      <c r="J577" s="19" t="s">
        <v>2080</v>
      </c>
      <c r="L577" s="19">
        <v>0</v>
      </c>
      <c r="M577" s="19">
        <v>0</v>
      </c>
      <c r="N577" s="19" t="s">
        <v>2394</v>
      </c>
      <c r="O577" s="20">
        <v>5</v>
      </c>
      <c r="S577" s="19" t="s">
        <v>20</v>
      </c>
      <c r="T577" s="19" t="s">
        <v>1471</v>
      </c>
    </row>
    <row r="578" spans="1:20">
      <c r="A578" s="20">
        <v>202603328186541</v>
      </c>
      <c r="B578" s="19" t="s">
        <v>20</v>
      </c>
      <c r="C578" s="19" t="s">
        <v>21</v>
      </c>
      <c r="D578" s="19" t="s">
        <v>20</v>
      </c>
      <c r="E578" s="21">
        <v>46204</v>
      </c>
      <c r="F578" s="21">
        <v>46568</v>
      </c>
      <c r="G578" s="21"/>
      <c r="H578" s="21">
        <v>46204</v>
      </c>
      <c r="I578" s="21">
        <v>46568</v>
      </c>
      <c r="J578" s="19" t="s">
        <v>2080</v>
      </c>
      <c r="L578" s="19">
        <v>165.65315125000001</v>
      </c>
      <c r="M578" s="19">
        <v>165.65315125000001</v>
      </c>
      <c r="N578" s="19" t="s">
        <v>1475</v>
      </c>
      <c r="O578" s="20">
        <v>5</v>
      </c>
      <c r="S578" s="19" t="s">
        <v>20</v>
      </c>
      <c r="T578" s="19" t="s">
        <v>1471</v>
      </c>
    </row>
    <row r="579" spans="1:20">
      <c r="A579" s="20">
        <v>202603328186724</v>
      </c>
      <c r="B579" s="19" t="s">
        <v>20</v>
      </c>
      <c r="C579" s="19" t="s">
        <v>21</v>
      </c>
      <c r="D579" s="19" t="s">
        <v>20</v>
      </c>
      <c r="E579" s="21">
        <v>46204</v>
      </c>
      <c r="F579" s="21">
        <v>46568</v>
      </c>
      <c r="G579" s="21"/>
      <c r="H579" s="21">
        <v>46204</v>
      </c>
      <c r="I579" s="21">
        <v>46568</v>
      </c>
      <c r="J579" s="19" t="s">
        <v>2064</v>
      </c>
      <c r="L579" s="19">
        <v>0</v>
      </c>
      <c r="M579" s="19">
        <v>0</v>
      </c>
      <c r="N579" s="19" t="s">
        <v>2394</v>
      </c>
      <c r="O579" s="20">
        <v>2</v>
      </c>
      <c r="S579" s="19" t="s">
        <v>20</v>
      </c>
      <c r="T579" s="19" t="s">
        <v>1471</v>
      </c>
    </row>
    <row r="580" spans="1:20">
      <c r="A580" s="20">
        <v>202603328186724</v>
      </c>
      <c r="B580" s="19" t="s">
        <v>20</v>
      </c>
      <c r="C580" s="19" t="s">
        <v>21</v>
      </c>
      <c r="D580" s="19" t="s">
        <v>20</v>
      </c>
      <c r="E580" s="21">
        <v>46204</v>
      </c>
      <c r="F580" s="21">
        <v>46568</v>
      </c>
      <c r="G580" s="21"/>
      <c r="H580" s="21">
        <v>46204</v>
      </c>
      <c r="I580" s="21">
        <v>46568</v>
      </c>
      <c r="J580" s="19" t="s">
        <v>2064</v>
      </c>
      <c r="L580" s="19">
        <v>66.261260500000006</v>
      </c>
      <c r="M580" s="19">
        <v>66.261260500000006</v>
      </c>
      <c r="N580" s="19" t="s">
        <v>1475</v>
      </c>
      <c r="O580" s="20">
        <v>2</v>
      </c>
      <c r="S580" s="19" t="s">
        <v>20</v>
      </c>
      <c r="T580" s="19" t="s">
        <v>1471</v>
      </c>
    </row>
    <row r="581" spans="1:20">
      <c r="A581" s="20">
        <v>202603328187003</v>
      </c>
      <c r="B581" s="19" t="s">
        <v>20</v>
      </c>
      <c r="C581" s="19" t="s">
        <v>21</v>
      </c>
      <c r="D581" s="19" t="s">
        <v>20</v>
      </c>
      <c r="E581" s="21">
        <v>46204</v>
      </c>
      <c r="F581" s="21">
        <v>46568</v>
      </c>
      <c r="G581" s="21"/>
      <c r="H581" s="21">
        <v>46204</v>
      </c>
      <c r="I581" s="21">
        <v>46568</v>
      </c>
      <c r="J581" s="19" t="s">
        <v>2080</v>
      </c>
      <c r="L581" s="19">
        <v>0</v>
      </c>
      <c r="M581" s="19">
        <v>0</v>
      </c>
      <c r="N581" s="19" t="s">
        <v>2394</v>
      </c>
      <c r="O581" s="20">
        <v>5</v>
      </c>
      <c r="S581" s="19" t="s">
        <v>20</v>
      </c>
      <c r="T581" s="19" t="s">
        <v>1471</v>
      </c>
    </row>
    <row r="582" spans="1:20">
      <c r="A582" s="20">
        <v>202603328187003</v>
      </c>
      <c r="B582" s="19" t="s">
        <v>20</v>
      </c>
      <c r="C582" s="19" t="s">
        <v>21</v>
      </c>
      <c r="D582" s="19" t="s">
        <v>2197</v>
      </c>
      <c r="E582" s="21">
        <v>46204</v>
      </c>
      <c r="F582" s="21">
        <v>46568</v>
      </c>
      <c r="G582" s="21"/>
      <c r="H582" s="21">
        <v>46204</v>
      </c>
      <c r="I582" s="21">
        <v>46568</v>
      </c>
      <c r="J582" s="19" t="s">
        <v>2080</v>
      </c>
      <c r="L582" s="19">
        <v>165.65315125000001</v>
      </c>
      <c r="M582" s="19">
        <v>165.65315125000001</v>
      </c>
      <c r="N582" s="19" t="s">
        <v>1467</v>
      </c>
      <c r="O582" s="20">
        <v>5</v>
      </c>
      <c r="S582" s="19" t="s">
        <v>20</v>
      </c>
      <c r="T582" s="19" t="s">
        <v>1471</v>
      </c>
    </row>
    <row r="583" spans="1:20">
      <c r="A583" s="20">
        <v>202603328187151</v>
      </c>
      <c r="B583" s="19" t="s">
        <v>20</v>
      </c>
      <c r="C583" s="19" t="s">
        <v>21</v>
      </c>
      <c r="D583" s="19" t="s">
        <v>20</v>
      </c>
      <c r="E583" s="21">
        <v>46204</v>
      </c>
      <c r="F583" s="21">
        <v>46568</v>
      </c>
      <c r="G583" s="21"/>
      <c r="H583" s="21">
        <v>46204</v>
      </c>
      <c r="I583" s="21">
        <v>46568</v>
      </c>
      <c r="J583" s="19" t="s">
        <v>2182</v>
      </c>
      <c r="L583" s="19">
        <v>0</v>
      </c>
      <c r="M583" s="19">
        <v>0</v>
      </c>
      <c r="N583" s="19" t="s">
        <v>2394</v>
      </c>
      <c r="O583" s="20">
        <v>2</v>
      </c>
      <c r="S583" s="19" t="s">
        <v>20</v>
      </c>
      <c r="T583" s="19" t="s">
        <v>1471</v>
      </c>
    </row>
    <row r="584" spans="1:20">
      <c r="A584" s="20">
        <v>202603328187151</v>
      </c>
      <c r="B584" s="19" t="s">
        <v>20</v>
      </c>
      <c r="C584" s="19" t="s">
        <v>21</v>
      </c>
      <c r="D584" s="19" t="s">
        <v>2198</v>
      </c>
      <c r="E584" s="21">
        <v>46204</v>
      </c>
      <c r="F584" s="21">
        <v>46568</v>
      </c>
      <c r="G584" s="21"/>
      <c r="H584" s="21">
        <v>46204</v>
      </c>
      <c r="I584" s="21">
        <v>46568</v>
      </c>
      <c r="J584" s="19" t="s">
        <v>2182</v>
      </c>
      <c r="L584" s="19">
        <v>47.936581500000003</v>
      </c>
      <c r="M584" s="19">
        <v>47.936581500000003</v>
      </c>
      <c r="N584" s="19" t="s">
        <v>1467</v>
      </c>
      <c r="O584" s="20">
        <v>2</v>
      </c>
      <c r="S584" s="19" t="s">
        <v>20</v>
      </c>
      <c r="T584" s="19" t="s">
        <v>1471</v>
      </c>
    </row>
    <row r="585" spans="1:20">
      <c r="A585" s="20">
        <v>202603328187477</v>
      </c>
      <c r="B585" s="19" t="s">
        <v>20</v>
      </c>
      <c r="C585" s="19" t="s">
        <v>21</v>
      </c>
      <c r="D585" s="19" t="s">
        <v>20</v>
      </c>
      <c r="E585" s="21">
        <v>46204</v>
      </c>
      <c r="F585" s="21">
        <v>46568</v>
      </c>
      <c r="G585" s="21"/>
      <c r="H585" s="21">
        <v>46204</v>
      </c>
      <c r="I585" s="21">
        <v>46568</v>
      </c>
      <c r="J585" s="19" t="s">
        <v>2077</v>
      </c>
      <c r="L585" s="19">
        <v>0</v>
      </c>
      <c r="M585" s="19">
        <v>0</v>
      </c>
      <c r="N585" s="19" t="s">
        <v>2394</v>
      </c>
      <c r="O585" s="20">
        <v>2</v>
      </c>
      <c r="S585" s="19" t="s">
        <v>20</v>
      </c>
      <c r="T585" s="19" t="s">
        <v>1471</v>
      </c>
    </row>
    <row r="586" spans="1:20">
      <c r="A586" s="20">
        <v>202603328187477</v>
      </c>
      <c r="B586" s="19" t="s">
        <v>20</v>
      </c>
      <c r="C586" s="19" t="s">
        <v>21</v>
      </c>
      <c r="D586" s="19" t="s">
        <v>20</v>
      </c>
      <c r="E586" s="21">
        <v>46204</v>
      </c>
      <c r="F586" s="21">
        <v>46568</v>
      </c>
      <c r="G586" s="21"/>
      <c r="H586" s="21">
        <v>46204</v>
      </c>
      <c r="I586" s="21">
        <v>46568</v>
      </c>
      <c r="J586" s="19" t="s">
        <v>2077</v>
      </c>
      <c r="L586" s="19">
        <v>59.635123499999999</v>
      </c>
      <c r="M586" s="19">
        <v>59.635123499999999</v>
      </c>
      <c r="N586" s="19" t="s">
        <v>1475</v>
      </c>
      <c r="O586" s="20">
        <v>2</v>
      </c>
      <c r="S586" s="19" t="s">
        <v>20</v>
      </c>
      <c r="T586" s="19" t="s">
        <v>1471</v>
      </c>
    </row>
    <row r="587" spans="1:20">
      <c r="A587" s="20">
        <v>202603328187479</v>
      </c>
      <c r="B587" s="19" t="s">
        <v>20</v>
      </c>
      <c r="C587" s="19" t="s">
        <v>21</v>
      </c>
      <c r="D587" s="19" t="s">
        <v>20</v>
      </c>
      <c r="E587" s="21">
        <v>46204</v>
      </c>
      <c r="F587" s="21">
        <v>46568</v>
      </c>
      <c r="G587" s="21"/>
      <c r="H587" s="21">
        <v>46204</v>
      </c>
      <c r="I587" s="21">
        <v>46568</v>
      </c>
      <c r="J587" s="19" t="s">
        <v>2068</v>
      </c>
      <c r="L587" s="19">
        <v>0</v>
      </c>
      <c r="M587" s="19">
        <v>0</v>
      </c>
      <c r="N587" s="19" t="s">
        <v>2394</v>
      </c>
      <c r="O587" s="20">
        <v>7</v>
      </c>
      <c r="S587" s="19" t="s">
        <v>20</v>
      </c>
      <c r="T587" s="19" t="s">
        <v>1471</v>
      </c>
    </row>
    <row r="588" spans="1:20">
      <c r="A588" s="20">
        <v>202603328187479</v>
      </c>
      <c r="B588" s="19" t="s">
        <v>20</v>
      </c>
      <c r="C588" s="19" t="s">
        <v>21</v>
      </c>
      <c r="D588" s="19" t="s">
        <v>20</v>
      </c>
      <c r="E588" s="21">
        <v>46204</v>
      </c>
      <c r="F588" s="21">
        <v>46568</v>
      </c>
      <c r="G588" s="21"/>
      <c r="H588" s="21">
        <v>46204</v>
      </c>
      <c r="I588" s="21">
        <v>46568</v>
      </c>
      <c r="J588" s="19" t="s">
        <v>2068</v>
      </c>
      <c r="L588" s="19">
        <v>183.810788</v>
      </c>
      <c r="M588" s="19">
        <v>183.810788</v>
      </c>
      <c r="N588" s="19" t="s">
        <v>1475</v>
      </c>
      <c r="O588" s="20">
        <v>7</v>
      </c>
      <c r="S588" s="19" t="s">
        <v>20</v>
      </c>
      <c r="T588" s="19" t="s">
        <v>1471</v>
      </c>
    </row>
    <row r="589" spans="1:20">
      <c r="A589" s="20">
        <v>202603328187539</v>
      </c>
      <c r="B589" s="19" t="s">
        <v>20</v>
      </c>
      <c r="C589" s="19" t="s">
        <v>21</v>
      </c>
      <c r="D589" s="19" t="s">
        <v>20</v>
      </c>
      <c r="E589" s="21">
        <v>46204</v>
      </c>
      <c r="F589" s="21">
        <v>46568</v>
      </c>
      <c r="G589" s="21"/>
      <c r="H589" s="21">
        <v>46204</v>
      </c>
      <c r="I589" s="21">
        <v>46568</v>
      </c>
      <c r="J589" s="19" t="s">
        <v>2064</v>
      </c>
      <c r="L589" s="19">
        <v>0</v>
      </c>
      <c r="M589" s="19">
        <v>0</v>
      </c>
      <c r="N589" s="19" t="s">
        <v>2394</v>
      </c>
      <c r="O589" s="20">
        <v>2</v>
      </c>
      <c r="S589" s="19" t="s">
        <v>20</v>
      </c>
      <c r="T589" s="19" t="s">
        <v>1471</v>
      </c>
    </row>
    <row r="590" spans="1:20">
      <c r="A590" s="20">
        <v>202603328187539</v>
      </c>
      <c r="B590" s="19" t="s">
        <v>20</v>
      </c>
      <c r="C590" s="19" t="s">
        <v>21</v>
      </c>
      <c r="D590" s="19" t="s">
        <v>20</v>
      </c>
      <c r="E590" s="21">
        <v>46204</v>
      </c>
      <c r="F590" s="21">
        <v>46568</v>
      </c>
      <c r="G590" s="21"/>
      <c r="H590" s="21">
        <v>46204</v>
      </c>
      <c r="I590" s="21">
        <v>46568</v>
      </c>
      <c r="J590" s="19" t="s">
        <v>2064</v>
      </c>
      <c r="L590" s="19">
        <v>66.261260500000006</v>
      </c>
      <c r="M590" s="19">
        <v>66.261260500000006</v>
      </c>
      <c r="N590" s="19" t="s">
        <v>1475</v>
      </c>
      <c r="O590" s="20">
        <v>2</v>
      </c>
      <c r="S590" s="19" t="s">
        <v>20</v>
      </c>
      <c r="T590" s="19" t="s">
        <v>1471</v>
      </c>
    </row>
    <row r="591" spans="1:20">
      <c r="A591" s="20">
        <v>202603328187699</v>
      </c>
      <c r="B591" s="19" t="s">
        <v>20</v>
      </c>
      <c r="C591" s="19" t="s">
        <v>21</v>
      </c>
      <c r="D591" s="19" t="s">
        <v>20</v>
      </c>
      <c r="E591" s="21">
        <v>46204</v>
      </c>
      <c r="F591" s="21">
        <v>46568</v>
      </c>
      <c r="G591" s="21"/>
      <c r="H591" s="21">
        <v>46204</v>
      </c>
      <c r="I591" s="21">
        <v>46568</v>
      </c>
      <c r="J591" s="19" t="s">
        <v>2068</v>
      </c>
      <c r="L591" s="19">
        <v>0</v>
      </c>
      <c r="M591" s="19">
        <v>0</v>
      </c>
      <c r="N591" s="19" t="s">
        <v>2394</v>
      </c>
      <c r="O591" s="20">
        <v>3</v>
      </c>
      <c r="S591" s="19" t="s">
        <v>20</v>
      </c>
      <c r="T591" s="19" t="s">
        <v>1471</v>
      </c>
    </row>
    <row r="592" spans="1:20">
      <c r="A592" s="20">
        <v>202603328187699</v>
      </c>
      <c r="B592" s="19" t="s">
        <v>20</v>
      </c>
      <c r="C592" s="19" t="s">
        <v>21</v>
      </c>
      <c r="D592" s="19" t="s">
        <v>20</v>
      </c>
      <c r="E592" s="21">
        <v>46204</v>
      </c>
      <c r="F592" s="21">
        <v>46568</v>
      </c>
      <c r="G592" s="21"/>
      <c r="H592" s="21">
        <v>46204</v>
      </c>
      <c r="I592" s="21">
        <v>46568</v>
      </c>
      <c r="J592" s="19" t="s">
        <v>2068</v>
      </c>
      <c r="L592" s="19">
        <v>78.776052000000007</v>
      </c>
      <c r="M592" s="19">
        <v>78.776052000000007</v>
      </c>
      <c r="N592" s="19" t="s">
        <v>1475</v>
      </c>
      <c r="O592" s="20">
        <v>3</v>
      </c>
      <c r="S592" s="19" t="s">
        <v>20</v>
      </c>
      <c r="T592" s="19" t="s">
        <v>1471</v>
      </c>
    </row>
    <row r="593" spans="1:20">
      <c r="A593" s="20">
        <v>202603328188054</v>
      </c>
      <c r="B593" s="19" t="s">
        <v>20</v>
      </c>
      <c r="C593" s="19" t="s">
        <v>21</v>
      </c>
      <c r="D593" s="19" t="s">
        <v>20</v>
      </c>
      <c r="E593" s="21">
        <v>46204</v>
      </c>
      <c r="F593" s="21">
        <v>46568</v>
      </c>
      <c r="G593" s="21"/>
      <c r="H593" s="21">
        <v>46204</v>
      </c>
      <c r="I593" s="21">
        <v>46568</v>
      </c>
      <c r="J593" s="19" t="s">
        <v>2103</v>
      </c>
      <c r="L593" s="19">
        <v>23.968290750000001</v>
      </c>
      <c r="M593" s="19">
        <v>23.968290750000001</v>
      </c>
      <c r="N593" s="19" t="s">
        <v>1475</v>
      </c>
      <c r="O593" s="20">
        <v>1</v>
      </c>
      <c r="S593" s="19" t="s">
        <v>20</v>
      </c>
      <c r="T593" s="19" t="s">
        <v>1471</v>
      </c>
    </row>
    <row r="594" spans="1:20">
      <c r="A594" s="20">
        <v>202603328188912</v>
      </c>
      <c r="B594" s="19" t="s">
        <v>20</v>
      </c>
      <c r="C594" s="19" t="s">
        <v>21</v>
      </c>
      <c r="D594" s="19" t="s">
        <v>20</v>
      </c>
      <c r="E594" s="21">
        <v>46204</v>
      </c>
      <c r="F594" s="21">
        <v>46568</v>
      </c>
      <c r="G594" s="21"/>
      <c r="H594" s="21">
        <v>46204</v>
      </c>
      <c r="I594" s="21">
        <v>46568</v>
      </c>
      <c r="J594" s="19" t="s">
        <v>2064</v>
      </c>
      <c r="L594" s="19">
        <v>33.130630250000003</v>
      </c>
      <c r="M594" s="19">
        <v>33.130630250000003</v>
      </c>
      <c r="N594" s="19" t="s">
        <v>1475</v>
      </c>
      <c r="O594" s="20">
        <v>1</v>
      </c>
      <c r="S594" s="19" t="s">
        <v>20</v>
      </c>
      <c r="T594" s="19" t="s">
        <v>1471</v>
      </c>
    </row>
    <row r="595" spans="1:20">
      <c r="A595" s="20">
        <v>202603328190725</v>
      </c>
      <c r="B595" s="19" t="s">
        <v>20</v>
      </c>
      <c r="C595" s="19" t="s">
        <v>21</v>
      </c>
      <c r="D595" s="19" t="s">
        <v>20</v>
      </c>
      <c r="E595" s="21">
        <v>46204</v>
      </c>
      <c r="F595" s="21">
        <v>46568</v>
      </c>
      <c r="G595" s="21"/>
      <c r="H595" s="21">
        <v>46204</v>
      </c>
      <c r="I595" s="21">
        <v>46568</v>
      </c>
      <c r="J595" s="19" t="s">
        <v>2095</v>
      </c>
      <c r="L595" s="19">
        <v>0</v>
      </c>
      <c r="M595" s="19">
        <v>0</v>
      </c>
      <c r="N595" s="19" t="s">
        <v>2394</v>
      </c>
      <c r="O595" s="20">
        <v>3</v>
      </c>
      <c r="S595" s="19" t="s">
        <v>20</v>
      </c>
      <c r="T595" s="19" t="s">
        <v>1471</v>
      </c>
    </row>
    <row r="596" spans="1:20">
      <c r="A596" s="20">
        <v>202603328190725</v>
      </c>
      <c r="B596" s="19" t="s">
        <v>20</v>
      </c>
      <c r="C596" s="19" t="s">
        <v>21</v>
      </c>
      <c r="D596" s="19" t="s">
        <v>20</v>
      </c>
      <c r="E596" s="21">
        <v>46204</v>
      </c>
      <c r="F596" s="21">
        <v>46568</v>
      </c>
      <c r="G596" s="21"/>
      <c r="H596" s="21">
        <v>46204</v>
      </c>
      <c r="I596" s="21">
        <v>46568</v>
      </c>
      <c r="J596" s="19" t="s">
        <v>2095</v>
      </c>
      <c r="L596" s="19">
        <v>99.391890750000002</v>
      </c>
      <c r="M596" s="19">
        <v>99.391890750000002</v>
      </c>
      <c r="N596" s="19" t="s">
        <v>1475</v>
      </c>
      <c r="O596" s="20">
        <v>3</v>
      </c>
      <c r="S596" s="19" t="s">
        <v>20</v>
      </c>
      <c r="T596" s="19" t="s">
        <v>1471</v>
      </c>
    </row>
    <row r="597" spans="1:20">
      <c r="A597" s="20">
        <v>202603328191560</v>
      </c>
      <c r="B597" s="19" t="s">
        <v>20</v>
      </c>
      <c r="C597" s="19" t="s">
        <v>21</v>
      </c>
      <c r="D597" s="19" t="s">
        <v>20</v>
      </c>
      <c r="E597" s="21">
        <v>46204</v>
      </c>
      <c r="F597" s="21">
        <v>46568</v>
      </c>
      <c r="G597" s="21"/>
      <c r="H597" s="21">
        <v>46204</v>
      </c>
      <c r="I597" s="21">
        <v>46568</v>
      </c>
      <c r="J597" s="19" t="s">
        <v>2065</v>
      </c>
      <c r="L597" s="19">
        <v>0</v>
      </c>
      <c r="M597" s="19">
        <v>0</v>
      </c>
      <c r="N597" s="19" t="s">
        <v>2394</v>
      </c>
      <c r="O597" s="20">
        <v>4</v>
      </c>
      <c r="S597" s="19" t="s">
        <v>20</v>
      </c>
      <c r="T597" s="19" t="s">
        <v>1471</v>
      </c>
    </row>
    <row r="598" spans="1:20">
      <c r="A598" s="20">
        <v>202603328191560</v>
      </c>
      <c r="B598" s="19" t="s">
        <v>20</v>
      </c>
      <c r="C598" s="19" t="s">
        <v>21</v>
      </c>
      <c r="D598" s="19" t="s">
        <v>20</v>
      </c>
      <c r="E598" s="21">
        <v>46204</v>
      </c>
      <c r="F598" s="21">
        <v>46568</v>
      </c>
      <c r="G598" s="21"/>
      <c r="H598" s="21">
        <v>46204</v>
      </c>
      <c r="I598" s="21">
        <v>46568</v>
      </c>
      <c r="J598" s="19" t="s">
        <v>2065</v>
      </c>
      <c r="L598" s="19">
        <v>105.034736</v>
      </c>
      <c r="M598" s="19">
        <v>105.034736</v>
      </c>
      <c r="N598" s="19" t="s">
        <v>1475</v>
      </c>
      <c r="O598" s="20">
        <v>4</v>
      </c>
      <c r="S598" s="19" t="s">
        <v>20</v>
      </c>
      <c r="T598" s="19" t="s">
        <v>1471</v>
      </c>
    </row>
    <row r="599" spans="1:20">
      <c r="A599" s="20">
        <v>202603328192485</v>
      </c>
      <c r="B599" s="19" t="s">
        <v>20</v>
      </c>
      <c r="C599" s="19" t="s">
        <v>21</v>
      </c>
      <c r="D599" s="19" t="s">
        <v>20</v>
      </c>
      <c r="E599" s="21">
        <v>46204</v>
      </c>
      <c r="F599" s="21">
        <v>46568</v>
      </c>
      <c r="G599" s="21"/>
      <c r="H599" s="21">
        <v>46204</v>
      </c>
      <c r="I599" s="21">
        <v>46568</v>
      </c>
      <c r="J599" s="19" t="s">
        <v>2068</v>
      </c>
      <c r="L599" s="19">
        <v>0</v>
      </c>
      <c r="M599" s="19">
        <v>0</v>
      </c>
      <c r="N599" s="19" t="s">
        <v>2394</v>
      </c>
      <c r="O599" s="20">
        <v>6</v>
      </c>
      <c r="S599" s="19" t="s">
        <v>20</v>
      </c>
      <c r="T599" s="19" t="s">
        <v>1471</v>
      </c>
    </row>
    <row r="600" spans="1:20">
      <c r="A600" s="20">
        <v>202603328192485</v>
      </c>
      <c r="B600" s="19" t="s">
        <v>20</v>
      </c>
      <c r="C600" s="19" t="s">
        <v>21</v>
      </c>
      <c r="D600" s="19" t="s">
        <v>20</v>
      </c>
      <c r="E600" s="21">
        <v>46204</v>
      </c>
      <c r="F600" s="21">
        <v>46568</v>
      </c>
      <c r="G600" s="21"/>
      <c r="H600" s="21">
        <v>46204</v>
      </c>
      <c r="I600" s="21">
        <v>46568</v>
      </c>
      <c r="J600" s="19" t="s">
        <v>2068</v>
      </c>
      <c r="L600" s="19">
        <v>157.55210400000001</v>
      </c>
      <c r="M600" s="19">
        <v>157.55210400000001</v>
      </c>
      <c r="N600" s="19" t="s">
        <v>1475</v>
      </c>
      <c r="O600" s="20">
        <v>6</v>
      </c>
      <c r="S600" s="19" t="s">
        <v>20</v>
      </c>
      <c r="T600" s="19" t="s">
        <v>1471</v>
      </c>
    </row>
    <row r="601" spans="1:20">
      <c r="A601" s="20">
        <v>202603328192985</v>
      </c>
      <c r="B601" s="19" t="s">
        <v>20</v>
      </c>
      <c r="C601" s="19" t="s">
        <v>21</v>
      </c>
      <c r="D601" s="19" t="s">
        <v>20</v>
      </c>
      <c r="E601" s="21">
        <v>46204</v>
      </c>
      <c r="F601" s="21">
        <v>46568</v>
      </c>
      <c r="G601" s="21"/>
      <c r="H601" s="21">
        <v>46204</v>
      </c>
      <c r="I601" s="21">
        <v>46568</v>
      </c>
      <c r="J601" s="19" t="s">
        <v>2099</v>
      </c>
      <c r="L601" s="19">
        <v>0</v>
      </c>
      <c r="M601" s="19">
        <v>0</v>
      </c>
      <c r="N601" s="19" t="s">
        <v>2394</v>
      </c>
      <c r="O601" s="20">
        <v>2</v>
      </c>
      <c r="S601" s="19" t="s">
        <v>20</v>
      </c>
      <c r="T601" s="19" t="s">
        <v>1471</v>
      </c>
    </row>
    <row r="602" spans="1:20">
      <c r="A602" s="20">
        <v>202603328192985</v>
      </c>
      <c r="B602" s="19" t="s">
        <v>20</v>
      </c>
      <c r="C602" s="19" t="s">
        <v>21</v>
      </c>
      <c r="D602" s="19" t="s">
        <v>2199</v>
      </c>
      <c r="E602" s="21">
        <v>46204</v>
      </c>
      <c r="F602" s="21">
        <v>46568</v>
      </c>
      <c r="G602" s="21"/>
      <c r="H602" s="21">
        <v>46204</v>
      </c>
      <c r="I602" s="21">
        <v>46568</v>
      </c>
      <c r="J602" s="19" t="s">
        <v>2099</v>
      </c>
      <c r="L602" s="19">
        <v>19.899142999999999</v>
      </c>
      <c r="M602" s="19">
        <v>19.899142999999999</v>
      </c>
      <c r="N602" s="19" t="s">
        <v>1467</v>
      </c>
      <c r="O602" s="20">
        <v>2</v>
      </c>
      <c r="S602" s="19" t="s">
        <v>20</v>
      </c>
      <c r="T602" s="19" t="s">
        <v>1471</v>
      </c>
    </row>
    <row r="603" spans="1:20">
      <c r="A603" s="20">
        <v>202603328193174</v>
      </c>
      <c r="B603" s="19" t="s">
        <v>20</v>
      </c>
      <c r="C603" s="19" t="s">
        <v>21</v>
      </c>
      <c r="D603" s="19" t="s">
        <v>20</v>
      </c>
      <c r="E603" s="21">
        <v>46204</v>
      </c>
      <c r="F603" s="21">
        <v>46568</v>
      </c>
      <c r="G603" s="21"/>
      <c r="H603" s="21">
        <v>46204</v>
      </c>
      <c r="I603" s="21">
        <v>46568</v>
      </c>
      <c r="J603" s="19" t="s">
        <v>2068</v>
      </c>
      <c r="L603" s="19">
        <v>26.258683999999999</v>
      </c>
      <c r="M603" s="19">
        <v>26.258683999999999</v>
      </c>
      <c r="N603" s="19" t="s">
        <v>1475</v>
      </c>
      <c r="O603" s="20">
        <v>1</v>
      </c>
      <c r="S603" s="19" t="s">
        <v>20</v>
      </c>
      <c r="T603" s="19" t="s">
        <v>1471</v>
      </c>
    </row>
    <row r="604" spans="1:20">
      <c r="A604" s="20">
        <v>202603328193521</v>
      </c>
      <c r="B604" s="19" t="s">
        <v>20</v>
      </c>
      <c r="C604" s="19" t="s">
        <v>21</v>
      </c>
      <c r="D604" s="19" t="s">
        <v>20</v>
      </c>
      <c r="E604" s="21">
        <v>46204</v>
      </c>
      <c r="F604" s="21">
        <v>46568</v>
      </c>
      <c r="G604" s="21"/>
      <c r="H604" s="21">
        <v>46204</v>
      </c>
      <c r="I604" s="21">
        <v>46568</v>
      </c>
      <c r="J604" s="19" t="s">
        <v>2068</v>
      </c>
      <c r="L604" s="19">
        <v>0</v>
      </c>
      <c r="M604" s="19">
        <v>0</v>
      </c>
      <c r="N604" s="19" t="s">
        <v>2394</v>
      </c>
      <c r="O604" s="20">
        <v>2</v>
      </c>
      <c r="S604" s="19" t="s">
        <v>20</v>
      </c>
      <c r="T604" s="19" t="s">
        <v>1471</v>
      </c>
    </row>
    <row r="605" spans="1:20">
      <c r="A605" s="20">
        <v>202603328193521</v>
      </c>
      <c r="B605" s="19" t="s">
        <v>20</v>
      </c>
      <c r="C605" s="19" t="s">
        <v>21</v>
      </c>
      <c r="D605" s="19" t="s">
        <v>20</v>
      </c>
      <c r="E605" s="21">
        <v>46204</v>
      </c>
      <c r="F605" s="21">
        <v>46568</v>
      </c>
      <c r="G605" s="21"/>
      <c r="H605" s="21">
        <v>46204</v>
      </c>
      <c r="I605" s="21">
        <v>46568</v>
      </c>
      <c r="J605" s="19" t="s">
        <v>2068</v>
      </c>
      <c r="L605" s="19">
        <v>52.517367999999998</v>
      </c>
      <c r="M605" s="19">
        <v>52.517367999999998</v>
      </c>
      <c r="N605" s="19" t="s">
        <v>1475</v>
      </c>
      <c r="O605" s="20">
        <v>2</v>
      </c>
      <c r="S605" s="19" t="s">
        <v>20</v>
      </c>
      <c r="T605" s="19" t="s">
        <v>1471</v>
      </c>
    </row>
    <row r="606" spans="1:20">
      <c r="A606" s="20">
        <v>202603328194547</v>
      </c>
      <c r="B606" s="19" t="s">
        <v>20</v>
      </c>
      <c r="C606" s="19" t="s">
        <v>21</v>
      </c>
      <c r="D606" s="19" t="s">
        <v>20</v>
      </c>
      <c r="E606" s="21">
        <v>46204</v>
      </c>
      <c r="F606" s="21">
        <v>46568</v>
      </c>
      <c r="G606" s="21"/>
      <c r="H606" s="21">
        <v>46204</v>
      </c>
      <c r="I606" s="21">
        <v>46568</v>
      </c>
      <c r="J606" s="19" t="s">
        <v>2118</v>
      </c>
      <c r="L606" s="19">
        <v>0</v>
      </c>
      <c r="M606" s="19">
        <v>0</v>
      </c>
      <c r="N606" s="19" t="s">
        <v>2394</v>
      </c>
      <c r="O606" s="20">
        <v>2</v>
      </c>
      <c r="S606" s="19" t="s">
        <v>20</v>
      </c>
      <c r="T606" s="19" t="s">
        <v>1471</v>
      </c>
    </row>
    <row r="607" spans="1:20">
      <c r="A607" s="20">
        <v>202603328194547</v>
      </c>
      <c r="B607" s="19" t="s">
        <v>20</v>
      </c>
      <c r="C607" s="19" t="s">
        <v>21</v>
      </c>
      <c r="D607" s="19" t="s">
        <v>20</v>
      </c>
      <c r="E607" s="21">
        <v>46204</v>
      </c>
      <c r="F607" s="21">
        <v>46568</v>
      </c>
      <c r="G607" s="21"/>
      <c r="H607" s="21">
        <v>46204</v>
      </c>
      <c r="I607" s="21">
        <v>46568</v>
      </c>
      <c r="J607" s="19" t="s">
        <v>2118</v>
      </c>
      <c r="L607" s="19">
        <v>66.261260500000006</v>
      </c>
      <c r="M607" s="19">
        <v>66.261260500000006</v>
      </c>
      <c r="N607" s="19" t="s">
        <v>1475</v>
      </c>
      <c r="O607" s="20">
        <v>2</v>
      </c>
      <c r="S607" s="19" t="s">
        <v>20</v>
      </c>
      <c r="T607" s="19" t="s">
        <v>1471</v>
      </c>
    </row>
    <row r="608" spans="1:20">
      <c r="A608" s="20">
        <v>202603328194783</v>
      </c>
      <c r="B608" s="19" t="s">
        <v>20</v>
      </c>
      <c r="C608" s="19" t="s">
        <v>21</v>
      </c>
      <c r="D608" s="19" t="s">
        <v>2200</v>
      </c>
      <c r="E608" s="21">
        <v>46204</v>
      </c>
      <c r="F608" s="21">
        <v>46568</v>
      </c>
      <c r="G608" s="21"/>
      <c r="H608" s="21">
        <v>46204</v>
      </c>
      <c r="I608" s="21">
        <v>46568</v>
      </c>
      <c r="J608" s="19" t="s">
        <v>1465</v>
      </c>
      <c r="L608" s="19">
        <v>18.160082249999999</v>
      </c>
      <c r="M608" s="19">
        <v>18.160082249999999</v>
      </c>
      <c r="N608" s="19" t="s">
        <v>1467</v>
      </c>
      <c r="O608" s="20">
        <v>1</v>
      </c>
      <c r="S608" s="19" t="s">
        <v>20</v>
      </c>
      <c r="T608" s="19" t="s">
        <v>1471</v>
      </c>
    </row>
    <row r="609" spans="1:20">
      <c r="A609" s="20">
        <v>202603328195080</v>
      </c>
      <c r="B609" s="19" t="s">
        <v>20</v>
      </c>
      <c r="C609" s="19" t="s">
        <v>21</v>
      </c>
      <c r="D609" s="19" t="s">
        <v>20</v>
      </c>
      <c r="E609" s="21">
        <v>46204</v>
      </c>
      <c r="F609" s="21">
        <v>46568</v>
      </c>
      <c r="G609" s="21"/>
      <c r="H609" s="21">
        <v>46204</v>
      </c>
      <c r="I609" s="21">
        <v>46568</v>
      </c>
      <c r="J609" s="19" t="s">
        <v>2135</v>
      </c>
      <c r="L609" s="19">
        <v>0</v>
      </c>
      <c r="M609" s="19">
        <v>0</v>
      </c>
      <c r="N609" s="19" t="s">
        <v>2394</v>
      </c>
      <c r="O609" s="20">
        <v>2</v>
      </c>
      <c r="S609" s="19" t="s">
        <v>20</v>
      </c>
      <c r="T609" s="19" t="s">
        <v>1471</v>
      </c>
    </row>
    <row r="610" spans="1:20">
      <c r="A610" s="20">
        <v>202603328195080</v>
      </c>
      <c r="B610" s="19" t="s">
        <v>20</v>
      </c>
      <c r="C610" s="19" t="s">
        <v>21</v>
      </c>
      <c r="D610" s="19" t="s">
        <v>20</v>
      </c>
      <c r="E610" s="21">
        <v>46204</v>
      </c>
      <c r="F610" s="21">
        <v>46568</v>
      </c>
      <c r="G610" s="21"/>
      <c r="H610" s="21">
        <v>46204</v>
      </c>
      <c r="I610" s="21">
        <v>46568</v>
      </c>
      <c r="J610" s="19" t="s">
        <v>2135</v>
      </c>
      <c r="L610" s="19">
        <v>66.261260500000006</v>
      </c>
      <c r="M610" s="19">
        <v>66.261260500000006</v>
      </c>
      <c r="N610" s="19" t="s">
        <v>1475</v>
      </c>
      <c r="O610" s="20">
        <v>2</v>
      </c>
      <c r="S610" s="19" t="s">
        <v>20</v>
      </c>
      <c r="T610" s="19" t="s">
        <v>1471</v>
      </c>
    </row>
    <row r="611" spans="1:20">
      <c r="A611" s="20">
        <v>202603328195448</v>
      </c>
      <c r="B611" s="19" t="s">
        <v>20</v>
      </c>
      <c r="C611" s="19" t="s">
        <v>21</v>
      </c>
      <c r="D611" s="19" t="s">
        <v>20</v>
      </c>
      <c r="E611" s="21">
        <v>46204</v>
      </c>
      <c r="F611" s="21">
        <v>46568</v>
      </c>
      <c r="G611" s="21"/>
      <c r="H611" s="21">
        <v>46204</v>
      </c>
      <c r="I611" s="21">
        <v>46568</v>
      </c>
      <c r="J611" s="19" t="s">
        <v>2062</v>
      </c>
      <c r="L611" s="19">
        <v>0</v>
      </c>
      <c r="M611" s="19">
        <v>0</v>
      </c>
      <c r="N611" s="19" t="s">
        <v>2394</v>
      </c>
      <c r="O611" s="20">
        <v>4</v>
      </c>
      <c r="S611" s="19" t="s">
        <v>20</v>
      </c>
      <c r="T611" s="19" t="s">
        <v>1471</v>
      </c>
    </row>
    <row r="612" spans="1:20">
      <c r="A612" s="20">
        <v>202603328195448</v>
      </c>
      <c r="B612" s="19" t="s">
        <v>20</v>
      </c>
      <c r="C612" s="19" t="s">
        <v>21</v>
      </c>
      <c r="D612" s="19" t="s">
        <v>20</v>
      </c>
      <c r="E612" s="21">
        <v>46204</v>
      </c>
      <c r="F612" s="21">
        <v>46568</v>
      </c>
      <c r="G612" s="21"/>
      <c r="H612" s="21">
        <v>46204</v>
      </c>
      <c r="I612" s="21">
        <v>46568</v>
      </c>
      <c r="J612" s="19" t="s">
        <v>2062</v>
      </c>
      <c r="L612" s="19">
        <v>132.52252100000001</v>
      </c>
      <c r="M612" s="19">
        <v>132.52252100000001</v>
      </c>
      <c r="N612" s="19" t="s">
        <v>1475</v>
      </c>
      <c r="O612" s="20">
        <v>4</v>
      </c>
      <c r="S612" s="19" t="s">
        <v>20</v>
      </c>
      <c r="T612" s="19" t="s">
        <v>1471</v>
      </c>
    </row>
    <row r="613" spans="1:20">
      <c r="A613" s="20">
        <v>202603328196325</v>
      </c>
      <c r="B613" s="19" t="s">
        <v>20</v>
      </c>
      <c r="C613" s="19" t="s">
        <v>21</v>
      </c>
      <c r="D613" s="19" t="s">
        <v>2201</v>
      </c>
      <c r="E613" s="21">
        <v>46204</v>
      </c>
      <c r="F613" s="21">
        <v>46568</v>
      </c>
      <c r="G613" s="21"/>
      <c r="H613" s="21">
        <v>46204</v>
      </c>
      <c r="I613" s="21">
        <v>46568</v>
      </c>
      <c r="J613" s="19" t="s">
        <v>2124</v>
      </c>
      <c r="L613" s="19">
        <v>34.466749249999999</v>
      </c>
      <c r="M613" s="19">
        <v>34.466749249999999</v>
      </c>
      <c r="N613" s="19" t="s">
        <v>1467</v>
      </c>
      <c r="O613" s="20">
        <v>1</v>
      </c>
      <c r="S613" s="19" t="s">
        <v>20</v>
      </c>
      <c r="T613" s="19" t="s">
        <v>1471</v>
      </c>
    </row>
    <row r="614" spans="1:20">
      <c r="A614" s="20">
        <v>202603328198006</v>
      </c>
      <c r="B614" s="19" t="s">
        <v>20</v>
      </c>
      <c r="C614" s="19" t="s">
        <v>21</v>
      </c>
      <c r="D614" s="19" t="s">
        <v>20</v>
      </c>
      <c r="E614" s="21">
        <v>46204</v>
      </c>
      <c r="F614" s="21">
        <v>46568</v>
      </c>
      <c r="G614" s="21"/>
      <c r="H614" s="21">
        <v>46204</v>
      </c>
      <c r="I614" s="21">
        <v>46568</v>
      </c>
      <c r="J614" s="19" t="s">
        <v>2202</v>
      </c>
      <c r="L614" s="19">
        <v>0</v>
      </c>
      <c r="M614" s="19">
        <v>0</v>
      </c>
      <c r="N614" s="19" t="s">
        <v>2394</v>
      </c>
      <c r="O614" s="20">
        <v>3</v>
      </c>
      <c r="S614" s="19" t="s">
        <v>20</v>
      </c>
      <c r="T614" s="19" t="s">
        <v>1471</v>
      </c>
    </row>
    <row r="615" spans="1:20">
      <c r="A615" s="20">
        <v>202603328198006</v>
      </c>
      <c r="B615" s="19" t="s">
        <v>20</v>
      </c>
      <c r="C615" s="19" t="s">
        <v>21</v>
      </c>
      <c r="D615" s="19" t="s">
        <v>2203</v>
      </c>
      <c r="E615" s="21">
        <v>46204</v>
      </c>
      <c r="F615" s="21">
        <v>46568</v>
      </c>
      <c r="G615" s="21"/>
      <c r="H615" s="21">
        <v>46204</v>
      </c>
      <c r="I615" s="21">
        <v>46568</v>
      </c>
      <c r="J615" s="19" t="s">
        <v>2202</v>
      </c>
      <c r="L615" s="19">
        <v>41.658727499999998</v>
      </c>
      <c r="M615" s="19">
        <v>41.658727499999998</v>
      </c>
      <c r="N615" s="19" t="s">
        <v>1467</v>
      </c>
      <c r="O615" s="20">
        <v>3</v>
      </c>
      <c r="S615" s="19" t="s">
        <v>20</v>
      </c>
      <c r="T615" s="19" t="s">
        <v>1471</v>
      </c>
    </row>
    <row r="616" spans="1:20">
      <c r="A616" s="20">
        <v>202603328198398</v>
      </c>
      <c r="B616" s="19" t="s">
        <v>20</v>
      </c>
      <c r="C616" s="19" t="s">
        <v>21</v>
      </c>
      <c r="D616" s="19" t="s">
        <v>20</v>
      </c>
      <c r="E616" s="21">
        <v>46204</v>
      </c>
      <c r="F616" s="21">
        <v>46568</v>
      </c>
      <c r="G616" s="21"/>
      <c r="H616" s="21">
        <v>46204</v>
      </c>
      <c r="I616" s="21">
        <v>46568</v>
      </c>
      <c r="J616" s="19" t="s">
        <v>2069</v>
      </c>
      <c r="L616" s="19">
        <v>0</v>
      </c>
      <c r="M616" s="19">
        <v>0</v>
      </c>
      <c r="N616" s="19" t="s">
        <v>2394</v>
      </c>
      <c r="O616" s="20">
        <v>3</v>
      </c>
      <c r="S616" s="19" t="s">
        <v>20</v>
      </c>
      <c r="T616" s="19" t="s">
        <v>1471</v>
      </c>
    </row>
    <row r="617" spans="1:20">
      <c r="A617" s="20">
        <v>202603328198398</v>
      </c>
      <c r="B617" s="19" t="s">
        <v>20</v>
      </c>
      <c r="C617" s="19" t="s">
        <v>21</v>
      </c>
      <c r="D617" s="19" t="s">
        <v>20</v>
      </c>
      <c r="E617" s="21">
        <v>46204</v>
      </c>
      <c r="F617" s="21">
        <v>46568</v>
      </c>
      <c r="G617" s="21"/>
      <c r="H617" s="21">
        <v>46204</v>
      </c>
      <c r="I617" s="21">
        <v>46568</v>
      </c>
      <c r="J617" s="19" t="s">
        <v>2069</v>
      </c>
      <c r="L617" s="19">
        <v>99.391890750000002</v>
      </c>
      <c r="M617" s="19">
        <v>99.391890750000002</v>
      </c>
      <c r="N617" s="19" t="s">
        <v>1475</v>
      </c>
      <c r="O617" s="20">
        <v>3</v>
      </c>
      <c r="S617" s="19" t="s">
        <v>20</v>
      </c>
      <c r="T617" s="19" t="s">
        <v>1471</v>
      </c>
    </row>
    <row r="618" spans="1:20">
      <c r="A618" s="20">
        <v>202603328198399</v>
      </c>
      <c r="B618" s="19" t="s">
        <v>20</v>
      </c>
      <c r="C618" s="19" t="s">
        <v>21</v>
      </c>
      <c r="D618" s="19" t="s">
        <v>20</v>
      </c>
      <c r="E618" s="21">
        <v>46204</v>
      </c>
      <c r="F618" s="21">
        <v>46568</v>
      </c>
      <c r="G618" s="21"/>
      <c r="H618" s="21">
        <v>46204</v>
      </c>
      <c r="I618" s="21">
        <v>46568</v>
      </c>
      <c r="J618" s="19" t="s">
        <v>2087</v>
      </c>
      <c r="L618" s="19">
        <v>0</v>
      </c>
      <c r="M618" s="19">
        <v>0</v>
      </c>
      <c r="N618" s="19" t="s">
        <v>2394</v>
      </c>
      <c r="O618" s="20">
        <v>2</v>
      </c>
      <c r="S618" s="19" t="s">
        <v>20</v>
      </c>
      <c r="T618" s="19" t="s">
        <v>1471</v>
      </c>
    </row>
    <row r="619" spans="1:20">
      <c r="A619" s="20">
        <v>202603328198399</v>
      </c>
      <c r="B619" s="19" t="s">
        <v>20</v>
      </c>
      <c r="C619" s="19" t="s">
        <v>21</v>
      </c>
      <c r="D619" s="19" t="s">
        <v>2204</v>
      </c>
      <c r="E619" s="21">
        <v>46204</v>
      </c>
      <c r="F619" s="21">
        <v>46568</v>
      </c>
      <c r="G619" s="21"/>
      <c r="H619" s="21">
        <v>46204</v>
      </c>
      <c r="I619" s="21">
        <v>46568</v>
      </c>
      <c r="J619" s="19" t="s">
        <v>2087</v>
      </c>
      <c r="L619" s="19">
        <v>33.454366999999998</v>
      </c>
      <c r="M619" s="19">
        <v>33.454366999999998</v>
      </c>
      <c r="N619" s="19" t="s">
        <v>1467</v>
      </c>
      <c r="O619" s="20">
        <v>2</v>
      </c>
      <c r="S619" s="19" t="s">
        <v>20</v>
      </c>
      <c r="T619" s="19" t="s">
        <v>1471</v>
      </c>
    </row>
    <row r="620" spans="1:20">
      <c r="A620" s="20">
        <v>202603328198402</v>
      </c>
      <c r="B620" s="19" t="s">
        <v>20</v>
      </c>
      <c r="C620" s="19" t="s">
        <v>21</v>
      </c>
      <c r="D620" s="19" t="s">
        <v>20</v>
      </c>
      <c r="E620" s="21">
        <v>46204</v>
      </c>
      <c r="F620" s="21">
        <v>46568</v>
      </c>
      <c r="G620" s="21"/>
      <c r="H620" s="21">
        <v>46204</v>
      </c>
      <c r="I620" s="21">
        <v>46568</v>
      </c>
      <c r="J620" s="19" t="s">
        <v>2064</v>
      </c>
      <c r="L620" s="19">
        <v>99.391890750000002</v>
      </c>
      <c r="M620" s="19">
        <v>99.391890750000002</v>
      </c>
      <c r="N620" s="19" t="s">
        <v>1475</v>
      </c>
      <c r="O620" s="20">
        <v>3</v>
      </c>
      <c r="S620" s="19" t="s">
        <v>20</v>
      </c>
      <c r="T620" s="19" t="s">
        <v>1471</v>
      </c>
    </row>
    <row r="621" spans="1:20">
      <c r="A621" s="20">
        <v>202603328199056</v>
      </c>
      <c r="B621" s="19" t="s">
        <v>20</v>
      </c>
      <c r="C621" s="19" t="s">
        <v>21</v>
      </c>
      <c r="D621" s="19" t="s">
        <v>20</v>
      </c>
      <c r="E621" s="21">
        <v>46204</v>
      </c>
      <c r="F621" s="21">
        <v>46568</v>
      </c>
      <c r="G621" s="21"/>
      <c r="H621" s="21">
        <v>46204</v>
      </c>
      <c r="I621" s="21">
        <v>46568</v>
      </c>
      <c r="J621" s="19" t="s">
        <v>2106</v>
      </c>
      <c r="L621" s="19">
        <v>0</v>
      </c>
      <c r="M621" s="19">
        <v>0</v>
      </c>
      <c r="N621" s="19" t="s">
        <v>2394</v>
      </c>
      <c r="O621" s="20">
        <v>4</v>
      </c>
      <c r="S621" s="19" t="s">
        <v>20</v>
      </c>
      <c r="T621" s="19" t="s">
        <v>1471</v>
      </c>
    </row>
    <row r="622" spans="1:20">
      <c r="A622" s="20">
        <v>202603328199056</v>
      </c>
      <c r="B622" s="19" t="s">
        <v>20</v>
      </c>
      <c r="C622" s="19" t="s">
        <v>21</v>
      </c>
      <c r="D622" s="19" t="s">
        <v>2205</v>
      </c>
      <c r="E622" s="21">
        <v>46204</v>
      </c>
      <c r="F622" s="21">
        <v>46568</v>
      </c>
      <c r="G622" s="21"/>
      <c r="H622" s="21">
        <v>46204</v>
      </c>
      <c r="I622" s="21">
        <v>46568</v>
      </c>
      <c r="J622" s="19" t="s">
        <v>2106</v>
      </c>
      <c r="L622" s="19">
        <v>132.52252100000001</v>
      </c>
      <c r="M622" s="19">
        <v>132.52252100000001</v>
      </c>
      <c r="N622" s="19" t="s">
        <v>1467</v>
      </c>
      <c r="O622" s="20">
        <v>4</v>
      </c>
      <c r="S622" s="19" t="s">
        <v>20</v>
      </c>
      <c r="T622" s="19" t="s">
        <v>1471</v>
      </c>
    </row>
    <row r="623" spans="1:20">
      <c r="A623" s="20">
        <v>202603328199422</v>
      </c>
      <c r="B623" s="19" t="s">
        <v>20</v>
      </c>
      <c r="C623" s="19" t="s">
        <v>21</v>
      </c>
      <c r="D623" s="19" t="s">
        <v>20</v>
      </c>
      <c r="E623" s="21">
        <v>46204</v>
      </c>
      <c r="F623" s="21">
        <v>46568</v>
      </c>
      <c r="G623" s="21"/>
      <c r="H623" s="21">
        <v>46204</v>
      </c>
      <c r="I623" s="21">
        <v>46568</v>
      </c>
      <c r="J623" s="19" t="s">
        <v>2135</v>
      </c>
      <c r="L623" s="19">
        <v>33.130630250000003</v>
      </c>
      <c r="M623" s="19">
        <v>33.130630250000003</v>
      </c>
      <c r="N623" s="19" t="s">
        <v>1475</v>
      </c>
      <c r="O623" s="20">
        <v>1</v>
      </c>
      <c r="S623" s="19" t="s">
        <v>20</v>
      </c>
      <c r="T623" s="19" t="s">
        <v>1471</v>
      </c>
    </row>
    <row r="624" spans="1:20">
      <c r="A624" s="20">
        <v>202603328199576</v>
      </c>
      <c r="B624" s="19" t="s">
        <v>20</v>
      </c>
      <c r="C624" s="19" t="s">
        <v>21</v>
      </c>
      <c r="D624" s="19" t="s">
        <v>20</v>
      </c>
      <c r="E624" s="21">
        <v>46204</v>
      </c>
      <c r="F624" s="21">
        <v>46568</v>
      </c>
      <c r="G624" s="21"/>
      <c r="H624" s="21">
        <v>46204</v>
      </c>
      <c r="I624" s="21">
        <v>46568</v>
      </c>
      <c r="J624" s="19" t="s">
        <v>1473</v>
      </c>
      <c r="L624" s="19">
        <v>0</v>
      </c>
      <c r="M624" s="19">
        <v>0</v>
      </c>
      <c r="N624" s="19" t="s">
        <v>2394</v>
      </c>
      <c r="O624" s="20">
        <v>3</v>
      </c>
      <c r="S624" s="19" t="s">
        <v>20</v>
      </c>
      <c r="T624" s="19" t="s">
        <v>1471</v>
      </c>
    </row>
    <row r="625" spans="1:20">
      <c r="A625" s="20">
        <v>202603328199576</v>
      </c>
      <c r="B625" s="19" t="s">
        <v>20</v>
      </c>
      <c r="C625" s="19" t="s">
        <v>21</v>
      </c>
      <c r="D625" s="19" t="s">
        <v>2206</v>
      </c>
      <c r="E625" s="21">
        <v>46204</v>
      </c>
      <c r="F625" s="21">
        <v>46568</v>
      </c>
      <c r="G625" s="21"/>
      <c r="H625" s="21">
        <v>46204</v>
      </c>
      <c r="I625" s="21">
        <v>46568</v>
      </c>
      <c r="J625" s="19" t="s">
        <v>1473</v>
      </c>
      <c r="L625" s="19">
        <v>73.8620205</v>
      </c>
      <c r="M625" s="19">
        <v>73.8620205</v>
      </c>
      <c r="N625" s="19" t="s">
        <v>1467</v>
      </c>
      <c r="O625" s="20">
        <v>3</v>
      </c>
      <c r="S625" s="19" t="s">
        <v>20</v>
      </c>
      <c r="T625" s="19" t="s">
        <v>1471</v>
      </c>
    </row>
    <row r="626" spans="1:20">
      <c r="A626" s="20">
        <v>202603328200070</v>
      </c>
      <c r="B626" s="19" t="s">
        <v>20</v>
      </c>
      <c r="C626" s="19" t="s">
        <v>21</v>
      </c>
      <c r="D626" s="19" t="s">
        <v>20</v>
      </c>
      <c r="E626" s="21">
        <v>46204</v>
      </c>
      <c r="F626" s="21">
        <v>46568</v>
      </c>
      <c r="G626" s="21"/>
      <c r="H626" s="21">
        <v>46204</v>
      </c>
      <c r="I626" s="21">
        <v>46568</v>
      </c>
      <c r="J626" s="19" t="s">
        <v>2085</v>
      </c>
      <c r="L626" s="19">
        <v>0</v>
      </c>
      <c r="M626" s="19">
        <v>0</v>
      </c>
      <c r="N626" s="19" t="s">
        <v>2394</v>
      </c>
      <c r="O626" s="20">
        <v>3</v>
      </c>
      <c r="S626" s="19" t="s">
        <v>20</v>
      </c>
      <c r="T626" s="19" t="s">
        <v>1471</v>
      </c>
    </row>
    <row r="627" spans="1:20">
      <c r="A627" s="20">
        <v>202603328200070</v>
      </c>
      <c r="B627" s="19" t="s">
        <v>20</v>
      </c>
      <c r="C627" s="19" t="s">
        <v>21</v>
      </c>
      <c r="D627" s="19" t="s">
        <v>2207</v>
      </c>
      <c r="E627" s="21">
        <v>46204</v>
      </c>
      <c r="F627" s="21">
        <v>46568</v>
      </c>
      <c r="G627" s="21"/>
      <c r="H627" s="21">
        <v>46204</v>
      </c>
      <c r="I627" s="21">
        <v>46568</v>
      </c>
      <c r="J627" s="19" t="s">
        <v>2085</v>
      </c>
      <c r="L627" s="19">
        <v>39.252629249999998</v>
      </c>
      <c r="M627" s="19">
        <v>39.252629249999998</v>
      </c>
      <c r="N627" s="19" t="s">
        <v>1467</v>
      </c>
      <c r="O627" s="20">
        <v>3</v>
      </c>
      <c r="S627" s="19" t="s">
        <v>20</v>
      </c>
      <c r="T627" s="19" t="s">
        <v>1471</v>
      </c>
    </row>
    <row r="628" spans="1:20">
      <c r="A628" s="20">
        <v>202603328200229</v>
      </c>
      <c r="B628" s="19" t="s">
        <v>20</v>
      </c>
      <c r="C628" s="19" t="s">
        <v>21</v>
      </c>
      <c r="D628" s="19" t="s">
        <v>20</v>
      </c>
      <c r="E628" s="21">
        <v>46204</v>
      </c>
      <c r="F628" s="21">
        <v>46568</v>
      </c>
      <c r="G628" s="21"/>
      <c r="H628" s="21">
        <v>46204</v>
      </c>
      <c r="I628" s="21">
        <v>46568</v>
      </c>
      <c r="J628" s="19" t="s">
        <v>2131</v>
      </c>
      <c r="L628" s="19">
        <v>115.978677</v>
      </c>
      <c r="M628" s="19">
        <v>115.978677</v>
      </c>
      <c r="N628" s="19" t="s">
        <v>1475</v>
      </c>
      <c r="O628" s="20">
        <v>3</v>
      </c>
      <c r="S628" s="19" t="s">
        <v>20</v>
      </c>
      <c r="T628" s="19" t="s">
        <v>1471</v>
      </c>
    </row>
    <row r="629" spans="1:20">
      <c r="A629" s="20">
        <v>202603328200793</v>
      </c>
      <c r="B629" s="19" t="s">
        <v>20</v>
      </c>
      <c r="C629" s="19" t="s">
        <v>21</v>
      </c>
      <c r="D629" s="19" t="s">
        <v>20</v>
      </c>
      <c r="E629" s="21">
        <v>46204</v>
      </c>
      <c r="F629" s="21">
        <v>46568</v>
      </c>
      <c r="G629" s="21"/>
      <c r="H629" s="21">
        <v>46204</v>
      </c>
      <c r="I629" s="21">
        <v>46568</v>
      </c>
      <c r="J629" s="19" t="s">
        <v>2083</v>
      </c>
      <c r="L629" s="19">
        <v>0</v>
      </c>
      <c r="M629" s="19">
        <v>0</v>
      </c>
      <c r="N629" s="19" t="s">
        <v>2394</v>
      </c>
      <c r="O629" s="20">
        <v>3</v>
      </c>
      <c r="S629" s="19" t="s">
        <v>20</v>
      </c>
      <c r="T629" s="19" t="s">
        <v>1471</v>
      </c>
    </row>
    <row r="630" spans="1:20">
      <c r="A630" s="20">
        <v>202603328200793</v>
      </c>
      <c r="B630" s="19" t="s">
        <v>20</v>
      </c>
      <c r="C630" s="19" t="s">
        <v>21</v>
      </c>
      <c r="D630" s="19" t="s">
        <v>20</v>
      </c>
      <c r="E630" s="21">
        <v>46204</v>
      </c>
      <c r="F630" s="21">
        <v>46568</v>
      </c>
      <c r="G630" s="21"/>
      <c r="H630" s="21">
        <v>46204</v>
      </c>
      <c r="I630" s="21">
        <v>46568</v>
      </c>
      <c r="J630" s="19" t="s">
        <v>2083</v>
      </c>
      <c r="L630" s="19">
        <v>99.391890750000002</v>
      </c>
      <c r="M630" s="19">
        <v>99.391890750000002</v>
      </c>
      <c r="N630" s="19" t="s">
        <v>1475</v>
      </c>
      <c r="O630" s="20">
        <v>3</v>
      </c>
      <c r="S630" s="19" t="s">
        <v>20</v>
      </c>
      <c r="T630" s="19" t="s">
        <v>1471</v>
      </c>
    </row>
    <row r="631" spans="1:20">
      <c r="A631" s="20">
        <v>202603328202279</v>
      </c>
      <c r="B631" s="19" t="s">
        <v>20</v>
      </c>
      <c r="C631" s="19" t="s">
        <v>21</v>
      </c>
      <c r="D631" s="19" t="s">
        <v>20</v>
      </c>
      <c r="E631" s="21">
        <v>46204</v>
      </c>
      <c r="F631" s="21">
        <v>46568</v>
      </c>
      <c r="G631" s="21"/>
      <c r="H631" s="21">
        <v>46204</v>
      </c>
      <c r="I631" s="21">
        <v>46568</v>
      </c>
      <c r="J631" s="19" t="s">
        <v>2095</v>
      </c>
      <c r="L631" s="19">
        <v>33.130630250000003</v>
      </c>
      <c r="M631" s="19">
        <v>33.130630250000003</v>
      </c>
      <c r="N631" s="19" t="s">
        <v>1475</v>
      </c>
      <c r="O631" s="20">
        <v>1</v>
      </c>
      <c r="S631" s="19" t="s">
        <v>20</v>
      </c>
      <c r="T631" s="19" t="s">
        <v>1471</v>
      </c>
    </row>
    <row r="632" spans="1:20">
      <c r="A632" s="20">
        <v>202603328202346</v>
      </c>
      <c r="B632" s="19" t="s">
        <v>20</v>
      </c>
      <c r="C632" s="19" t="s">
        <v>21</v>
      </c>
      <c r="D632" s="19" t="s">
        <v>20</v>
      </c>
      <c r="E632" s="21">
        <v>46204</v>
      </c>
      <c r="F632" s="21">
        <v>46568</v>
      </c>
      <c r="G632" s="21"/>
      <c r="H632" s="21">
        <v>46204</v>
      </c>
      <c r="I632" s="21">
        <v>46568</v>
      </c>
      <c r="J632" s="19" t="s">
        <v>2068</v>
      </c>
      <c r="L632" s="19">
        <v>0</v>
      </c>
      <c r="M632" s="19">
        <v>0</v>
      </c>
      <c r="N632" s="19" t="s">
        <v>2394</v>
      </c>
      <c r="O632" s="20">
        <v>5</v>
      </c>
      <c r="S632" s="19" t="s">
        <v>20</v>
      </c>
      <c r="T632" s="19" t="s">
        <v>1471</v>
      </c>
    </row>
    <row r="633" spans="1:20">
      <c r="A633" s="20">
        <v>202603328202346</v>
      </c>
      <c r="B633" s="19" t="s">
        <v>20</v>
      </c>
      <c r="C633" s="19" t="s">
        <v>21</v>
      </c>
      <c r="D633" s="19" t="s">
        <v>20</v>
      </c>
      <c r="E633" s="21">
        <v>46204</v>
      </c>
      <c r="F633" s="21">
        <v>46568</v>
      </c>
      <c r="G633" s="21"/>
      <c r="H633" s="21">
        <v>46204</v>
      </c>
      <c r="I633" s="21">
        <v>46568</v>
      </c>
      <c r="J633" s="19" t="s">
        <v>2068</v>
      </c>
      <c r="L633" s="19">
        <v>131.29342</v>
      </c>
      <c r="M633" s="19">
        <v>131.29342</v>
      </c>
      <c r="N633" s="19" t="s">
        <v>1475</v>
      </c>
      <c r="O633" s="20">
        <v>5</v>
      </c>
      <c r="S633" s="19" t="s">
        <v>20</v>
      </c>
      <c r="T633" s="19" t="s">
        <v>1471</v>
      </c>
    </row>
    <row r="634" spans="1:20">
      <c r="A634" s="20">
        <v>202603328203297</v>
      </c>
      <c r="B634" s="19" t="s">
        <v>20</v>
      </c>
      <c r="C634" s="19" t="s">
        <v>21</v>
      </c>
      <c r="D634" s="19" t="s">
        <v>20</v>
      </c>
      <c r="E634" s="21">
        <v>46204</v>
      </c>
      <c r="F634" s="21">
        <v>46568</v>
      </c>
      <c r="G634" s="21"/>
      <c r="H634" s="21">
        <v>46204</v>
      </c>
      <c r="I634" s="21">
        <v>46568</v>
      </c>
      <c r="J634" s="19" t="s">
        <v>2102</v>
      </c>
      <c r="L634" s="19">
        <v>26.258683999999999</v>
      </c>
      <c r="M634" s="19">
        <v>26.258683999999999</v>
      </c>
      <c r="N634" s="19" t="s">
        <v>1475</v>
      </c>
      <c r="O634" s="20">
        <v>1</v>
      </c>
      <c r="S634" s="19" t="s">
        <v>20</v>
      </c>
      <c r="T634" s="19" t="s">
        <v>1471</v>
      </c>
    </row>
    <row r="635" spans="1:20">
      <c r="A635" s="20">
        <v>202603328205251</v>
      </c>
      <c r="B635" s="19" t="s">
        <v>20</v>
      </c>
      <c r="C635" s="19" t="s">
        <v>21</v>
      </c>
      <c r="D635" s="19" t="s">
        <v>20</v>
      </c>
      <c r="E635" s="21">
        <v>46204</v>
      </c>
      <c r="F635" s="21">
        <v>46568</v>
      </c>
      <c r="G635" s="21"/>
      <c r="H635" s="21">
        <v>46204</v>
      </c>
      <c r="I635" s="21">
        <v>46568</v>
      </c>
      <c r="J635" s="19" t="s">
        <v>2087</v>
      </c>
      <c r="L635" s="19">
        <v>0</v>
      </c>
      <c r="M635" s="19">
        <v>0</v>
      </c>
      <c r="N635" s="19" t="s">
        <v>2394</v>
      </c>
      <c r="O635" s="20">
        <v>4</v>
      </c>
      <c r="S635" s="19" t="s">
        <v>20</v>
      </c>
      <c r="T635" s="19" t="s">
        <v>1471</v>
      </c>
    </row>
    <row r="636" spans="1:20">
      <c r="A636" s="20">
        <v>202603328205251</v>
      </c>
      <c r="B636" s="19" t="s">
        <v>20</v>
      </c>
      <c r="C636" s="19" t="s">
        <v>21</v>
      </c>
      <c r="D636" s="19" t="s">
        <v>20</v>
      </c>
      <c r="E636" s="21">
        <v>46204</v>
      </c>
      <c r="F636" s="21">
        <v>46568</v>
      </c>
      <c r="G636" s="21"/>
      <c r="H636" s="21">
        <v>46204</v>
      </c>
      <c r="I636" s="21">
        <v>46568</v>
      </c>
      <c r="J636" s="19" t="s">
        <v>2087</v>
      </c>
      <c r="L636" s="19">
        <v>132.52252100000001</v>
      </c>
      <c r="M636" s="19">
        <v>132.52252100000001</v>
      </c>
      <c r="N636" s="19" t="s">
        <v>1475</v>
      </c>
      <c r="O636" s="20">
        <v>4</v>
      </c>
      <c r="S636" s="19" t="s">
        <v>20</v>
      </c>
      <c r="T636" s="19" t="s">
        <v>1471</v>
      </c>
    </row>
    <row r="637" spans="1:20">
      <c r="A637" s="20">
        <v>202603328205297</v>
      </c>
      <c r="B637" s="19" t="s">
        <v>20</v>
      </c>
      <c r="C637" s="19" t="s">
        <v>21</v>
      </c>
      <c r="D637" s="19" t="s">
        <v>20</v>
      </c>
      <c r="E637" s="21">
        <v>46204</v>
      </c>
      <c r="F637" s="21">
        <v>46568</v>
      </c>
      <c r="G637" s="21"/>
      <c r="H637" s="21">
        <v>46204</v>
      </c>
      <c r="I637" s="21">
        <v>46568</v>
      </c>
      <c r="J637" s="19" t="s">
        <v>2068</v>
      </c>
      <c r="L637" s="19">
        <v>0</v>
      </c>
      <c r="M637" s="19">
        <v>0</v>
      </c>
      <c r="N637" s="19" t="s">
        <v>2394</v>
      </c>
      <c r="O637" s="20">
        <v>4</v>
      </c>
      <c r="S637" s="19" t="s">
        <v>20</v>
      </c>
      <c r="T637" s="19" t="s">
        <v>1471</v>
      </c>
    </row>
    <row r="638" spans="1:20">
      <c r="A638" s="20">
        <v>202603328205297</v>
      </c>
      <c r="B638" s="19" t="s">
        <v>20</v>
      </c>
      <c r="C638" s="19" t="s">
        <v>21</v>
      </c>
      <c r="D638" s="19" t="s">
        <v>20</v>
      </c>
      <c r="E638" s="21">
        <v>46204</v>
      </c>
      <c r="F638" s="21">
        <v>46568</v>
      </c>
      <c r="G638" s="21"/>
      <c r="H638" s="21">
        <v>46204</v>
      </c>
      <c r="I638" s="21">
        <v>46568</v>
      </c>
      <c r="J638" s="19" t="s">
        <v>2068</v>
      </c>
      <c r="L638" s="19">
        <v>105.034736</v>
      </c>
      <c r="M638" s="19">
        <v>105.034736</v>
      </c>
      <c r="N638" s="19" t="s">
        <v>1475</v>
      </c>
      <c r="O638" s="20">
        <v>4</v>
      </c>
      <c r="S638" s="19" t="s">
        <v>20</v>
      </c>
      <c r="T638" s="19" t="s">
        <v>1471</v>
      </c>
    </row>
    <row r="639" spans="1:20">
      <c r="A639" s="20">
        <v>202603328205554</v>
      </c>
      <c r="B639" s="19" t="s">
        <v>20</v>
      </c>
      <c r="C639" s="19" t="s">
        <v>21</v>
      </c>
      <c r="D639" s="19" t="s">
        <v>20</v>
      </c>
      <c r="E639" s="21">
        <v>46204</v>
      </c>
      <c r="F639" s="21">
        <v>46568</v>
      </c>
      <c r="G639" s="21"/>
      <c r="H639" s="21">
        <v>46204</v>
      </c>
      <c r="I639" s="21">
        <v>46568</v>
      </c>
      <c r="J639" s="19" t="s">
        <v>2068</v>
      </c>
      <c r="L639" s="19">
        <v>26.258683999999999</v>
      </c>
      <c r="M639" s="19">
        <v>26.258683999999999</v>
      </c>
      <c r="N639" s="19" t="s">
        <v>1475</v>
      </c>
      <c r="O639" s="20">
        <v>1</v>
      </c>
      <c r="S639" s="19" t="s">
        <v>20</v>
      </c>
      <c r="T639" s="19" t="s">
        <v>1471</v>
      </c>
    </row>
    <row r="640" spans="1:20">
      <c r="A640" s="20">
        <v>202603328205684</v>
      </c>
      <c r="B640" s="19" t="s">
        <v>20</v>
      </c>
      <c r="C640" s="19" t="s">
        <v>21</v>
      </c>
      <c r="D640" s="19" t="s">
        <v>20</v>
      </c>
      <c r="E640" s="21">
        <v>46204</v>
      </c>
      <c r="F640" s="21">
        <v>46568</v>
      </c>
      <c r="G640" s="21"/>
      <c r="H640" s="21">
        <v>46204</v>
      </c>
      <c r="I640" s="21">
        <v>46568</v>
      </c>
      <c r="J640" s="19" t="s">
        <v>2089</v>
      </c>
      <c r="L640" s="19">
        <v>0</v>
      </c>
      <c r="M640" s="19">
        <v>0</v>
      </c>
      <c r="N640" s="19" t="s">
        <v>2394</v>
      </c>
      <c r="O640" s="20">
        <v>5</v>
      </c>
      <c r="S640" s="19" t="s">
        <v>20</v>
      </c>
      <c r="T640" s="19" t="s">
        <v>1471</v>
      </c>
    </row>
    <row r="641" spans="1:20">
      <c r="A641" s="20">
        <v>202603328205684</v>
      </c>
      <c r="B641" s="19" t="s">
        <v>20</v>
      </c>
      <c r="C641" s="19" t="s">
        <v>21</v>
      </c>
      <c r="D641" s="19" t="s">
        <v>20</v>
      </c>
      <c r="E641" s="21">
        <v>46204</v>
      </c>
      <c r="F641" s="21">
        <v>46568</v>
      </c>
      <c r="G641" s="21"/>
      <c r="H641" s="21">
        <v>46204</v>
      </c>
      <c r="I641" s="21">
        <v>46568</v>
      </c>
      <c r="J641" s="19" t="s">
        <v>2089</v>
      </c>
      <c r="L641" s="19">
        <v>119.84145375</v>
      </c>
      <c r="M641" s="19">
        <v>119.84145375</v>
      </c>
      <c r="N641" s="19" t="s">
        <v>1475</v>
      </c>
      <c r="O641" s="20">
        <v>5</v>
      </c>
      <c r="S641" s="19" t="s">
        <v>20</v>
      </c>
      <c r="T641" s="19" t="s">
        <v>1471</v>
      </c>
    </row>
    <row r="642" spans="1:20">
      <c r="A642" s="20">
        <v>202603328207139</v>
      </c>
      <c r="B642" s="19" t="s">
        <v>20</v>
      </c>
      <c r="C642" s="19" t="s">
        <v>21</v>
      </c>
      <c r="D642" s="19" t="s">
        <v>20</v>
      </c>
      <c r="E642" s="21">
        <v>46204</v>
      </c>
      <c r="F642" s="21">
        <v>46568</v>
      </c>
      <c r="G642" s="21"/>
      <c r="H642" s="21">
        <v>46204</v>
      </c>
      <c r="I642" s="21">
        <v>46568</v>
      </c>
      <c r="J642" s="19" t="s">
        <v>2062</v>
      </c>
      <c r="L642" s="19">
        <v>0</v>
      </c>
      <c r="M642" s="19">
        <v>0</v>
      </c>
      <c r="N642" s="19" t="s">
        <v>2394</v>
      </c>
      <c r="O642" s="20">
        <v>4</v>
      </c>
      <c r="S642" s="19" t="s">
        <v>20</v>
      </c>
      <c r="T642" s="19" t="s">
        <v>1471</v>
      </c>
    </row>
    <row r="643" spans="1:20">
      <c r="A643" s="20">
        <v>202603328207139</v>
      </c>
      <c r="B643" s="19" t="s">
        <v>20</v>
      </c>
      <c r="C643" s="19" t="s">
        <v>21</v>
      </c>
      <c r="D643" s="19" t="s">
        <v>20</v>
      </c>
      <c r="E643" s="21">
        <v>46204</v>
      </c>
      <c r="F643" s="21">
        <v>46568</v>
      </c>
      <c r="G643" s="21"/>
      <c r="H643" s="21">
        <v>46204</v>
      </c>
      <c r="I643" s="21">
        <v>46568</v>
      </c>
      <c r="J643" s="19" t="s">
        <v>2062</v>
      </c>
      <c r="L643" s="19">
        <v>132.52252100000001</v>
      </c>
      <c r="M643" s="19">
        <v>132.52252100000001</v>
      </c>
      <c r="N643" s="19" t="s">
        <v>1475</v>
      </c>
      <c r="O643" s="20">
        <v>4</v>
      </c>
      <c r="S643" s="19" t="s">
        <v>20</v>
      </c>
      <c r="T643" s="19" t="s">
        <v>1471</v>
      </c>
    </row>
    <row r="644" spans="1:20">
      <c r="A644" s="20">
        <v>202603328207886</v>
      </c>
      <c r="B644" s="19" t="s">
        <v>20</v>
      </c>
      <c r="C644" s="19" t="s">
        <v>21</v>
      </c>
      <c r="D644" s="19" t="s">
        <v>20</v>
      </c>
      <c r="E644" s="21">
        <v>46204</v>
      </c>
      <c r="F644" s="21">
        <v>46568</v>
      </c>
      <c r="G644" s="21"/>
      <c r="H644" s="21">
        <v>46204</v>
      </c>
      <c r="I644" s="21">
        <v>46568</v>
      </c>
      <c r="J644" s="19" t="s">
        <v>2064</v>
      </c>
      <c r="L644" s="19">
        <v>33.130630250000003</v>
      </c>
      <c r="M644" s="19">
        <v>33.130630250000003</v>
      </c>
      <c r="N644" s="19" t="s">
        <v>1475</v>
      </c>
      <c r="O644" s="20">
        <v>1</v>
      </c>
      <c r="S644" s="19" t="s">
        <v>20</v>
      </c>
      <c r="T644" s="19" t="s">
        <v>1471</v>
      </c>
    </row>
    <row r="645" spans="1:20">
      <c r="A645" s="20">
        <v>202603328208187</v>
      </c>
      <c r="B645" s="19" t="s">
        <v>20</v>
      </c>
      <c r="C645" s="19" t="s">
        <v>21</v>
      </c>
      <c r="D645" s="19" t="s">
        <v>20</v>
      </c>
      <c r="E645" s="21">
        <v>46204</v>
      </c>
      <c r="F645" s="21">
        <v>46568</v>
      </c>
      <c r="G645" s="21"/>
      <c r="H645" s="21">
        <v>46204</v>
      </c>
      <c r="I645" s="21">
        <v>46568</v>
      </c>
      <c r="J645" s="19" t="s">
        <v>2068</v>
      </c>
      <c r="L645" s="19">
        <v>26.258683999999999</v>
      </c>
      <c r="M645" s="19">
        <v>26.258683999999999</v>
      </c>
      <c r="N645" s="19" t="s">
        <v>1475</v>
      </c>
      <c r="O645" s="20">
        <v>1</v>
      </c>
      <c r="S645" s="19" t="s">
        <v>20</v>
      </c>
      <c r="T645" s="19" t="s">
        <v>1471</v>
      </c>
    </row>
    <row r="646" spans="1:20">
      <c r="A646" s="20">
        <v>202603328208371</v>
      </c>
      <c r="B646" s="19" t="s">
        <v>20</v>
      </c>
      <c r="C646" s="19" t="s">
        <v>21</v>
      </c>
      <c r="D646" s="19" t="s">
        <v>20</v>
      </c>
      <c r="E646" s="21">
        <v>46204</v>
      </c>
      <c r="F646" s="21">
        <v>46568</v>
      </c>
      <c r="G646" s="21"/>
      <c r="H646" s="21">
        <v>46204</v>
      </c>
      <c r="I646" s="21">
        <v>46568</v>
      </c>
      <c r="J646" s="19" t="s">
        <v>2062</v>
      </c>
      <c r="L646" s="19">
        <v>0</v>
      </c>
      <c r="M646" s="19">
        <v>0</v>
      </c>
      <c r="N646" s="19" t="s">
        <v>2394</v>
      </c>
      <c r="O646" s="20">
        <v>4</v>
      </c>
      <c r="S646" s="19" t="s">
        <v>20</v>
      </c>
      <c r="T646" s="19" t="s">
        <v>1471</v>
      </c>
    </row>
    <row r="647" spans="1:20">
      <c r="A647" s="20">
        <v>202603328208371</v>
      </c>
      <c r="B647" s="19" t="s">
        <v>20</v>
      </c>
      <c r="C647" s="19" t="s">
        <v>21</v>
      </c>
      <c r="D647" s="19" t="s">
        <v>2208</v>
      </c>
      <c r="E647" s="21">
        <v>46204</v>
      </c>
      <c r="F647" s="21">
        <v>46568</v>
      </c>
      <c r="G647" s="21"/>
      <c r="H647" s="21">
        <v>46204</v>
      </c>
      <c r="I647" s="21">
        <v>46568</v>
      </c>
      <c r="J647" s="19" t="s">
        <v>2062</v>
      </c>
      <c r="L647" s="19">
        <v>66.908733999999995</v>
      </c>
      <c r="M647" s="19">
        <v>66.908733999999995</v>
      </c>
      <c r="N647" s="19" t="s">
        <v>1467</v>
      </c>
      <c r="O647" s="20">
        <v>4</v>
      </c>
      <c r="S647" s="19" t="s">
        <v>20</v>
      </c>
      <c r="T647" s="19" t="s">
        <v>1471</v>
      </c>
    </row>
    <row r="648" spans="1:20">
      <c r="A648" s="20">
        <v>202603328209109</v>
      </c>
      <c r="B648" s="19" t="s">
        <v>20</v>
      </c>
      <c r="C648" s="19" t="s">
        <v>21</v>
      </c>
      <c r="D648" s="19" t="s">
        <v>20</v>
      </c>
      <c r="E648" s="21">
        <v>46204</v>
      </c>
      <c r="F648" s="21">
        <v>46568</v>
      </c>
      <c r="G648" s="21"/>
      <c r="H648" s="21">
        <v>46204</v>
      </c>
      <c r="I648" s="21">
        <v>46568</v>
      </c>
      <c r="J648" s="19" t="s">
        <v>1473</v>
      </c>
      <c r="L648" s="19">
        <v>0</v>
      </c>
      <c r="M648" s="19">
        <v>0</v>
      </c>
      <c r="N648" s="19" t="s">
        <v>2394</v>
      </c>
      <c r="O648" s="20">
        <v>2</v>
      </c>
      <c r="S648" s="19" t="s">
        <v>20</v>
      </c>
      <c r="T648" s="19" t="s">
        <v>1471</v>
      </c>
    </row>
    <row r="649" spans="1:20">
      <c r="A649" s="20">
        <v>202603328209109</v>
      </c>
      <c r="B649" s="19" t="s">
        <v>20</v>
      </c>
      <c r="C649" s="19" t="s">
        <v>21</v>
      </c>
      <c r="D649" s="19" t="s">
        <v>20</v>
      </c>
      <c r="E649" s="21">
        <v>46204</v>
      </c>
      <c r="F649" s="21">
        <v>46568</v>
      </c>
      <c r="G649" s="21"/>
      <c r="H649" s="21">
        <v>46204</v>
      </c>
      <c r="I649" s="21">
        <v>46568</v>
      </c>
      <c r="J649" s="19" t="s">
        <v>1473</v>
      </c>
      <c r="L649" s="19">
        <v>49.241346999999998</v>
      </c>
      <c r="M649" s="19">
        <v>49.241346999999998</v>
      </c>
      <c r="N649" s="19" t="s">
        <v>1475</v>
      </c>
      <c r="O649" s="20">
        <v>2</v>
      </c>
      <c r="S649" s="19" t="s">
        <v>20</v>
      </c>
      <c r="T649" s="19" t="s">
        <v>1471</v>
      </c>
    </row>
    <row r="650" spans="1:20">
      <c r="A650" s="20">
        <v>202603328209528</v>
      </c>
      <c r="B650" s="19" t="s">
        <v>20</v>
      </c>
      <c r="C650" s="19" t="s">
        <v>21</v>
      </c>
      <c r="D650" s="19" t="s">
        <v>20</v>
      </c>
      <c r="E650" s="21">
        <v>46204</v>
      </c>
      <c r="F650" s="21">
        <v>46568</v>
      </c>
      <c r="G650" s="21"/>
      <c r="H650" s="21">
        <v>46204</v>
      </c>
      <c r="I650" s="21">
        <v>46568</v>
      </c>
      <c r="J650" s="19" t="s">
        <v>2104</v>
      </c>
      <c r="L650" s="19">
        <v>0</v>
      </c>
      <c r="M650" s="19">
        <v>0</v>
      </c>
      <c r="N650" s="19" t="s">
        <v>2394</v>
      </c>
      <c r="O650" s="20">
        <v>3</v>
      </c>
      <c r="S650" s="19" t="s">
        <v>20</v>
      </c>
      <c r="T650" s="19" t="s">
        <v>1471</v>
      </c>
    </row>
    <row r="651" spans="1:20">
      <c r="A651" s="20">
        <v>202603328209528</v>
      </c>
      <c r="B651" s="19" t="s">
        <v>20</v>
      </c>
      <c r="C651" s="19" t="s">
        <v>21</v>
      </c>
      <c r="D651" s="19" t="s">
        <v>20</v>
      </c>
      <c r="E651" s="21">
        <v>46204</v>
      </c>
      <c r="F651" s="21">
        <v>46568</v>
      </c>
      <c r="G651" s="21"/>
      <c r="H651" s="21">
        <v>46204</v>
      </c>
      <c r="I651" s="21">
        <v>46568</v>
      </c>
      <c r="J651" s="19" t="s">
        <v>2104</v>
      </c>
      <c r="L651" s="19">
        <v>99.391890750000002</v>
      </c>
      <c r="M651" s="19">
        <v>99.391890750000002</v>
      </c>
      <c r="N651" s="19" t="s">
        <v>1475</v>
      </c>
      <c r="O651" s="20">
        <v>3</v>
      </c>
      <c r="S651" s="19" t="s">
        <v>20</v>
      </c>
      <c r="T651" s="19" t="s">
        <v>1471</v>
      </c>
    </row>
    <row r="652" spans="1:20">
      <c r="A652" s="20">
        <v>202603328209951</v>
      </c>
      <c r="B652" s="19" t="s">
        <v>20</v>
      </c>
      <c r="C652" s="19" t="s">
        <v>21</v>
      </c>
      <c r="D652" s="19" t="s">
        <v>20</v>
      </c>
      <c r="E652" s="21">
        <v>46204</v>
      </c>
      <c r="F652" s="21">
        <v>46568</v>
      </c>
      <c r="G652" s="21"/>
      <c r="H652" s="21">
        <v>46204</v>
      </c>
      <c r="I652" s="21">
        <v>46568</v>
      </c>
      <c r="J652" s="19" t="s">
        <v>2104</v>
      </c>
      <c r="L652" s="19">
        <v>33.130630250000003</v>
      </c>
      <c r="M652" s="19">
        <v>33.130630250000003</v>
      </c>
      <c r="N652" s="19" t="s">
        <v>1475</v>
      </c>
      <c r="O652" s="20">
        <v>1</v>
      </c>
      <c r="S652" s="19" t="s">
        <v>20</v>
      </c>
      <c r="T652" s="19" t="s">
        <v>1471</v>
      </c>
    </row>
    <row r="653" spans="1:20">
      <c r="A653" s="20">
        <v>202603328210093</v>
      </c>
      <c r="B653" s="19" t="s">
        <v>20</v>
      </c>
      <c r="C653" s="19" t="s">
        <v>21</v>
      </c>
      <c r="D653" s="19" t="s">
        <v>20</v>
      </c>
      <c r="E653" s="21">
        <v>46204</v>
      </c>
      <c r="F653" s="21">
        <v>46568</v>
      </c>
      <c r="G653" s="21"/>
      <c r="H653" s="21">
        <v>46204</v>
      </c>
      <c r="I653" s="21">
        <v>46568</v>
      </c>
      <c r="J653" s="19" t="s">
        <v>2083</v>
      </c>
      <c r="L653" s="19">
        <v>0</v>
      </c>
      <c r="M653" s="19">
        <v>0</v>
      </c>
      <c r="N653" s="19" t="s">
        <v>2394</v>
      </c>
      <c r="O653" s="20">
        <v>4</v>
      </c>
      <c r="S653" s="19" t="s">
        <v>20</v>
      </c>
      <c r="T653" s="19" t="s">
        <v>1471</v>
      </c>
    </row>
    <row r="654" spans="1:20">
      <c r="A654" s="20">
        <v>202603328210093</v>
      </c>
      <c r="B654" s="19" t="s">
        <v>20</v>
      </c>
      <c r="C654" s="19" t="s">
        <v>21</v>
      </c>
      <c r="D654" s="19" t="s">
        <v>20</v>
      </c>
      <c r="E654" s="21">
        <v>46204</v>
      </c>
      <c r="F654" s="21">
        <v>46568</v>
      </c>
      <c r="G654" s="21"/>
      <c r="H654" s="21">
        <v>46204</v>
      </c>
      <c r="I654" s="21">
        <v>46568</v>
      </c>
      <c r="J654" s="19" t="s">
        <v>2083</v>
      </c>
      <c r="L654" s="19">
        <v>132.52252100000001</v>
      </c>
      <c r="M654" s="19">
        <v>132.52252100000001</v>
      </c>
      <c r="N654" s="19" t="s">
        <v>1475</v>
      </c>
      <c r="O654" s="20">
        <v>4</v>
      </c>
      <c r="S654" s="19" t="s">
        <v>20</v>
      </c>
      <c r="T654" s="19" t="s">
        <v>1471</v>
      </c>
    </row>
    <row r="655" spans="1:20">
      <c r="A655" s="20">
        <v>202603328210435</v>
      </c>
      <c r="B655" s="19" t="s">
        <v>20</v>
      </c>
      <c r="C655" s="19" t="s">
        <v>21</v>
      </c>
      <c r="D655" s="19" t="s">
        <v>20</v>
      </c>
      <c r="E655" s="21">
        <v>46204</v>
      </c>
      <c r="F655" s="21">
        <v>46568</v>
      </c>
      <c r="G655" s="21"/>
      <c r="H655" s="21">
        <v>46204</v>
      </c>
      <c r="I655" s="21">
        <v>46568</v>
      </c>
      <c r="J655" s="19" t="s">
        <v>2064</v>
      </c>
      <c r="L655" s="19">
        <v>0</v>
      </c>
      <c r="M655" s="19">
        <v>0</v>
      </c>
      <c r="N655" s="19" t="s">
        <v>2394</v>
      </c>
      <c r="O655" s="20">
        <v>4</v>
      </c>
      <c r="S655" s="19" t="s">
        <v>20</v>
      </c>
      <c r="T655" s="19" t="s">
        <v>1471</v>
      </c>
    </row>
    <row r="656" spans="1:20">
      <c r="A656" s="20">
        <v>202603328210435</v>
      </c>
      <c r="B656" s="19" t="s">
        <v>20</v>
      </c>
      <c r="C656" s="19" t="s">
        <v>21</v>
      </c>
      <c r="D656" s="19" t="s">
        <v>20</v>
      </c>
      <c r="E656" s="21">
        <v>46204</v>
      </c>
      <c r="F656" s="21">
        <v>46568</v>
      </c>
      <c r="G656" s="21"/>
      <c r="H656" s="21">
        <v>46204</v>
      </c>
      <c r="I656" s="21">
        <v>46568</v>
      </c>
      <c r="J656" s="19" t="s">
        <v>2064</v>
      </c>
      <c r="L656" s="19">
        <v>132.52252100000001</v>
      </c>
      <c r="M656" s="19">
        <v>132.52252100000001</v>
      </c>
      <c r="N656" s="19" t="s">
        <v>1475</v>
      </c>
      <c r="O656" s="20">
        <v>4</v>
      </c>
      <c r="S656" s="19" t="s">
        <v>20</v>
      </c>
      <c r="T656" s="19" t="s">
        <v>1471</v>
      </c>
    </row>
    <row r="657" spans="1:20">
      <c r="A657" s="20">
        <v>202603328210436</v>
      </c>
      <c r="B657" s="19" t="s">
        <v>20</v>
      </c>
      <c r="C657" s="19" t="s">
        <v>21</v>
      </c>
      <c r="D657" s="19" t="s">
        <v>20</v>
      </c>
      <c r="E657" s="21">
        <v>46204</v>
      </c>
      <c r="F657" s="21">
        <v>46568</v>
      </c>
      <c r="G657" s="21"/>
      <c r="H657" s="21">
        <v>46204</v>
      </c>
      <c r="I657" s="21">
        <v>46568</v>
      </c>
      <c r="J657" s="19" t="s">
        <v>2064</v>
      </c>
      <c r="L657" s="19">
        <v>66.261260500000006</v>
      </c>
      <c r="M657" s="19">
        <v>66.261260500000006</v>
      </c>
      <c r="N657" s="19" t="s">
        <v>1475</v>
      </c>
      <c r="O657" s="20">
        <v>2</v>
      </c>
      <c r="S657" s="19" t="s">
        <v>20</v>
      </c>
      <c r="T657" s="19" t="s">
        <v>1471</v>
      </c>
    </row>
    <row r="658" spans="1:20">
      <c r="A658" s="20">
        <v>202603328211206</v>
      </c>
      <c r="B658" s="19" t="s">
        <v>20</v>
      </c>
      <c r="C658" s="19" t="s">
        <v>21</v>
      </c>
      <c r="D658" s="19" t="s">
        <v>20</v>
      </c>
      <c r="E658" s="21">
        <v>46204</v>
      </c>
      <c r="F658" s="21">
        <v>46568</v>
      </c>
      <c r="G658" s="21"/>
      <c r="H658" s="21">
        <v>46204</v>
      </c>
      <c r="I658" s="21">
        <v>46568</v>
      </c>
      <c r="J658" s="19" t="s">
        <v>2064</v>
      </c>
      <c r="L658" s="19">
        <v>33.130630250000003</v>
      </c>
      <c r="M658" s="19">
        <v>33.130630250000003</v>
      </c>
      <c r="N658" s="19" t="s">
        <v>1475</v>
      </c>
      <c r="O658" s="20">
        <v>1</v>
      </c>
      <c r="S658" s="19" t="s">
        <v>20</v>
      </c>
      <c r="T658" s="19" t="s">
        <v>1471</v>
      </c>
    </row>
    <row r="659" spans="1:20">
      <c r="A659" s="20">
        <v>202603328212266</v>
      </c>
      <c r="B659" s="19" t="s">
        <v>20</v>
      </c>
      <c r="C659" s="19" t="s">
        <v>21</v>
      </c>
      <c r="D659" s="19" t="s">
        <v>20</v>
      </c>
      <c r="E659" s="21">
        <v>46204</v>
      </c>
      <c r="F659" s="21">
        <v>46568</v>
      </c>
      <c r="G659" s="21"/>
      <c r="H659" s="21">
        <v>46204</v>
      </c>
      <c r="I659" s="21">
        <v>46568</v>
      </c>
      <c r="J659" s="19" t="s">
        <v>2064</v>
      </c>
      <c r="L659" s="19">
        <v>33.130630250000003</v>
      </c>
      <c r="M659" s="19">
        <v>33.130630250000003</v>
      </c>
      <c r="N659" s="19" t="s">
        <v>1475</v>
      </c>
      <c r="O659" s="20">
        <v>1</v>
      </c>
      <c r="S659" s="19" t="s">
        <v>20</v>
      </c>
      <c r="T659" s="19" t="s">
        <v>1471</v>
      </c>
    </row>
    <row r="660" spans="1:20">
      <c r="A660" s="20">
        <v>202603328212917</v>
      </c>
      <c r="B660" s="19" t="s">
        <v>20</v>
      </c>
      <c r="C660" s="19" t="s">
        <v>21</v>
      </c>
      <c r="D660" s="19" t="s">
        <v>20</v>
      </c>
      <c r="E660" s="21">
        <v>46204</v>
      </c>
      <c r="F660" s="21">
        <v>46568</v>
      </c>
      <c r="G660" s="21"/>
      <c r="H660" s="21">
        <v>46204</v>
      </c>
      <c r="I660" s="21">
        <v>46568</v>
      </c>
      <c r="J660" s="19" t="s">
        <v>2064</v>
      </c>
      <c r="L660" s="19">
        <v>0</v>
      </c>
      <c r="M660" s="19">
        <v>0</v>
      </c>
      <c r="N660" s="19" t="s">
        <v>2394</v>
      </c>
      <c r="O660" s="20">
        <v>4</v>
      </c>
      <c r="S660" s="19" t="s">
        <v>20</v>
      </c>
      <c r="T660" s="19" t="s">
        <v>1471</v>
      </c>
    </row>
    <row r="661" spans="1:20">
      <c r="A661" s="20">
        <v>202603328212917</v>
      </c>
      <c r="B661" s="19" t="s">
        <v>20</v>
      </c>
      <c r="C661" s="19" t="s">
        <v>21</v>
      </c>
      <c r="D661" s="19" t="s">
        <v>20</v>
      </c>
      <c r="E661" s="21">
        <v>46204</v>
      </c>
      <c r="F661" s="21">
        <v>46568</v>
      </c>
      <c r="G661" s="21"/>
      <c r="H661" s="21">
        <v>46204</v>
      </c>
      <c r="I661" s="21">
        <v>46568</v>
      </c>
      <c r="J661" s="19" t="s">
        <v>2064</v>
      </c>
      <c r="L661" s="19">
        <v>132.52252100000001</v>
      </c>
      <c r="M661" s="19">
        <v>132.52252100000001</v>
      </c>
      <c r="N661" s="19" t="s">
        <v>1475</v>
      </c>
      <c r="O661" s="20">
        <v>4</v>
      </c>
      <c r="S661" s="19" t="s">
        <v>20</v>
      </c>
      <c r="T661" s="19" t="s">
        <v>1471</v>
      </c>
    </row>
    <row r="662" spans="1:20">
      <c r="A662" s="20">
        <v>202603328213651</v>
      </c>
      <c r="B662" s="19" t="s">
        <v>20</v>
      </c>
      <c r="C662" s="19" t="s">
        <v>21</v>
      </c>
      <c r="D662" s="19" t="s">
        <v>20</v>
      </c>
      <c r="E662" s="21">
        <v>46204</v>
      </c>
      <c r="F662" s="21">
        <v>46568</v>
      </c>
      <c r="G662" s="21"/>
      <c r="H662" s="21">
        <v>46204</v>
      </c>
      <c r="I662" s="21">
        <v>46568</v>
      </c>
      <c r="J662" s="19" t="s">
        <v>2092</v>
      </c>
      <c r="L662" s="19">
        <v>77.319118000000003</v>
      </c>
      <c r="M662" s="19">
        <v>77.319118000000003</v>
      </c>
      <c r="N662" s="19" t="s">
        <v>1475</v>
      </c>
      <c r="O662" s="20">
        <v>2</v>
      </c>
      <c r="S662" s="19" t="s">
        <v>20</v>
      </c>
      <c r="T662" s="19" t="s">
        <v>1471</v>
      </c>
    </row>
    <row r="663" spans="1:20">
      <c r="A663" s="20">
        <v>202603328213903</v>
      </c>
      <c r="B663" s="19" t="s">
        <v>20</v>
      </c>
      <c r="C663" s="19" t="s">
        <v>21</v>
      </c>
      <c r="D663" s="19" t="s">
        <v>20</v>
      </c>
      <c r="E663" s="21">
        <v>46204</v>
      </c>
      <c r="F663" s="21">
        <v>46568</v>
      </c>
      <c r="G663" s="21"/>
      <c r="H663" s="21">
        <v>46204</v>
      </c>
      <c r="I663" s="21">
        <v>46568</v>
      </c>
      <c r="J663" s="19" t="s">
        <v>2068</v>
      </c>
      <c r="L663" s="19">
        <v>52.517367999999998</v>
      </c>
      <c r="M663" s="19">
        <v>52.517367999999998</v>
      </c>
      <c r="N663" s="19" t="s">
        <v>1475</v>
      </c>
      <c r="O663" s="20">
        <v>2</v>
      </c>
      <c r="S663" s="19" t="s">
        <v>20</v>
      </c>
      <c r="T663" s="19" t="s">
        <v>1471</v>
      </c>
    </row>
    <row r="664" spans="1:20">
      <c r="A664" s="20">
        <v>202603328215258</v>
      </c>
      <c r="B664" s="19" t="s">
        <v>20</v>
      </c>
      <c r="C664" s="19" t="s">
        <v>21</v>
      </c>
      <c r="D664" s="19" t="s">
        <v>20</v>
      </c>
      <c r="E664" s="21">
        <v>46204</v>
      </c>
      <c r="F664" s="21">
        <v>46568</v>
      </c>
      <c r="G664" s="21"/>
      <c r="H664" s="21">
        <v>46204</v>
      </c>
      <c r="I664" s="21">
        <v>46568</v>
      </c>
      <c r="J664" s="19" t="s">
        <v>2177</v>
      </c>
      <c r="L664" s="19">
        <v>15.863192</v>
      </c>
      <c r="M664" s="19">
        <v>15.863192</v>
      </c>
      <c r="N664" s="19" t="s">
        <v>1475</v>
      </c>
      <c r="O664" s="20">
        <v>1</v>
      </c>
      <c r="S664" s="19" t="s">
        <v>20</v>
      </c>
      <c r="T664" s="19" t="s">
        <v>1471</v>
      </c>
    </row>
    <row r="665" spans="1:20">
      <c r="A665" s="20">
        <v>202603328215615</v>
      </c>
      <c r="B665" s="19" t="s">
        <v>20</v>
      </c>
      <c r="C665" s="19" t="s">
        <v>21</v>
      </c>
      <c r="D665" s="19" t="s">
        <v>20</v>
      </c>
      <c r="E665" s="21">
        <v>46204</v>
      </c>
      <c r="F665" s="21">
        <v>46568</v>
      </c>
      <c r="G665" s="21"/>
      <c r="H665" s="21">
        <v>46204</v>
      </c>
      <c r="I665" s="21">
        <v>46568</v>
      </c>
      <c r="J665" s="19" t="s">
        <v>2085</v>
      </c>
      <c r="L665" s="19">
        <v>24.620673499999999</v>
      </c>
      <c r="M665" s="19">
        <v>24.620673499999999</v>
      </c>
      <c r="N665" s="19" t="s">
        <v>1475</v>
      </c>
      <c r="O665" s="20">
        <v>1</v>
      </c>
      <c r="S665" s="19" t="s">
        <v>20</v>
      </c>
      <c r="T665" s="19" t="s">
        <v>1471</v>
      </c>
    </row>
    <row r="666" spans="1:20">
      <c r="A666" s="20">
        <v>202603328215998</v>
      </c>
      <c r="B666" s="19" t="s">
        <v>20</v>
      </c>
      <c r="C666" s="19" t="s">
        <v>21</v>
      </c>
      <c r="D666" s="19" t="s">
        <v>20</v>
      </c>
      <c r="E666" s="21">
        <v>46204</v>
      </c>
      <c r="F666" s="21">
        <v>46568</v>
      </c>
      <c r="G666" s="21"/>
      <c r="H666" s="21">
        <v>46204</v>
      </c>
      <c r="I666" s="21">
        <v>46568</v>
      </c>
      <c r="J666" s="19" t="s">
        <v>2153</v>
      </c>
      <c r="L666" s="19">
        <v>23.968290750000001</v>
      </c>
      <c r="M666" s="19">
        <v>23.968290750000001</v>
      </c>
      <c r="N666" s="19" t="s">
        <v>1475</v>
      </c>
      <c r="O666" s="20">
        <v>1</v>
      </c>
      <c r="S666" s="19" t="s">
        <v>20</v>
      </c>
      <c r="T666" s="19" t="s">
        <v>1471</v>
      </c>
    </row>
    <row r="667" spans="1:20">
      <c r="A667" s="20">
        <v>202603328216413</v>
      </c>
      <c r="B667" s="19" t="s">
        <v>20</v>
      </c>
      <c r="C667" s="19" t="s">
        <v>21</v>
      </c>
      <c r="D667" s="19" t="s">
        <v>20</v>
      </c>
      <c r="E667" s="21">
        <v>46204</v>
      </c>
      <c r="F667" s="21">
        <v>46568</v>
      </c>
      <c r="G667" s="21"/>
      <c r="H667" s="21">
        <v>46204</v>
      </c>
      <c r="I667" s="21">
        <v>46568</v>
      </c>
      <c r="J667" s="19" t="s">
        <v>2068</v>
      </c>
      <c r="L667" s="19">
        <v>26.258683999999999</v>
      </c>
      <c r="M667" s="19">
        <v>26.258683999999999</v>
      </c>
      <c r="N667" s="19" t="s">
        <v>1475</v>
      </c>
      <c r="O667" s="20">
        <v>1</v>
      </c>
      <c r="S667" s="19" t="s">
        <v>20</v>
      </c>
      <c r="T667" s="19" t="s">
        <v>1471</v>
      </c>
    </row>
    <row r="668" spans="1:20">
      <c r="A668" s="20">
        <v>202603328216552</v>
      </c>
      <c r="B668" s="19" t="s">
        <v>20</v>
      </c>
      <c r="C668" s="19" t="s">
        <v>21</v>
      </c>
      <c r="D668" s="19" t="s">
        <v>20</v>
      </c>
      <c r="E668" s="21">
        <v>46204</v>
      </c>
      <c r="F668" s="21">
        <v>46568</v>
      </c>
      <c r="G668" s="21"/>
      <c r="H668" s="21">
        <v>46204</v>
      </c>
      <c r="I668" s="21">
        <v>46568</v>
      </c>
      <c r="J668" s="19" t="s">
        <v>2064</v>
      </c>
      <c r="L668" s="19">
        <v>0</v>
      </c>
      <c r="M668" s="19">
        <v>0</v>
      </c>
      <c r="N668" s="19" t="s">
        <v>2394</v>
      </c>
      <c r="O668" s="20">
        <v>5</v>
      </c>
      <c r="S668" s="19" t="s">
        <v>20</v>
      </c>
      <c r="T668" s="19" t="s">
        <v>1471</v>
      </c>
    </row>
    <row r="669" spans="1:20">
      <c r="A669" s="20">
        <v>202603328216552</v>
      </c>
      <c r="B669" s="19" t="s">
        <v>20</v>
      </c>
      <c r="C669" s="19" t="s">
        <v>21</v>
      </c>
      <c r="D669" s="19" t="s">
        <v>20</v>
      </c>
      <c r="E669" s="21">
        <v>46204</v>
      </c>
      <c r="F669" s="21">
        <v>46568</v>
      </c>
      <c r="G669" s="21"/>
      <c r="H669" s="21">
        <v>46204</v>
      </c>
      <c r="I669" s="21">
        <v>46568</v>
      </c>
      <c r="J669" s="19" t="s">
        <v>2064</v>
      </c>
      <c r="L669" s="19">
        <v>165.65315125000001</v>
      </c>
      <c r="M669" s="19">
        <v>165.65315125000001</v>
      </c>
      <c r="N669" s="19" t="s">
        <v>1475</v>
      </c>
      <c r="O669" s="20">
        <v>5</v>
      </c>
      <c r="S669" s="19" t="s">
        <v>20</v>
      </c>
      <c r="T669" s="19" t="s">
        <v>1471</v>
      </c>
    </row>
    <row r="670" spans="1:20">
      <c r="A670" s="20">
        <v>202603328217346</v>
      </c>
      <c r="B670" s="19" t="s">
        <v>20</v>
      </c>
      <c r="C670" s="19" t="s">
        <v>21</v>
      </c>
      <c r="D670" s="19" t="s">
        <v>20</v>
      </c>
      <c r="E670" s="21">
        <v>46204</v>
      </c>
      <c r="F670" s="21">
        <v>46568</v>
      </c>
      <c r="G670" s="21"/>
      <c r="H670" s="21">
        <v>46204</v>
      </c>
      <c r="I670" s="21">
        <v>46568</v>
      </c>
      <c r="J670" s="19" t="s">
        <v>2101</v>
      </c>
      <c r="L670" s="19">
        <v>29.817561749999999</v>
      </c>
      <c r="M670" s="19">
        <v>29.817561749999999</v>
      </c>
      <c r="N670" s="19" t="s">
        <v>1475</v>
      </c>
      <c r="O670" s="20">
        <v>1</v>
      </c>
      <c r="S670" s="19" t="s">
        <v>20</v>
      </c>
      <c r="T670" s="19" t="s">
        <v>1471</v>
      </c>
    </row>
    <row r="671" spans="1:20">
      <c r="A671" s="20">
        <v>202603328218349</v>
      </c>
      <c r="B671" s="19" t="s">
        <v>20</v>
      </c>
      <c r="C671" s="19" t="s">
        <v>21</v>
      </c>
      <c r="D671" s="19" t="s">
        <v>20</v>
      </c>
      <c r="E671" s="21">
        <v>46204</v>
      </c>
      <c r="F671" s="21">
        <v>46568</v>
      </c>
      <c r="G671" s="21"/>
      <c r="H671" s="21">
        <v>46204</v>
      </c>
      <c r="I671" s="21">
        <v>46568</v>
      </c>
      <c r="J671" s="19" t="s">
        <v>2062</v>
      </c>
      <c r="L671" s="19">
        <v>0</v>
      </c>
      <c r="M671" s="19">
        <v>0</v>
      </c>
      <c r="N671" s="19" t="s">
        <v>2394</v>
      </c>
      <c r="O671" s="20">
        <v>5</v>
      </c>
      <c r="S671" s="19" t="s">
        <v>20</v>
      </c>
      <c r="T671" s="19" t="s">
        <v>1471</v>
      </c>
    </row>
    <row r="672" spans="1:20">
      <c r="A672" s="20">
        <v>202603328218349</v>
      </c>
      <c r="B672" s="19" t="s">
        <v>20</v>
      </c>
      <c r="C672" s="19" t="s">
        <v>21</v>
      </c>
      <c r="D672" s="19" t="s">
        <v>20</v>
      </c>
      <c r="E672" s="21">
        <v>46204</v>
      </c>
      <c r="F672" s="21">
        <v>46568</v>
      </c>
      <c r="G672" s="21"/>
      <c r="H672" s="21">
        <v>46204</v>
      </c>
      <c r="I672" s="21">
        <v>46568</v>
      </c>
      <c r="J672" s="19" t="s">
        <v>2062</v>
      </c>
      <c r="L672" s="19">
        <v>165.65315125000001</v>
      </c>
      <c r="M672" s="19">
        <v>165.65315125000001</v>
      </c>
      <c r="N672" s="19" t="s">
        <v>1475</v>
      </c>
      <c r="O672" s="20">
        <v>5</v>
      </c>
      <c r="S672" s="19" t="s">
        <v>20</v>
      </c>
      <c r="T672" s="19" t="s">
        <v>1471</v>
      </c>
    </row>
    <row r="673" spans="1:20">
      <c r="A673" s="20">
        <v>202603328219831</v>
      </c>
      <c r="B673" s="19" t="s">
        <v>20</v>
      </c>
      <c r="C673" s="19" t="s">
        <v>21</v>
      </c>
      <c r="D673" s="19" t="s">
        <v>20</v>
      </c>
      <c r="E673" s="21">
        <v>46204</v>
      </c>
      <c r="F673" s="21">
        <v>46568</v>
      </c>
      <c r="G673" s="21"/>
      <c r="H673" s="21">
        <v>46204</v>
      </c>
      <c r="I673" s="21">
        <v>46568</v>
      </c>
      <c r="J673" s="19" t="s">
        <v>2120</v>
      </c>
      <c r="L673" s="19">
        <v>0</v>
      </c>
      <c r="M673" s="19">
        <v>0</v>
      </c>
      <c r="N673" s="19" t="s">
        <v>2394</v>
      </c>
      <c r="O673" s="20">
        <v>2</v>
      </c>
      <c r="S673" s="19" t="s">
        <v>20</v>
      </c>
      <c r="T673" s="19" t="s">
        <v>1471</v>
      </c>
    </row>
    <row r="674" spans="1:20">
      <c r="A674" s="20">
        <v>202603328219831</v>
      </c>
      <c r="B674" s="19" t="s">
        <v>20</v>
      </c>
      <c r="C674" s="19" t="s">
        <v>21</v>
      </c>
      <c r="D674" s="19" t="s">
        <v>20</v>
      </c>
      <c r="E674" s="21">
        <v>46204</v>
      </c>
      <c r="F674" s="21">
        <v>46568</v>
      </c>
      <c r="G674" s="21"/>
      <c r="H674" s="21">
        <v>46204</v>
      </c>
      <c r="I674" s="21">
        <v>46568</v>
      </c>
      <c r="J674" s="19" t="s">
        <v>2120</v>
      </c>
      <c r="L674" s="19">
        <v>75.895910000000001</v>
      </c>
      <c r="M674" s="19">
        <v>75.895910000000001</v>
      </c>
      <c r="N674" s="19" t="s">
        <v>1475</v>
      </c>
      <c r="O674" s="20">
        <v>2</v>
      </c>
      <c r="S674" s="19" t="s">
        <v>20</v>
      </c>
      <c r="T674" s="19" t="s">
        <v>1471</v>
      </c>
    </row>
    <row r="675" spans="1:20">
      <c r="A675" s="20">
        <v>202603328219960</v>
      </c>
      <c r="B675" s="19" t="s">
        <v>20</v>
      </c>
      <c r="C675" s="19" t="s">
        <v>21</v>
      </c>
      <c r="D675" s="19" t="s">
        <v>20</v>
      </c>
      <c r="E675" s="21">
        <v>46204</v>
      </c>
      <c r="F675" s="21">
        <v>46568</v>
      </c>
      <c r="G675" s="21"/>
      <c r="H675" s="21">
        <v>46204</v>
      </c>
      <c r="I675" s="21">
        <v>46568</v>
      </c>
      <c r="J675" s="19" t="s">
        <v>2087</v>
      </c>
      <c r="L675" s="19">
        <v>33.130630250000003</v>
      </c>
      <c r="M675" s="19">
        <v>33.130630250000003</v>
      </c>
      <c r="N675" s="19" t="s">
        <v>1475</v>
      </c>
      <c r="O675" s="20">
        <v>1</v>
      </c>
      <c r="S675" s="19" t="s">
        <v>20</v>
      </c>
      <c r="T675" s="19" t="s">
        <v>1471</v>
      </c>
    </row>
    <row r="676" spans="1:20">
      <c r="A676" s="20">
        <v>202603328220724</v>
      </c>
      <c r="B676" s="19" t="s">
        <v>20</v>
      </c>
      <c r="C676" s="19" t="s">
        <v>21</v>
      </c>
      <c r="D676" s="19" t="s">
        <v>20</v>
      </c>
      <c r="E676" s="21">
        <v>46204</v>
      </c>
      <c r="F676" s="21">
        <v>46568</v>
      </c>
      <c r="G676" s="21"/>
      <c r="H676" s="21">
        <v>46204</v>
      </c>
      <c r="I676" s="21">
        <v>46568</v>
      </c>
      <c r="J676" s="19" t="s">
        <v>2209</v>
      </c>
      <c r="L676" s="19">
        <v>33.130630250000003</v>
      </c>
      <c r="M676" s="19">
        <v>33.130630250000003</v>
      </c>
      <c r="N676" s="19" t="s">
        <v>1475</v>
      </c>
      <c r="O676" s="20">
        <v>1</v>
      </c>
      <c r="S676" s="19" t="s">
        <v>20</v>
      </c>
      <c r="T676" s="19" t="s">
        <v>1471</v>
      </c>
    </row>
    <row r="677" spans="1:20">
      <c r="A677" s="20">
        <v>202603328220934</v>
      </c>
      <c r="B677" s="19" t="s">
        <v>20</v>
      </c>
      <c r="C677" s="19" t="s">
        <v>21</v>
      </c>
      <c r="D677" s="19" t="s">
        <v>20</v>
      </c>
      <c r="E677" s="21">
        <v>46204</v>
      </c>
      <c r="F677" s="21">
        <v>46568</v>
      </c>
      <c r="G677" s="21"/>
      <c r="H677" s="21">
        <v>46204</v>
      </c>
      <c r="I677" s="21">
        <v>46568</v>
      </c>
      <c r="J677" s="19" t="s">
        <v>2064</v>
      </c>
      <c r="L677" s="19">
        <v>0</v>
      </c>
      <c r="M677" s="19">
        <v>0</v>
      </c>
      <c r="N677" s="19" t="s">
        <v>2394</v>
      </c>
      <c r="O677" s="20">
        <v>2</v>
      </c>
      <c r="S677" s="19" t="s">
        <v>20</v>
      </c>
      <c r="T677" s="19" t="s">
        <v>1471</v>
      </c>
    </row>
    <row r="678" spans="1:20">
      <c r="A678" s="20">
        <v>202603328220934</v>
      </c>
      <c r="B678" s="19" t="s">
        <v>20</v>
      </c>
      <c r="C678" s="19" t="s">
        <v>21</v>
      </c>
      <c r="D678" s="19" t="s">
        <v>20</v>
      </c>
      <c r="E678" s="21">
        <v>46204</v>
      </c>
      <c r="F678" s="21">
        <v>46568</v>
      </c>
      <c r="G678" s="21"/>
      <c r="H678" s="21">
        <v>46204</v>
      </c>
      <c r="I678" s="21">
        <v>46568</v>
      </c>
      <c r="J678" s="19" t="s">
        <v>2064</v>
      </c>
      <c r="L678" s="19">
        <v>66.261260500000006</v>
      </c>
      <c r="M678" s="19">
        <v>66.261260500000006</v>
      </c>
      <c r="N678" s="19" t="s">
        <v>1475</v>
      </c>
      <c r="O678" s="20">
        <v>2</v>
      </c>
      <c r="S678" s="19" t="s">
        <v>20</v>
      </c>
      <c r="T678" s="19" t="s">
        <v>1471</v>
      </c>
    </row>
    <row r="679" spans="1:20">
      <c r="A679" s="20">
        <v>202603328221420</v>
      </c>
      <c r="B679" s="19" t="s">
        <v>20</v>
      </c>
      <c r="C679" s="19" t="s">
        <v>21</v>
      </c>
      <c r="D679" s="19" t="s">
        <v>20</v>
      </c>
      <c r="E679" s="21">
        <v>46204</v>
      </c>
      <c r="F679" s="21">
        <v>46568</v>
      </c>
      <c r="G679" s="21"/>
      <c r="H679" s="21">
        <v>46204</v>
      </c>
      <c r="I679" s="21">
        <v>46568</v>
      </c>
      <c r="J679" s="19" t="s">
        <v>2114</v>
      </c>
      <c r="L679" s="19">
        <v>0</v>
      </c>
      <c r="M679" s="19">
        <v>0</v>
      </c>
      <c r="N679" s="19" t="s">
        <v>2394</v>
      </c>
      <c r="O679" s="20">
        <v>5</v>
      </c>
      <c r="S679" s="19" t="s">
        <v>20</v>
      </c>
      <c r="T679" s="19" t="s">
        <v>1471</v>
      </c>
    </row>
    <row r="680" spans="1:20">
      <c r="A680" s="20">
        <v>202603328221420</v>
      </c>
      <c r="B680" s="19" t="s">
        <v>20</v>
      </c>
      <c r="C680" s="19" t="s">
        <v>21</v>
      </c>
      <c r="D680" s="19" t="s">
        <v>20</v>
      </c>
      <c r="E680" s="21">
        <v>46204</v>
      </c>
      <c r="F680" s="21">
        <v>46568</v>
      </c>
      <c r="G680" s="21"/>
      <c r="H680" s="21">
        <v>46204</v>
      </c>
      <c r="I680" s="21">
        <v>46568</v>
      </c>
      <c r="J680" s="19" t="s">
        <v>2114</v>
      </c>
      <c r="L680" s="19">
        <v>165.65315125000001</v>
      </c>
      <c r="M680" s="19">
        <v>165.65315125000001</v>
      </c>
      <c r="N680" s="19" t="s">
        <v>1475</v>
      </c>
      <c r="O680" s="20">
        <v>5</v>
      </c>
      <c r="S680" s="19" t="s">
        <v>20</v>
      </c>
      <c r="T680" s="19" t="s">
        <v>1471</v>
      </c>
    </row>
    <row r="681" spans="1:20">
      <c r="A681" s="20">
        <v>202603328221769</v>
      </c>
      <c r="B681" s="19" t="s">
        <v>20</v>
      </c>
      <c r="C681" s="19" t="s">
        <v>21</v>
      </c>
      <c r="D681" s="19" t="s">
        <v>20</v>
      </c>
      <c r="E681" s="21">
        <v>46204</v>
      </c>
      <c r="F681" s="21">
        <v>46568</v>
      </c>
      <c r="G681" s="21"/>
      <c r="H681" s="21">
        <v>46204</v>
      </c>
      <c r="I681" s="21">
        <v>46568</v>
      </c>
      <c r="J681" s="19" t="s">
        <v>2120</v>
      </c>
      <c r="L681" s="19">
        <v>0</v>
      </c>
      <c r="M681" s="19">
        <v>0</v>
      </c>
      <c r="N681" s="19" t="s">
        <v>2394</v>
      </c>
      <c r="O681" s="20">
        <v>6</v>
      </c>
      <c r="S681" s="19" t="s">
        <v>20</v>
      </c>
      <c r="T681" s="19" t="s">
        <v>1471</v>
      </c>
    </row>
    <row r="682" spans="1:20">
      <c r="A682" s="20">
        <v>202603328221769</v>
      </c>
      <c r="B682" s="19" t="s">
        <v>20</v>
      </c>
      <c r="C682" s="19" t="s">
        <v>21</v>
      </c>
      <c r="D682" s="19" t="s">
        <v>2210</v>
      </c>
      <c r="E682" s="21">
        <v>46204</v>
      </c>
      <c r="F682" s="21">
        <v>46568</v>
      </c>
      <c r="G682" s="21"/>
      <c r="H682" s="21">
        <v>46204</v>
      </c>
      <c r="I682" s="21">
        <v>46568</v>
      </c>
      <c r="J682" s="19" t="s">
        <v>2120</v>
      </c>
      <c r="L682" s="19">
        <v>227.68772999999999</v>
      </c>
      <c r="M682" s="19">
        <v>227.68772999999999</v>
      </c>
      <c r="N682" s="19" t="s">
        <v>1467</v>
      </c>
      <c r="O682" s="20">
        <v>6</v>
      </c>
      <c r="S682" s="19" t="s">
        <v>20</v>
      </c>
      <c r="T682" s="19" t="s">
        <v>1471</v>
      </c>
    </row>
    <row r="683" spans="1:20">
      <c r="A683" s="20">
        <v>202603328221853</v>
      </c>
      <c r="B683" s="19" t="s">
        <v>20</v>
      </c>
      <c r="C683" s="19" t="s">
        <v>21</v>
      </c>
      <c r="D683" s="19" t="s">
        <v>20</v>
      </c>
      <c r="E683" s="21">
        <v>46204</v>
      </c>
      <c r="F683" s="21">
        <v>46568</v>
      </c>
      <c r="G683" s="21"/>
      <c r="H683" s="21">
        <v>46204</v>
      </c>
      <c r="I683" s="21">
        <v>46568</v>
      </c>
      <c r="J683" s="19" t="s">
        <v>2080</v>
      </c>
      <c r="L683" s="19">
        <v>0</v>
      </c>
      <c r="M683" s="19">
        <v>0</v>
      </c>
      <c r="N683" s="19" t="s">
        <v>2394</v>
      </c>
      <c r="O683" s="20">
        <v>5</v>
      </c>
      <c r="S683" s="19" t="s">
        <v>20</v>
      </c>
      <c r="T683" s="19" t="s">
        <v>1471</v>
      </c>
    </row>
    <row r="684" spans="1:20">
      <c r="A684" s="20">
        <v>202603328221853</v>
      </c>
      <c r="B684" s="19" t="s">
        <v>20</v>
      </c>
      <c r="C684" s="19" t="s">
        <v>21</v>
      </c>
      <c r="D684" s="19" t="s">
        <v>20</v>
      </c>
      <c r="E684" s="21">
        <v>46204</v>
      </c>
      <c r="F684" s="21">
        <v>46568</v>
      </c>
      <c r="G684" s="21"/>
      <c r="H684" s="21">
        <v>46204</v>
      </c>
      <c r="I684" s="21">
        <v>46568</v>
      </c>
      <c r="J684" s="19" t="s">
        <v>2080</v>
      </c>
      <c r="L684" s="19">
        <v>165.65315125000001</v>
      </c>
      <c r="M684" s="19">
        <v>165.65315125000001</v>
      </c>
      <c r="N684" s="19" t="s">
        <v>1475</v>
      </c>
      <c r="O684" s="20">
        <v>5</v>
      </c>
      <c r="S684" s="19" t="s">
        <v>20</v>
      </c>
      <c r="T684" s="19" t="s">
        <v>1471</v>
      </c>
    </row>
    <row r="685" spans="1:20">
      <c r="A685" s="20">
        <v>202603328225614</v>
      </c>
      <c r="B685" s="19" t="s">
        <v>20</v>
      </c>
      <c r="C685" s="19" t="s">
        <v>21</v>
      </c>
      <c r="D685" s="19" t="s">
        <v>20</v>
      </c>
      <c r="E685" s="21">
        <v>46204</v>
      </c>
      <c r="F685" s="21">
        <v>46568</v>
      </c>
      <c r="G685" s="21"/>
      <c r="H685" s="21">
        <v>46204</v>
      </c>
      <c r="I685" s="21">
        <v>46568</v>
      </c>
      <c r="J685" s="19" t="s">
        <v>2064</v>
      </c>
      <c r="L685" s="19">
        <v>33.130630250000003</v>
      </c>
      <c r="M685" s="19">
        <v>33.130630250000003</v>
      </c>
      <c r="N685" s="19" t="s">
        <v>1475</v>
      </c>
      <c r="O685" s="20">
        <v>1</v>
      </c>
      <c r="S685" s="19" t="s">
        <v>20</v>
      </c>
      <c r="T685" s="19" t="s">
        <v>1471</v>
      </c>
    </row>
    <row r="686" spans="1:20">
      <c r="A686" s="20">
        <v>202603328228547</v>
      </c>
      <c r="B686" s="19" t="s">
        <v>20</v>
      </c>
      <c r="C686" s="19" t="s">
        <v>21</v>
      </c>
      <c r="D686" s="19" t="s">
        <v>20</v>
      </c>
      <c r="E686" s="21">
        <v>46204</v>
      </c>
      <c r="F686" s="21">
        <v>46568</v>
      </c>
      <c r="G686" s="21"/>
      <c r="H686" s="21">
        <v>46204</v>
      </c>
      <c r="I686" s="21">
        <v>46568</v>
      </c>
      <c r="J686" s="19" t="s">
        <v>2069</v>
      </c>
      <c r="L686" s="19">
        <v>33.130630250000003</v>
      </c>
      <c r="M686" s="19">
        <v>33.130630250000003</v>
      </c>
      <c r="N686" s="19" t="s">
        <v>1475</v>
      </c>
      <c r="O686" s="20">
        <v>1</v>
      </c>
      <c r="S686" s="19" t="s">
        <v>20</v>
      </c>
      <c r="T686" s="19" t="s">
        <v>1471</v>
      </c>
    </row>
    <row r="687" spans="1:20">
      <c r="A687" s="20">
        <v>202603328229092</v>
      </c>
      <c r="B687" s="19" t="s">
        <v>20</v>
      </c>
      <c r="C687" s="19" t="s">
        <v>21</v>
      </c>
      <c r="D687" s="19" t="s">
        <v>20</v>
      </c>
      <c r="E687" s="21">
        <v>46204</v>
      </c>
      <c r="F687" s="21">
        <v>46568</v>
      </c>
      <c r="G687" s="21"/>
      <c r="H687" s="21">
        <v>46204</v>
      </c>
      <c r="I687" s="21">
        <v>46568</v>
      </c>
      <c r="J687" s="19" t="s">
        <v>2159</v>
      </c>
      <c r="L687" s="19">
        <v>0</v>
      </c>
      <c r="M687" s="19">
        <v>0</v>
      </c>
      <c r="N687" s="19" t="s">
        <v>2394</v>
      </c>
      <c r="O687" s="20">
        <v>2</v>
      </c>
      <c r="S687" s="19" t="s">
        <v>20</v>
      </c>
      <c r="T687" s="19" t="s">
        <v>1471</v>
      </c>
    </row>
    <row r="688" spans="1:20">
      <c r="A688" s="20">
        <v>202603328229092</v>
      </c>
      <c r="B688" s="19" t="s">
        <v>20</v>
      </c>
      <c r="C688" s="19" t="s">
        <v>21</v>
      </c>
      <c r="D688" s="19" t="s">
        <v>20</v>
      </c>
      <c r="E688" s="21">
        <v>46204</v>
      </c>
      <c r="F688" s="21">
        <v>46568</v>
      </c>
      <c r="G688" s="21"/>
      <c r="H688" s="21">
        <v>46204</v>
      </c>
      <c r="I688" s="21">
        <v>46568</v>
      </c>
      <c r="J688" s="19" t="s">
        <v>2159</v>
      </c>
      <c r="L688" s="19">
        <v>66.261260500000006</v>
      </c>
      <c r="M688" s="19">
        <v>66.261260500000006</v>
      </c>
      <c r="N688" s="19" t="s">
        <v>1475</v>
      </c>
      <c r="O688" s="20">
        <v>2</v>
      </c>
      <c r="S688" s="19" t="s">
        <v>20</v>
      </c>
      <c r="T688" s="19" t="s">
        <v>1471</v>
      </c>
    </row>
    <row r="689" spans="1:20">
      <c r="A689" s="20">
        <v>202603328230018</v>
      </c>
      <c r="B689" s="19" t="s">
        <v>20</v>
      </c>
      <c r="C689" s="19" t="s">
        <v>21</v>
      </c>
      <c r="D689" s="19" t="s">
        <v>20</v>
      </c>
      <c r="E689" s="21">
        <v>46204</v>
      </c>
      <c r="F689" s="21">
        <v>46568</v>
      </c>
      <c r="G689" s="21"/>
      <c r="H689" s="21">
        <v>46204</v>
      </c>
      <c r="I689" s="21">
        <v>46568</v>
      </c>
      <c r="J689" s="19" t="s">
        <v>2135</v>
      </c>
      <c r="L689" s="19">
        <v>33.130630250000003</v>
      </c>
      <c r="M689" s="19">
        <v>33.130630250000003</v>
      </c>
      <c r="N689" s="19" t="s">
        <v>1475</v>
      </c>
      <c r="O689" s="20">
        <v>1</v>
      </c>
      <c r="S689" s="19" t="s">
        <v>20</v>
      </c>
      <c r="T689" s="19" t="s">
        <v>1471</v>
      </c>
    </row>
    <row r="690" spans="1:20">
      <c r="A690" s="20">
        <v>202603328230464</v>
      </c>
      <c r="B690" s="19" t="s">
        <v>20</v>
      </c>
      <c r="C690" s="19" t="s">
        <v>21</v>
      </c>
      <c r="D690" s="19" t="s">
        <v>20</v>
      </c>
      <c r="E690" s="21">
        <v>46204</v>
      </c>
      <c r="F690" s="21">
        <v>46568</v>
      </c>
      <c r="G690" s="21"/>
      <c r="H690" s="21">
        <v>46204</v>
      </c>
      <c r="I690" s="21">
        <v>46568</v>
      </c>
      <c r="J690" s="19" t="s">
        <v>2064</v>
      </c>
      <c r="L690" s="19">
        <v>0</v>
      </c>
      <c r="M690" s="19">
        <v>0</v>
      </c>
      <c r="N690" s="19" t="s">
        <v>2394</v>
      </c>
      <c r="O690" s="20">
        <v>4</v>
      </c>
      <c r="S690" s="19" t="s">
        <v>20</v>
      </c>
      <c r="T690" s="19" t="s">
        <v>1471</v>
      </c>
    </row>
    <row r="691" spans="1:20">
      <c r="A691" s="20">
        <v>202603328230464</v>
      </c>
      <c r="B691" s="19" t="s">
        <v>20</v>
      </c>
      <c r="C691" s="19" t="s">
        <v>21</v>
      </c>
      <c r="D691" s="19" t="s">
        <v>20</v>
      </c>
      <c r="E691" s="21">
        <v>46204</v>
      </c>
      <c r="F691" s="21">
        <v>46568</v>
      </c>
      <c r="G691" s="21"/>
      <c r="H691" s="21">
        <v>46204</v>
      </c>
      <c r="I691" s="21">
        <v>46568</v>
      </c>
      <c r="J691" s="19" t="s">
        <v>2064</v>
      </c>
      <c r="L691" s="19">
        <v>132.52252100000001</v>
      </c>
      <c r="M691" s="19">
        <v>132.52252100000001</v>
      </c>
      <c r="N691" s="19" t="s">
        <v>1475</v>
      </c>
      <c r="O691" s="20">
        <v>4</v>
      </c>
      <c r="S691" s="19" t="s">
        <v>20</v>
      </c>
      <c r="T691" s="19" t="s">
        <v>1471</v>
      </c>
    </row>
    <row r="692" spans="1:20">
      <c r="A692" s="20">
        <v>202603328230835</v>
      </c>
      <c r="B692" s="19" t="s">
        <v>20</v>
      </c>
      <c r="C692" s="19" t="s">
        <v>21</v>
      </c>
      <c r="D692" s="19" t="s">
        <v>20</v>
      </c>
      <c r="E692" s="21">
        <v>46204</v>
      </c>
      <c r="F692" s="21">
        <v>46568</v>
      </c>
      <c r="G692" s="21"/>
      <c r="H692" s="21">
        <v>46204</v>
      </c>
      <c r="I692" s="21">
        <v>46568</v>
      </c>
      <c r="J692" s="19" t="s">
        <v>2086</v>
      </c>
      <c r="L692" s="19">
        <v>33.130630250000003</v>
      </c>
      <c r="M692" s="19">
        <v>33.130630250000003</v>
      </c>
      <c r="N692" s="19" t="s">
        <v>1475</v>
      </c>
      <c r="O692" s="20">
        <v>1</v>
      </c>
      <c r="S692" s="19" t="s">
        <v>20</v>
      </c>
      <c r="T692" s="19" t="s">
        <v>1471</v>
      </c>
    </row>
    <row r="693" spans="1:20">
      <c r="A693" s="20">
        <v>202603328230843</v>
      </c>
      <c r="B693" s="19" t="s">
        <v>20</v>
      </c>
      <c r="C693" s="19" t="s">
        <v>21</v>
      </c>
      <c r="D693" s="19" t="s">
        <v>20</v>
      </c>
      <c r="E693" s="21">
        <v>46204</v>
      </c>
      <c r="F693" s="21">
        <v>46568</v>
      </c>
      <c r="G693" s="21"/>
      <c r="H693" s="21">
        <v>46204</v>
      </c>
      <c r="I693" s="21">
        <v>46568</v>
      </c>
      <c r="J693" s="19" t="s">
        <v>2211</v>
      </c>
      <c r="L693" s="19">
        <v>29.817561749999999</v>
      </c>
      <c r="M693" s="19">
        <v>29.817561749999999</v>
      </c>
      <c r="N693" s="19" t="s">
        <v>1475</v>
      </c>
      <c r="O693" s="20">
        <v>1</v>
      </c>
      <c r="S693" s="19" t="s">
        <v>20</v>
      </c>
      <c r="T693" s="19" t="s">
        <v>1471</v>
      </c>
    </row>
    <row r="694" spans="1:20">
      <c r="A694" s="20">
        <v>202603328233385</v>
      </c>
      <c r="B694" s="19" t="s">
        <v>20</v>
      </c>
      <c r="C694" s="19" t="s">
        <v>21</v>
      </c>
      <c r="D694" s="19" t="s">
        <v>20</v>
      </c>
      <c r="E694" s="21">
        <v>46204</v>
      </c>
      <c r="F694" s="21">
        <v>46568</v>
      </c>
      <c r="G694" s="21"/>
      <c r="H694" s="21">
        <v>46204</v>
      </c>
      <c r="I694" s="21">
        <v>46568</v>
      </c>
      <c r="J694" s="19" t="s">
        <v>2104</v>
      </c>
      <c r="L694" s="19">
        <v>0</v>
      </c>
      <c r="M694" s="19">
        <v>0</v>
      </c>
      <c r="N694" s="19" t="s">
        <v>2394</v>
      </c>
      <c r="O694" s="20">
        <v>2</v>
      </c>
      <c r="S694" s="19" t="s">
        <v>20</v>
      </c>
      <c r="T694" s="19" t="s">
        <v>1471</v>
      </c>
    </row>
    <row r="695" spans="1:20">
      <c r="A695" s="20">
        <v>202603328233385</v>
      </c>
      <c r="B695" s="19" t="s">
        <v>20</v>
      </c>
      <c r="C695" s="19" t="s">
        <v>21</v>
      </c>
      <c r="D695" s="19" t="s">
        <v>20</v>
      </c>
      <c r="E695" s="21">
        <v>46204</v>
      </c>
      <c r="F695" s="21">
        <v>46568</v>
      </c>
      <c r="G695" s="21"/>
      <c r="H695" s="21">
        <v>46204</v>
      </c>
      <c r="I695" s="21">
        <v>46568</v>
      </c>
      <c r="J695" s="19" t="s">
        <v>2104</v>
      </c>
      <c r="L695" s="19">
        <v>66.261260500000006</v>
      </c>
      <c r="M695" s="19">
        <v>66.261260500000006</v>
      </c>
      <c r="N695" s="19" t="s">
        <v>1475</v>
      </c>
      <c r="O695" s="20">
        <v>2</v>
      </c>
      <c r="S695" s="19" t="s">
        <v>20</v>
      </c>
      <c r="T695" s="19" t="s">
        <v>1471</v>
      </c>
    </row>
    <row r="696" spans="1:20">
      <c r="A696" s="20">
        <v>202603328233794</v>
      </c>
      <c r="B696" s="19" t="s">
        <v>20</v>
      </c>
      <c r="C696" s="19" t="s">
        <v>21</v>
      </c>
      <c r="D696" s="19" t="s">
        <v>20</v>
      </c>
      <c r="E696" s="21">
        <v>46204</v>
      </c>
      <c r="F696" s="21">
        <v>46568</v>
      </c>
      <c r="G696" s="21"/>
      <c r="H696" s="21">
        <v>46204</v>
      </c>
      <c r="I696" s="21">
        <v>46568</v>
      </c>
      <c r="J696" s="19" t="s">
        <v>2064</v>
      </c>
      <c r="L696" s="19">
        <v>33.130630250000003</v>
      </c>
      <c r="M696" s="19">
        <v>33.130630250000003</v>
      </c>
      <c r="N696" s="19" t="s">
        <v>1475</v>
      </c>
      <c r="O696" s="20">
        <v>1</v>
      </c>
      <c r="S696" s="19" t="s">
        <v>20</v>
      </c>
      <c r="T696" s="19" t="s">
        <v>1471</v>
      </c>
    </row>
    <row r="697" spans="1:20">
      <c r="A697" s="20">
        <v>202603328234211</v>
      </c>
      <c r="B697" s="19" t="s">
        <v>20</v>
      </c>
      <c r="C697" s="19" t="s">
        <v>21</v>
      </c>
      <c r="D697" s="19" t="s">
        <v>20</v>
      </c>
      <c r="E697" s="21">
        <v>46204</v>
      </c>
      <c r="F697" s="21">
        <v>46568</v>
      </c>
      <c r="G697" s="21"/>
      <c r="H697" s="21">
        <v>46204</v>
      </c>
      <c r="I697" s="21">
        <v>46568</v>
      </c>
      <c r="J697" s="19" t="s">
        <v>2104</v>
      </c>
      <c r="L697" s="19">
        <v>0</v>
      </c>
      <c r="M697" s="19">
        <v>0</v>
      </c>
      <c r="N697" s="19" t="s">
        <v>2394</v>
      </c>
      <c r="O697" s="20">
        <v>6</v>
      </c>
      <c r="S697" s="19" t="s">
        <v>20</v>
      </c>
      <c r="T697" s="19" t="s">
        <v>1471</v>
      </c>
    </row>
    <row r="698" spans="1:20">
      <c r="A698" s="20">
        <v>202603328234211</v>
      </c>
      <c r="B698" s="19" t="s">
        <v>20</v>
      </c>
      <c r="C698" s="19" t="s">
        <v>21</v>
      </c>
      <c r="D698" s="19" t="s">
        <v>2212</v>
      </c>
      <c r="E698" s="21">
        <v>46204</v>
      </c>
      <c r="F698" s="21">
        <v>46568</v>
      </c>
      <c r="G698" s="21"/>
      <c r="H698" s="21">
        <v>46204</v>
      </c>
      <c r="I698" s="21">
        <v>46568</v>
      </c>
      <c r="J698" s="19" t="s">
        <v>2104</v>
      </c>
      <c r="L698" s="19">
        <v>198.7837815</v>
      </c>
      <c r="M698" s="19">
        <v>198.7837815</v>
      </c>
      <c r="N698" s="19" t="s">
        <v>1467</v>
      </c>
      <c r="O698" s="20">
        <v>6</v>
      </c>
      <c r="S698" s="19" t="s">
        <v>20</v>
      </c>
      <c r="T698" s="19" t="s">
        <v>1471</v>
      </c>
    </row>
    <row r="699" spans="1:20">
      <c r="A699" s="20">
        <v>202603328234408</v>
      </c>
      <c r="B699" s="19" t="s">
        <v>20</v>
      </c>
      <c r="C699" s="19" t="s">
        <v>21</v>
      </c>
      <c r="D699" s="19" t="s">
        <v>20</v>
      </c>
      <c r="E699" s="21">
        <v>46204</v>
      </c>
      <c r="F699" s="21">
        <v>46568</v>
      </c>
      <c r="G699" s="21"/>
      <c r="H699" s="21">
        <v>46204</v>
      </c>
      <c r="I699" s="21">
        <v>46568</v>
      </c>
      <c r="J699" s="19" t="s">
        <v>2068</v>
      </c>
      <c r="L699" s="19">
        <v>0</v>
      </c>
      <c r="M699" s="19">
        <v>0</v>
      </c>
      <c r="N699" s="19" t="s">
        <v>2394</v>
      </c>
      <c r="O699" s="20">
        <v>7</v>
      </c>
      <c r="S699" s="19" t="s">
        <v>20</v>
      </c>
      <c r="T699" s="19" t="s">
        <v>1471</v>
      </c>
    </row>
    <row r="700" spans="1:20">
      <c r="A700" s="20">
        <v>202603328234408</v>
      </c>
      <c r="B700" s="19" t="s">
        <v>20</v>
      </c>
      <c r="C700" s="19" t="s">
        <v>21</v>
      </c>
      <c r="D700" s="19" t="s">
        <v>20</v>
      </c>
      <c r="E700" s="21">
        <v>46204</v>
      </c>
      <c r="F700" s="21">
        <v>46568</v>
      </c>
      <c r="G700" s="21"/>
      <c r="H700" s="21">
        <v>46204</v>
      </c>
      <c r="I700" s="21">
        <v>46568</v>
      </c>
      <c r="J700" s="19" t="s">
        <v>2068</v>
      </c>
      <c r="L700" s="19">
        <v>183.810788</v>
      </c>
      <c r="M700" s="19">
        <v>183.810788</v>
      </c>
      <c r="N700" s="19" t="s">
        <v>1475</v>
      </c>
      <c r="O700" s="20">
        <v>7</v>
      </c>
      <c r="S700" s="19" t="s">
        <v>20</v>
      </c>
      <c r="T700" s="19" t="s">
        <v>1471</v>
      </c>
    </row>
    <row r="701" spans="1:20">
      <c r="A701" s="20">
        <v>202603328234489</v>
      </c>
      <c r="B701" s="19" t="s">
        <v>20</v>
      </c>
      <c r="C701" s="19" t="s">
        <v>21</v>
      </c>
      <c r="D701" s="19" t="s">
        <v>20</v>
      </c>
      <c r="E701" s="21">
        <v>46204</v>
      </c>
      <c r="F701" s="21">
        <v>46568</v>
      </c>
      <c r="G701" s="21"/>
      <c r="H701" s="21">
        <v>46204</v>
      </c>
      <c r="I701" s="21">
        <v>46568</v>
      </c>
      <c r="J701" s="19" t="s">
        <v>2064</v>
      </c>
      <c r="L701" s="19">
        <v>33.130630250000003</v>
      </c>
      <c r="M701" s="19">
        <v>33.130630250000003</v>
      </c>
      <c r="N701" s="19" t="s">
        <v>1475</v>
      </c>
      <c r="O701" s="20">
        <v>1</v>
      </c>
      <c r="S701" s="19" t="s">
        <v>20</v>
      </c>
      <c r="T701" s="19" t="s">
        <v>1471</v>
      </c>
    </row>
    <row r="702" spans="1:20">
      <c r="A702" s="20">
        <v>202603328234864</v>
      </c>
      <c r="B702" s="19" t="s">
        <v>20</v>
      </c>
      <c r="C702" s="19" t="s">
        <v>21</v>
      </c>
      <c r="D702" s="19" t="s">
        <v>20</v>
      </c>
      <c r="E702" s="21">
        <v>46204</v>
      </c>
      <c r="F702" s="21">
        <v>46568</v>
      </c>
      <c r="G702" s="21"/>
      <c r="H702" s="21">
        <v>46204</v>
      </c>
      <c r="I702" s="21">
        <v>46568</v>
      </c>
      <c r="J702" s="19" t="s">
        <v>1473</v>
      </c>
      <c r="L702" s="19">
        <v>0</v>
      </c>
      <c r="M702" s="19">
        <v>0</v>
      </c>
      <c r="N702" s="19" t="s">
        <v>2394</v>
      </c>
      <c r="O702" s="20">
        <v>2</v>
      </c>
      <c r="S702" s="19" t="s">
        <v>20</v>
      </c>
      <c r="T702" s="19" t="s">
        <v>1471</v>
      </c>
    </row>
    <row r="703" spans="1:20">
      <c r="A703" s="20">
        <v>202603328234864</v>
      </c>
      <c r="B703" s="19" t="s">
        <v>20</v>
      </c>
      <c r="C703" s="19" t="s">
        <v>21</v>
      </c>
      <c r="D703" s="19" t="s">
        <v>2213</v>
      </c>
      <c r="E703" s="21">
        <v>46204</v>
      </c>
      <c r="F703" s="21">
        <v>46568</v>
      </c>
      <c r="G703" s="21"/>
      <c r="H703" s="21">
        <v>46204</v>
      </c>
      <c r="I703" s="21">
        <v>46568</v>
      </c>
      <c r="J703" s="19" t="s">
        <v>1473</v>
      </c>
      <c r="L703" s="19">
        <v>49.241346999999998</v>
      </c>
      <c r="M703" s="19">
        <v>49.241346999999998</v>
      </c>
      <c r="N703" s="19" t="s">
        <v>1467</v>
      </c>
      <c r="O703" s="20">
        <v>2</v>
      </c>
      <c r="S703" s="19" t="s">
        <v>20</v>
      </c>
      <c r="T703" s="19" t="s">
        <v>1471</v>
      </c>
    </row>
    <row r="704" spans="1:20">
      <c r="A704" s="20">
        <v>202603328235365</v>
      </c>
      <c r="B704" s="19" t="s">
        <v>20</v>
      </c>
      <c r="C704" s="19" t="s">
        <v>21</v>
      </c>
      <c r="D704" s="19" t="s">
        <v>20</v>
      </c>
      <c r="E704" s="21">
        <v>46204</v>
      </c>
      <c r="F704" s="21">
        <v>46568</v>
      </c>
      <c r="G704" s="21"/>
      <c r="H704" s="21">
        <v>46204</v>
      </c>
      <c r="I704" s="21">
        <v>46568</v>
      </c>
      <c r="J704" s="19" t="s">
        <v>1473</v>
      </c>
      <c r="L704" s="19">
        <v>0</v>
      </c>
      <c r="M704" s="19">
        <v>0</v>
      </c>
      <c r="N704" s="19" t="s">
        <v>2394</v>
      </c>
      <c r="O704" s="20">
        <v>3</v>
      </c>
      <c r="S704" s="19" t="s">
        <v>20</v>
      </c>
      <c r="T704" s="19" t="s">
        <v>1471</v>
      </c>
    </row>
    <row r="705" spans="1:20">
      <c r="A705" s="20">
        <v>202603328235365</v>
      </c>
      <c r="B705" s="19" t="s">
        <v>20</v>
      </c>
      <c r="C705" s="19" t="s">
        <v>21</v>
      </c>
      <c r="D705" s="19" t="s">
        <v>20</v>
      </c>
      <c r="E705" s="21">
        <v>46204</v>
      </c>
      <c r="F705" s="21">
        <v>46568</v>
      </c>
      <c r="G705" s="21"/>
      <c r="H705" s="21">
        <v>46204</v>
      </c>
      <c r="I705" s="21">
        <v>46568</v>
      </c>
      <c r="J705" s="19" t="s">
        <v>1473</v>
      </c>
      <c r="L705" s="19">
        <v>73.8620205</v>
      </c>
      <c r="M705" s="19">
        <v>73.8620205</v>
      </c>
      <c r="N705" s="19" t="s">
        <v>1475</v>
      </c>
      <c r="O705" s="20">
        <v>3</v>
      </c>
      <c r="S705" s="19" t="s">
        <v>20</v>
      </c>
      <c r="T705" s="19" t="s">
        <v>1471</v>
      </c>
    </row>
    <row r="706" spans="1:20">
      <c r="A706" s="20">
        <v>202603328235613</v>
      </c>
      <c r="B706" s="19" t="s">
        <v>20</v>
      </c>
      <c r="C706" s="19" t="s">
        <v>21</v>
      </c>
      <c r="D706" s="19" t="s">
        <v>20</v>
      </c>
      <c r="E706" s="21">
        <v>46204</v>
      </c>
      <c r="F706" s="21">
        <v>46568</v>
      </c>
      <c r="G706" s="21"/>
      <c r="H706" s="21">
        <v>46204</v>
      </c>
      <c r="I706" s="21">
        <v>46568</v>
      </c>
      <c r="J706" s="19" t="s">
        <v>2083</v>
      </c>
      <c r="L706" s="19">
        <v>0</v>
      </c>
      <c r="M706" s="19">
        <v>0</v>
      </c>
      <c r="N706" s="19" t="s">
        <v>2394</v>
      </c>
      <c r="O706" s="20">
        <v>6</v>
      </c>
      <c r="S706" s="19" t="s">
        <v>20</v>
      </c>
      <c r="T706" s="19" t="s">
        <v>1471</v>
      </c>
    </row>
    <row r="707" spans="1:20">
      <c r="A707" s="20">
        <v>202603328235613</v>
      </c>
      <c r="B707" s="19" t="s">
        <v>20</v>
      </c>
      <c r="C707" s="19" t="s">
        <v>21</v>
      </c>
      <c r="D707" s="19" t="s">
        <v>2214</v>
      </c>
      <c r="E707" s="21">
        <v>46204</v>
      </c>
      <c r="F707" s="21">
        <v>46568</v>
      </c>
      <c r="G707" s="21"/>
      <c r="H707" s="21">
        <v>46204</v>
      </c>
      <c r="I707" s="21">
        <v>46568</v>
      </c>
      <c r="J707" s="19" t="s">
        <v>2083</v>
      </c>
      <c r="L707" s="19">
        <v>198.7837815</v>
      </c>
      <c r="M707" s="19">
        <v>198.7837815</v>
      </c>
      <c r="N707" s="19" t="s">
        <v>1467</v>
      </c>
      <c r="O707" s="20">
        <v>6</v>
      </c>
      <c r="S707" s="19" t="s">
        <v>20</v>
      </c>
      <c r="T707" s="19" t="s">
        <v>1471</v>
      </c>
    </row>
    <row r="708" spans="1:20">
      <c r="A708" s="20">
        <v>202603328235653</v>
      </c>
      <c r="B708" s="19" t="s">
        <v>20</v>
      </c>
      <c r="C708" s="19" t="s">
        <v>21</v>
      </c>
      <c r="D708" s="19" t="s">
        <v>20</v>
      </c>
      <c r="E708" s="21">
        <v>46204</v>
      </c>
      <c r="F708" s="21">
        <v>46568</v>
      </c>
      <c r="G708" s="21"/>
      <c r="H708" s="21">
        <v>46204</v>
      </c>
      <c r="I708" s="21">
        <v>46568</v>
      </c>
      <c r="J708" s="19" t="s">
        <v>2067</v>
      </c>
      <c r="L708" s="19">
        <v>0</v>
      </c>
      <c r="M708" s="19">
        <v>0</v>
      </c>
      <c r="N708" s="19" t="s">
        <v>2394</v>
      </c>
      <c r="O708" s="20">
        <v>6</v>
      </c>
      <c r="S708" s="19" t="s">
        <v>20</v>
      </c>
      <c r="T708" s="19" t="s">
        <v>1471</v>
      </c>
    </row>
    <row r="709" spans="1:20">
      <c r="A709" s="20">
        <v>202603328235653</v>
      </c>
      <c r="B709" s="19" t="s">
        <v>20</v>
      </c>
      <c r="C709" s="19" t="s">
        <v>21</v>
      </c>
      <c r="D709" s="19" t="s">
        <v>2215</v>
      </c>
      <c r="E709" s="21">
        <v>46204</v>
      </c>
      <c r="F709" s="21">
        <v>46568</v>
      </c>
      <c r="G709" s="21"/>
      <c r="H709" s="21">
        <v>46204</v>
      </c>
      <c r="I709" s="21">
        <v>46568</v>
      </c>
      <c r="J709" s="19" t="s">
        <v>2067</v>
      </c>
      <c r="L709" s="19">
        <v>210.6656265</v>
      </c>
      <c r="M709" s="19">
        <v>210.6656265</v>
      </c>
      <c r="N709" s="19" t="s">
        <v>1467</v>
      </c>
      <c r="O709" s="20">
        <v>6</v>
      </c>
      <c r="S709" s="19" t="s">
        <v>20</v>
      </c>
      <c r="T709" s="19" t="s">
        <v>1471</v>
      </c>
    </row>
    <row r="710" spans="1:20">
      <c r="A710" s="20">
        <v>202603328235725</v>
      </c>
      <c r="B710" s="19" t="s">
        <v>20</v>
      </c>
      <c r="C710" s="19" t="s">
        <v>21</v>
      </c>
      <c r="D710" s="19" t="s">
        <v>20</v>
      </c>
      <c r="E710" s="21">
        <v>46204</v>
      </c>
      <c r="F710" s="21">
        <v>46568</v>
      </c>
      <c r="G710" s="21"/>
      <c r="H710" s="21">
        <v>46204</v>
      </c>
      <c r="I710" s="21">
        <v>46568</v>
      </c>
      <c r="J710" s="19" t="s">
        <v>2111</v>
      </c>
      <c r="L710" s="19">
        <v>0</v>
      </c>
      <c r="M710" s="19">
        <v>0</v>
      </c>
      <c r="N710" s="19" t="s">
        <v>2394</v>
      </c>
      <c r="O710" s="20">
        <v>6</v>
      </c>
      <c r="S710" s="19" t="s">
        <v>20</v>
      </c>
      <c r="T710" s="19" t="s">
        <v>1471</v>
      </c>
    </row>
    <row r="711" spans="1:20">
      <c r="A711" s="20">
        <v>202603328235725</v>
      </c>
      <c r="B711" s="19" t="s">
        <v>20</v>
      </c>
      <c r="C711" s="19" t="s">
        <v>21</v>
      </c>
      <c r="D711" s="19" t="s">
        <v>2216</v>
      </c>
      <c r="E711" s="21">
        <v>46204</v>
      </c>
      <c r="F711" s="21">
        <v>46568</v>
      </c>
      <c r="G711" s="21"/>
      <c r="H711" s="21">
        <v>46204</v>
      </c>
      <c r="I711" s="21">
        <v>46568</v>
      </c>
      <c r="J711" s="19" t="s">
        <v>2111</v>
      </c>
      <c r="L711" s="19">
        <v>100.363101</v>
      </c>
      <c r="M711" s="19">
        <v>100.363101</v>
      </c>
      <c r="N711" s="19" t="s">
        <v>1467</v>
      </c>
      <c r="O711" s="20">
        <v>6</v>
      </c>
      <c r="S711" s="19" t="s">
        <v>20</v>
      </c>
      <c r="T711" s="19" t="s">
        <v>1471</v>
      </c>
    </row>
    <row r="712" spans="1:20">
      <c r="A712" s="20">
        <v>202603328236077</v>
      </c>
      <c r="B712" s="19" t="s">
        <v>20</v>
      </c>
      <c r="C712" s="19" t="s">
        <v>21</v>
      </c>
      <c r="D712" s="19" t="s">
        <v>20</v>
      </c>
      <c r="E712" s="21">
        <v>46204</v>
      </c>
      <c r="F712" s="21">
        <v>46568</v>
      </c>
      <c r="G712" s="21"/>
      <c r="H712" s="21">
        <v>46204</v>
      </c>
      <c r="I712" s="21">
        <v>46568</v>
      </c>
      <c r="J712" s="19" t="s">
        <v>2087</v>
      </c>
      <c r="L712" s="19">
        <v>33.130630250000003</v>
      </c>
      <c r="M712" s="19">
        <v>33.130630250000003</v>
      </c>
      <c r="N712" s="19" t="s">
        <v>1475</v>
      </c>
      <c r="O712" s="20">
        <v>1</v>
      </c>
      <c r="S712" s="19" t="s">
        <v>20</v>
      </c>
      <c r="T712" s="19" t="s">
        <v>1471</v>
      </c>
    </row>
    <row r="713" spans="1:20">
      <c r="A713" s="20">
        <v>202603328236158</v>
      </c>
      <c r="B713" s="19" t="s">
        <v>20</v>
      </c>
      <c r="C713" s="19" t="s">
        <v>21</v>
      </c>
      <c r="D713" s="19" t="s">
        <v>20</v>
      </c>
      <c r="E713" s="21">
        <v>46204</v>
      </c>
      <c r="F713" s="21">
        <v>46568</v>
      </c>
      <c r="G713" s="21"/>
      <c r="H713" s="21">
        <v>46204</v>
      </c>
      <c r="I713" s="21">
        <v>46568</v>
      </c>
      <c r="J713" s="19" t="s">
        <v>2104</v>
      </c>
      <c r="L713" s="19">
        <v>0</v>
      </c>
      <c r="M713" s="19">
        <v>0</v>
      </c>
      <c r="N713" s="19" t="s">
        <v>2394</v>
      </c>
      <c r="O713" s="20">
        <v>5</v>
      </c>
      <c r="S713" s="19" t="s">
        <v>20</v>
      </c>
      <c r="T713" s="19" t="s">
        <v>1471</v>
      </c>
    </row>
    <row r="714" spans="1:20">
      <c r="A714" s="20">
        <v>202603328236158</v>
      </c>
      <c r="B714" s="19" t="s">
        <v>20</v>
      </c>
      <c r="C714" s="19" t="s">
        <v>21</v>
      </c>
      <c r="D714" s="19" t="s">
        <v>2217</v>
      </c>
      <c r="E714" s="21">
        <v>46204</v>
      </c>
      <c r="F714" s="21">
        <v>46568</v>
      </c>
      <c r="G714" s="21"/>
      <c r="H714" s="21">
        <v>46204</v>
      </c>
      <c r="I714" s="21">
        <v>46568</v>
      </c>
      <c r="J714" s="19" t="s">
        <v>2104</v>
      </c>
      <c r="L714" s="19">
        <v>83.635917500000005</v>
      </c>
      <c r="M714" s="19">
        <v>83.635917500000005</v>
      </c>
      <c r="N714" s="19" t="s">
        <v>1467</v>
      </c>
      <c r="O714" s="20">
        <v>5</v>
      </c>
      <c r="S714" s="19" t="s">
        <v>20</v>
      </c>
      <c r="T714" s="19" t="s">
        <v>1471</v>
      </c>
    </row>
    <row r="715" spans="1:20">
      <c r="A715" s="20">
        <v>202603328236379</v>
      </c>
      <c r="B715" s="19" t="s">
        <v>20</v>
      </c>
      <c r="C715" s="19" t="s">
        <v>21</v>
      </c>
      <c r="D715" s="19" t="s">
        <v>20</v>
      </c>
      <c r="E715" s="21">
        <v>46204</v>
      </c>
      <c r="F715" s="21">
        <v>46568</v>
      </c>
      <c r="G715" s="21"/>
      <c r="H715" s="21">
        <v>46204</v>
      </c>
      <c r="I715" s="21">
        <v>46568</v>
      </c>
      <c r="J715" s="19" t="s">
        <v>1473</v>
      </c>
      <c r="L715" s="19">
        <v>24.620673499999999</v>
      </c>
      <c r="M715" s="19">
        <v>24.620673499999999</v>
      </c>
      <c r="N715" s="19" t="s">
        <v>1475</v>
      </c>
      <c r="O715" s="20">
        <v>1</v>
      </c>
      <c r="S715" s="19" t="s">
        <v>20</v>
      </c>
      <c r="T715" s="19" t="s">
        <v>1471</v>
      </c>
    </row>
    <row r="716" spans="1:20">
      <c r="A716" s="20">
        <v>202603328236522</v>
      </c>
      <c r="B716" s="19" t="s">
        <v>20</v>
      </c>
      <c r="C716" s="19" t="s">
        <v>21</v>
      </c>
      <c r="D716" s="19" t="s">
        <v>20</v>
      </c>
      <c r="E716" s="21">
        <v>46204</v>
      </c>
      <c r="F716" s="21">
        <v>46568</v>
      </c>
      <c r="G716" s="21"/>
      <c r="H716" s="21">
        <v>46204</v>
      </c>
      <c r="I716" s="21">
        <v>46568</v>
      </c>
      <c r="J716" s="19" t="s">
        <v>2218</v>
      </c>
      <c r="L716" s="19">
        <v>0</v>
      </c>
      <c r="M716" s="19">
        <v>0</v>
      </c>
      <c r="N716" s="19" t="s">
        <v>2394</v>
      </c>
      <c r="O716" s="20">
        <v>2</v>
      </c>
      <c r="S716" s="19" t="s">
        <v>20</v>
      </c>
      <c r="T716" s="19" t="s">
        <v>1471</v>
      </c>
    </row>
    <row r="717" spans="1:20">
      <c r="A717" s="20">
        <v>202603328236522</v>
      </c>
      <c r="B717" s="19" t="s">
        <v>20</v>
      </c>
      <c r="C717" s="19" t="s">
        <v>21</v>
      </c>
      <c r="D717" s="19" t="s">
        <v>20</v>
      </c>
      <c r="E717" s="21">
        <v>46204</v>
      </c>
      <c r="F717" s="21">
        <v>46568</v>
      </c>
      <c r="G717" s="21"/>
      <c r="H717" s="21">
        <v>46204</v>
      </c>
      <c r="I717" s="21">
        <v>46568</v>
      </c>
      <c r="J717" s="19" t="s">
        <v>2218</v>
      </c>
      <c r="L717" s="19">
        <v>66.261260500000006</v>
      </c>
      <c r="M717" s="19">
        <v>66.261260500000006</v>
      </c>
      <c r="N717" s="19" t="s">
        <v>1475</v>
      </c>
      <c r="O717" s="20">
        <v>2</v>
      </c>
      <c r="S717" s="19" t="s">
        <v>20</v>
      </c>
      <c r="T717" s="19" t="s">
        <v>1471</v>
      </c>
    </row>
    <row r="718" spans="1:20">
      <c r="A718" s="20">
        <v>202603328236844</v>
      </c>
      <c r="B718" s="19" t="s">
        <v>20</v>
      </c>
      <c r="C718" s="19" t="s">
        <v>21</v>
      </c>
      <c r="D718" s="19" t="s">
        <v>2219</v>
      </c>
      <c r="E718" s="21">
        <v>46204</v>
      </c>
      <c r="F718" s="21">
        <v>46568</v>
      </c>
      <c r="G718" s="21"/>
      <c r="H718" s="21">
        <v>46204</v>
      </c>
      <c r="I718" s="21">
        <v>46568</v>
      </c>
      <c r="J718" s="19" t="s">
        <v>2135</v>
      </c>
      <c r="L718" s="19">
        <v>33.130630250000003</v>
      </c>
      <c r="M718" s="19">
        <v>33.130630250000003</v>
      </c>
      <c r="N718" s="19" t="s">
        <v>1467</v>
      </c>
      <c r="O718" s="20">
        <v>1</v>
      </c>
      <c r="S718" s="19" t="s">
        <v>20</v>
      </c>
      <c r="T718" s="19" t="s">
        <v>1471</v>
      </c>
    </row>
    <row r="719" spans="1:20">
      <c r="A719" s="20">
        <v>202603328237000</v>
      </c>
      <c r="B719" s="19" t="s">
        <v>20</v>
      </c>
      <c r="C719" s="19" t="s">
        <v>21</v>
      </c>
      <c r="D719" s="19" t="s">
        <v>20</v>
      </c>
      <c r="E719" s="21">
        <v>46204</v>
      </c>
      <c r="F719" s="21">
        <v>46568</v>
      </c>
      <c r="G719" s="21"/>
      <c r="H719" s="21">
        <v>46204</v>
      </c>
      <c r="I719" s="21">
        <v>46568</v>
      </c>
      <c r="J719" s="19" t="s">
        <v>2068</v>
      </c>
      <c r="L719" s="19">
        <v>52.517367999999998</v>
      </c>
      <c r="M719" s="19">
        <v>52.517367999999998</v>
      </c>
      <c r="N719" s="19" t="s">
        <v>1475</v>
      </c>
      <c r="O719" s="20">
        <v>2</v>
      </c>
      <c r="S719" s="19" t="s">
        <v>20</v>
      </c>
      <c r="T719" s="19" t="s">
        <v>1471</v>
      </c>
    </row>
    <row r="720" spans="1:20">
      <c r="A720" s="20">
        <v>202603328237924</v>
      </c>
      <c r="B720" s="19" t="s">
        <v>20</v>
      </c>
      <c r="C720" s="19" t="s">
        <v>21</v>
      </c>
      <c r="D720" s="19" t="s">
        <v>20</v>
      </c>
      <c r="E720" s="21">
        <v>46204</v>
      </c>
      <c r="F720" s="21">
        <v>46568</v>
      </c>
      <c r="G720" s="21"/>
      <c r="H720" s="21">
        <v>46204</v>
      </c>
      <c r="I720" s="21">
        <v>46568</v>
      </c>
      <c r="J720" s="19" t="s">
        <v>2064</v>
      </c>
      <c r="L720" s="19">
        <v>0</v>
      </c>
      <c r="M720" s="19">
        <v>0</v>
      </c>
      <c r="N720" s="19" t="s">
        <v>2394</v>
      </c>
      <c r="O720" s="20">
        <v>4</v>
      </c>
      <c r="S720" s="19" t="s">
        <v>20</v>
      </c>
      <c r="T720" s="19" t="s">
        <v>1471</v>
      </c>
    </row>
    <row r="721" spans="1:20">
      <c r="A721" s="20">
        <v>202603328237924</v>
      </c>
      <c r="B721" s="19" t="s">
        <v>20</v>
      </c>
      <c r="C721" s="19" t="s">
        <v>21</v>
      </c>
      <c r="D721" s="19" t="s">
        <v>20</v>
      </c>
      <c r="E721" s="21">
        <v>46204</v>
      </c>
      <c r="F721" s="21">
        <v>46568</v>
      </c>
      <c r="G721" s="21"/>
      <c r="H721" s="21">
        <v>46204</v>
      </c>
      <c r="I721" s="21">
        <v>46568</v>
      </c>
      <c r="J721" s="19" t="s">
        <v>2064</v>
      </c>
      <c r="L721" s="19">
        <v>132.52252100000001</v>
      </c>
      <c r="M721" s="19">
        <v>132.52252100000001</v>
      </c>
      <c r="N721" s="19" t="s">
        <v>1475</v>
      </c>
      <c r="O721" s="20">
        <v>4</v>
      </c>
      <c r="S721" s="19" t="s">
        <v>20</v>
      </c>
      <c r="T721" s="19" t="s">
        <v>1471</v>
      </c>
    </row>
    <row r="722" spans="1:20">
      <c r="A722" s="20">
        <v>202603328237956</v>
      </c>
      <c r="B722" s="19" t="s">
        <v>20</v>
      </c>
      <c r="C722" s="19" t="s">
        <v>21</v>
      </c>
      <c r="D722" s="19" t="s">
        <v>20</v>
      </c>
      <c r="E722" s="21">
        <v>46204</v>
      </c>
      <c r="F722" s="21">
        <v>46568</v>
      </c>
      <c r="G722" s="21"/>
      <c r="H722" s="21">
        <v>46204</v>
      </c>
      <c r="I722" s="21">
        <v>46568</v>
      </c>
      <c r="J722" s="19" t="s">
        <v>2104</v>
      </c>
      <c r="L722" s="19">
        <v>0</v>
      </c>
      <c r="M722" s="19">
        <v>0</v>
      </c>
      <c r="N722" s="19" t="s">
        <v>2394</v>
      </c>
      <c r="O722" s="20">
        <v>3</v>
      </c>
      <c r="S722" s="19" t="s">
        <v>20</v>
      </c>
      <c r="T722" s="19" t="s">
        <v>1471</v>
      </c>
    </row>
    <row r="723" spans="1:20">
      <c r="A723" s="20">
        <v>202603328237956</v>
      </c>
      <c r="B723" s="19" t="s">
        <v>20</v>
      </c>
      <c r="C723" s="19" t="s">
        <v>21</v>
      </c>
      <c r="D723" s="19" t="s">
        <v>2220</v>
      </c>
      <c r="E723" s="21">
        <v>46204</v>
      </c>
      <c r="F723" s="21">
        <v>46568</v>
      </c>
      <c r="G723" s="21"/>
      <c r="H723" s="21">
        <v>46204</v>
      </c>
      <c r="I723" s="21">
        <v>46568</v>
      </c>
      <c r="J723" s="19" t="s">
        <v>2104</v>
      </c>
      <c r="L723" s="19">
        <v>99.391890750000002</v>
      </c>
      <c r="M723" s="19">
        <v>99.391890750000002</v>
      </c>
      <c r="N723" s="19" t="s">
        <v>1467</v>
      </c>
      <c r="O723" s="20">
        <v>3</v>
      </c>
      <c r="S723" s="19" t="s">
        <v>20</v>
      </c>
      <c r="T723" s="19" t="s">
        <v>1471</v>
      </c>
    </row>
    <row r="724" spans="1:20">
      <c r="A724" s="20">
        <v>202603328238213</v>
      </c>
      <c r="B724" s="19" t="s">
        <v>20</v>
      </c>
      <c r="C724" s="19" t="s">
        <v>21</v>
      </c>
      <c r="D724" s="19" t="s">
        <v>20</v>
      </c>
      <c r="E724" s="21">
        <v>46204</v>
      </c>
      <c r="F724" s="21">
        <v>46568</v>
      </c>
      <c r="G724" s="21"/>
      <c r="H724" s="21">
        <v>46204</v>
      </c>
      <c r="I724" s="21">
        <v>46568</v>
      </c>
      <c r="J724" s="19" t="s">
        <v>2085</v>
      </c>
      <c r="L724" s="19">
        <v>24.620673499999999</v>
      </c>
      <c r="M724" s="19">
        <v>24.620673499999999</v>
      </c>
      <c r="N724" s="19" t="s">
        <v>1475</v>
      </c>
      <c r="O724" s="20">
        <v>1</v>
      </c>
      <c r="S724" s="19" t="s">
        <v>20</v>
      </c>
      <c r="T724" s="19" t="s">
        <v>1471</v>
      </c>
    </row>
    <row r="725" spans="1:20">
      <c r="A725" s="20">
        <v>202603328238295</v>
      </c>
      <c r="B725" s="19" t="s">
        <v>20</v>
      </c>
      <c r="C725" s="19" t="s">
        <v>21</v>
      </c>
      <c r="D725" s="19" t="s">
        <v>20</v>
      </c>
      <c r="E725" s="21">
        <v>46204</v>
      </c>
      <c r="F725" s="21">
        <v>46568</v>
      </c>
      <c r="G725" s="21"/>
      <c r="H725" s="21">
        <v>46204</v>
      </c>
      <c r="I725" s="21">
        <v>46568</v>
      </c>
      <c r="J725" s="19" t="s">
        <v>2099</v>
      </c>
      <c r="L725" s="19">
        <v>0</v>
      </c>
      <c r="M725" s="19">
        <v>0</v>
      </c>
      <c r="N725" s="19" t="s">
        <v>2394</v>
      </c>
      <c r="O725" s="20">
        <v>2</v>
      </c>
      <c r="S725" s="19" t="s">
        <v>20</v>
      </c>
      <c r="T725" s="19" t="s">
        <v>1471</v>
      </c>
    </row>
    <row r="726" spans="1:20">
      <c r="A726" s="20">
        <v>202603328238295</v>
      </c>
      <c r="B726" s="19" t="s">
        <v>20</v>
      </c>
      <c r="C726" s="19" t="s">
        <v>21</v>
      </c>
      <c r="D726" s="19" t="s">
        <v>20</v>
      </c>
      <c r="E726" s="21">
        <v>46204</v>
      </c>
      <c r="F726" s="21">
        <v>46568</v>
      </c>
      <c r="G726" s="21"/>
      <c r="H726" s="21">
        <v>46204</v>
      </c>
      <c r="I726" s="21">
        <v>46568</v>
      </c>
      <c r="J726" s="19" t="s">
        <v>2099</v>
      </c>
      <c r="L726" s="19">
        <v>52.517367999999998</v>
      </c>
      <c r="M726" s="19">
        <v>52.517367999999998</v>
      </c>
      <c r="N726" s="19" t="s">
        <v>1475</v>
      </c>
      <c r="O726" s="20">
        <v>2</v>
      </c>
      <c r="S726" s="19" t="s">
        <v>20</v>
      </c>
      <c r="T726" s="19" t="s">
        <v>1471</v>
      </c>
    </row>
    <row r="727" spans="1:20">
      <c r="A727" s="20">
        <v>202603328238575</v>
      </c>
      <c r="B727" s="19" t="s">
        <v>20</v>
      </c>
      <c r="C727" s="19" t="s">
        <v>21</v>
      </c>
      <c r="D727" s="19" t="s">
        <v>2221</v>
      </c>
      <c r="E727" s="21">
        <v>46204</v>
      </c>
      <c r="F727" s="21">
        <v>46568</v>
      </c>
      <c r="G727" s="21"/>
      <c r="H727" s="21">
        <v>46204</v>
      </c>
      <c r="I727" s="21">
        <v>46568</v>
      </c>
      <c r="J727" s="19" t="s">
        <v>2222</v>
      </c>
      <c r="L727" s="19">
        <v>115.978677</v>
      </c>
      <c r="M727" s="19">
        <v>115.978677</v>
      </c>
      <c r="N727" s="19" t="s">
        <v>1467</v>
      </c>
      <c r="O727" s="20">
        <v>3</v>
      </c>
      <c r="S727" s="19" t="s">
        <v>20</v>
      </c>
      <c r="T727" s="19" t="s">
        <v>1471</v>
      </c>
    </row>
    <row r="728" spans="1:20">
      <c r="A728" s="20">
        <v>202603328238939</v>
      </c>
      <c r="B728" s="19" t="s">
        <v>20</v>
      </c>
      <c r="C728" s="19" t="s">
        <v>21</v>
      </c>
      <c r="D728" s="19" t="s">
        <v>2223</v>
      </c>
      <c r="E728" s="21">
        <v>46204</v>
      </c>
      <c r="F728" s="21">
        <v>46568</v>
      </c>
      <c r="G728" s="21"/>
      <c r="H728" s="21">
        <v>46204</v>
      </c>
      <c r="I728" s="21">
        <v>46568</v>
      </c>
      <c r="J728" s="19" t="s">
        <v>2224</v>
      </c>
      <c r="L728" s="19">
        <v>26.258683999999999</v>
      </c>
      <c r="M728" s="19">
        <v>26.258683999999999</v>
      </c>
      <c r="N728" s="19" t="s">
        <v>1467</v>
      </c>
      <c r="O728" s="20">
        <v>1</v>
      </c>
      <c r="S728" s="19" t="s">
        <v>20</v>
      </c>
      <c r="T728" s="19" t="s">
        <v>1471</v>
      </c>
    </row>
    <row r="729" spans="1:20">
      <c r="A729" s="20">
        <v>202603328239179</v>
      </c>
      <c r="B729" s="19" t="s">
        <v>20</v>
      </c>
      <c r="C729" s="19" t="s">
        <v>21</v>
      </c>
      <c r="D729" s="19" t="s">
        <v>20</v>
      </c>
      <c r="E729" s="21">
        <v>46204</v>
      </c>
      <c r="F729" s="21">
        <v>46568</v>
      </c>
      <c r="G729" s="21"/>
      <c r="H729" s="21">
        <v>46204</v>
      </c>
      <c r="I729" s="21">
        <v>46568</v>
      </c>
      <c r="J729" s="19" t="s">
        <v>2068</v>
      </c>
      <c r="L729" s="19">
        <v>0</v>
      </c>
      <c r="M729" s="19">
        <v>0</v>
      </c>
      <c r="N729" s="19" t="s">
        <v>2394</v>
      </c>
      <c r="O729" s="20">
        <v>3</v>
      </c>
      <c r="S729" s="19" t="s">
        <v>20</v>
      </c>
      <c r="T729" s="19" t="s">
        <v>1471</v>
      </c>
    </row>
    <row r="730" spans="1:20">
      <c r="A730" s="20">
        <v>202603328239179</v>
      </c>
      <c r="B730" s="19" t="s">
        <v>20</v>
      </c>
      <c r="C730" s="19" t="s">
        <v>21</v>
      </c>
      <c r="D730" s="19" t="s">
        <v>20</v>
      </c>
      <c r="E730" s="21">
        <v>46204</v>
      </c>
      <c r="F730" s="21">
        <v>46568</v>
      </c>
      <c r="G730" s="21"/>
      <c r="H730" s="21">
        <v>46204</v>
      </c>
      <c r="I730" s="21">
        <v>46568</v>
      </c>
      <c r="J730" s="19" t="s">
        <v>2068</v>
      </c>
      <c r="L730" s="19">
        <v>78.776052000000007</v>
      </c>
      <c r="M730" s="19">
        <v>78.776052000000007</v>
      </c>
      <c r="N730" s="19" t="s">
        <v>1475</v>
      </c>
      <c r="O730" s="20">
        <v>3</v>
      </c>
      <c r="S730" s="19" t="s">
        <v>20</v>
      </c>
      <c r="T730" s="19" t="s">
        <v>1471</v>
      </c>
    </row>
    <row r="731" spans="1:20">
      <c r="A731" s="20">
        <v>202603328239914</v>
      </c>
      <c r="B731" s="19" t="s">
        <v>20</v>
      </c>
      <c r="C731" s="19" t="s">
        <v>21</v>
      </c>
      <c r="D731" s="19" t="s">
        <v>20</v>
      </c>
      <c r="E731" s="21">
        <v>46204</v>
      </c>
      <c r="F731" s="21">
        <v>46568</v>
      </c>
      <c r="G731" s="21"/>
      <c r="H731" s="21">
        <v>46204</v>
      </c>
      <c r="I731" s="21">
        <v>46568</v>
      </c>
      <c r="J731" s="19" t="s">
        <v>2087</v>
      </c>
      <c r="L731" s="19">
        <v>33.130630250000003</v>
      </c>
      <c r="M731" s="19">
        <v>33.130630250000003</v>
      </c>
      <c r="N731" s="19" t="s">
        <v>1475</v>
      </c>
      <c r="O731" s="20">
        <v>1</v>
      </c>
      <c r="S731" s="19" t="s">
        <v>20</v>
      </c>
      <c r="T731" s="19" t="s">
        <v>1471</v>
      </c>
    </row>
    <row r="732" spans="1:20">
      <c r="A732" s="20">
        <v>202603328240241</v>
      </c>
      <c r="B732" s="19" t="s">
        <v>20</v>
      </c>
      <c r="C732" s="19" t="s">
        <v>21</v>
      </c>
      <c r="D732" s="19" t="s">
        <v>20</v>
      </c>
      <c r="E732" s="21">
        <v>46204</v>
      </c>
      <c r="F732" s="21">
        <v>46568</v>
      </c>
      <c r="G732" s="21"/>
      <c r="H732" s="21">
        <v>46204</v>
      </c>
      <c r="I732" s="21">
        <v>46568</v>
      </c>
      <c r="J732" s="19" t="s">
        <v>2164</v>
      </c>
      <c r="L732" s="19">
        <v>0</v>
      </c>
      <c r="M732" s="19">
        <v>0</v>
      </c>
      <c r="N732" s="19" t="s">
        <v>2394</v>
      </c>
      <c r="O732" s="20">
        <v>2</v>
      </c>
      <c r="S732" s="19" t="s">
        <v>20</v>
      </c>
      <c r="T732" s="19" t="s">
        <v>1471</v>
      </c>
    </row>
    <row r="733" spans="1:20">
      <c r="A733" s="20">
        <v>202603328240241</v>
      </c>
      <c r="B733" s="19" t="s">
        <v>20</v>
      </c>
      <c r="C733" s="19" t="s">
        <v>21</v>
      </c>
      <c r="D733" s="19" t="s">
        <v>20</v>
      </c>
      <c r="E733" s="21">
        <v>46204</v>
      </c>
      <c r="F733" s="21">
        <v>46568</v>
      </c>
      <c r="G733" s="21"/>
      <c r="H733" s="21">
        <v>46204</v>
      </c>
      <c r="I733" s="21">
        <v>46568</v>
      </c>
      <c r="J733" s="19" t="s">
        <v>2164</v>
      </c>
      <c r="L733" s="19">
        <v>59.863540499999999</v>
      </c>
      <c r="M733" s="19">
        <v>59.863540499999999</v>
      </c>
      <c r="N733" s="19" t="s">
        <v>1475</v>
      </c>
      <c r="O733" s="20">
        <v>2</v>
      </c>
      <c r="S733" s="19" t="s">
        <v>20</v>
      </c>
      <c r="T733" s="19" t="s">
        <v>1471</v>
      </c>
    </row>
    <row r="734" spans="1:20">
      <c r="A734" s="20">
        <v>202603328240247</v>
      </c>
      <c r="B734" s="19" t="s">
        <v>20</v>
      </c>
      <c r="C734" s="19" t="s">
        <v>21</v>
      </c>
      <c r="D734" s="19" t="s">
        <v>2225</v>
      </c>
      <c r="E734" s="21">
        <v>46204</v>
      </c>
      <c r="F734" s="21">
        <v>46568</v>
      </c>
      <c r="G734" s="21"/>
      <c r="H734" s="21">
        <v>46204</v>
      </c>
      <c r="I734" s="21">
        <v>46568</v>
      </c>
      <c r="J734" s="19" t="s">
        <v>2067</v>
      </c>
      <c r="L734" s="19">
        <v>35.110937749999998</v>
      </c>
      <c r="M734" s="19">
        <v>35.110937749999998</v>
      </c>
      <c r="N734" s="19" t="s">
        <v>1467</v>
      </c>
      <c r="O734" s="20">
        <v>1</v>
      </c>
      <c r="S734" s="19" t="s">
        <v>20</v>
      </c>
      <c r="T734" s="19" t="s">
        <v>1471</v>
      </c>
    </row>
    <row r="735" spans="1:20">
      <c r="A735" s="20">
        <v>202603328240373</v>
      </c>
      <c r="B735" s="19" t="s">
        <v>20</v>
      </c>
      <c r="C735" s="19" t="s">
        <v>21</v>
      </c>
      <c r="D735" s="19" t="s">
        <v>20</v>
      </c>
      <c r="E735" s="21">
        <v>46204</v>
      </c>
      <c r="F735" s="21">
        <v>46568</v>
      </c>
      <c r="G735" s="21"/>
      <c r="H735" s="21">
        <v>46204</v>
      </c>
      <c r="I735" s="21">
        <v>46568</v>
      </c>
      <c r="J735" s="19" t="s">
        <v>2209</v>
      </c>
      <c r="L735" s="19">
        <v>0</v>
      </c>
      <c r="M735" s="19">
        <v>0</v>
      </c>
      <c r="N735" s="19" t="s">
        <v>2394</v>
      </c>
      <c r="O735" s="20">
        <v>4</v>
      </c>
      <c r="S735" s="19" t="s">
        <v>20</v>
      </c>
      <c r="T735" s="19" t="s">
        <v>1471</v>
      </c>
    </row>
    <row r="736" spans="1:20">
      <c r="A736" s="20">
        <v>202603328240373</v>
      </c>
      <c r="B736" s="19" t="s">
        <v>20</v>
      </c>
      <c r="C736" s="19" t="s">
        <v>21</v>
      </c>
      <c r="D736" s="19" t="s">
        <v>2226</v>
      </c>
      <c r="E736" s="21">
        <v>46204</v>
      </c>
      <c r="F736" s="21">
        <v>46568</v>
      </c>
      <c r="G736" s="21"/>
      <c r="H736" s="21">
        <v>46204</v>
      </c>
      <c r="I736" s="21">
        <v>46568</v>
      </c>
      <c r="J736" s="19" t="s">
        <v>2209</v>
      </c>
      <c r="L736" s="19">
        <v>132.52252100000001</v>
      </c>
      <c r="M736" s="19">
        <v>132.52252100000001</v>
      </c>
      <c r="N736" s="19" t="s">
        <v>1467</v>
      </c>
      <c r="O736" s="20">
        <v>4</v>
      </c>
      <c r="S736" s="19" t="s">
        <v>20</v>
      </c>
      <c r="T736" s="19" t="s">
        <v>1471</v>
      </c>
    </row>
    <row r="737" spans="1:20">
      <c r="A737" s="20">
        <v>202603328242440</v>
      </c>
      <c r="B737" s="19" t="s">
        <v>20</v>
      </c>
      <c r="C737" s="19" t="s">
        <v>21</v>
      </c>
      <c r="D737" s="19" t="s">
        <v>20</v>
      </c>
      <c r="E737" s="21">
        <v>46204</v>
      </c>
      <c r="F737" s="21">
        <v>46568</v>
      </c>
      <c r="G737" s="21"/>
      <c r="H737" s="21">
        <v>46204</v>
      </c>
      <c r="I737" s="21">
        <v>46568</v>
      </c>
      <c r="J737" s="19" t="s">
        <v>2086</v>
      </c>
      <c r="L737" s="19">
        <v>0</v>
      </c>
      <c r="M737" s="19">
        <v>0</v>
      </c>
      <c r="N737" s="19" t="s">
        <v>2394</v>
      </c>
      <c r="O737" s="20">
        <v>2</v>
      </c>
      <c r="S737" s="19" t="s">
        <v>20</v>
      </c>
      <c r="T737" s="19" t="s">
        <v>1471</v>
      </c>
    </row>
    <row r="738" spans="1:20">
      <c r="A738" s="20">
        <v>202603328242440</v>
      </c>
      <c r="B738" s="19" t="s">
        <v>20</v>
      </c>
      <c r="C738" s="19" t="s">
        <v>21</v>
      </c>
      <c r="D738" s="19" t="s">
        <v>20</v>
      </c>
      <c r="E738" s="21">
        <v>46204</v>
      </c>
      <c r="F738" s="21">
        <v>46568</v>
      </c>
      <c r="G738" s="21"/>
      <c r="H738" s="21">
        <v>46204</v>
      </c>
      <c r="I738" s="21">
        <v>46568</v>
      </c>
      <c r="J738" s="19" t="s">
        <v>2086</v>
      </c>
      <c r="L738" s="19">
        <v>66.261260500000006</v>
      </c>
      <c r="M738" s="19">
        <v>66.261260500000006</v>
      </c>
      <c r="N738" s="19" t="s">
        <v>1475</v>
      </c>
      <c r="O738" s="20">
        <v>2</v>
      </c>
      <c r="S738" s="19" t="s">
        <v>20</v>
      </c>
      <c r="T738" s="19" t="s">
        <v>1471</v>
      </c>
    </row>
    <row r="739" spans="1:20">
      <c r="A739" s="20">
        <v>202603328246203</v>
      </c>
      <c r="B739" s="19" t="s">
        <v>20</v>
      </c>
      <c r="C739" s="19" t="s">
        <v>21</v>
      </c>
      <c r="D739" s="19" t="s">
        <v>20</v>
      </c>
      <c r="E739" s="21">
        <v>46204</v>
      </c>
      <c r="F739" s="21">
        <v>46568</v>
      </c>
      <c r="G739" s="21"/>
      <c r="H739" s="21">
        <v>46204</v>
      </c>
      <c r="I739" s="21">
        <v>46568</v>
      </c>
      <c r="J739" s="19" t="s">
        <v>2196</v>
      </c>
      <c r="L739" s="19">
        <v>23.968290750000001</v>
      </c>
      <c r="M739" s="19">
        <v>23.968290750000001</v>
      </c>
      <c r="N739" s="19" t="s">
        <v>1475</v>
      </c>
      <c r="O739" s="20">
        <v>1</v>
      </c>
      <c r="S739" s="19" t="s">
        <v>20</v>
      </c>
      <c r="T739" s="19" t="s">
        <v>1471</v>
      </c>
    </row>
    <row r="740" spans="1:20">
      <c r="A740" s="20">
        <v>202603328246384</v>
      </c>
      <c r="B740" s="19" t="s">
        <v>20</v>
      </c>
      <c r="C740" s="19" t="s">
        <v>21</v>
      </c>
      <c r="D740" s="19" t="s">
        <v>20</v>
      </c>
      <c r="E740" s="21">
        <v>46204</v>
      </c>
      <c r="F740" s="21">
        <v>46568</v>
      </c>
      <c r="G740" s="21"/>
      <c r="H740" s="21">
        <v>46204</v>
      </c>
      <c r="I740" s="21">
        <v>46568</v>
      </c>
      <c r="J740" s="19" t="s">
        <v>2209</v>
      </c>
      <c r="L740" s="19">
        <v>0</v>
      </c>
      <c r="M740" s="19">
        <v>0</v>
      </c>
      <c r="N740" s="19" t="s">
        <v>2394</v>
      </c>
      <c r="O740" s="20">
        <v>4</v>
      </c>
      <c r="S740" s="19" t="s">
        <v>20</v>
      </c>
      <c r="T740" s="19" t="s">
        <v>1471</v>
      </c>
    </row>
    <row r="741" spans="1:20">
      <c r="A741" s="20">
        <v>202603328246384</v>
      </c>
      <c r="B741" s="19" t="s">
        <v>20</v>
      </c>
      <c r="C741" s="19" t="s">
        <v>21</v>
      </c>
      <c r="D741" s="19" t="s">
        <v>20</v>
      </c>
      <c r="E741" s="21">
        <v>46204</v>
      </c>
      <c r="F741" s="21">
        <v>46568</v>
      </c>
      <c r="G741" s="21"/>
      <c r="H741" s="21">
        <v>46204</v>
      </c>
      <c r="I741" s="21">
        <v>46568</v>
      </c>
      <c r="J741" s="19" t="s">
        <v>2209</v>
      </c>
      <c r="L741" s="19">
        <v>132.52252100000001</v>
      </c>
      <c r="M741" s="19">
        <v>132.52252100000001</v>
      </c>
      <c r="N741" s="19" t="s">
        <v>1475</v>
      </c>
      <c r="O741" s="20">
        <v>4</v>
      </c>
      <c r="S741" s="19" t="s">
        <v>20</v>
      </c>
      <c r="T741" s="19" t="s">
        <v>1471</v>
      </c>
    </row>
    <row r="742" spans="1:20">
      <c r="A742" s="20">
        <v>202603328247575</v>
      </c>
      <c r="B742" s="19" t="s">
        <v>20</v>
      </c>
      <c r="C742" s="19" t="s">
        <v>21</v>
      </c>
      <c r="D742" s="19" t="s">
        <v>20</v>
      </c>
      <c r="E742" s="21">
        <v>46204</v>
      </c>
      <c r="F742" s="21">
        <v>46568</v>
      </c>
      <c r="G742" s="21"/>
      <c r="H742" s="21">
        <v>46204</v>
      </c>
      <c r="I742" s="21">
        <v>46568</v>
      </c>
      <c r="J742" s="19" t="s">
        <v>2064</v>
      </c>
      <c r="L742" s="19">
        <v>33.130630250000003</v>
      </c>
      <c r="M742" s="19">
        <v>33.130630250000003</v>
      </c>
      <c r="N742" s="19" t="s">
        <v>1475</v>
      </c>
      <c r="O742" s="20">
        <v>1</v>
      </c>
      <c r="S742" s="19" t="s">
        <v>20</v>
      </c>
      <c r="T742" s="19" t="s">
        <v>1471</v>
      </c>
    </row>
    <row r="743" spans="1:20">
      <c r="A743" s="20">
        <v>202603328248259</v>
      </c>
      <c r="B743" s="19" t="s">
        <v>20</v>
      </c>
      <c r="C743" s="19" t="s">
        <v>21</v>
      </c>
      <c r="D743" s="19" t="s">
        <v>20</v>
      </c>
      <c r="E743" s="21">
        <v>46204</v>
      </c>
      <c r="F743" s="21">
        <v>46568</v>
      </c>
      <c r="G743" s="21"/>
      <c r="H743" s="21">
        <v>46204</v>
      </c>
      <c r="I743" s="21">
        <v>46568</v>
      </c>
      <c r="J743" s="19" t="s">
        <v>2068</v>
      </c>
      <c r="L743" s="19">
        <v>26.258683999999999</v>
      </c>
      <c r="M743" s="19">
        <v>26.258683999999999</v>
      </c>
      <c r="N743" s="19" t="s">
        <v>1475</v>
      </c>
      <c r="O743" s="20">
        <v>1</v>
      </c>
      <c r="S743" s="19" t="s">
        <v>20</v>
      </c>
      <c r="T743" s="19" t="s">
        <v>1471</v>
      </c>
    </row>
    <row r="744" spans="1:20">
      <c r="A744" s="20">
        <v>202603328248263</v>
      </c>
      <c r="B744" s="19" t="s">
        <v>20</v>
      </c>
      <c r="C744" s="19" t="s">
        <v>21</v>
      </c>
      <c r="D744" s="19" t="s">
        <v>20</v>
      </c>
      <c r="E744" s="21">
        <v>46204</v>
      </c>
      <c r="F744" s="21">
        <v>46568</v>
      </c>
      <c r="G744" s="21"/>
      <c r="H744" s="21">
        <v>46204</v>
      </c>
      <c r="I744" s="21">
        <v>46568</v>
      </c>
      <c r="J744" s="19" t="s">
        <v>2083</v>
      </c>
      <c r="L744" s="19">
        <v>0</v>
      </c>
      <c r="M744" s="19">
        <v>0</v>
      </c>
      <c r="N744" s="19" t="s">
        <v>2394</v>
      </c>
      <c r="O744" s="20">
        <v>2</v>
      </c>
      <c r="S744" s="19" t="s">
        <v>20</v>
      </c>
      <c r="T744" s="19" t="s">
        <v>1471</v>
      </c>
    </row>
    <row r="745" spans="1:20">
      <c r="A745" s="20">
        <v>202603328248263</v>
      </c>
      <c r="B745" s="19" t="s">
        <v>20</v>
      </c>
      <c r="C745" s="19" t="s">
        <v>21</v>
      </c>
      <c r="D745" s="19" t="s">
        <v>20</v>
      </c>
      <c r="E745" s="21">
        <v>46204</v>
      </c>
      <c r="F745" s="21">
        <v>46568</v>
      </c>
      <c r="G745" s="21"/>
      <c r="H745" s="21">
        <v>46204</v>
      </c>
      <c r="I745" s="21">
        <v>46568</v>
      </c>
      <c r="J745" s="19" t="s">
        <v>2083</v>
      </c>
      <c r="L745" s="19">
        <v>66.261260500000006</v>
      </c>
      <c r="M745" s="19">
        <v>66.261260500000006</v>
      </c>
      <c r="N745" s="19" t="s">
        <v>1475</v>
      </c>
      <c r="O745" s="20">
        <v>2</v>
      </c>
      <c r="S745" s="19" t="s">
        <v>20</v>
      </c>
      <c r="T745" s="19" t="s">
        <v>1471</v>
      </c>
    </row>
    <row r="746" spans="1:20">
      <c r="A746" s="20">
        <v>202603328248539</v>
      </c>
      <c r="B746" s="19" t="s">
        <v>20</v>
      </c>
      <c r="C746" s="19" t="s">
        <v>21</v>
      </c>
      <c r="D746" s="19" t="s">
        <v>20</v>
      </c>
      <c r="E746" s="21">
        <v>46204</v>
      </c>
      <c r="F746" s="21">
        <v>46568</v>
      </c>
      <c r="G746" s="21"/>
      <c r="H746" s="21">
        <v>46204</v>
      </c>
      <c r="I746" s="21">
        <v>46568</v>
      </c>
      <c r="J746" s="19" t="s">
        <v>2064</v>
      </c>
      <c r="L746" s="19">
        <v>0</v>
      </c>
      <c r="M746" s="19">
        <v>0</v>
      </c>
      <c r="N746" s="19" t="s">
        <v>2394</v>
      </c>
      <c r="O746" s="20">
        <v>3</v>
      </c>
      <c r="S746" s="19" t="s">
        <v>20</v>
      </c>
      <c r="T746" s="19" t="s">
        <v>1471</v>
      </c>
    </row>
    <row r="747" spans="1:20">
      <c r="A747" s="20">
        <v>202603328248539</v>
      </c>
      <c r="B747" s="19" t="s">
        <v>20</v>
      </c>
      <c r="C747" s="19" t="s">
        <v>21</v>
      </c>
      <c r="D747" s="19" t="s">
        <v>20</v>
      </c>
      <c r="E747" s="21">
        <v>46204</v>
      </c>
      <c r="F747" s="21">
        <v>46568</v>
      </c>
      <c r="G747" s="21"/>
      <c r="H747" s="21">
        <v>46204</v>
      </c>
      <c r="I747" s="21">
        <v>46568</v>
      </c>
      <c r="J747" s="19" t="s">
        <v>2064</v>
      </c>
      <c r="L747" s="19">
        <v>99.391890750000002</v>
      </c>
      <c r="M747" s="19">
        <v>99.391890750000002</v>
      </c>
      <c r="N747" s="19" t="s">
        <v>1475</v>
      </c>
      <c r="O747" s="20">
        <v>3</v>
      </c>
      <c r="S747" s="19" t="s">
        <v>20</v>
      </c>
      <c r="T747" s="19" t="s">
        <v>1471</v>
      </c>
    </row>
    <row r="748" spans="1:20">
      <c r="A748" s="20">
        <v>202603328249608</v>
      </c>
      <c r="B748" s="19" t="s">
        <v>20</v>
      </c>
      <c r="C748" s="19" t="s">
        <v>21</v>
      </c>
      <c r="D748" s="19" t="s">
        <v>2227</v>
      </c>
      <c r="E748" s="21">
        <v>46204</v>
      </c>
      <c r="F748" s="21">
        <v>46568</v>
      </c>
      <c r="G748" s="21"/>
      <c r="H748" s="21">
        <v>46204</v>
      </c>
      <c r="I748" s="21">
        <v>46568</v>
      </c>
      <c r="J748" s="19" t="s">
        <v>2228</v>
      </c>
      <c r="L748" s="19">
        <v>19.156477500000001</v>
      </c>
      <c r="M748" s="19">
        <v>19.156477500000001</v>
      </c>
      <c r="N748" s="19" t="s">
        <v>1467</v>
      </c>
      <c r="O748" s="20">
        <v>1</v>
      </c>
      <c r="S748" s="19" t="s">
        <v>20</v>
      </c>
      <c r="T748" s="19" t="s">
        <v>1471</v>
      </c>
    </row>
    <row r="749" spans="1:20">
      <c r="A749" s="20">
        <v>202603328249822</v>
      </c>
      <c r="B749" s="19" t="s">
        <v>20</v>
      </c>
      <c r="C749" s="19" t="s">
        <v>21</v>
      </c>
      <c r="D749" s="19" t="s">
        <v>20</v>
      </c>
      <c r="E749" s="21">
        <v>46204</v>
      </c>
      <c r="F749" s="21">
        <v>46568</v>
      </c>
      <c r="G749" s="21"/>
      <c r="H749" s="21">
        <v>46204</v>
      </c>
      <c r="I749" s="21">
        <v>46568</v>
      </c>
      <c r="J749" s="19" t="s">
        <v>2062</v>
      </c>
      <c r="L749" s="19">
        <v>0</v>
      </c>
      <c r="M749" s="19">
        <v>0</v>
      </c>
      <c r="N749" s="19" t="s">
        <v>2394</v>
      </c>
      <c r="O749" s="20">
        <v>4</v>
      </c>
      <c r="S749" s="19" t="s">
        <v>20</v>
      </c>
      <c r="T749" s="19" t="s">
        <v>1471</v>
      </c>
    </row>
    <row r="750" spans="1:20">
      <c r="A750" s="20">
        <v>202603328249822</v>
      </c>
      <c r="B750" s="19" t="s">
        <v>20</v>
      </c>
      <c r="C750" s="19" t="s">
        <v>21</v>
      </c>
      <c r="D750" s="19" t="s">
        <v>2229</v>
      </c>
      <c r="E750" s="21">
        <v>46204</v>
      </c>
      <c r="F750" s="21">
        <v>46568</v>
      </c>
      <c r="G750" s="21"/>
      <c r="H750" s="21">
        <v>46204</v>
      </c>
      <c r="I750" s="21">
        <v>46568</v>
      </c>
      <c r="J750" s="19" t="s">
        <v>2062</v>
      </c>
      <c r="L750" s="19">
        <v>66.908733999999995</v>
      </c>
      <c r="M750" s="19">
        <v>66.908733999999995</v>
      </c>
      <c r="N750" s="19" t="s">
        <v>1467</v>
      </c>
      <c r="O750" s="20">
        <v>4</v>
      </c>
      <c r="S750" s="19" t="s">
        <v>20</v>
      </c>
      <c r="T750" s="19" t="s">
        <v>1471</v>
      </c>
    </row>
    <row r="751" spans="1:20">
      <c r="A751" s="20">
        <v>202603328250131</v>
      </c>
      <c r="B751" s="19" t="s">
        <v>20</v>
      </c>
      <c r="C751" s="19" t="s">
        <v>21</v>
      </c>
      <c r="D751" s="19" t="s">
        <v>20</v>
      </c>
      <c r="E751" s="21">
        <v>46204</v>
      </c>
      <c r="F751" s="21">
        <v>46568</v>
      </c>
      <c r="G751" s="21"/>
      <c r="H751" s="21">
        <v>46204</v>
      </c>
      <c r="I751" s="21">
        <v>46568</v>
      </c>
      <c r="J751" s="19" t="s">
        <v>1473</v>
      </c>
      <c r="L751" s="19">
        <v>0</v>
      </c>
      <c r="M751" s="19">
        <v>0</v>
      </c>
      <c r="N751" s="19" t="s">
        <v>2394</v>
      </c>
      <c r="O751" s="20">
        <v>4</v>
      </c>
      <c r="S751" s="19" t="s">
        <v>20</v>
      </c>
      <c r="T751" s="19" t="s">
        <v>1471</v>
      </c>
    </row>
    <row r="752" spans="1:20">
      <c r="A752" s="20">
        <v>202603328250131</v>
      </c>
      <c r="B752" s="19" t="s">
        <v>20</v>
      </c>
      <c r="C752" s="19" t="s">
        <v>21</v>
      </c>
      <c r="D752" s="19" t="s">
        <v>20</v>
      </c>
      <c r="E752" s="21">
        <v>46204</v>
      </c>
      <c r="F752" s="21">
        <v>46568</v>
      </c>
      <c r="G752" s="21"/>
      <c r="H752" s="21">
        <v>46204</v>
      </c>
      <c r="I752" s="21">
        <v>46568</v>
      </c>
      <c r="J752" s="19" t="s">
        <v>1473</v>
      </c>
      <c r="L752" s="19">
        <v>98.482693999999995</v>
      </c>
      <c r="M752" s="19">
        <v>98.482693999999995</v>
      </c>
      <c r="N752" s="19" t="s">
        <v>1475</v>
      </c>
      <c r="O752" s="20">
        <v>4</v>
      </c>
      <c r="S752" s="19" t="s">
        <v>20</v>
      </c>
      <c r="T752" s="19" t="s">
        <v>1471</v>
      </c>
    </row>
    <row r="753" spans="1:20">
      <c r="A753" s="20">
        <v>202603328250269</v>
      </c>
      <c r="B753" s="19" t="s">
        <v>20</v>
      </c>
      <c r="C753" s="19" t="s">
        <v>21</v>
      </c>
      <c r="D753" s="19" t="s">
        <v>20</v>
      </c>
      <c r="E753" s="21">
        <v>46204</v>
      </c>
      <c r="F753" s="21">
        <v>46568</v>
      </c>
      <c r="G753" s="21"/>
      <c r="H753" s="21">
        <v>46204</v>
      </c>
      <c r="I753" s="21">
        <v>46568</v>
      </c>
      <c r="J753" s="19" t="s">
        <v>2085</v>
      </c>
      <c r="L753" s="19">
        <v>24.620673499999999</v>
      </c>
      <c r="M753" s="19">
        <v>24.620673499999999</v>
      </c>
      <c r="N753" s="19" t="s">
        <v>1475</v>
      </c>
      <c r="O753" s="20">
        <v>1</v>
      </c>
      <c r="S753" s="19" t="s">
        <v>20</v>
      </c>
      <c r="T753" s="19" t="s">
        <v>1471</v>
      </c>
    </row>
    <row r="754" spans="1:20">
      <c r="A754" s="20">
        <v>202603328251056</v>
      </c>
      <c r="B754" s="19" t="s">
        <v>20</v>
      </c>
      <c r="C754" s="19" t="s">
        <v>21</v>
      </c>
      <c r="D754" s="19" t="s">
        <v>2230</v>
      </c>
      <c r="E754" s="21">
        <v>46204</v>
      </c>
      <c r="F754" s="21">
        <v>46568</v>
      </c>
      <c r="G754" s="21"/>
      <c r="H754" s="21">
        <v>46204</v>
      </c>
      <c r="I754" s="21">
        <v>46568</v>
      </c>
      <c r="J754" s="19" t="s">
        <v>2064</v>
      </c>
      <c r="L754" s="19">
        <v>16.727183499999999</v>
      </c>
      <c r="M754" s="19">
        <v>16.727183499999999</v>
      </c>
      <c r="N754" s="19" t="s">
        <v>1467</v>
      </c>
      <c r="O754" s="20">
        <v>1</v>
      </c>
      <c r="S754" s="19" t="s">
        <v>20</v>
      </c>
      <c r="T754" s="19" t="s">
        <v>1471</v>
      </c>
    </row>
    <row r="755" spans="1:20">
      <c r="A755" s="20">
        <v>202603328251538</v>
      </c>
      <c r="B755" s="19" t="s">
        <v>20</v>
      </c>
      <c r="C755" s="19" t="s">
        <v>21</v>
      </c>
      <c r="D755" s="19" t="s">
        <v>2231</v>
      </c>
      <c r="E755" s="21">
        <v>46204</v>
      </c>
      <c r="F755" s="21">
        <v>46568</v>
      </c>
      <c r="G755" s="21"/>
      <c r="H755" s="21">
        <v>46204</v>
      </c>
      <c r="I755" s="21">
        <v>46568</v>
      </c>
      <c r="J755" s="19" t="s">
        <v>1473</v>
      </c>
      <c r="L755" s="19">
        <v>24.620673499999999</v>
      </c>
      <c r="M755" s="19">
        <v>24.620673499999999</v>
      </c>
      <c r="N755" s="19" t="s">
        <v>1467</v>
      </c>
      <c r="O755" s="20">
        <v>1</v>
      </c>
      <c r="S755" s="19" t="s">
        <v>20</v>
      </c>
      <c r="T755" s="19" t="s">
        <v>1471</v>
      </c>
    </row>
    <row r="756" spans="1:20">
      <c r="A756" s="20">
        <v>202603328251546</v>
      </c>
      <c r="B756" s="19" t="s">
        <v>20</v>
      </c>
      <c r="C756" s="19" t="s">
        <v>21</v>
      </c>
      <c r="D756" s="19" t="s">
        <v>2232</v>
      </c>
      <c r="E756" s="21">
        <v>46204</v>
      </c>
      <c r="F756" s="21">
        <v>46568</v>
      </c>
      <c r="G756" s="21"/>
      <c r="H756" s="21">
        <v>46204</v>
      </c>
      <c r="I756" s="21">
        <v>46568</v>
      </c>
      <c r="J756" s="19" t="s">
        <v>2109</v>
      </c>
      <c r="L756" s="19">
        <v>29.817561749999999</v>
      </c>
      <c r="M756" s="19">
        <v>29.817561749999999</v>
      </c>
      <c r="N756" s="19" t="s">
        <v>1467</v>
      </c>
      <c r="O756" s="20">
        <v>1</v>
      </c>
      <c r="S756" s="19" t="s">
        <v>20</v>
      </c>
      <c r="T756" s="19" t="s">
        <v>1471</v>
      </c>
    </row>
    <row r="757" spans="1:20">
      <c r="A757" s="20">
        <v>202603328252362</v>
      </c>
      <c r="B757" s="19" t="s">
        <v>20</v>
      </c>
      <c r="C757" s="19" t="s">
        <v>21</v>
      </c>
      <c r="D757" s="19" t="s">
        <v>20</v>
      </c>
      <c r="E757" s="21">
        <v>46204</v>
      </c>
      <c r="F757" s="21">
        <v>46568</v>
      </c>
      <c r="G757" s="21"/>
      <c r="H757" s="21">
        <v>46204</v>
      </c>
      <c r="I757" s="21">
        <v>46568</v>
      </c>
      <c r="J757" s="19" t="s">
        <v>2104</v>
      </c>
      <c r="L757" s="19">
        <v>66.261260500000006</v>
      </c>
      <c r="M757" s="19">
        <v>66.261260500000006</v>
      </c>
      <c r="N757" s="19" t="s">
        <v>1475</v>
      </c>
      <c r="O757" s="20">
        <v>2</v>
      </c>
      <c r="S757" s="19" t="s">
        <v>20</v>
      </c>
      <c r="T757" s="19" t="s">
        <v>1471</v>
      </c>
    </row>
    <row r="758" spans="1:20">
      <c r="A758" s="20">
        <v>202603328252871</v>
      </c>
      <c r="B758" s="19" t="s">
        <v>20</v>
      </c>
      <c r="C758" s="19" t="s">
        <v>21</v>
      </c>
      <c r="D758" s="19" t="s">
        <v>20</v>
      </c>
      <c r="E758" s="21">
        <v>46204</v>
      </c>
      <c r="F758" s="21">
        <v>46568</v>
      </c>
      <c r="G758" s="21"/>
      <c r="H758" s="21">
        <v>46204</v>
      </c>
      <c r="I758" s="21">
        <v>46568</v>
      </c>
      <c r="J758" s="19" t="s">
        <v>2182</v>
      </c>
      <c r="L758" s="19">
        <v>0</v>
      </c>
      <c r="M758" s="19">
        <v>0</v>
      </c>
      <c r="N758" s="19" t="s">
        <v>2394</v>
      </c>
      <c r="O758" s="20">
        <v>6</v>
      </c>
      <c r="S758" s="19" t="s">
        <v>20</v>
      </c>
      <c r="T758" s="19" t="s">
        <v>1471</v>
      </c>
    </row>
    <row r="759" spans="1:20">
      <c r="A759" s="20">
        <v>202603328252871</v>
      </c>
      <c r="B759" s="19" t="s">
        <v>20</v>
      </c>
      <c r="C759" s="19" t="s">
        <v>21</v>
      </c>
      <c r="D759" s="19" t="s">
        <v>20</v>
      </c>
      <c r="E759" s="21">
        <v>46204</v>
      </c>
      <c r="F759" s="21">
        <v>46568</v>
      </c>
      <c r="G759" s="21"/>
      <c r="H759" s="21">
        <v>46204</v>
      </c>
      <c r="I759" s="21">
        <v>46568</v>
      </c>
      <c r="J759" s="19" t="s">
        <v>2182</v>
      </c>
      <c r="L759" s="19">
        <v>143.80974449999999</v>
      </c>
      <c r="M759" s="19">
        <v>143.80974449999999</v>
      </c>
      <c r="N759" s="19" t="s">
        <v>1475</v>
      </c>
      <c r="O759" s="20">
        <v>6</v>
      </c>
      <c r="S759" s="19" t="s">
        <v>20</v>
      </c>
      <c r="T759" s="19" t="s">
        <v>1471</v>
      </c>
    </row>
    <row r="760" spans="1:20">
      <c r="A760" s="20">
        <v>202603328255351</v>
      </c>
      <c r="B760" s="19" t="s">
        <v>20</v>
      </c>
      <c r="C760" s="19" t="s">
        <v>21</v>
      </c>
      <c r="D760" s="19" t="s">
        <v>20</v>
      </c>
      <c r="E760" s="21">
        <v>46204</v>
      </c>
      <c r="F760" s="21">
        <v>46568</v>
      </c>
      <c r="G760" s="21"/>
      <c r="H760" s="21">
        <v>46204</v>
      </c>
      <c r="I760" s="21">
        <v>46568</v>
      </c>
      <c r="J760" s="19" t="s">
        <v>2073</v>
      </c>
      <c r="L760" s="19">
        <v>26.258683999999999</v>
      </c>
      <c r="M760" s="19">
        <v>26.258683999999999</v>
      </c>
      <c r="N760" s="19" t="s">
        <v>1475</v>
      </c>
      <c r="O760" s="20">
        <v>1</v>
      </c>
      <c r="S760" s="19" t="s">
        <v>20</v>
      </c>
      <c r="T760" s="19" t="s">
        <v>1471</v>
      </c>
    </row>
    <row r="761" spans="1:20">
      <c r="A761" s="20">
        <v>202603328255476</v>
      </c>
      <c r="B761" s="19" t="s">
        <v>20</v>
      </c>
      <c r="C761" s="19" t="s">
        <v>21</v>
      </c>
      <c r="D761" s="19" t="s">
        <v>20</v>
      </c>
      <c r="E761" s="21">
        <v>46204</v>
      </c>
      <c r="F761" s="21">
        <v>46568</v>
      </c>
      <c r="G761" s="21"/>
      <c r="H761" s="21">
        <v>46204</v>
      </c>
      <c r="I761" s="21">
        <v>46568</v>
      </c>
      <c r="J761" s="19" t="s">
        <v>2104</v>
      </c>
      <c r="L761" s="19">
        <v>33.130630250000003</v>
      </c>
      <c r="M761" s="19">
        <v>33.130630250000003</v>
      </c>
      <c r="N761" s="19" t="s">
        <v>1475</v>
      </c>
      <c r="O761" s="20">
        <v>1</v>
      </c>
      <c r="S761" s="19" t="s">
        <v>20</v>
      </c>
      <c r="T761" s="19" t="s">
        <v>1471</v>
      </c>
    </row>
    <row r="762" spans="1:20">
      <c r="A762" s="20">
        <v>202603328256365</v>
      </c>
      <c r="B762" s="19" t="s">
        <v>20</v>
      </c>
      <c r="C762" s="19" t="s">
        <v>21</v>
      </c>
      <c r="D762" s="19" t="s">
        <v>20</v>
      </c>
      <c r="E762" s="21">
        <v>46204</v>
      </c>
      <c r="F762" s="21">
        <v>46568</v>
      </c>
      <c r="G762" s="21"/>
      <c r="H762" s="21">
        <v>46204</v>
      </c>
      <c r="I762" s="21">
        <v>46568</v>
      </c>
      <c r="J762" s="19" t="s">
        <v>2120</v>
      </c>
      <c r="L762" s="19">
        <v>37.947955</v>
      </c>
      <c r="M762" s="19">
        <v>37.947955</v>
      </c>
      <c r="N762" s="19" t="s">
        <v>1475</v>
      </c>
      <c r="O762" s="20">
        <v>1</v>
      </c>
      <c r="S762" s="19" t="s">
        <v>20</v>
      </c>
      <c r="T762" s="19" t="s">
        <v>1471</v>
      </c>
    </row>
    <row r="763" spans="1:20">
      <c r="A763" s="20">
        <v>202603328258340</v>
      </c>
      <c r="B763" s="19" t="s">
        <v>20</v>
      </c>
      <c r="C763" s="19" t="s">
        <v>21</v>
      </c>
      <c r="D763" s="19" t="s">
        <v>20</v>
      </c>
      <c r="E763" s="21">
        <v>46204</v>
      </c>
      <c r="F763" s="21">
        <v>46568</v>
      </c>
      <c r="G763" s="21"/>
      <c r="H763" s="21">
        <v>46204</v>
      </c>
      <c r="I763" s="21">
        <v>46568</v>
      </c>
      <c r="J763" s="19" t="s">
        <v>2114</v>
      </c>
      <c r="L763" s="19">
        <v>33.130630250000003</v>
      </c>
      <c r="M763" s="19">
        <v>33.130630250000003</v>
      </c>
      <c r="N763" s="19" t="s">
        <v>1475</v>
      </c>
      <c r="O763" s="20">
        <v>1</v>
      </c>
      <c r="S763" s="19" t="s">
        <v>20</v>
      </c>
      <c r="T763" s="19" t="s">
        <v>1471</v>
      </c>
    </row>
    <row r="764" spans="1:20">
      <c r="A764" s="20">
        <v>202603328258388</v>
      </c>
      <c r="B764" s="19" t="s">
        <v>20</v>
      </c>
      <c r="C764" s="19" t="s">
        <v>21</v>
      </c>
      <c r="D764" s="19" t="s">
        <v>20</v>
      </c>
      <c r="E764" s="21">
        <v>46204</v>
      </c>
      <c r="F764" s="21">
        <v>46568</v>
      </c>
      <c r="G764" s="21"/>
      <c r="H764" s="21">
        <v>46204</v>
      </c>
      <c r="I764" s="21">
        <v>46568</v>
      </c>
      <c r="J764" s="19" t="s">
        <v>2099</v>
      </c>
      <c r="L764" s="19">
        <v>0</v>
      </c>
      <c r="M764" s="19">
        <v>0</v>
      </c>
      <c r="N764" s="19" t="s">
        <v>2394</v>
      </c>
      <c r="O764" s="20">
        <v>2</v>
      </c>
      <c r="S764" s="19" t="s">
        <v>20</v>
      </c>
      <c r="T764" s="19" t="s">
        <v>1471</v>
      </c>
    </row>
    <row r="765" spans="1:20">
      <c r="A765" s="20">
        <v>202603328258388</v>
      </c>
      <c r="B765" s="19" t="s">
        <v>20</v>
      </c>
      <c r="C765" s="19" t="s">
        <v>21</v>
      </c>
      <c r="D765" s="19" t="s">
        <v>20</v>
      </c>
      <c r="E765" s="21">
        <v>46204</v>
      </c>
      <c r="F765" s="21">
        <v>46568</v>
      </c>
      <c r="G765" s="21"/>
      <c r="H765" s="21">
        <v>46204</v>
      </c>
      <c r="I765" s="21">
        <v>46568</v>
      </c>
      <c r="J765" s="19" t="s">
        <v>2099</v>
      </c>
      <c r="L765" s="19">
        <v>52.517367999999998</v>
      </c>
      <c r="M765" s="19">
        <v>52.517367999999998</v>
      </c>
      <c r="N765" s="19" t="s">
        <v>1475</v>
      </c>
      <c r="O765" s="20">
        <v>2</v>
      </c>
      <c r="S765" s="19" t="s">
        <v>20</v>
      </c>
      <c r="T765" s="19" t="s">
        <v>1471</v>
      </c>
    </row>
    <row r="766" spans="1:20">
      <c r="A766" s="20">
        <v>202603328258394</v>
      </c>
      <c r="B766" s="19" t="s">
        <v>20</v>
      </c>
      <c r="C766" s="19" t="s">
        <v>21</v>
      </c>
      <c r="D766" s="19" t="s">
        <v>20</v>
      </c>
      <c r="E766" s="21">
        <v>46204</v>
      </c>
      <c r="F766" s="21">
        <v>46568</v>
      </c>
      <c r="G766" s="21"/>
      <c r="H766" s="21">
        <v>46204</v>
      </c>
      <c r="I766" s="21">
        <v>46568</v>
      </c>
      <c r="J766" s="19" t="s">
        <v>2068</v>
      </c>
      <c r="L766" s="19">
        <v>0</v>
      </c>
      <c r="M766" s="19">
        <v>0</v>
      </c>
      <c r="N766" s="19" t="s">
        <v>2394</v>
      </c>
      <c r="O766" s="20">
        <v>4</v>
      </c>
      <c r="S766" s="19" t="s">
        <v>20</v>
      </c>
      <c r="T766" s="19" t="s">
        <v>1471</v>
      </c>
    </row>
    <row r="767" spans="1:20">
      <c r="A767" s="20">
        <v>202603328258394</v>
      </c>
      <c r="B767" s="19" t="s">
        <v>20</v>
      </c>
      <c r="C767" s="19" t="s">
        <v>21</v>
      </c>
      <c r="D767" s="19" t="s">
        <v>20</v>
      </c>
      <c r="E767" s="21">
        <v>46204</v>
      </c>
      <c r="F767" s="21">
        <v>46568</v>
      </c>
      <c r="G767" s="21"/>
      <c r="H767" s="21">
        <v>46204</v>
      </c>
      <c r="I767" s="21">
        <v>46568</v>
      </c>
      <c r="J767" s="19" t="s">
        <v>2068</v>
      </c>
      <c r="L767" s="19">
        <v>105.034736</v>
      </c>
      <c r="M767" s="19">
        <v>105.034736</v>
      </c>
      <c r="N767" s="19" t="s">
        <v>1475</v>
      </c>
      <c r="O767" s="20">
        <v>4</v>
      </c>
      <c r="S767" s="19" t="s">
        <v>20</v>
      </c>
      <c r="T767" s="19" t="s">
        <v>1471</v>
      </c>
    </row>
    <row r="768" spans="1:20">
      <c r="A768" s="20">
        <v>202603328259483</v>
      </c>
      <c r="B768" s="19" t="s">
        <v>20</v>
      </c>
      <c r="C768" s="19" t="s">
        <v>21</v>
      </c>
      <c r="D768" s="19" t="s">
        <v>20</v>
      </c>
      <c r="E768" s="21">
        <v>46204</v>
      </c>
      <c r="F768" s="21">
        <v>46568</v>
      </c>
      <c r="G768" s="21"/>
      <c r="H768" s="21">
        <v>46204</v>
      </c>
      <c r="I768" s="21">
        <v>46568</v>
      </c>
      <c r="J768" s="19" t="s">
        <v>2102</v>
      </c>
      <c r="L768" s="19">
        <v>0</v>
      </c>
      <c r="M768" s="19">
        <v>0</v>
      </c>
      <c r="N768" s="19" t="s">
        <v>2394</v>
      </c>
      <c r="O768" s="20">
        <v>6</v>
      </c>
      <c r="S768" s="19" t="s">
        <v>20</v>
      </c>
      <c r="T768" s="19" t="s">
        <v>1471</v>
      </c>
    </row>
    <row r="769" spans="1:20">
      <c r="A769" s="20">
        <v>202603328259483</v>
      </c>
      <c r="B769" s="19" t="s">
        <v>20</v>
      </c>
      <c r="C769" s="19" t="s">
        <v>21</v>
      </c>
      <c r="D769" s="19" t="s">
        <v>20</v>
      </c>
      <c r="E769" s="21">
        <v>46204</v>
      </c>
      <c r="F769" s="21">
        <v>46568</v>
      </c>
      <c r="G769" s="21"/>
      <c r="H769" s="21">
        <v>46204</v>
      </c>
      <c r="I769" s="21">
        <v>46568</v>
      </c>
      <c r="J769" s="19" t="s">
        <v>2102</v>
      </c>
      <c r="L769" s="19">
        <v>157.55210400000001</v>
      </c>
      <c r="M769" s="19">
        <v>157.55210400000001</v>
      </c>
      <c r="N769" s="19" t="s">
        <v>1475</v>
      </c>
      <c r="O769" s="20">
        <v>6</v>
      </c>
      <c r="S769" s="19" t="s">
        <v>20</v>
      </c>
      <c r="T769" s="19" t="s">
        <v>1471</v>
      </c>
    </row>
    <row r="770" spans="1:20">
      <c r="A770" s="20">
        <v>202603328260940</v>
      </c>
      <c r="B770" s="19" t="s">
        <v>20</v>
      </c>
      <c r="C770" s="19" t="s">
        <v>21</v>
      </c>
      <c r="D770" s="19" t="s">
        <v>20</v>
      </c>
      <c r="E770" s="21">
        <v>46204</v>
      </c>
      <c r="F770" s="21">
        <v>46568</v>
      </c>
      <c r="G770" s="21"/>
      <c r="H770" s="21">
        <v>46204</v>
      </c>
      <c r="I770" s="21">
        <v>46568</v>
      </c>
      <c r="J770" s="19" t="s">
        <v>2085</v>
      </c>
      <c r="L770" s="19">
        <v>0</v>
      </c>
      <c r="M770" s="19">
        <v>0</v>
      </c>
      <c r="N770" s="19" t="s">
        <v>2394</v>
      </c>
      <c r="O770" s="20">
        <v>4</v>
      </c>
      <c r="S770" s="19" t="s">
        <v>20</v>
      </c>
      <c r="T770" s="19" t="s">
        <v>1471</v>
      </c>
    </row>
    <row r="771" spans="1:20">
      <c r="A771" s="20">
        <v>202603328260940</v>
      </c>
      <c r="B771" s="19" t="s">
        <v>20</v>
      </c>
      <c r="C771" s="19" t="s">
        <v>21</v>
      </c>
      <c r="D771" s="19" t="s">
        <v>20</v>
      </c>
      <c r="E771" s="21">
        <v>46204</v>
      </c>
      <c r="F771" s="21">
        <v>46568</v>
      </c>
      <c r="G771" s="21"/>
      <c r="H771" s="21">
        <v>46204</v>
      </c>
      <c r="I771" s="21">
        <v>46568</v>
      </c>
      <c r="J771" s="19" t="s">
        <v>2085</v>
      </c>
      <c r="L771" s="19">
        <v>98.482693999999995</v>
      </c>
      <c r="M771" s="19">
        <v>98.482693999999995</v>
      </c>
      <c r="N771" s="19" t="s">
        <v>1475</v>
      </c>
      <c r="O771" s="20">
        <v>4</v>
      </c>
      <c r="S771" s="19" t="s">
        <v>20</v>
      </c>
      <c r="T771" s="19" t="s">
        <v>1471</v>
      </c>
    </row>
    <row r="772" spans="1:20">
      <c r="A772" s="20">
        <v>202603328261264</v>
      </c>
      <c r="B772" s="19" t="s">
        <v>20</v>
      </c>
      <c r="C772" s="19" t="s">
        <v>21</v>
      </c>
      <c r="D772" s="19" t="s">
        <v>20</v>
      </c>
      <c r="E772" s="21">
        <v>46204</v>
      </c>
      <c r="F772" s="21">
        <v>46568</v>
      </c>
      <c r="G772" s="21"/>
      <c r="H772" s="21">
        <v>46204</v>
      </c>
      <c r="I772" s="21">
        <v>46568</v>
      </c>
      <c r="J772" s="19" t="s">
        <v>2155</v>
      </c>
      <c r="L772" s="19">
        <v>0</v>
      </c>
      <c r="M772" s="19">
        <v>0</v>
      </c>
      <c r="N772" s="19" t="s">
        <v>2394</v>
      </c>
      <c r="O772" s="20">
        <v>4</v>
      </c>
      <c r="S772" s="19" t="s">
        <v>20</v>
      </c>
      <c r="T772" s="19" t="s">
        <v>1471</v>
      </c>
    </row>
    <row r="773" spans="1:20">
      <c r="A773" s="20">
        <v>202603328261264</v>
      </c>
      <c r="B773" s="19" t="s">
        <v>20</v>
      </c>
      <c r="C773" s="19" t="s">
        <v>21</v>
      </c>
      <c r="D773" s="19" t="s">
        <v>20</v>
      </c>
      <c r="E773" s="21">
        <v>46204</v>
      </c>
      <c r="F773" s="21">
        <v>46568</v>
      </c>
      <c r="G773" s="21"/>
      <c r="H773" s="21">
        <v>46204</v>
      </c>
      <c r="I773" s="21">
        <v>46568</v>
      </c>
      <c r="J773" s="19" t="s">
        <v>2155</v>
      </c>
      <c r="L773" s="19">
        <v>132.52252100000001</v>
      </c>
      <c r="M773" s="19">
        <v>132.52252100000001</v>
      </c>
      <c r="N773" s="19" t="s">
        <v>1475</v>
      </c>
      <c r="O773" s="20">
        <v>4</v>
      </c>
      <c r="S773" s="19" t="s">
        <v>20</v>
      </c>
      <c r="T773" s="19" t="s">
        <v>1471</v>
      </c>
    </row>
    <row r="774" spans="1:20">
      <c r="A774" s="20">
        <v>202603328261355</v>
      </c>
      <c r="B774" s="19" t="s">
        <v>20</v>
      </c>
      <c r="C774" s="19" t="s">
        <v>21</v>
      </c>
      <c r="D774" s="19" t="s">
        <v>20</v>
      </c>
      <c r="E774" s="21">
        <v>46204</v>
      </c>
      <c r="F774" s="21">
        <v>46568</v>
      </c>
      <c r="G774" s="21"/>
      <c r="H774" s="21">
        <v>46204</v>
      </c>
      <c r="I774" s="21">
        <v>46568</v>
      </c>
      <c r="J774" s="19" t="s">
        <v>2087</v>
      </c>
      <c r="L774" s="19">
        <v>33.130630250000003</v>
      </c>
      <c r="M774" s="19">
        <v>33.130630250000003</v>
      </c>
      <c r="N774" s="19" t="s">
        <v>1475</v>
      </c>
      <c r="O774" s="20">
        <v>1</v>
      </c>
      <c r="S774" s="19" t="s">
        <v>20</v>
      </c>
      <c r="T774" s="19" t="s">
        <v>1471</v>
      </c>
    </row>
    <row r="775" spans="1:20">
      <c r="A775" s="20">
        <v>202603328263045</v>
      </c>
      <c r="B775" s="19" t="s">
        <v>20</v>
      </c>
      <c r="C775" s="19" t="s">
        <v>21</v>
      </c>
      <c r="D775" s="19" t="s">
        <v>20</v>
      </c>
      <c r="E775" s="21">
        <v>46204</v>
      </c>
      <c r="F775" s="21">
        <v>46568</v>
      </c>
      <c r="G775" s="21"/>
      <c r="H775" s="21">
        <v>46204</v>
      </c>
      <c r="I775" s="21">
        <v>46568</v>
      </c>
      <c r="J775" s="19" t="s">
        <v>2159</v>
      </c>
      <c r="L775" s="19">
        <v>0</v>
      </c>
      <c r="M775" s="19">
        <v>0</v>
      </c>
      <c r="N775" s="19" t="s">
        <v>2394</v>
      </c>
      <c r="O775" s="20">
        <v>2</v>
      </c>
      <c r="S775" s="19" t="s">
        <v>20</v>
      </c>
      <c r="T775" s="19" t="s">
        <v>1471</v>
      </c>
    </row>
    <row r="776" spans="1:20">
      <c r="A776" s="20">
        <v>202603328263045</v>
      </c>
      <c r="B776" s="19" t="s">
        <v>20</v>
      </c>
      <c r="C776" s="19" t="s">
        <v>21</v>
      </c>
      <c r="D776" s="19" t="s">
        <v>20</v>
      </c>
      <c r="E776" s="21">
        <v>46204</v>
      </c>
      <c r="F776" s="21">
        <v>46568</v>
      </c>
      <c r="G776" s="21"/>
      <c r="H776" s="21">
        <v>46204</v>
      </c>
      <c r="I776" s="21">
        <v>46568</v>
      </c>
      <c r="J776" s="19" t="s">
        <v>2159</v>
      </c>
      <c r="L776" s="19">
        <v>66.261260500000006</v>
      </c>
      <c r="M776" s="19">
        <v>66.261260500000006</v>
      </c>
      <c r="N776" s="19" t="s">
        <v>1475</v>
      </c>
      <c r="O776" s="20">
        <v>2</v>
      </c>
      <c r="S776" s="19" t="s">
        <v>20</v>
      </c>
      <c r="T776" s="19" t="s">
        <v>1471</v>
      </c>
    </row>
    <row r="777" spans="1:20">
      <c r="A777" s="20">
        <v>202603328263150</v>
      </c>
      <c r="B777" s="19" t="s">
        <v>20</v>
      </c>
      <c r="C777" s="19" t="s">
        <v>21</v>
      </c>
      <c r="D777" s="19" t="s">
        <v>20</v>
      </c>
      <c r="E777" s="21">
        <v>46204</v>
      </c>
      <c r="F777" s="21">
        <v>46568</v>
      </c>
      <c r="G777" s="21"/>
      <c r="H777" s="21">
        <v>46204</v>
      </c>
      <c r="I777" s="21">
        <v>46568</v>
      </c>
      <c r="J777" s="19" t="s">
        <v>2087</v>
      </c>
      <c r="L777" s="19">
        <v>0</v>
      </c>
      <c r="M777" s="19">
        <v>0</v>
      </c>
      <c r="N777" s="19" t="s">
        <v>2394</v>
      </c>
      <c r="O777" s="20">
        <v>2</v>
      </c>
      <c r="S777" s="19" t="s">
        <v>20</v>
      </c>
      <c r="T777" s="19" t="s">
        <v>1471</v>
      </c>
    </row>
    <row r="778" spans="1:20">
      <c r="A778" s="20">
        <v>202603328263150</v>
      </c>
      <c r="B778" s="19" t="s">
        <v>20</v>
      </c>
      <c r="C778" s="19" t="s">
        <v>21</v>
      </c>
      <c r="D778" s="19" t="s">
        <v>20</v>
      </c>
      <c r="E778" s="21">
        <v>46204</v>
      </c>
      <c r="F778" s="21">
        <v>46568</v>
      </c>
      <c r="G778" s="21"/>
      <c r="H778" s="21">
        <v>46204</v>
      </c>
      <c r="I778" s="21">
        <v>46568</v>
      </c>
      <c r="J778" s="19" t="s">
        <v>2087</v>
      </c>
      <c r="L778" s="19">
        <v>66.261260500000006</v>
      </c>
      <c r="M778" s="19">
        <v>66.261260500000006</v>
      </c>
      <c r="N778" s="19" t="s">
        <v>1475</v>
      </c>
      <c r="O778" s="20">
        <v>2</v>
      </c>
      <c r="S778" s="19" t="s">
        <v>20</v>
      </c>
      <c r="T778" s="19" t="s">
        <v>1471</v>
      </c>
    </row>
    <row r="779" spans="1:20">
      <c r="A779" s="20">
        <v>202603328263700</v>
      </c>
      <c r="B779" s="19" t="s">
        <v>20</v>
      </c>
      <c r="C779" s="19" t="s">
        <v>21</v>
      </c>
      <c r="D779" s="19" t="s">
        <v>20</v>
      </c>
      <c r="E779" s="21">
        <v>46204</v>
      </c>
      <c r="F779" s="21">
        <v>46568</v>
      </c>
      <c r="G779" s="21"/>
      <c r="H779" s="21">
        <v>46204</v>
      </c>
      <c r="I779" s="21">
        <v>46568</v>
      </c>
      <c r="J779" s="19" t="s">
        <v>2180</v>
      </c>
      <c r="L779" s="19">
        <v>0</v>
      </c>
      <c r="M779" s="19">
        <v>0</v>
      </c>
      <c r="N779" s="19" t="s">
        <v>2394</v>
      </c>
      <c r="O779" s="20">
        <v>3</v>
      </c>
      <c r="S779" s="19" t="s">
        <v>20</v>
      </c>
      <c r="T779" s="19" t="s">
        <v>1471</v>
      </c>
    </row>
    <row r="780" spans="1:20">
      <c r="A780" s="20">
        <v>202603328263700</v>
      </c>
      <c r="B780" s="19" t="s">
        <v>20</v>
      </c>
      <c r="C780" s="19" t="s">
        <v>21</v>
      </c>
      <c r="D780" s="19" t="s">
        <v>20</v>
      </c>
      <c r="E780" s="21">
        <v>46204</v>
      </c>
      <c r="F780" s="21">
        <v>46568</v>
      </c>
      <c r="G780" s="21"/>
      <c r="H780" s="21">
        <v>46204</v>
      </c>
      <c r="I780" s="21">
        <v>46568</v>
      </c>
      <c r="J780" s="19" t="s">
        <v>2180</v>
      </c>
      <c r="L780" s="19">
        <v>97.110020250000005</v>
      </c>
      <c r="M780" s="19">
        <v>97.110020250000005</v>
      </c>
      <c r="N780" s="19" t="s">
        <v>1475</v>
      </c>
      <c r="O780" s="20">
        <v>3</v>
      </c>
      <c r="S780" s="19" t="s">
        <v>20</v>
      </c>
      <c r="T780" s="19" t="s">
        <v>1471</v>
      </c>
    </row>
    <row r="781" spans="1:20">
      <c r="A781" s="20">
        <v>202603328264029</v>
      </c>
      <c r="B781" s="19" t="s">
        <v>20</v>
      </c>
      <c r="C781" s="19" t="s">
        <v>21</v>
      </c>
      <c r="D781" s="19" t="s">
        <v>20</v>
      </c>
      <c r="E781" s="21">
        <v>46204</v>
      </c>
      <c r="F781" s="21">
        <v>46568</v>
      </c>
      <c r="G781" s="21"/>
      <c r="H781" s="21">
        <v>46204</v>
      </c>
      <c r="I781" s="21">
        <v>46568</v>
      </c>
      <c r="J781" s="19" t="s">
        <v>2071</v>
      </c>
      <c r="L781" s="19">
        <v>0</v>
      </c>
      <c r="M781" s="19">
        <v>0</v>
      </c>
      <c r="N781" s="19" t="s">
        <v>2394</v>
      </c>
      <c r="O781" s="20">
        <v>5</v>
      </c>
      <c r="S781" s="19" t="s">
        <v>20</v>
      </c>
      <c r="T781" s="19" t="s">
        <v>1471</v>
      </c>
    </row>
    <row r="782" spans="1:20">
      <c r="A782" s="20">
        <v>202603328264029</v>
      </c>
      <c r="B782" s="19" t="s">
        <v>20</v>
      </c>
      <c r="C782" s="19" t="s">
        <v>21</v>
      </c>
      <c r="D782" s="19" t="s">
        <v>20</v>
      </c>
      <c r="E782" s="21">
        <v>46204</v>
      </c>
      <c r="F782" s="21">
        <v>46568</v>
      </c>
      <c r="G782" s="21"/>
      <c r="H782" s="21">
        <v>46204</v>
      </c>
      <c r="I782" s="21">
        <v>46568</v>
      </c>
      <c r="J782" s="19" t="s">
        <v>2071</v>
      </c>
      <c r="L782" s="19">
        <v>193.29779500000001</v>
      </c>
      <c r="M782" s="19">
        <v>193.29779500000001</v>
      </c>
      <c r="N782" s="19" t="s">
        <v>1475</v>
      </c>
      <c r="O782" s="20">
        <v>5</v>
      </c>
      <c r="S782" s="19" t="s">
        <v>20</v>
      </c>
      <c r="T782" s="19" t="s">
        <v>1471</v>
      </c>
    </row>
    <row r="783" spans="1:20">
      <c r="A783" s="20">
        <v>202603328266382</v>
      </c>
      <c r="B783" s="19" t="s">
        <v>20</v>
      </c>
      <c r="C783" s="19" t="s">
        <v>21</v>
      </c>
      <c r="D783" s="19" t="s">
        <v>20</v>
      </c>
      <c r="E783" s="21">
        <v>46204</v>
      </c>
      <c r="F783" s="21">
        <v>46568</v>
      </c>
      <c r="G783" s="21"/>
      <c r="H783" s="21">
        <v>46204</v>
      </c>
      <c r="I783" s="21">
        <v>46568</v>
      </c>
      <c r="J783" s="19" t="s">
        <v>2068</v>
      </c>
      <c r="L783" s="19">
        <v>0</v>
      </c>
      <c r="M783" s="19">
        <v>0</v>
      </c>
      <c r="N783" s="19" t="s">
        <v>2394</v>
      </c>
      <c r="O783" s="20">
        <v>4</v>
      </c>
      <c r="S783" s="19" t="s">
        <v>20</v>
      </c>
      <c r="T783" s="19" t="s">
        <v>1471</v>
      </c>
    </row>
    <row r="784" spans="1:20">
      <c r="A784" s="20">
        <v>202603328266382</v>
      </c>
      <c r="B784" s="19" t="s">
        <v>20</v>
      </c>
      <c r="C784" s="19" t="s">
        <v>21</v>
      </c>
      <c r="D784" s="19" t="s">
        <v>20</v>
      </c>
      <c r="E784" s="21">
        <v>46204</v>
      </c>
      <c r="F784" s="21">
        <v>46568</v>
      </c>
      <c r="G784" s="21"/>
      <c r="H784" s="21">
        <v>46204</v>
      </c>
      <c r="I784" s="21">
        <v>46568</v>
      </c>
      <c r="J784" s="19" t="s">
        <v>2068</v>
      </c>
      <c r="L784" s="19">
        <v>105.034736</v>
      </c>
      <c r="M784" s="19">
        <v>105.034736</v>
      </c>
      <c r="N784" s="19" t="s">
        <v>1475</v>
      </c>
      <c r="O784" s="20">
        <v>4</v>
      </c>
      <c r="S784" s="19" t="s">
        <v>20</v>
      </c>
      <c r="T784" s="19" t="s">
        <v>1471</v>
      </c>
    </row>
    <row r="785" spans="1:20">
      <c r="A785" s="20">
        <v>202603328266451</v>
      </c>
      <c r="B785" s="19" t="s">
        <v>20</v>
      </c>
      <c r="C785" s="19" t="s">
        <v>21</v>
      </c>
      <c r="D785" s="19" t="s">
        <v>20</v>
      </c>
      <c r="E785" s="21">
        <v>46204</v>
      </c>
      <c r="F785" s="21">
        <v>46568</v>
      </c>
      <c r="G785" s="21"/>
      <c r="H785" s="21">
        <v>46204</v>
      </c>
      <c r="I785" s="21">
        <v>46568</v>
      </c>
      <c r="J785" s="19" t="s">
        <v>2093</v>
      </c>
      <c r="L785" s="19">
        <v>28.776034249999999</v>
      </c>
      <c r="M785" s="19">
        <v>28.776034249999999</v>
      </c>
      <c r="N785" s="19" t="s">
        <v>1475</v>
      </c>
      <c r="O785" s="20">
        <v>1</v>
      </c>
      <c r="S785" s="19" t="s">
        <v>20</v>
      </c>
      <c r="T785" s="19" t="s">
        <v>1471</v>
      </c>
    </row>
    <row r="786" spans="1:20">
      <c r="A786" s="20">
        <v>202603328266546</v>
      </c>
      <c r="B786" s="19" t="s">
        <v>20</v>
      </c>
      <c r="C786" s="19" t="s">
        <v>21</v>
      </c>
      <c r="D786" s="19" t="s">
        <v>20</v>
      </c>
      <c r="E786" s="21">
        <v>46204</v>
      </c>
      <c r="F786" s="21">
        <v>46568</v>
      </c>
      <c r="G786" s="21"/>
      <c r="H786" s="21">
        <v>46204</v>
      </c>
      <c r="I786" s="21">
        <v>46568</v>
      </c>
      <c r="J786" s="19" t="s">
        <v>2068</v>
      </c>
      <c r="L786" s="19">
        <v>26.258683999999999</v>
      </c>
      <c r="M786" s="19">
        <v>26.258683999999999</v>
      </c>
      <c r="N786" s="19" t="s">
        <v>1475</v>
      </c>
      <c r="O786" s="20">
        <v>1</v>
      </c>
      <c r="S786" s="19" t="s">
        <v>20</v>
      </c>
      <c r="T786" s="19" t="s">
        <v>1471</v>
      </c>
    </row>
    <row r="787" spans="1:20">
      <c r="A787" s="20">
        <v>202603328266608</v>
      </c>
      <c r="B787" s="19" t="s">
        <v>20</v>
      </c>
      <c r="C787" s="19" t="s">
        <v>21</v>
      </c>
      <c r="D787" s="19" t="s">
        <v>2233</v>
      </c>
      <c r="E787" s="21">
        <v>46204</v>
      </c>
      <c r="F787" s="21">
        <v>46568</v>
      </c>
      <c r="G787" s="21"/>
      <c r="H787" s="21">
        <v>46204</v>
      </c>
      <c r="I787" s="21">
        <v>46568</v>
      </c>
      <c r="J787" s="19" t="s">
        <v>2182</v>
      </c>
      <c r="L787" s="19">
        <v>23.968290750000001</v>
      </c>
      <c r="M787" s="19">
        <v>23.968290750000001</v>
      </c>
      <c r="N787" s="19" t="s">
        <v>1467</v>
      </c>
      <c r="O787" s="20">
        <v>1</v>
      </c>
      <c r="S787" s="19" t="s">
        <v>20</v>
      </c>
      <c r="T787" s="19" t="s">
        <v>1471</v>
      </c>
    </row>
    <row r="788" spans="1:20">
      <c r="A788" s="20">
        <v>202603328266843</v>
      </c>
      <c r="B788" s="19" t="s">
        <v>20</v>
      </c>
      <c r="C788" s="19" t="s">
        <v>21</v>
      </c>
      <c r="D788" s="19" t="s">
        <v>20</v>
      </c>
      <c r="E788" s="21">
        <v>46204</v>
      </c>
      <c r="F788" s="21">
        <v>46568</v>
      </c>
      <c r="G788" s="21"/>
      <c r="H788" s="21">
        <v>46204</v>
      </c>
      <c r="I788" s="21">
        <v>46568</v>
      </c>
      <c r="J788" s="19" t="s">
        <v>2064</v>
      </c>
      <c r="L788" s="19">
        <v>0</v>
      </c>
      <c r="M788" s="19">
        <v>0</v>
      </c>
      <c r="N788" s="19" t="s">
        <v>2394</v>
      </c>
      <c r="O788" s="20">
        <v>2</v>
      </c>
      <c r="S788" s="19" t="s">
        <v>20</v>
      </c>
      <c r="T788" s="19" t="s">
        <v>1471</v>
      </c>
    </row>
    <row r="789" spans="1:20">
      <c r="A789" s="20">
        <v>202603328266843</v>
      </c>
      <c r="B789" s="19" t="s">
        <v>20</v>
      </c>
      <c r="C789" s="19" t="s">
        <v>21</v>
      </c>
      <c r="D789" s="19" t="s">
        <v>20</v>
      </c>
      <c r="E789" s="21">
        <v>46204</v>
      </c>
      <c r="F789" s="21">
        <v>46568</v>
      </c>
      <c r="G789" s="21"/>
      <c r="H789" s="21">
        <v>46204</v>
      </c>
      <c r="I789" s="21">
        <v>46568</v>
      </c>
      <c r="J789" s="19" t="s">
        <v>2064</v>
      </c>
      <c r="L789" s="19">
        <v>66.261260500000006</v>
      </c>
      <c r="M789" s="19">
        <v>66.261260500000006</v>
      </c>
      <c r="N789" s="19" t="s">
        <v>1475</v>
      </c>
      <c r="O789" s="20">
        <v>2</v>
      </c>
      <c r="S789" s="19" t="s">
        <v>20</v>
      </c>
      <c r="T789" s="19" t="s">
        <v>1471</v>
      </c>
    </row>
    <row r="790" spans="1:20">
      <c r="A790" s="20">
        <v>202603328268976</v>
      </c>
      <c r="B790" s="19" t="s">
        <v>20</v>
      </c>
      <c r="C790" s="19" t="s">
        <v>21</v>
      </c>
      <c r="D790" s="19" t="s">
        <v>20</v>
      </c>
      <c r="E790" s="21">
        <v>46204</v>
      </c>
      <c r="F790" s="21">
        <v>46568</v>
      </c>
      <c r="G790" s="21"/>
      <c r="H790" s="21">
        <v>46204</v>
      </c>
      <c r="I790" s="21">
        <v>46568</v>
      </c>
      <c r="J790" s="19" t="s">
        <v>2092</v>
      </c>
      <c r="L790" s="19">
        <v>0</v>
      </c>
      <c r="M790" s="19">
        <v>0</v>
      </c>
      <c r="N790" s="19" t="s">
        <v>2394</v>
      </c>
      <c r="O790" s="20">
        <v>3</v>
      </c>
      <c r="S790" s="19" t="s">
        <v>20</v>
      </c>
      <c r="T790" s="19" t="s">
        <v>1471</v>
      </c>
    </row>
    <row r="791" spans="1:20">
      <c r="A791" s="20">
        <v>202603328268976</v>
      </c>
      <c r="B791" s="19" t="s">
        <v>20</v>
      </c>
      <c r="C791" s="19" t="s">
        <v>21</v>
      </c>
      <c r="D791" s="19" t="s">
        <v>2234</v>
      </c>
      <c r="E791" s="21">
        <v>46204</v>
      </c>
      <c r="F791" s="21">
        <v>46568</v>
      </c>
      <c r="G791" s="21"/>
      <c r="H791" s="21">
        <v>46204</v>
      </c>
      <c r="I791" s="21">
        <v>46568</v>
      </c>
      <c r="J791" s="19" t="s">
        <v>2092</v>
      </c>
      <c r="L791" s="19">
        <v>59.747470499999999</v>
      </c>
      <c r="M791" s="19">
        <v>59.747470499999999</v>
      </c>
      <c r="N791" s="19" t="s">
        <v>1467</v>
      </c>
      <c r="O791" s="20">
        <v>3</v>
      </c>
      <c r="S791" s="19" t="s">
        <v>20</v>
      </c>
      <c r="T791" s="19" t="s">
        <v>1471</v>
      </c>
    </row>
    <row r="792" spans="1:20">
      <c r="A792" s="20">
        <v>202603328270534</v>
      </c>
      <c r="B792" s="19" t="s">
        <v>20</v>
      </c>
      <c r="C792" s="19" t="s">
        <v>21</v>
      </c>
      <c r="D792" s="19" t="s">
        <v>20</v>
      </c>
      <c r="E792" s="21">
        <v>46204</v>
      </c>
      <c r="F792" s="21">
        <v>46568</v>
      </c>
      <c r="G792" s="21"/>
      <c r="H792" s="21">
        <v>46204</v>
      </c>
      <c r="I792" s="21">
        <v>46568</v>
      </c>
      <c r="J792" s="19" t="s">
        <v>2235</v>
      </c>
      <c r="L792" s="19">
        <v>0</v>
      </c>
      <c r="M792" s="19">
        <v>0</v>
      </c>
      <c r="N792" s="19" t="s">
        <v>2394</v>
      </c>
      <c r="O792" s="20">
        <v>4</v>
      </c>
      <c r="S792" s="19" t="s">
        <v>20</v>
      </c>
      <c r="T792" s="19" t="s">
        <v>1471</v>
      </c>
    </row>
    <row r="793" spans="1:20">
      <c r="A793" s="20">
        <v>202603328270534</v>
      </c>
      <c r="B793" s="19" t="s">
        <v>20</v>
      </c>
      <c r="C793" s="19" t="s">
        <v>21</v>
      </c>
      <c r="D793" s="19" t="s">
        <v>20</v>
      </c>
      <c r="E793" s="21">
        <v>46204</v>
      </c>
      <c r="F793" s="21">
        <v>46568</v>
      </c>
      <c r="G793" s="21"/>
      <c r="H793" s="21">
        <v>46204</v>
      </c>
      <c r="I793" s="21">
        <v>46568</v>
      </c>
      <c r="J793" s="19" t="s">
        <v>2235</v>
      </c>
      <c r="L793" s="19">
        <v>132.52252100000001</v>
      </c>
      <c r="M793" s="19">
        <v>132.52252100000001</v>
      </c>
      <c r="N793" s="19" t="s">
        <v>1475</v>
      </c>
      <c r="O793" s="20">
        <v>4</v>
      </c>
      <c r="S793" s="19" t="s">
        <v>20</v>
      </c>
      <c r="T793" s="19" t="s">
        <v>1471</v>
      </c>
    </row>
    <row r="794" spans="1:20">
      <c r="A794" s="20">
        <v>202603328270994</v>
      </c>
      <c r="B794" s="19" t="s">
        <v>20</v>
      </c>
      <c r="C794" s="19" t="s">
        <v>21</v>
      </c>
      <c r="D794" s="19" t="s">
        <v>2236</v>
      </c>
      <c r="E794" s="21">
        <v>46204</v>
      </c>
      <c r="F794" s="21">
        <v>46568</v>
      </c>
      <c r="G794" s="21"/>
      <c r="H794" s="21">
        <v>46204</v>
      </c>
      <c r="I794" s="21">
        <v>46568</v>
      </c>
      <c r="J794" s="19" t="s">
        <v>2218</v>
      </c>
      <c r="L794" s="19">
        <v>33.130630250000003</v>
      </c>
      <c r="M794" s="19">
        <v>33.130630250000003</v>
      </c>
      <c r="N794" s="19" t="s">
        <v>1467</v>
      </c>
      <c r="O794" s="20">
        <v>1</v>
      </c>
      <c r="S794" s="19" t="s">
        <v>20</v>
      </c>
      <c r="T794" s="19" t="s">
        <v>1471</v>
      </c>
    </row>
    <row r="795" spans="1:20">
      <c r="A795" s="20">
        <v>202603328270996</v>
      </c>
      <c r="B795" s="19" t="s">
        <v>20</v>
      </c>
      <c r="C795" s="19" t="s">
        <v>21</v>
      </c>
      <c r="D795" s="19" t="s">
        <v>20</v>
      </c>
      <c r="E795" s="21">
        <v>46204</v>
      </c>
      <c r="F795" s="21">
        <v>46568</v>
      </c>
      <c r="G795" s="21"/>
      <c r="H795" s="21">
        <v>46204</v>
      </c>
      <c r="I795" s="21">
        <v>46568</v>
      </c>
      <c r="J795" s="19" t="s">
        <v>2065</v>
      </c>
      <c r="L795" s="19">
        <v>0</v>
      </c>
      <c r="M795" s="19">
        <v>0</v>
      </c>
      <c r="N795" s="19" t="s">
        <v>2394</v>
      </c>
      <c r="O795" s="20">
        <v>2</v>
      </c>
      <c r="S795" s="19" t="s">
        <v>20</v>
      </c>
      <c r="T795" s="19" t="s">
        <v>1471</v>
      </c>
    </row>
    <row r="796" spans="1:20">
      <c r="A796" s="20">
        <v>202603328270996</v>
      </c>
      <c r="B796" s="19" t="s">
        <v>20</v>
      </c>
      <c r="C796" s="19" t="s">
        <v>21</v>
      </c>
      <c r="D796" s="19" t="s">
        <v>20</v>
      </c>
      <c r="E796" s="21">
        <v>46204</v>
      </c>
      <c r="F796" s="21">
        <v>46568</v>
      </c>
      <c r="G796" s="21"/>
      <c r="H796" s="21">
        <v>46204</v>
      </c>
      <c r="I796" s="21">
        <v>46568</v>
      </c>
      <c r="J796" s="19" t="s">
        <v>2065</v>
      </c>
      <c r="L796" s="19">
        <v>52.517367999999998</v>
      </c>
      <c r="M796" s="19">
        <v>52.517367999999998</v>
      </c>
      <c r="N796" s="19" t="s">
        <v>1475</v>
      </c>
      <c r="O796" s="20">
        <v>2</v>
      </c>
      <c r="S796" s="19" t="s">
        <v>20</v>
      </c>
      <c r="T796" s="19" t="s">
        <v>1471</v>
      </c>
    </row>
    <row r="797" spans="1:20">
      <c r="A797" s="20">
        <v>202603328271274</v>
      </c>
      <c r="B797" s="19" t="s">
        <v>20</v>
      </c>
      <c r="C797" s="19" t="s">
        <v>21</v>
      </c>
      <c r="D797" s="19" t="s">
        <v>2237</v>
      </c>
      <c r="E797" s="21">
        <v>46204</v>
      </c>
      <c r="F797" s="21">
        <v>46568</v>
      </c>
      <c r="G797" s="21"/>
      <c r="H797" s="21">
        <v>46204</v>
      </c>
      <c r="I797" s="21">
        <v>46568</v>
      </c>
      <c r="J797" s="19" t="s">
        <v>2114</v>
      </c>
      <c r="L797" s="19">
        <v>165.65315125000001</v>
      </c>
      <c r="M797" s="19">
        <v>165.65315125000001</v>
      </c>
      <c r="N797" s="19" t="s">
        <v>1467</v>
      </c>
      <c r="O797" s="20">
        <v>5</v>
      </c>
      <c r="S797" s="19" t="s">
        <v>20</v>
      </c>
      <c r="T797" s="19" t="s">
        <v>1471</v>
      </c>
    </row>
    <row r="798" spans="1:20">
      <c r="A798" s="20">
        <v>202603328272351</v>
      </c>
      <c r="B798" s="19" t="s">
        <v>20</v>
      </c>
      <c r="C798" s="19" t="s">
        <v>21</v>
      </c>
      <c r="D798" s="19" t="s">
        <v>20</v>
      </c>
      <c r="E798" s="21">
        <v>46204</v>
      </c>
      <c r="F798" s="21">
        <v>46568</v>
      </c>
      <c r="G798" s="21"/>
      <c r="H798" s="21">
        <v>46204</v>
      </c>
      <c r="I798" s="21">
        <v>46568</v>
      </c>
      <c r="J798" s="19" t="s">
        <v>2238</v>
      </c>
      <c r="L798" s="19">
        <v>0</v>
      </c>
      <c r="M798" s="19">
        <v>0</v>
      </c>
      <c r="N798" s="19" t="s">
        <v>2394</v>
      </c>
      <c r="O798" s="20">
        <v>7</v>
      </c>
      <c r="S798" s="19" t="s">
        <v>20</v>
      </c>
      <c r="T798" s="19" t="s">
        <v>1471</v>
      </c>
    </row>
    <row r="799" spans="1:20">
      <c r="A799" s="20">
        <v>202603328272351</v>
      </c>
      <c r="B799" s="19" t="s">
        <v>20</v>
      </c>
      <c r="C799" s="19" t="s">
        <v>21</v>
      </c>
      <c r="D799" s="19" t="s">
        <v>2239</v>
      </c>
      <c r="E799" s="21">
        <v>46204</v>
      </c>
      <c r="F799" s="21">
        <v>46568</v>
      </c>
      <c r="G799" s="21"/>
      <c r="H799" s="21">
        <v>46204</v>
      </c>
      <c r="I799" s="21">
        <v>46568</v>
      </c>
      <c r="J799" s="19" t="s">
        <v>2238</v>
      </c>
      <c r="L799" s="19">
        <v>170.04623649999999</v>
      </c>
      <c r="M799" s="19">
        <v>170.04623649999999</v>
      </c>
      <c r="N799" s="19" t="s">
        <v>1467</v>
      </c>
      <c r="O799" s="20">
        <v>7</v>
      </c>
      <c r="S799" s="19" t="s">
        <v>20</v>
      </c>
      <c r="T799" s="19" t="s">
        <v>1471</v>
      </c>
    </row>
    <row r="800" spans="1:20">
      <c r="A800" s="20">
        <v>202603328272558</v>
      </c>
      <c r="B800" s="19" t="s">
        <v>20</v>
      </c>
      <c r="C800" s="19" t="s">
        <v>21</v>
      </c>
      <c r="D800" s="19" t="s">
        <v>20</v>
      </c>
      <c r="E800" s="21">
        <v>46204</v>
      </c>
      <c r="F800" s="21">
        <v>46568</v>
      </c>
      <c r="G800" s="21"/>
      <c r="H800" s="21">
        <v>46204</v>
      </c>
      <c r="I800" s="21">
        <v>46568</v>
      </c>
      <c r="J800" s="19" t="s">
        <v>2065</v>
      </c>
      <c r="L800" s="19">
        <v>0</v>
      </c>
      <c r="M800" s="19">
        <v>0</v>
      </c>
      <c r="N800" s="19" t="s">
        <v>2394</v>
      </c>
      <c r="O800" s="20">
        <v>5</v>
      </c>
      <c r="S800" s="19" t="s">
        <v>20</v>
      </c>
      <c r="T800" s="19" t="s">
        <v>1471</v>
      </c>
    </row>
    <row r="801" spans="1:20">
      <c r="A801" s="20">
        <v>202603328272558</v>
      </c>
      <c r="B801" s="19" t="s">
        <v>20</v>
      </c>
      <c r="C801" s="19" t="s">
        <v>21</v>
      </c>
      <c r="D801" s="19" t="s">
        <v>20</v>
      </c>
      <c r="E801" s="21">
        <v>46204</v>
      </c>
      <c r="F801" s="21">
        <v>46568</v>
      </c>
      <c r="G801" s="21"/>
      <c r="H801" s="21">
        <v>46204</v>
      </c>
      <c r="I801" s="21">
        <v>46568</v>
      </c>
      <c r="J801" s="19" t="s">
        <v>2065</v>
      </c>
      <c r="L801" s="19">
        <v>131.29342</v>
      </c>
      <c r="M801" s="19">
        <v>131.29342</v>
      </c>
      <c r="N801" s="19" t="s">
        <v>1475</v>
      </c>
      <c r="O801" s="20">
        <v>5</v>
      </c>
      <c r="S801" s="19" t="s">
        <v>20</v>
      </c>
      <c r="T801" s="19" t="s">
        <v>1471</v>
      </c>
    </row>
    <row r="802" spans="1:20">
      <c r="A802" s="20">
        <v>202603328273972</v>
      </c>
      <c r="B802" s="19" t="s">
        <v>20</v>
      </c>
      <c r="C802" s="19" t="s">
        <v>21</v>
      </c>
      <c r="D802" s="19" t="s">
        <v>2240</v>
      </c>
      <c r="E802" s="21">
        <v>46204</v>
      </c>
      <c r="F802" s="21">
        <v>46568</v>
      </c>
      <c r="G802" s="21"/>
      <c r="H802" s="21">
        <v>46204</v>
      </c>
      <c r="I802" s="21">
        <v>46568</v>
      </c>
      <c r="J802" s="19" t="s">
        <v>2241</v>
      </c>
      <c r="L802" s="19">
        <v>12.3363795</v>
      </c>
      <c r="M802" s="19">
        <v>12.3363795</v>
      </c>
      <c r="N802" s="19" t="s">
        <v>1467</v>
      </c>
      <c r="O802" s="20">
        <v>3</v>
      </c>
      <c r="S802" s="19" t="s">
        <v>20</v>
      </c>
      <c r="T802" s="19" t="s">
        <v>1471</v>
      </c>
    </row>
    <row r="803" spans="1:20">
      <c r="A803" s="20">
        <v>202603328275178</v>
      </c>
      <c r="B803" s="19" t="s">
        <v>20</v>
      </c>
      <c r="C803" s="19" t="s">
        <v>21</v>
      </c>
      <c r="D803" s="19" t="s">
        <v>20</v>
      </c>
      <c r="E803" s="21">
        <v>46204</v>
      </c>
      <c r="F803" s="21">
        <v>46568</v>
      </c>
      <c r="G803" s="21"/>
      <c r="H803" s="21">
        <v>46204</v>
      </c>
      <c r="I803" s="21">
        <v>46568</v>
      </c>
      <c r="J803" s="19" t="s">
        <v>2064</v>
      </c>
      <c r="L803" s="19">
        <v>0</v>
      </c>
      <c r="M803" s="19">
        <v>0</v>
      </c>
      <c r="N803" s="19" t="s">
        <v>2394</v>
      </c>
      <c r="O803" s="20">
        <v>3</v>
      </c>
      <c r="S803" s="19" t="s">
        <v>20</v>
      </c>
      <c r="T803" s="19" t="s">
        <v>1471</v>
      </c>
    </row>
    <row r="804" spans="1:20">
      <c r="A804" s="20">
        <v>202603328275178</v>
      </c>
      <c r="B804" s="19" t="s">
        <v>20</v>
      </c>
      <c r="C804" s="19" t="s">
        <v>21</v>
      </c>
      <c r="D804" s="19" t="s">
        <v>2242</v>
      </c>
      <c r="E804" s="21">
        <v>46204</v>
      </c>
      <c r="F804" s="21">
        <v>46568</v>
      </c>
      <c r="G804" s="21"/>
      <c r="H804" s="21">
        <v>46204</v>
      </c>
      <c r="I804" s="21">
        <v>46568</v>
      </c>
      <c r="J804" s="19" t="s">
        <v>2064</v>
      </c>
      <c r="L804" s="19">
        <v>50.1815505</v>
      </c>
      <c r="M804" s="19">
        <v>50.1815505</v>
      </c>
      <c r="N804" s="19" t="s">
        <v>1467</v>
      </c>
      <c r="O804" s="20">
        <v>3</v>
      </c>
      <c r="S804" s="19" t="s">
        <v>20</v>
      </c>
      <c r="T804" s="19" t="s">
        <v>1471</v>
      </c>
    </row>
    <row r="805" spans="1:20">
      <c r="A805" s="20">
        <v>202603328275836</v>
      </c>
      <c r="B805" s="19" t="s">
        <v>20</v>
      </c>
      <c r="C805" s="19" t="s">
        <v>21</v>
      </c>
      <c r="D805" s="19" t="s">
        <v>20</v>
      </c>
      <c r="E805" s="21">
        <v>46204</v>
      </c>
      <c r="F805" s="21">
        <v>46568</v>
      </c>
      <c r="G805" s="21"/>
      <c r="H805" s="21">
        <v>46204</v>
      </c>
      <c r="I805" s="21">
        <v>46568</v>
      </c>
      <c r="J805" s="19" t="s">
        <v>2066</v>
      </c>
      <c r="L805" s="19">
        <v>66.261260500000006</v>
      </c>
      <c r="M805" s="19">
        <v>66.261260500000006</v>
      </c>
      <c r="N805" s="19" t="s">
        <v>1475</v>
      </c>
      <c r="O805" s="20">
        <v>2</v>
      </c>
      <c r="S805" s="19" t="s">
        <v>20</v>
      </c>
      <c r="T805" s="19" t="s">
        <v>1471</v>
      </c>
    </row>
    <row r="806" spans="1:20">
      <c r="A806" s="20">
        <v>202603328277276</v>
      </c>
      <c r="B806" s="19" t="s">
        <v>20</v>
      </c>
      <c r="C806" s="19" t="s">
        <v>21</v>
      </c>
      <c r="D806" s="19" t="s">
        <v>20</v>
      </c>
      <c r="E806" s="21">
        <v>46204</v>
      </c>
      <c r="F806" s="21">
        <v>46568</v>
      </c>
      <c r="G806" s="21"/>
      <c r="H806" s="21">
        <v>46204</v>
      </c>
      <c r="I806" s="21">
        <v>46568</v>
      </c>
      <c r="J806" s="19" t="s">
        <v>2159</v>
      </c>
      <c r="L806" s="19">
        <v>99.391890750000002</v>
      </c>
      <c r="M806" s="19">
        <v>99.391890750000002</v>
      </c>
      <c r="N806" s="19" t="s">
        <v>1475</v>
      </c>
      <c r="O806" s="20">
        <v>3</v>
      </c>
      <c r="S806" s="19" t="s">
        <v>20</v>
      </c>
      <c r="T806" s="19" t="s">
        <v>1471</v>
      </c>
    </row>
    <row r="807" spans="1:20">
      <c r="A807" s="20">
        <v>202603328277389</v>
      </c>
      <c r="B807" s="19" t="s">
        <v>20</v>
      </c>
      <c r="C807" s="19" t="s">
        <v>21</v>
      </c>
      <c r="D807" s="19" t="s">
        <v>20</v>
      </c>
      <c r="E807" s="21">
        <v>46204</v>
      </c>
      <c r="F807" s="21">
        <v>46568</v>
      </c>
      <c r="G807" s="21"/>
      <c r="H807" s="21">
        <v>46204</v>
      </c>
      <c r="I807" s="21">
        <v>46568</v>
      </c>
      <c r="J807" s="19" t="s">
        <v>2068</v>
      </c>
      <c r="L807" s="19">
        <v>0</v>
      </c>
      <c r="M807" s="19">
        <v>0</v>
      </c>
      <c r="N807" s="19" t="s">
        <v>2394</v>
      </c>
      <c r="O807" s="20">
        <v>3</v>
      </c>
      <c r="S807" s="19" t="s">
        <v>20</v>
      </c>
      <c r="T807" s="19" t="s">
        <v>1471</v>
      </c>
    </row>
    <row r="808" spans="1:20">
      <c r="A808" s="20">
        <v>202603328277389</v>
      </c>
      <c r="B808" s="19" t="s">
        <v>20</v>
      </c>
      <c r="C808" s="19" t="s">
        <v>21</v>
      </c>
      <c r="D808" s="19" t="s">
        <v>20</v>
      </c>
      <c r="E808" s="21">
        <v>46204</v>
      </c>
      <c r="F808" s="21">
        <v>46568</v>
      </c>
      <c r="G808" s="21"/>
      <c r="H808" s="21">
        <v>46204</v>
      </c>
      <c r="I808" s="21">
        <v>46568</v>
      </c>
      <c r="J808" s="19" t="s">
        <v>2068</v>
      </c>
      <c r="L808" s="19">
        <v>78.776052000000007</v>
      </c>
      <c r="M808" s="19">
        <v>78.776052000000007</v>
      </c>
      <c r="N808" s="19" t="s">
        <v>1475</v>
      </c>
      <c r="O808" s="20">
        <v>3</v>
      </c>
      <c r="S808" s="19" t="s">
        <v>20</v>
      </c>
      <c r="T808" s="19" t="s">
        <v>1471</v>
      </c>
    </row>
    <row r="809" spans="1:20">
      <c r="A809" s="20">
        <v>202603328278038</v>
      </c>
      <c r="B809" s="19" t="s">
        <v>20</v>
      </c>
      <c r="C809" s="19" t="s">
        <v>21</v>
      </c>
      <c r="D809" s="19" t="s">
        <v>20</v>
      </c>
      <c r="E809" s="21">
        <v>46204</v>
      </c>
      <c r="F809" s="21">
        <v>46568</v>
      </c>
      <c r="G809" s="21"/>
      <c r="H809" s="21">
        <v>46204</v>
      </c>
      <c r="I809" s="21">
        <v>46568</v>
      </c>
      <c r="J809" s="19" t="s">
        <v>2243</v>
      </c>
      <c r="L809" s="19">
        <v>0</v>
      </c>
      <c r="M809" s="19">
        <v>0</v>
      </c>
      <c r="N809" s="19" t="s">
        <v>2394</v>
      </c>
      <c r="O809" s="20">
        <v>3</v>
      </c>
      <c r="S809" s="19" t="s">
        <v>20</v>
      </c>
      <c r="T809" s="19" t="s">
        <v>1471</v>
      </c>
    </row>
    <row r="810" spans="1:20">
      <c r="A810" s="20">
        <v>202603328278038</v>
      </c>
      <c r="B810" s="19" t="s">
        <v>20</v>
      </c>
      <c r="C810" s="19" t="s">
        <v>21</v>
      </c>
      <c r="D810" s="19" t="s">
        <v>20</v>
      </c>
      <c r="E810" s="21">
        <v>46204</v>
      </c>
      <c r="F810" s="21">
        <v>46568</v>
      </c>
      <c r="G810" s="21"/>
      <c r="H810" s="21">
        <v>46204</v>
      </c>
      <c r="I810" s="21">
        <v>46568</v>
      </c>
      <c r="J810" s="19" t="s">
        <v>2243</v>
      </c>
      <c r="L810" s="19">
        <v>99.391890750000002</v>
      </c>
      <c r="M810" s="19">
        <v>99.391890750000002</v>
      </c>
      <c r="N810" s="19" t="s">
        <v>1475</v>
      </c>
      <c r="O810" s="20">
        <v>3</v>
      </c>
      <c r="S810" s="19" t="s">
        <v>20</v>
      </c>
      <c r="T810" s="19" t="s">
        <v>1471</v>
      </c>
    </row>
    <row r="811" spans="1:20">
      <c r="A811" s="20">
        <v>202603328278888</v>
      </c>
      <c r="B811" s="19" t="s">
        <v>20</v>
      </c>
      <c r="C811" s="19" t="s">
        <v>21</v>
      </c>
      <c r="D811" s="19" t="s">
        <v>20</v>
      </c>
      <c r="E811" s="21">
        <v>46204</v>
      </c>
      <c r="F811" s="21">
        <v>46568</v>
      </c>
      <c r="G811" s="21"/>
      <c r="H811" s="21">
        <v>46204</v>
      </c>
      <c r="I811" s="21">
        <v>46568</v>
      </c>
      <c r="J811" s="19" t="s">
        <v>2087</v>
      </c>
      <c r="L811" s="19">
        <v>0</v>
      </c>
      <c r="M811" s="19">
        <v>0</v>
      </c>
      <c r="N811" s="19" t="s">
        <v>2394</v>
      </c>
      <c r="O811" s="20">
        <v>7</v>
      </c>
      <c r="S811" s="19" t="s">
        <v>20</v>
      </c>
      <c r="T811" s="19" t="s">
        <v>1471</v>
      </c>
    </row>
    <row r="812" spans="1:20">
      <c r="A812" s="20">
        <v>202603328278888</v>
      </c>
      <c r="B812" s="19" t="s">
        <v>20</v>
      </c>
      <c r="C812" s="19" t="s">
        <v>21</v>
      </c>
      <c r="D812" s="19" t="s">
        <v>20</v>
      </c>
      <c r="E812" s="21">
        <v>46204</v>
      </c>
      <c r="F812" s="21">
        <v>46568</v>
      </c>
      <c r="G812" s="21"/>
      <c r="H812" s="21">
        <v>46204</v>
      </c>
      <c r="I812" s="21">
        <v>46568</v>
      </c>
      <c r="J812" s="19" t="s">
        <v>2087</v>
      </c>
      <c r="L812" s="19">
        <v>231.91441175</v>
      </c>
      <c r="M812" s="19">
        <v>231.91441175</v>
      </c>
      <c r="N812" s="19" t="s">
        <v>1475</v>
      </c>
      <c r="O812" s="20">
        <v>7</v>
      </c>
      <c r="S812" s="19" t="s">
        <v>20</v>
      </c>
      <c r="T812" s="19" t="s">
        <v>1471</v>
      </c>
    </row>
    <row r="813" spans="1:20">
      <c r="A813" s="20">
        <v>202603328279280</v>
      </c>
      <c r="B813" s="19" t="s">
        <v>20</v>
      </c>
      <c r="C813" s="19" t="s">
        <v>21</v>
      </c>
      <c r="D813" s="19" t="s">
        <v>20</v>
      </c>
      <c r="E813" s="21">
        <v>46204</v>
      </c>
      <c r="F813" s="21">
        <v>46568</v>
      </c>
      <c r="G813" s="21"/>
      <c r="H813" s="21">
        <v>46204</v>
      </c>
      <c r="I813" s="21">
        <v>46568</v>
      </c>
      <c r="J813" s="19" t="s">
        <v>2064</v>
      </c>
      <c r="L813" s="19">
        <v>33.130630250000003</v>
      </c>
      <c r="M813" s="19">
        <v>33.130630250000003</v>
      </c>
      <c r="N813" s="19" t="s">
        <v>1475</v>
      </c>
      <c r="O813" s="20">
        <v>1</v>
      </c>
      <c r="S813" s="19" t="s">
        <v>20</v>
      </c>
      <c r="T813" s="19" t="s">
        <v>1471</v>
      </c>
    </row>
    <row r="814" spans="1:20">
      <c r="A814" s="20">
        <v>202603328279750</v>
      </c>
      <c r="B814" s="19" t="s">
        <v>20</v>
      </c>
      <c r="C814" s="19" t="s">
        <v>21</v>
      </c>
      <c r="D814" s="19" t="s">
        <v>20</v>
      </c>
      <c r="E814" s="21">
        <v>46204</v>
      </c>
      <c r="F814" s="21">
        <v>46568</v>
      </c>
      <c r="G814" s="21"/>
      <c r="H814" s="21">
        <v>46204</v>
      </c>
      <c r="I814" s="21">
        <v>46568</v>
      </c>
      <c r="J814" s="19" t="s">
        <v>2074</v>
      </c>
      <c r="L814" s="19">
        <v>26.504493249999999</v>
      </c>
      <c r="M814" s="19">
        <v>26.504493249999999</v>
      </c>
      <c r="N814" s="19" t="s">
        <v>1475</v>
      </c>
      <c r="O814" s="20">
        <v>1</v>
      </c>
      <c r="S814" s="19" t="s">
        <v>20</v>
      </c>
      <c r="T814" s="19" t="s">
        <v>1471</v>
      </c>
    </row>
    <row r="815" spans="1:20">
      <c r="A815" s="20">
        <v>202603328279849</v>
      </c>
      <c r="B815" s="19" t="s">
        <v>20</v>
      </c>
      <c r="C815" s="19" t="s">
        <v>21</v>
      </c>
      <c r="D815" s="19" t="s">
        <v>20</v>
      </c>
      <c r="E815" s="21">
        <v>46204</v>
      </c>
      <c r="F815" s="21">
        <v>46568</v>
      </c>
      <c r="G815" s="21"/>
      <c r="H815" s="21">
        <v>46204</v>
      </c>
      <c r="I815" s="21">
        <v>46568</v>
      </c>
      <c r="J815" s="19" t="s">
        <v>2089</v>
      </c>
      <c r="L815" s="19">
        <v>23.968290750000001</v>
      </c>
      <c r="M815" s="19">
        <v>23.968290750000001</v>
      </c>
      <c r="N815" s="19" t="s">
        <v>1475</v>
      </c>
      <c r="O815" s="20">
        <v>1</v>
      </c>
      <c r="S815" s="19" t="s">
        <v>20</v>
      </c>
      <c r="T815" s="19" t="s">
        <v>1471</v>
      </c>
    </row>
    <row r="816" spans="1:20">
      <c r="A816" s="20">
        <v>202603328280159</v>
      </c>
      <c r="B816" s="19" t="s">
        <v>20</v>
      </c>
      <c r="C816" s="19" t="s">
        <v>21</v>
      </c>
      <c r="D816" s="19" t="s">
        <v>20</v>
      </c>
      <c r="E816" s="21">
        <v>46204</v>
      </c>
      <c r="F816" s="21">
        <v>46568</v>
      </c>
      <c r="G816" s="21"/>
      <c r="H816" s="21">
        <v>46204</v>
      </c>
      <c r="I816" s="21">
        <v>46568</v>
      </c>
      <c r="J816" s="19" t="s">
        <v>2099</v>
      </c>
      <c r="L816" s="19">
        <v>0</v>
      </c>
      <c r="M816" s="19">
        <v>0</v>
      </c>
      <c r="N816" s="19" t="s">
        <v>2394</v>
      </c>
      <c r="O816" s="20">
        <v>2</v>
      </c>
      <c r="S816" s="19" t="s">
        <v>20</v>
      </c>
      <c r="T816" s="19" t="s">
        <v>1471</v>
      </c>
    </row>
    <row r="817" spans="1:20">
      <c r="A817" s="20">
        <v>202603328280159</v>
      </c>
      <c r="B817" s="19" t="s">
        <v>20</v>
      </c>
      <c r="C817" s="19" t="s">
        <v>21</v>
      </c>
      <c r="D817" s="19" t="s">
        <v>20</v>
      </c>
      <c r="E817" s="21">
        <v>46204</v>
      </c>
      <c r="F817" s="21">
        <v>46568</v>
      </c>
      <c r="G817" s="21"/>
      <c r="H817" s="21">
        <v>46204</v>
      </c>
      <c r="I817" s="21">
        <v>46568</v>
      </c>
      <c r="J817" s="19" t="s">
        <v>2099</v>
      </c>
      <c r="L817" s="19">
        <v>52.517367999999998</v>
      </c>
      <c r="M817" s="19">
        <v>52.517367999999998</v>
      </c>
      <c r="N817" s="19" t="s">
        <v>1475</v>
      </c>
      <c r="O817" s="20">
        <v>2</v>
      </c>
      <c r="S817" s="19" t="s">
        <v>20</v>
      </c>
      <c r="T817" s="19" t="s">
        <v>1471</v>
      </c>
    </row>
    <row r="818" spans="1:20">
      <c r="A818" s="20">
        <v>202603328280451</v>
      </c>
      <c r="B818" s="19" t="s">
        <v>20</v>
      </c>
      <c r="C818" s="19" t="s">
        <v>21</v>
      </c>
      <c r="D818" s="19" t="s">
        <v>20</v>
      </c>
      <c r="E818" s="21">
        <v>46204</v>
      </c>
      <c r="F818" s="21">
        <v>46568</v>
      </c>
      <c r="G818" s="21"/>
      <c r="H818" s="21">
        <v>46204</v>
      </c>
      <c r="I818" s="21">
        <v>46568</v>
      </c>
      <c r="J818" s="19" t="s">
        <v>2104</v>
      </c>
      <c r="L818" s="19">
        <v>0</v>
      </c>
      <c r="M818" s="19">
        <v>0</v>
      </c>
      <c r="N818" s="19" t="s">
        <v>2394</v>
      </c>
      <c r="O818" s="20">
        <v>3</v>
      </c>
      <c r="S818" s="19" t="s">
        <v>20</v>
      </c>
      <c r="T818" s="19" t="s">
        <v>1471</v>
      </c>
    </row>
    <row r="819" spans="1:20">
      <c r="A819" s="20">
        <v>202603328280451</v>
      </c>
      <c r="B819" s="19" t="s">
        <v>20</v>
      </c>
      <c r="C819" s="19" t="s">
        <v>21</v>
      </c>
      <c r="D819" s="19" t="s">
        <v>20</v>
      </c>
      <c r="E819" s="21">
        <v>46204</v>
      </c>
      <c r="F819" s="21">
        <v>46568</v>
      </c>
      <c r="G819" s="21"/>
      <c r="H819" s="21">
        <v>46204</v>
      </c>
      <c r="I819" s="21">
        <v>46568</v>
      </c>
      <c r="J819" s="19" t="s">
        <v>2104</v>
      </c>
      <c r="L819" s="19">
        <v>99.391890750000002</v>
      </c>
      <c r="M819" s="19">
        <v>99.391890750000002</v>
      </c>
      <c r="N819" s="19" t="s">
        <v>1475</v>
      </c>
      <c r="O819" s="20">
        <v>3</v>
      </c>
      <c r="S819" s="19" t="s">
        <v>20</v>
      </c>
      <c r="T819" s="19" t="s">
        <v>1471</v>
      </c>
    </row>
    <row r="820" spans="1:20">
      <c r="A820" s="20">
        <v>202603328280644</v>
      </c>
      <c r="B820" s="19" t="s">
        <v>20</v>
      </c>
      <c r="C820" s="19" t="s">
        <v>21</v>
      </c>
      <c r="D820" s="19" t="s">
        <v>20</v>
      </c>
      <c r="E820" s="21">
        <v>46204</v>
      </c>
      <c r="F820" s="21">
        <v>46568</v>
      </c>
      <c r="G820" s="21"/>
      <c r="H820" s="21">
        <v>46204</v>
      </c>
      <c r="I820" s="21">
        <v>46568</v>
      </c>
      <c r="J820" s="19" t="s">
        <v>2080</v>
      </c>
      <c r="L820" s="19">
        <v>0</v>
      </c>
      <c r="M820" s="19">
        <v>0</v>
      </c>
      <c r="N820" s="19" t="s">
        <v>2394</v>
      </c>
      <c r="O820" s="20">
        <v>3</v>
      </c>
      <c r="S820" s="19" t="s">
        <v>20</v>
      </c>
      <c r="T820" s="19" t="s">
        <v>1471</v>
      </c>
    </row>
    <row r="821" spans="1:20">
      <c r="A821" s="20">
        <v>202603328280644</v>
      </c>
      <c r="B821" s="19" t="s">
        <v>20</v>
      </c>
      <c r="C821" s="19" t="s">
        <v>21</v>
      </c>
      <c r="D821" s="19" t="s">
        <v>20</v>
      </c>
      <c r="E821" s="21">
        <v>46204</v>
      </c>
      <c r="F821" s="21">
        <v>46568</v>
      </c>
      <c r="G821" s="21"/>
      <c r="H821" s="21">
        <v>46204</v>
      </c>
      <c r="I821" s="21">
        <v>46568</v>
      </c>
      <c r="J821" s="19" t="s">
        <v>2080</v>
      </c>
      <c r="L821" s="19">
        <v>99.391890750000002</v>
      </c>
      <c r="M821" s="19">
        <v>99.391890750000002</v>
      </c>
      <c r="N821" s="19" t="s">
        <v>1475</v>
      </c>
      <c r="O821" s="20">
        <v>3</v>
      </c>
      <c r="S821" s="19" t="s">
        <v>20</v>
      </c>
      <c r="T821" s="19" t="s">
        <v>1471</v>
      </c>
    </row>
    <row r="822" spans="1:20">
      <c r="A822" s="20">
        <v>202603328280939</v>
      </c>
      <c r="B822" s="19" t="s">
        <v>20</v>
      </c>
      <c r="C822" s="19" t="s">
        <v>21</v>
      </c>
      <c r="D822" s="19" t="s">
        <v>20</v>
      </c>
      <c r="E822" s="21">
        <v>46204</v>
      </c>
      <c r="F822" s="21">
        <v>46568</v>
      </c>
      <c r="G822" s="21"/>
      <c r="H822" s="21">
        <v>46204</v>
      </c>
      <c r="I822" s="21">
        <v>46568</v>
      </c>
      <c r="J822" s="19" t="s">
        <v>2064</v>
      </c>
      <c r="L822" s="19">
        <v>33.130630250000003</v>
      </c>
      <c r="M822" s="19">
        <v>33.130630250000003</v>
      </c>
      <c r="N822" s="19" t="s">
        <v>1475</v>
      </c>
      <c r="O822" s="20">
        <v>1</v>
      </c>
      <c r="S822" s="19" t="s">
        <v>20</v>
      </c>
      <c r="T822" s="19" t="s">
        <v>1471</v>
      </c>
    </row>
    <row r="823" spans="1:20">
      <c r="A823" s="20">
        <v>202603328281857</v>
      </c>
      <c r="B823" s="19" t="s">
        <v>20</v>
      </c>
      <c r="C823" s="19" t="s">
        <v>21</v>
      </c>
      <c r="D823" s="19" t="s">
        <v>20</v>
      </c>
      <c r="E823" s="21">
        <v>46204</v>
      </c>
      <c r="F823" s="21">
        <v>46568</v>
      </c>
      <c r="G823" s="21"/>
      <c r="H823" s="21">
        <v>46204</v>
      </c>
      <c r="I823" s="21">
        <v>46568</v>
      </c>
      <c r="J823" s="19" t="s">
        <v>2064</v>
      </c>
      <c r="L823" s="19">
        <v>33.130630250000003</v>
      </c>
      <c r="M823" s="19">
        <v>33.130630250000003</v>
      </c>
      <c r="N823" s="19" t="s">
        <v>1475</v>
      </c>
      <c r="O823" s="20">
        <v>1</v>
      </c>
      <c r="S823" s="19" t="s">
        <v>20</v>
      </c>
      <c r="T823" s="19" t="s">
        <v>1471</v>
      </c>
    </row>
    <row r="824" spans="1:20">
      <c r="A824" s="20">
        <v>202603328282650</v>
      </c>
      <c r="B824" s="19" t="s">
        <v>20</v>
      </c>
      <c r="C824" s="19" t="s">
        <v>21</v>
      </c>
      <c r="D824" s="19" t="s">
        <v>20</v>
      </c>
      <c r="E824" s="21">
        <v>46204</v>
      </c>
      <c r="F824" s="21">
        <v>46568</v>
      </c>
      <c r="G824" s="21"/>
      <c r="H824" s="21">
        <v>46204</v>
      </c>
      <c r="I824" s="21">
        <v>46568</v>
      </c>
      <c r="J824" s="19" t="s">
        <v>2073</v>
      </c>
      <c r="L824" s="19">
        <v>26.258683999999999</v>
      </c>
      <c r="M824" s="19">
        <v>26.258683999999999</v>
      </c>
      <c r="N824" s="19" t="s">
        <v>1475</v>
      </c>
      <c r="O824" s="20">
        <v>1</v>
      </c>
      <c r="S824" s="19" t="s">
        <v>20</v>
      </c>
      <c r="T824" s="19" t="s">
        <v>1471</v>
      </c>
    </row>
    <row r="825" spans="1:20">
      <c r="A825" s="20">
        <v>202603328282918</v>
      </c>
      <c r="B825" s="19" t="s">
        <v>20</v>
      </c>
      <c r="C825" s="19" t="s">
        <v>21</v>
      </c>
      <c r="D825" s="19" t="s">
        <v>20</v>
      </c>
      <c r="E825" s="21">
        <v>46204</v>
      </c>
      <c r="F825" s="21">
        <v>46568</v>
      </c>
      <c r="G825" s="21"/>
      <c r="H825" s="21">
        <v>46204</v>
      </c>
      <c r="I825" s="21">
        <v>46568</v>
      </c>
      <c r="J825" s="19" t="s">
        <v>2064</v>
      </c>
      <c r="L825" s="19">
        <v>0</v>
      </c>
      <c r="M825" s="19">
        <v>0</v>
      </c>
      <c r="N825" s="19" t="s">
        <v>2394</v>
      </c>
      <c r="O825" s="20">
        <v>2</v>
      </c>
      <c r="S825" s="19" t="s">
        <v>20</v>
      </c>
      <c r="T825" s="19" t="s">
        <v>1471</v>
      </c>
    </row>
    <row r="826" spans="1:20">
      <c r="A826" s="20">
        <v>202603328282918</v>
      </c>
      <c r="B826" s="19" t="s">
        <v>20</v>
      </c>
      <c r="C826" s="19" t="s">
        <v>21</v>
      </c>
      <c r="D826" s="19" t="s">
        <v>20</v>
      </c>
      <c r="E826" s="21">
        <v>46204</v>
      </c>
      <c r="F826" s="21">
        <v>46568</v>
      </c>
      <c r="G826" s="21"/>
      <c r="H826" s="21">
        <v>46204</v>
      </c>
      <c r="I826" s="21">
        <v>46568</v>
      </c>
      <c r="J826" s="19" t="s">
        <v>2064</v>
      </c>
      <c r="L826" s="19">
        <v>66.261260500000006</v>
      </c>
      <c r="M826" s="19">
        <v>66.261260500000006</v>
      </c>
      <c r="N826" s="19" t="s">
        <v>1475</v>
      </c>
      <c r="O826" s="20">
        <v>2</v>
      </c>
      <c r="S826" s="19" t="s">
        <v>20</v>
      </c>
      <c r="T826" s="19" t="s">
        <v>1471</v>
      </c>
    </row>
    <row r="827" spans="1:20">
      <c r="A827" s="20">
        <v>202603328284128</v>
      </c>
      <c r="B827" s="19" t="s">
        <v>20</v>
      </c>
      <c r="C827" s="19" t="s">
        <v>21</v>
      </c>
      <c r="D827" s="19" t="s">
        <v>20</v>
      </c>
      <c r="E827" s="21">
        <v>46204</v>
      </c>
      <c r="F827" s="21">
        <v>46568</v>
      </c>
      <c r="G827" s="21"/>
      <c r="H827" s="21">
        <v>46204</v>
      </c>
      <c r="I827" s="21">
        <v>46568</v>
      </c>
      <c r="J827" s="19" t="s">
        <v>2244</v>
      </c>
      <c r="L827" s="19">
        <v>0</v>
      </c>
      <c r="M827" s="19">
        <v>0</v>
      </c>
      <c r="N827" s="19" t="s">
        <v>2394</v>
      </c>
      <c r="O827" s="20">
        <v>2</v>
      </c>
      <c r="S827" s="19" t="s">
        <v>20</v>
      </c>
      <c r="T827" s="19" t="s">
        <v>1471</v>
      </c>
    </row>
    <row r="828" spans="1:20">
      <c r="A828" s="20">
        <v>202603328284128</v>
      </c>
      <c r="B828" s="19" t="s">
        <v>20</v>
      </c>
      <c r="C828" s="19" t="s">
        <v>21</v>
      </c>
      <c r="D828" s="19" t="s">
        <v>2245</v>
      </c>
      <c r="E828" s="21">
        <v>46204</v>
      </c>
      <c r="F828" s="21">
        <v>46568</v>
      </c>
      <c r="G828" s="21"/>
      <c r="H828" s="21">
        <v>46204</v>
      </c>
      <c r="I828" s="21">
        <v>46568</v>
      </c>
      <c r="J828" s="19" t="s">
        <v>2244</v>
      </c>
      <c r="L828" s="19">
        <v>30.108959500000001</v>
      </c>
      <c r="M828" s="19">
        <v>30.108959500000001</v>
      </c>
      <c r="N828" s="19" t="s">
        <v>1467</v>
      </c>
      <c r="O828" s="20">
        <v>2</v>
      </c>
      <c r="S828" s="19" t="s">
        <v>20</v>
      </c>
      <c r="T828" s="19" t="s">
        <v>1471</v>
      </c>
    </row>
    <row r="829" spans="1:20">
      <c r="A829" s="20">
        <v>202603328285153</v>
      </c>
      <c r="B829" s="19" t="s">
        <v>20</v>
      </c>
      <c r="C829" s="19" t="s">
        <v>21</v>
      </c>
      <c r="D829" s="19" t="s">
        <v>20</v>
      </c>
      <c r="E829" s="21">
        <v>46204</v>
      </c>
      <c r="F829" s="21">
        <v>46568</v>
      </c>
      <c r="G829" s="21"/>
      <c r="H829" s="21">
        <v>46204</v>
      </c>
      <c r="I829" s="21">
        <v>46568</v>
      </c>
      <c r="J829" s="19" t="s">
        <v>2064</v>
      </c>
      <c r="L829" s="19">
        <v>33.130630250000003</v>
      </c>
      <c r="M829" s="19">
        <v>33.130630250000003</v>
      </c>
      <c r="N829" s="19" t="s">
        <v>1475</v>
      </c>
      <c r="O829" s="20">
        <v>1</v>
      </c>
      <c r="S829" s="19" t="s">
        <v>20</v>
      </c>
      <c r="T829" s="19" t="s">
        <v>1471</v>
      </c>
    </row>
    <row r="830" spans="1:20">
      <c r="A830" s="20">
        <v>202603328285169</v>
      </c>
      <c r="B830" s="19" t="s">
        <v>20</v>
      </c>
      <c r="C830" s="19" t="s">
        <v>21</v>
      </c>
      <c r="D830" s="19" t="s">
        <v>20</v>
      </c>
      <c r="E830" s="21">
        <v>46204</v>
      </c>
      <c r="F830" s="21">
        <v>46568</v>
      </c>
      <c r="G830" s="21"/>
      <c r="H830" s="21">
        <v>46204</v>
      </c>
      <c r="I830" s="21">
        <v>46568</v>
      </c>
      <c r="J830" s="19" t="s">
        <v>2086</v>
      </c>
      <c r="L830" s="19">
        <v>0</v>
      </c>
      <c r="M830" s="19">
        <v>0</v>
      </c>
      <c r="N830" s="19" t="s">
        <v>2394</v>
      </c>
      <c r="O830" s="20">
        <v>5</v>
      </c>
      <c r="S830" s="19" t="s">
        <v>20</v>
      </c>
      <c r="T830" s="19" t="s">
        <v>1471</v>
      </c>
    </row>
    <row r="831" spans="1:20">
      <c r="A831" s="20">
        <v>202603328285169</v>
      </c>
      <c r="B831" s="19" t="s">
        <v>20</v>
      </c>
      <c r="C831" s="19" t="s">
        <v>21</v>
      </c>
      <c r="D831" s="19" t="s">
        <v>20</v>
      </c>
      <c r="E831" s="21">
        <v>46204</v>
      </c>
      <c r="F831" s="21">
        <v>46568</v>
      </c>
      <c r="G831" s="21"/>
      <c r="H831" s="21">
        <v>46204</v>
      </c>
      <c r="I831" s="21">
        <v>46568</v>
      </c>
      <c r="J831" s="19" t="s">
        <v>2086</v>
      </c>
      <c r="L831" s="19">
        <v>165.65315125000001</v>
      </c>
      <c r="M831" s="19">
        <v>165.65315125000001</v>
      </c>
      <c r="N831" s="19" t="s">
        <v>1475</v>
      </c>
      <c r="O831" s="20">
        <v>5</v>
      </c>
      <c r="S831" s="19" t="s">
        <v>20</v>
      </c>
      <c r="T831" s="19" t="s">
        <v>1471</v>
      </c>
    </row>
    <row r="832" spans="1:20">
      <c r="A832" s="20">
        <v>202603328285708</v>
      </c>
      <c r="B832" s="19" t="s">
        <v>20</v>
      </c>
      <c r="C832" s="19" t="s">
        <v>21</v>
      </c>
      <c r="D832" s="19" t="s">
        <v>20</v>
      </c>
      <c r="E832" s="21">
        <v>46204</v>
      </c>
      <c r="F832" s="21">
        <v>46568</v>
      </c>
      <c r="G832" s="21"/>
      <c r="H832" s="21">
        <v>46204</v>
      </c>
      <c r="I832" s="21">
        <v>46568</v>
      </c>
      <c r="J832" s="19" t="s">
        <v>1473</v>
      </c>
      <c r="L832" s="19">
        <v>49.241346999999998</v>
      </c>
      <c r="M832" s="19">
        <v>49.241346999999998</v>
      </c>
      <c r="N832" s="19" t="s">
        <v>1475</v>
      </c>
      <c r="O832" s="20">
        <v>2</v>
      </c>
      <c r="S832" s="19" t="s">
        <v>20</v>
      </c>
      <c r="T832" s="19" t="s">
        <v>1471</v>
      </c>
    </row>
    <row r="833" spans="1:20">
      <c r="A833" s="20">
        <v>202603328286076</v>
      </c>
      <c r="B833" s="19" t="s">
        <v>20</v>
      </c>
      <c r="C833" s="19" t="s">
        <v>21</v>
      </c>
      <c r="D833" s="19" t="s">
        <v>20</v>
      </c>
      <c r="E833" s="21">
        <v>46204</v>
      </c>
      <c r="F833" s="21">
        <v>46568</v>
      </c>
      <c r="G833" s="21"/>
      <c r="H833" s="21">
        <v>46204</v>
      </c>
      <c r="I833" s="21">
        <v>46568</v>
      </c>
      <c r="J833" s="19" t="s">
        <v>2193</v>
      </c>
      <c r="L833" s="19">
        <v>0</v>
      </c>
      <c r="M833" s="19">
        <v>0</v>
      </c>
      <c r="N833" s="19" t="s">
        <v>2394</v>
      </c>
      <c r="O833" s="20">
        <v>3</v>
      </c>
      <c r="S833" s="19" t="s">
        <v>20</v>
      </c>
      <c r="T833" s="19" t="s">
        <v>1471</v>
      </c>
    </row>
    <row r="834" spans="1:20">
      <c r="A834" s="20">
        <v>202603328286076</v>
      </c>
      <c r="B834" s="19" t="s">
        <v>20</v>
      </c>
      <c r="C834" s="19" t="s">
        <v>21</v>
      </c>
      <c r="D834" s="19" t="s">
        <v>2246</v>
      </c>
      <c r="E834" s="21">
        <v>46204</v>
      </c>
      <c r="F834" s="21">
        <v>46568</v>
      </c>
      <c r="G834" s="21"/>
      <c r="H834" s="21">
        <v>46204</v>
      </c>
      <c r="I834" s="21">
        <v>46568</v>
      </c>
      <c r="J834" s="19" t="s">
        <v>2193</v>
      </c>
      <c r="L834" s="19">
        <v>89.452685250000002</v>
      </c>
      <c r="M834" s="19">
        <v>89.452685250000002</v>
      </c>
      <c r="N834" s="19" t="s">
        <v>1467</v>
      </c>
      <c r="O834" s="20">
        <v>3</v>
      </c>
      <c r="S834" s="19" t="s">
        <v>20</v>
      </c>
      <c r="T834" s="19" t="s">
        <v>1471</v>
      </c>
    </row>
    <row r="835" spans="1:20">
      <c r="A835" s="20">
        <v>202603328287573</v>
      </c>
      <c r="B835" s="19" t="s">
        <v>20</v>
      </c>
      <c r="C835" s="19" t="s">
        <v>21</v>
      </c>
      <c r="D835" s="19" t="s">
        <v>20</v>
      </c>
      <c r="E835" s="21">
        <v>46204</v>
      </c>
      <c r="F835" s="21">
        <v>46568</v>
      </c>
      <c r="G835" s="21"/>
      <c r="H835" s="21">
        <v>46204</v>
      </c>
      <c r="I835" s="21">
        <v>46568</v>
      </c>
      <c r="J835" s="19" t="s">
        <v>2247</v>
      </c>
      <c r="L835" s="19">
        <v>0</v>
      </c>
      <c r="M835" s="19">
        <v>0</v>
      </c>
      <c r="N835" s="19" t="s">
        <v>2394</v>
      </c>
      <c r="O835" s="20">
        <v>2</v>
      </c>
      <c r="S835" s="19" t="s">
        <v>20</v>
      </c>
      <c r="T835" s="19" t="s">
        <v>1471</v>
      </c>
    </row>
    <row r="836" spans="1:20">
      <c r="A836" s="20">
        <v>202603328287573</v>
      </c>
      <c r="B836" s="19" t="s">
        <v>20</v>
      </c>
      <c r="C836" s="19" t="s">
        <v>21</v>
      </c>
      <c r="D836" s="19" t="s">
        <v>2248</v>
      </c>
      <c r="E836" s="21">
        <v>46204</v>
      </c>
      <c r="F836" s="21">
        <v>46568</v>
      </c>
      <c r="G836" s="21"/>
      <c r="H836" s="21">
        <v>46204</v>
      </c>
      <c r="I836" s="21">
        <v>46568</v>
      </c>
      <c r="J836" s="19" t="s">
        <v>2247</v>
      </c>
      <c r="L836" s="19">
        <v>26.763479</v>
      </c>
      <c r="M836" s="19">
        <v>26.763479</v>
      </c>
      <c r="N836" s="19" t="s">
        <v>1467</v>
      </c>
      <c r="O836" s="20">
        <v>2</v>
      </c>
      <c r="S836" s="19" t="s">
        <v>20</v>
      </c>
      <c r="T836" s="19" t="s">
        <v>1471</v>
      </c>
    </row>
    <row r="837" spans="1:20">
      <c r="A837" s="20">
        <v>202603328288343</v>
      </c>
      <c r="B837" s="19" t="s">
        <v>20</v>
      </c>
      <c r="C837" s="19" t="s">
        <v>21</v>
      </c>
      <c r="D837" s="19" t="s">
        <v>20</v>
      </c>
      <c r="E837" s="21">
        <v>46204</v>
      </c>
      <c r="F837" s="21">
        <v>46568</v>
      </c>
      <c r="G837" s="21"/>
      <c r="H837" s="21">
        <v>46204</v>
      </c>
      <c r="I837" s="21">
        <v>46568</v>
      </c>
      <c r="J837" s="19" t="s">
        <v>2109</v>
      </c>
      <c r="L837" s="19">
        <v>29.817561749999999</v>
      </c>
      <c r="M837" s="19">
        <v>29.817561749999999</v>
      </c>
      <c r="N837" s="19" t="s">
        <v>1475</v>
      </c>
      <c r="O837" s="20">
        <v>1</v>
      </c>
      <c r="S837" s="19" t="s">
        <v>20</v>
      </c>
      <c r="T837" s="19" t="s">
        <v>1471</v>
      </c>
    </row>
    <row r="838" spans="1:20">
      <c r="A838" s="20">
        <v>202603328288782</v>
      </c>
      <c r="B838" s="19" t="s">
        <v>20</v>
      </c>
      <c r="C838" s="19" t="s">
        <v>21</v>
      </c>
      <c r="D838" s="19" t="s">
        <v>20</v>
      </c>
      <c r="E838" s="21">
        <v>46204</v>
      </c>
      <c r="F838" s="21">
        <v>46568</v>
      </c>
      <c r="G838" s="21"/>
      <c r="H838" s="21">
        <v>46204</v>
      </c>
      <c r="I838" s="21">
        <v>46568</v>
      </c>
      <c r="J838" s="19" t="s">
        <v>2068</v>
      </c>
      <c r="L838" s="19">
        <v>26.258683999999999</v>
      </c>
      <c r="M838" s="19">
        <v>26.258683999999999</v>
      </c>
      <c r="N838" s="19" t="s">
        <v>1475</v>
      </c>
      <c r="O838" s="20">
        <v>1</v>
      </c>
      <c r="S838" s="19" t="s">
        <v>20</v>
      </c>
      <c r="T838" s="19" t="s">
        <v>1471</v>
      </c>
    </row>
    <row r="839" spans="1:20">
      <c r="A839" s="20">
        <v>202603328289433</v>
      </c>
      <c r="B839" s="19" t="s">
        <v>20</v>
      </c>
      <c r="C839" s="19" t="s">
        <v>21</v>
      </c>
      <c r="D839" s="19" t="s">
        <v>20</v>
      </c>
      <c r="E839" s="21">
        <v>46204</v>
      </c>
      <c r="F839" s="21">
        <v>46568</v>
      </c>
      <c r="G839" s="21"/>
      <c r="H839" s="21">
        <v>46204</v>
      </c>
      <c r="I839" s="21">
        <v>46568</v>
      </c>
      <c r="J839" s="19" t="s">
        <v>2087</v>
      </c>
      <c r="L839" s="19">
        <v>33.130630250000003</v>
      </c>
      <c r="M839" s="19">
        <v>33.130630250000003</v>
      </c>
      <c r="N839" s="19" t="s">
        <v>1475</v>
      </c>
      <c r="O839" s="20">
        <v>1</v>
      </c>
      <c r="S839" s="19" t="s">
        <v>20</v>
      </c>
      <c r="T839" s="19" t="s">
        <v>1471</v>
      </c>
    </row>
    <row r="840" spans="1:20">
      <c r="A840" s="20">
        <v>202603328289705</v>
      </c>
      <c r="B840" s="19" t="s">
        <v>20</v>
      </c>
      <c r="C840" s="19" t="s">
        <v>21</v>
      </c>
      <c r="D840" s="19" t="s">
        <v>20</v>
      </c>
      <c r="E840" s="21">
        <v>46204</v>
      </c>
      <c r="F840" s="21">
        <v>46568</v>
      </c>
      <c r="G840" s="21"/>
      <c r="H840" s="21">
        <v>46204</v>
      </c>
      <c r="I840" s="21">
        <v>46568</v>
      </c>
      <c r="J840" s="19" t="s">
        <v>2139</v>
      </c>
      <c r="L840" s="19">
        <v>38.659559000000002</v>
      </c>
      <c r="M840" s="19">
        <v>38.659559000000002</v>
      </c>
      <c r="N840" s="19" t="s">
        <v>1475</v>
      </c>
      <c r="O840" s="20">
        <v>1</v>
      </c>
      <c r="S840" s="19" t="s">
        <v>20</v>
      </c>
      <c r="T840" s="19" t="s">
        <v>1471</v>
      </c>
    </row>
    <row r="841" spans="1:20">
      <c r="A841" s="20">
        <v>202603328290301</v>
      </c>
      <c r="B841" s="19" t="s">
        <v>20</v>
      </c>
      <c r="C841" s="19" t="s">
        <v>21</v>
      </c>
      <c r="D841" s="19" t="s">
        <v>20</v>
      </c>
      <c r="E841" s="21">
        <v>46204</v>
      </c>
      <c r="F841" s="21">
        <v>46568</v>
      </c>
      <c r="G841" s="21"/>
      <c r="H841" s="21">
        <v>46204</v>
      </c>
      <c r="I841" s="21">
        <v>46568</v>
      </c>
      <c r="J841" s="19" t="s">
        <v>2122</v>
      </c>
      <c r="L841" s="19">
        <v>23.968290750000001</v>
      </c>
      <c r="M841" s="19">
        <v>23.968290750000001</v>
      </c>
      <c r="N841" s="19" t="s">
        <v>1475</v>
      </c>
      <c r="O841" s="20">
        <v>1</v>
      </c>
      <c r="S841" s="19" t="s">
        <v>20</v>
      </c>
      <c r="T841" s="19" t="s">
        <v>1471</v>
      </c>
    </row>
    <row r="842" spans="1:20">
      <c r="A842" s="20">
        <v>202603328290986</v>
      </c>
      <c r="B842" s="19" t="s">
        <v>20</v>
      </c>
      <c r="C842" s="19" t="s">
        <v>21</v>
      </c>
      <c r="D842" s="19" t="s">
        <v>2249</v>
      </c>
      <c r="E842" s="21">
        <v>46204</v>
      </c>
      <c r="F842" s="21">
        <v>46568</v>
      </c>
      <c r="G842" s="21"/>
      <c r="H842" s="21">
        <v>46204</v>
      </c>
      <c r="I842" s="21">
        <v>46568</v>
      </c>
      <c r="J842" s="19" t="s">
        <v>2180</v>
      </c>
      <c r="L842" s="19">
        <v>64.740013500000003</v>
      </c>
      <c r="M842" s="19">
        <v>64.740013500000003</v>
      </c>
      <c r="N842" s="19" t="s">
        <v>1467</v>
      </c>
      <c r="O842" s="20">
        <v>2</v>
      </c>
      <c r="S842" s="19" t="s">
        <v>20</v>
      </c>
      <c r="T842" s="19" t="s">
        <v>1471</v>
      </c>
    </row>
    <row r="843" spans="1:20">
      <c r="A843" s="20">
        <v>202603328291594</v>
      </c>
      <c r="B843" s="19" t="s">
        <v>20</v>
      </c>
      <c r="C843" s="19" t="s">
        <v>21</v>
      </c>
      <c r="D843" s="19" t="s">
        <v>20</v>
      </c>
      <c r="E843" s="21">
        <v>46204</v>
      </c>
      <c r="F843" s="21">
        <v>46568</v>
      </c>
      <c r="G843" s="21"/>
      <c r="H843" s="21">
        <v>46204</v>
      </c>
      <c r="I843" s="21">
        <v>46568</v>
      </c>
      <c r="J843" s="19" t="s">
        <v>2065</v>
      </c>
      <c r="L843" s="19">
        <v>0</v>
      </c>
      <c r="M843" s="19">
        <v>0</v>
      </c>
      <c r="N843" s="19" t="s">
        <v>2394</v>
      </c>
      <c r="O843" s="20">
        <v>3</v>
      </c>
      <c r="S843" s="19" t="s">
        <v>20</v>
      </c>
      <c r="T843" s="19" t="s">
        <v>1471</v>
      </c>
    </row>
    <row r="844" spans="1:20">
      <c r="A844" s="20">
        <v>202603328291594</v>
      </c>
      <c r="B844" s="19" t="s">
        <v>20</v>
      </c>
      <c r="C844" s="19" t="s">
        <v>21</v>
      </c>
      <c r="D844" s="19" t="s">
        <v>20</v>
      </c>
      <c r="E844" s="21">
        <v>46204</v>
      </c>
      <c r="F844" s="21">
        <v>46568</v>
      </c>
      <c r="G844" s="21"/>
      <c r="H844" s="21">
        <v>46204</v>
      </c>
      <c r="I844" s="21">
        <v>46568</v>
      </c>
      <c r="J844" s="19" t="s">
        <v>2065</v>
      </c>
      <c r="L844" s="19">
        <v>78.776052000000007</v>
      </c>
      <c r="M844" s="19">
        <v>78.776052000000007</v>
      </c>
      <c r="N844" s="19" t="s">
        <v>1475</v>
      </c>
      <c r="O844" s="20">
        <v>3</v>
      </c>
      <c r="S844" s="19" t="s">
        <v>20</v>
      </c>
      <c r="T844" s="19" t="s">
        <v>1471</v>
      </c>
    </row>
    <row r="845" spans="1:20">
      <c r="A845" s="20">
        <v>202603328291603</v>
      </c>
      <c r="B845" s="19" t="s">
        <v>20</v>
      </c>
      <c r="C845" s="19" t="s">
        <v>21</v>
      </c>
      <c r="D845" s="19" t="s">
        <v>20</v>
      </c>
      <c r="E845" s="21">
        <v>46204</v>
      </c>
      <c r="F845" s="21">
        <v>46568</v>
      </c>
      <c r="G845" s="21"/>
      <c r="H845" s="21">
        <v>46204</v>
      </c>
      <c r="I845" s="21">
        <v>46568</v>
      </c>
      <c r="J845" s="19" t="s">
        <v>2092</v>
      </c>
      <c r="L845" s="19">
        <v>0</v>
      </c>
      <c r="M845" s="19">
        <v>0</v>
      </c>
      <c r="N845" s="19" t="s">
        <v>2394</v>
      </c>
      <c r="O845" s="20">
        <v>4</v>
      </c>
      <c r="S845" s="19" t="s">
        <v>20</v>
      </c>
      <c r="T845" s="19" t="s">
        <v>1471</v>
      </c>
    </row>
    <row r="846" spans="1:20">
      <c r="A846" s="20">
        <v>202603328291603</v>
      </c>
      <c r="B846" s="19" t="s">
        <v>20</v>
      </c>
      <c r="C846" s="19" t="s">
        <v>21</v>
      </c>
      <c r="D846" s="19" t="s">
        <v>20</v>
      </c>
      <c r="E846" s="21">
        <v>46204</v>
      </c>
      <c r="F846" s="21">
        <v>46568</v>
      </c>
      <c r="G846" s="21"/>
      <c r="H846" s="21">
        <v>46204</v>
      </c>
      <c r="I846" s="21">
        <v>46568</v>
      </c>
      <c r="J846" s="19" t="s">
        <v>2092</v>
      </c>
      <c r="L846" s="19">
        <v>154.63823600000001</v>
      </c>
      <c r="M846" s="19">
        <v>154.63823600000001</v>
      </c>
      <c r="N846" s="19" t="s">
        <v>1475</v>
      </c>
      <c r="O846" s="20">
        <v>4</v>
      </c>
      <c r="S846" s="19" t="s">
        <v>20</v>
      </c>
      <c r="T846" s="19" t="s">
        <v>1471</v>
      </c>
    </row>
    <row r="847" spans="1:20">
      <c r="A847" s="20">
        <v>202603328292193</v>
      </c>
      <c r="B847" s="19" t="s">
        <v>20</v>
      </c>
      <c r="C847" s="19" t="s">
        <v>21</v>
      </c>
      <c r="D847" s="19" t="s">
        <v>20</v>
      </c>
      <c r="E847" s="21">
        <v>46204</v>
      </c>
      <c r="F847" s="21">
        <v>46568</v>
      </c>
      <c r="G847" s="21"/>
      <c r="H847" s="21">
        <v>46204</v>
      </c>
      <c r="I847" s="21">
        <v>46568</v>
      </c>
      <c r="J847" s="19" t="s">
        <v>2135</v>
      </c>
      <c r="L847" s="19">
        <v>33.130630250000003</v>
      </c>
      <c r="M847" s="19">
        <v>33.130630250000003</v>
      </c>
      <c r="N847" s="19" t="s">
        <v>1475</v>
      </c>
      <c r="O847" s="20">
        <v>1</v>
      </c>
      <c r="S847" s="19" t="s">
        <v>20</v>
      </c>
      <c r="T847" s="19" t="s">
        <v>1471</v>
      </c>
    </row>
    <row r="848" spans="1:20">
      <c r="A848" s="20">
        <v>202603328292745</v>
      </c>
      <c r="B848" s="19" t="s">
        <v>20</v>
      </c>
      <c r="C848" s="19" t="s">
        <v>21</v>
      </c>
      <c r="D848" s="19" t="s">
        <v>20</v>
      </c>
      <c r="E848" s="21">
        <v>46204</v>
      </c>
      <c r="F848" s="21">
        <v>46568</v>
      </c>
      <c r="G848" s="21"/>
      <c r="H848" s="21">
        <v>46204</v>
      </c>
      <c r="I848" s="21">
        <v>46568</v>
      </c>
      <c r="J848" s="19" t="s">
        <v>2104</v>
      </c>
      <c r="L848" s="19">
        <v>0</v>
      </c>
      <c r="M848" s="19">
        <v>0</v>
      </c>
      <c r="N848" s="19" t="s">
        <v>2394</v>
      </c>
      <c r="O848" s="20">
        <v>3</v>
      </c>
      <c r="S848" s="19" t="s">
        <v>20</v>
      </c>
      <c r="T848" s="19" t="s">
        <v>1471</v>
      </c>
    </row>
    <row r="849" spans="1:20">
      <c r="A849" s="20">
        <v>202603328292745</v>
      </c>
      <c r="B849" s="19" t="s">
        <v>20</v>
      </c>
      <c r="C849" s="19" t="s">
        <v>21</v>
      </c>
      <c r="D849" s="19" t="s">
        <v>20</v>
      </c>
      <c r="E849" s="21">
        <v>46204</v>
      </c>
      <c r="F849" s="21">
        <v>46568</v>
      </c>
      <c r="G849" s="21"/>
      <c r="H849" s="21">
        <v>46204</v>
      </c>
      <c r="I849" s="21">
        <v>46568</v>
      </c>
      <c r="J849" s="19" t="s">
        <v>2104</v>
      </c>
      <c r="L849" s="19">
        <v>99.391890750000002</v>
      </c>
      <c r="M849" s="19">
        <v>99.391890750000002</v>
      </c>
      <c r="N849" s="19" t="s">
        <v>1475</v>
      </c>
      <c r="O849" s="20">
        <v>3</v>
      </c>
      <c r="S849" s="19" t="s">
        <v>20</v>
      </c>
      <c r="T849" s="19" t="s">
        <v>1471</v>
      </c>
    </row>
    <row r="850" spans="1:20">
      <c r="A850" s="20">
        <v>202603328294365</v>
      </c>
      <c r="B850" s="19" t="s">
        <v>20</v>
      </c>
      <c r="C850" s="19" t="s">
        <v>21</v>
      </c>
      <c r="D850" s="19" t="s">
        <v>20</v>
      </c>
      <c r="E850" s="21">
        <v>46204</v>
      </c>
      <c r="F850" s="21">
        <v>46568</v>
      </c>
      <c r="G850" s="21"/>
      <c r="H850" s="21">
        <v>46204</v>
      </c>
      <c r="I850" s="21">
        <v>46568</v>
      </c>
      <c r="J850" s="19" t="s">
        <v>1473</v>
      </c>
      <c r="L850" s="19">
        <v>0</v>
      </c>
      <c r="M850" s="19">
        <v>0</v>
      </c>
      <c r="N850" s="19" t="s">
        <v>2394</v>
      </c>
      <c r="O850" s="20">
        <v>5</v>
      </c>
      <c r="S850" s="19" t="s">
        <v>20</v>
      </c>
      <c r="T850" s="19" t="s">
        <v>1471</v>
      </c>
    </row>
    <row r="851" spans="1:20">
      <c r="A851" s="20">
        <v>202603328294365</v>
      </c>
      <c r="B851" s="19" t="s">
        <v>20</v>
      </c>
      <c r="C851" s="19" t="s">
        <v>21</v>
      </c>
      <c r="D851" s="19" t="s">
        <v>20</v>
      </c>
      <c r="E851" s="21">
        <v>46204</v>
      </c>
      <c r="F851" s="21">
        <v>46568</v>
      </c>
      <c r="G851" s="21"/>
      <c r="H851" s="21">
        <v>46204</v>
      </c>
      <c r="I851" s="21">
        <v>46568</v>
      </c>
      <c r="J851" s="19" t="s">
        <v>1473</v>
      </c>
      <c r="L851" s="19">
        <v>123.1033675</v>
      </c>
      <c r="M851" s="19">
        <v>123.1033675</v>
      </c>
      <c r="N851" s="19" t="s">
        <v>1475</v>
      </c>
      <c r="O851" s="20">
        <v>5</v>
      </c>
      <c r="S851" s="19" t="s">
        <v>20</v>
      </c>
      <c r="T851" s="19" t="s">
        <v>1471</v>
      </c>
    </row>
    <row r="852" spans="1:20">
      <c r="A852" s="20">
        <v>202603328295705</v>
      </c>
      <c r="B852" s="19" t="s">
        <v>20</v>
      </c>
      <c r="C852" s="19" t="s">
        <v>21</v>
      </c>
      <c r="D852" s="19" t="s">
        <v>20</v>
      </c>
      <c r="E852" s="21">
        <v>46204</v>
      </c>
      <c r="F852" s="21">
        <v>46568</v>
      </c>
      <c r="G852" s="21"/>
      <c r="H852" s="21">
        <v>46204</v>
      </c>
      <c r="I852" s="21">
        <v>46568</v>
      </c>
      <c r="J852" s="19" t="s">
        <v>2093</v>
      </c>
      <c r="L852" s="19">
        <v>0</v>
      </c>
      <c r="M852" s="19">
        <v>0</v>
      </c>
      <c r="N852" s="19" t="s">
        <v>2394</v>
      </c>
      <c r="O852" s="20">
        <v>4</v>
      </c>
      <c r="S852" s="19" t="s">
        <v>20</v>
      </c>
      <c r="T852" s="19" t="s">
        <v>1471</v>
      </c>
    </row>
    <row r="853" spans="1:20">
      <c r="A853" s="20">
        <v>202603328295705</v>
      </c>
      <c r="B853" s="19" t="s">
        <v>20</v>
      </c>
      <c r="C853" s="19" t="s">
        <v>21</v>
      </c>
      <c r="D853" s="19" t="s">
        <v>20</v>
      </c>
      <c r="E853" s="21">
        <v>46204</v>
      </c>
      <c r="F853" s="21">
        <v>46568</v>
      </c>
      <c r="G853" s="21"/>
      <c r="H853" s="21">
        <v>46204</v>
      </c>
      <c r="I853" s="21">
        <v>46568</v>
      </c>
      <c r="J853" s="19" t="s">
        <v>2093</v>
      </c>
      <c r="L853" s="19">
        <v>115.10413699999999</v>
      </c>
      <c r="M853" s="19">
        <v>115.10413699999999</v>
      </c>
      <c r="N853" s="19" t="s">
        <v>1475</v>
      </c>
      <c r="O853" s="20">
        <v>4</v>
      </c>
      <c r="S853" s="19" t="s">
        <v>20</v>
      </c>
      <c r="T853" s="19" t="s">
        <v>1471</v>
      </c>
    </row>
    <row r="854" spans="1:20">
      <c r="A854" s="20">
        <v>202603328296520</v>
      </c>
      <c r="B854" s="19" t="s">
        <v>20</v>
      </c>
      <c r="C854" s="19" t="s">
        <v>21</v>
      </c>
      <c r="D854" s="19" t="s">
        <v>20</v>
      </c>
      <c r="E854" s="21">
        <v>46204</v>
      </c>
      <c r="F854" s="21">
        <v>46568</v>
      </c>
      <c r="G854" s="21"/>
      <c r="H854" s="21">
        <v>46204</v>
      </c>
      <c r="I854" s="21">
        <v>46568</v>
      </c>
      <c r="J854" s="19" t="s">
        <v>2068</v>
      </c>
      <c r="L854" s="19">
        <v>0</v>
      </c>
      <c r="M854" s="19">
        <v>0</v>
      </c>
      <c r="N854" s="19" t="s">
        <v>2394</v>
      </c>
      <c r="O854" s="20">
        <v>4</v>
      </c>
      <c r="S854" s="19" t="s">
        <v>20</v>
      </c>
      <c r="T854" s="19" t="s">
        <v>1471</v>
      </c>
    </row>
    <row r="855" spans="1:20">
      <c r="A855" s="20">
        <v>202603328296520</v>
      </c>
      <c r="B855" s="19" t="s">
        <v>20</v>
      </c>
      <c r="C855" s="19" t="s">
        <v>21</v>
      </c>
      <c r="D855" s="19" t="s">
        <v>20</v>
      </c>
      <c r="E855" s="21">
        <v>46204</v>
      </c>
      <c r="F855" s="21">
        <v>46568</v>
      </c>
      <c r="G855" s="21"/>
      <c r="H855" s="21">
        <v>46204</v>
      </c>
      <c r="I855" s="21">
        <v>46568</v>
      </c>
      <c r="J855" s="19" t="s">
        <v>2068</v>
      </c>
      <c r="L855" s="19">
        <v>105.034736</v>
      </c>
      <c r="M855" s="19">
        <v>105.034736</v>
      </c>
      <c r="N855" s="19" t="s">
        <v>1475</v>
      </c>
      <c r="O855" s="20">
        <v>4</v>
      </c>
      <c r="S855" s="19" t="s">
        <v>20</v>
      </c>
      <c r="T855" s="19" t="s">
        <v>1471</v>
      </c>
    </row>
    <row r="856" spans="1:20">
      <c r="A856" s="20">
        <v>202603328297135</v>
      </c>
      <c r="B856" s="19" t="s">
        <v>20</v>
      </c>
      <c r="C856" s="19" t="s">
        <v>21</v>
      </c>
      <c r="D856" s="19" t="s">
        <v>20</v>
      </c>
      <c r="E856" s="21">
        <v>46204</v>
      </c>
      <c r="F856" s="21">
        <v>46568</v>
      </c>
      <c r="G856" s="21"/>
      <c r="H856" s="21">
        <v>46204</v>
      </c>
      <c r="I856" s="21">
        <v>46568</v>
      </c>
      <c r="J856" s="19" t="s">
        <v>2064</v>
      </c>
      <c r="L856" s="19">
        <v>33.130630250000003</v>
      </c>
      <c r="M856" s="19">
        <v>33.130630250000003</v>
      </c>
      <c r="N856" s="19" t="s">
        <v>1475</v>
      </c>
      <c r="O856" s="20">
        <v>1</v>
      </c>
      <c r="S856" s="19" t="s">
        <v>20</v>
      </c>
      <c r="T856" s="19" t="s">
        <v>1471</v>
      </c>
    </row>
    <row r="857" spans="1:20">
      <c r="A857" s="20">
        <v>202603328297301</v>
      </c>
      <c r="B857" s="19" t="s">
        <v>20</v>
      </c>
      <c r="C857" s="19" t="s">
        <v>21</v>
      </c>
      <c r="D857" s="19" t="s">
        <v>20</v>
      </c>
      <c r="E857" s="21">
        <v>46204</v>
      </c>
      <c r="F857" s="21">
        <v>46568</v>
      </c>
      <c r="G857" s="21"/>
      <c r="H857" s="21">
        <v>46204</v>
      </c>
      <c r="I857" s="21">
        <v>46568</v>
      </c>
      <c r="J857" s="19" t="s">
        <v>2092</v>
      </c>
      <c r="L857" s="19">
        <v>38.659559000000002</v>
      </c>
      <c r="M857" s="19">
        <v>38.659559000000002</v>
      </c>
      <c r="N857" s="19" t="s">
        <v>1475</v>
      </c>
      <c r="O857" s="20">
        <v>1</v>
      </c>
      <c r="S857" s="19" t="s">
        <v>20</v>
      </c>
      <c r="T857" s="19" t="s">
        <v>1471</v>
      </c>
    </row>
    <row r="858" spans="1:20">
      <c r="A858" s="20">
        <v>202603328297812</v>
      </c>
      <c r="B858" s="19" t="s">
        <v>20</v>
      </c>
      <c r="C858" s="19" t="s">
        <v>21</v>
      </c>
      <c r="D858" s="19" t="s">
        <v>20</v>
      </c>
      <c r="E858" s="21">
        <v>46204</v>
      </c>
      <c r="F858" s="21">
        <v>46568</v>
      </c>
      <c r="G858" s="21"/>
      <c r="H858" s="21">
        <v>46204</v>
      </c>
      <c r="I858" s="21">
        <v>46568</v>
      </c>
      <c r="J858" s="19" t="s">
        <v>2077</v>
      </c>
      <c r="L858" s="19">
        <v>0</v>
      </c>
      <c r="M858" s="19">
        <v>0</v>
      </c>
      <c r="N858" s="19" t="s">
        <v>2394</v>
      </c>
      <c r="O858" s="20">
        <v>4</v>
      </c>
      <c r="S858" s="19" t="s">
        <v>20</v>
      </c>
      <c r="T858" s="19" t="s">
        <v>1471</v>
      </c>
    </row>
    <row r="859" spans="1:20">
      <c r="A859" s="20">
        <v>202603328297812</v>
      </c>
      <c r="B859" s="19" t="s">
        <v>20</v>
      </c>
      <c r="C859" s="19" t="s">
        <v>21</v>
      </c>
      <c r="D859" s="19" t="s">
        <v>2250</v>
      </c>
      <c r="E859" s="21">
        <v>46204</v>
      </c>
      <c r="F859" s="21">
        <v>46568</v>
      </c>
      <c r="G859" s="21"/>
      <c r="H859" s="21">
        <v>46204</v>
      </c>
      <c r="I859" s="21">
        <v>46568</v>
      </c>
      <c r="J859" s="19" t="s">
        <v>2077</v>
      </c>
      <c r="L859" s="19">
        <v>119.270247</v>
      </c>
      <c r="M859" s="19">
        <v>119.270247</v>
      </c>
      <c r="N859" s="19" t="s">
        <v>1467</v>
      </c>
      <c r="O859" s="20">
        <v>4</v>
      </c>
      <c r="S859" s="19" t="s">
        <v>20</v>
      </c>
      <c r="T859" s="19" t="s">
        <v>1471</v>
      </c>
    </row>
    <row r="860" spans="1:20">
      <c r="A860" s="20">
        <v>202603328297945</v>
      </c>
      <c r="B860" s="19" t="s">
        <v>20</v>
      </c>
      <c r="C860" s="19" t="s">
        <v>21</v>
      </c>
      <c r="D860" s="19" t="s">
        <v>20</v>
      </c>
      <c r="E860" s="21">
        <v>46204</v>
      </c>
      <c r="F860" s="21">
        <v>46568</v>
      </c>
      <c r="G860" s="21"/>
      <c r="H860" s="21">
        <v>46204</v>
      </c>
      <c r="I860" s="21">
        <v>46568</v>
      </c>
      <c r="J860" s="19" t="s">
        <v>2067</v>
      </c>
      <c r="L860" s="19">
        <v>0</v>
      </c>
      <c r="M860" s="19">
        <v>0</v>
      </c>
      <c r="N860" s="19" t="s">
        <v>2394</v>
      </c>
      <c r="O860" s="20">
        <v>3</v>
      </c>
      <c r="S860" s="19" t="s">
        <v>20</v>
      </c>
      <c r="T860" s="19" t="s">
        <v>1471</v>
      </c>
    </row>
    <row r="861" spans="1:20">
      <c r="A861" s="20">
        <v>202603328297945</v>
      </c>
      <c r="B861" s="19" t="s">
        <v>20</v>
      </c>
      <c r="C861" s="19" t="s">
        <v>21</v>
      </c>
      <c r="D861" s="19" t="s">
        <v>20</v>
      </c>
      <c r="E861" s="21">
        <v>46204</v>
      </c>
      <c r="F861" s="21">
        <v>46568</v>
      </c>
      <c r="G861" s="21"/>
      <c r="H861" s="21">
        <v>46204</v>
      </c>
      <c r="I861" s="21">
        <v>46568</v>
      </c>
      <c r="J861" s="19" t="s">
        <v>2067</v>
      </c>
      <c r="L861" s="19">
        <v>105.33281325</v>
      </c>
      <c r="M861" s="19">
        <v>105.33281325</v>
      </c>
      <c r="N861" s="19" t="s">
        <v>1475</v>
      </c>
      <c r="O861" s="20">
        <v>3</v>
      </c>
      <c r="S861" s="19" t="s">
        <v>20</v>
      </c>
      <c r="T861" s="19" t="s">
        <v>1471</v>
      </c>
    </row>
    <row r="862" spans="1:20">
      <c r="A862" s="20">
        <v>202603328298417</v>
      </c>
      <c r="B862" s="19" t="s">
        <v>20</v>
      </c>
      <c r="C862" s="19" t="s">
        <v>21</v>
      </c>
      <c r="D862" s="19" t="s">
        <v>20</v>
      </c>
      <c r="E862" s="21">
        <v>46204</v>
      </c>
      <c r="F862" s="21">
        <v>46568</v>
      </c>
      <c r="G862" s="21"/>
      <c r="H862" s="21">
        <v>46204</v>
      </c>
      <c r="I862" s="21">
        <v>46568</v>
      </c>
      <c r="J862" s="19" t="s">
        <v>2099</v>
      </c>
      <c r="L862" s="19">
        <v>26.258683999999999</v>
      </c>
      <c r="M862" s="19">
        <v>26.258683999999999</v>
      </c>
      <c r="N862" s="19" t="s">
        <v>1475</v>
      </c>
      <c r="O862" s="20">
        <v>1</v>
      </c>
      <c r="S862" s="19" t="s">
        <v>20</v>
      </c>
      <c r="T862" s="19" t="s">
        <v>1471</v>
      </c>
    </row>
    <row r="863" spans="1:20">
      <c r="A863" s="20">
        <v>202603328298543</v>
      </c>
      <c r="B863" s="19" t="s">
        <v>20</v>
      </c>
      <c r="C863" s="19" t="s">
        <v>21</v>
      </c>
      <c r="D863" s="19" t="s">
        <v>20</v>
      </c>
      <c r="E863" s="21">
        <v>46204</v>
      </c>
      <c r="F863" s="21">
        <v>46568</v>
      </c>
      <c r="G863" s="21"/>
      <c r="H863" s="21">
        <v>46204</v>
      </c>
      <c r="I863" s="21">
        <v>46568</v>
      </c>
      <c r="J863" s="19" t="s">
        <v>2064</v>
      </c>
      <c r="L863" s="19">
        <v>0</v>
      </c>
      <c r="M863" s="19">
        <v>0</v>
      </c>
      <c r="N863" s="19" t="s">
        <v>2394</v>
      </c>
      <c r="O863" s="20">
        <v>4</v>
      </c>
      <c r="S863" s="19" t="s">
        <v>20</v>
      </c>
      <c r="T863" s="19" t="s">
        <v>1471</v>
      </c>
    </row>
    <row r="864" spans="1:20">
      <c r="A864" s="20">
        <v>202603328298543</v>
      </c>
      <c r="B864" s="19" t="s">
        <v>20</v>
      </c>
      <c r="C864" s="19" t="s">
        <v>21</v>
      </c>
      <c r="D864" s="19" t="s">
        <v>20</v>
      </c>
      <c r="E864" s="21">
        <v>46204</v>
      </c>
      <c r="F864" s="21">
        <v>46568</v>
      </c>
      <c r="G864" s="21"/>
      <c r="H864" s="21">
        <v>46204</v>
      </c>
      <c r="I864" s="21">
        <v>46568</v>
      </c>
      <c r="J864" s="19" t="s">
        <v>2064</v>
      </c>
      <c r="L864" s="19">
        <v>132.52252100000001</v>
      </c>
      <c r="M864" s="19">
        <v>132.52252100000001</v>
      </c>
      <c r="N864" s="19" t="s">
        <v>1475</v>
      </c>
      <c r="O864" s="20">
        <v>4</v>
      </c>
      <c r="S864" s="19" t="s">
        <v>20</v>
      </c>
      <c r="T864" s="19" t="s">
        <v>1471</v>
      </c>
    </row>
    <row r="865" spans="1:20">
      <c r="A865" s="20">
        <v>202603328299357</v>
      </c>
      <c r="B865" s="19" t="s">
        <v>20</v>
      </c>
      <c r="C865" s="19" t="s">
        <v>21</v>
      </c>
      <c r="D865" s="19" t="s">
        <v>20</v>
      </c>
      <c r="E865" s="21">
        <v>46204</v>
      </c>
      <c r="F865" s="21">
        <v>46568</v>
      </c>
      <c r="G865" s="21"/>
      <c r="H865" s="21">
        <v>46204</v>
      </c>
      <c r="I865" s="21">
        <v>46568</v>
      </c>
      <c r="J865" s="19" t="s">
        <v>2064</v>
      </c>
      <c r="L865" s="19">
        <v>33.130630250000003</v>
      </c>
      <c r="M865" s="19">
        <v>33.130630250000003</v>
      </c>
      <c r="N865" s="19" t="s">
        <v>1475</v>
      </c>
      <c r="O865" s="20">
        <v>1</v>
      </c>
      <c r="S865" s="19" t="s">
        <v>20</v>
      </c>
      <c r="T865" s="19" t="s">
        <v>1471</v>
      </c>
    </row>
    <row r="866" spans="1:20">
      <c r="A866" s="20">
        <v>202603328299509</v>
      </c>
      <c r="B866" s="19" t="s">
        <v>20</v>
      </c>
      <c r="C866" s="19" t="s">
        <v>21</v>
      </c>
      <c r="D866" s="19" t="s">
        <v>20</v>
      </c>
      <c r="E866" s="21">
        <v>46204</v>
      </c>
      <c r="F866" s="21">
        <v>46568</v>
      </c>
      <c r="G866" s="21"/>
      <c r="H866" s="21">
        <v>46204</v>
      </c>
      <c r="I866" s="21">
        <v>46568</v>
      </c>
      <c r="J866" s="19" t="s">
        <v>2086</v>
      </c>
      <c r="L866" s="19">
        <v>33.130630250000003</v>
      </c>
      <c r="M866" s="19">
        <v>33.130630250000003</v>
      </c>
      <c r="N866" s="19" t="s">
        <v>1475</v>
      </c>
      <c r="O866" s="20">
        <v>1</v>
      </c>
      <c r="S866" s="19" t="s">
        <v>20</v>
      </c>
      <c r="T866" s="19" t="s">
        <v>1471</v>
      </c>
    </row>
    <row r="867" spans="1:20">
      <c r="A867" s="20">
        <v>202603328300241</v>
      </c>
      <c r="B867" s="19" t="s">
        <v>20</v>
      </c>
      <c r="C867" s="19" t="s">
        <v>21</v>
      </c>
      <c r="D867" s="19" t="s">
        <v>20</v>
      </c>
      <c r="E867" s="21">
        <v>46204</v>
      </c>
      <c r="F867" s="21">
        <v>46568</v>
      </c>
      <c r="G867" s="21"/>
      <c r="H867" s="21">
        <v>46204</v>
      </c>
      <c r="I867" s="21">
        <v>46568</v>
      </c>
      <c r="J867" s="19" t="s">
        <v>2064</v>
      </c>
      <c r="L867" s="19">
        <v>0</v>
      </c>
      <c r="M867" s="19">
        <v>0</v>
      </c>
      <c r="N867" s="19" t="s">
        <v>2394</v>
      </c>
      <c r="O867" s="20">
        <v>6</v>
      </c>
      <c r="S867" s="19" t="s">
        <v>20</v>
      </c>
      <c r="T867" s="19" t="s">
        <v>1471</v>
      </c>
    </row>
    <row r="868" spans="1:20">
      <c r="A868" s="20">
        <v>202603328300241</v>
      </c>
      <c r="B868" s="19" t="s">
        <v>20</v>
      </c>
      <c r="C868" s="19" t="s">
        <v>21</v>
      </c>
      <c r="D868" s="19" t="s">
        <v>20</v>
      </c>
      <c r="E868" s="21">
        <v>46204</v>
      </c>
      <c r="F868" s="21">
        <v>46568</v>
      </c>
      <c r="G868" s="21"/>
      <c r="H868" s="21">
        <v>46204</v>
      </c>
      <c r="I868" s="21">
        <v>46568</v>
      </c>
      <c r="J868" s="19" t="s">
        <v>2064</v>
      </c>
      <c r="L868" s="19">
        <v>198.7837815</v>
      </c>
      <c r="M868" s="19">
        <v>198.7837815</v>
      </c>
      <c r="N868" s="19" t="s">
        <v>1475</v>
      </c>
      <c r="O868" s="20">
        <v>6</v>
      </c>
      <c r="S868" s="19" t="s">
        <v>20</v>
      </c>
      <c r="T868" s="19" t="s">
        <v>1471</v>
      </c>
    </row>
    <row r="869" spans="1:20">
      <c r="A869" s="20">
        <v>202603328300587</v>
      </c>
      <c r="B869" s="19" t="s">
        <v>20</v>
      </c>
      <c r="C869" s="19" t="s">
        <v>21</v>
      </c>
      <c r="D869" s="19" t="s">
        <v>20</v>
      </c>
      <c r="E869" s="21">
        <v>46204</v>
      </c>
      <c r="F869" s="21">
        <v>46568</v>
      </c>
      <c r="G869" s="21"/>
      <c r="H869" s="21">
        <v>46204</v>
      </c>
      <c r="I869" s="21">
        <v>46568</v>
      </c>
      <c r="J869" s="19" t="s">
        <v>2062</v>
      </c>
      <c r="L869" s="19">
        <v>0</v>
      </c>
      <c r="M869" s="19">
        <v>0</v>
      </c>
      <c r="N869" s="19" t="s">
        <v>2394</v>
      </c>
      <c r="O869" s="20">
        <v>3</v>
      </c>
      <c r="S869" s="19" t="s">
        <v>20</v>
      </c>
      <c r="T869" s="19" t="s">
        <v>1471</v>
      </c>
    </row>
    <row r="870" spans="1:20">
      <c r="A870" s="20">
        <v>202603328300587</v>
      </c>
      <c r="B870" s="19" t="s">
        <v>20</v>
      </c>
      <c r="C870" s="19" t="s">
        <v>21</v>
      </c>
      <c r="D870" s="19" t="s">
        <v>2251</v>
      </c>
      <c r="E870" s="21">
        <v>46204</v>
      </c>
      <c r="F870" s="21">
        <v>46568</v>
      </c>
      <c r="G870" s="21"/>
      <c r="H870" s="21">
        <v>46204</v>
      </c>
      <c r="I870" s="21">
        <v>46568</v>
      </c>
      <c r="J870" s="19" t="s">
        <v>2062</v>
      </c>
      <c r="L870" s="19">
        <v>99.391890750000002</v>
      </c>
      <c r="M870" s="19">
        <v>99.391890750000002</v>
      </c>
      <c r="N870" s="19" t="s">
        <v>1467</v>
      </c>
      <c r="O870" s="20">
        <v>3</v>
      </c>
      <c r="S870" s="19" t="s">
        <v>20</v>
      </c>
      <c r="T870" s="19" t="s">
        <v>1471</v>
      </c>
    </row>
    <row r="871" spans="1:20">
      <c r="A871" s="20">
        <v>202603328301510</v>
      </c>
      <c r="B871" s="19" t="s">
        <v>20</v>
      </c>
      <c r="C871" s="19" t="s">
        <v>21</v>
      </c>
      <c r="D871" s="19" t="s">
        <v>2252</v>
      </c>
      <c r="E871" s="21">
        <v>46204</v>
      </c>
      <c r="F871" s="21">
        <v>46568</v>
      </c>
      <c r="G871" s="21"/>
      <c r="H871" s="21">
        <v>46204</v>
      </c>
      <c r="I871" s="21">
        <v>46568</v>
      </c>
      <c r="J871" s="19" t="s">
        <v>2111</v>
      </c>
      <c r="L871" s="19">
        <v>33.130630250000003</v>
      </c>
      <c r="M871" s="19">
        <v>33.130630250000003</v>
      </c>
      <c r="N871" s="19" t="s">
        <v>1467</v>
      </c>
      <c r="O871" s="20">
        <v>1</v>
      </c>
      <c r="S871" s="19" t="s">
        <v>20</v>
      </c>
      <c r="T871" s="19" t="s">
        <v>1471</v>
      </c>
    </row>
    <row r="872" spans="1:20">
      <c r="A872" s="20">
        <v>202603328301683</v>
      </c>
      <c r="B872" s="19" t="s">
        <v>20</v>
      </c>
      <c r="C872" s="19" t="s">
        <v>21</v>
      </c>
      <c r="D872" s="19" t="s">
        <v>20</v>
      </c>
      <c r="E872" s="21">
        <v>46204</v>
      </c>
      <c r="F872" s="21">
        <v>46568</v>
      </c>
      <c r="G872" s="21"/>
      <c r="H872" s="21">
        <v>46204</v>
      </c>
      <c r="I872" s="21">
        <v>46568</v>
      </c>
      <c r="J872" s="19" t="s">
        <v>1473</v>
      </c>
      <c r="L872" s="19">
        <v>0</v>
      </c>
      <c r="M872" s="19">
        <v>0</v>
      </c>
      <c r="N872" s="19" t="s">
        <v>2394</v>
      </c>
      <c r="O872" s="20">
        <v>4</v>
      </c>
      <c r="S872" s="19" t="s">
        <v>20</v>
      </c>
      <c r="T872" s="19" t="s">
        <v>1471</v>
      </c>
    </row>
    <row r="873" spans="1:20">
      <c r="A873" s="20">
        <v>202603328301683</v>
      </c>
      <c r="B873" s="19" t="s">
        <v>20</v>
      </c>
      <c r="C873" s="19" t="s">
        <v>21</v>
      </c>
      <c r="D873" s="19" t="s">
        <v>20</v>
      </c>
      <c r="E873" s="21">
        <v>46204</v>
      </c>
      <c r="F873" s="21">
        <v>46568</v>
      </c>
      <c r="G873" s="21"/>
      <c r="H873" s="21">
        <v>46204</v>
      </c>
      <c r="I873" s="21">
        <v>46568</v>
      </c>
      <c r="J873" s="19" t="s">
        <v>1473</v>
      </c>
      <c r="L873" s="19">
        <v>98.482693999999995</v>
      </c>
      <c r="M873" s="19">
        <v>98.482693999999995</v>
      </c>
      <c r="N873" s="19" t="s">
        <v>1475</v>
      </c>
      <c r="O873" s="20">
        <v>4</v>
      </c>
      <c r="S873" s="19" t="s">
        <v>20</v>
      </c>
      <c r="T873" s="19" t="s">
        <v>1471</v>
      </c>
    </row>
    <row r="874" spans="1:20">
      <c r="A874" s="20">
        <v>202603328301825</v>
      </c>
      <c r="B874" s="19" t="s">
        <v>20</v>
      </c>
      <c r="C874" s="19" t="s">
        <v>21</v>
      </c>
      <c r="D874" s="19" t="s">
        <v>20</v>
      </c>
      <c r="E874" s="21">
        <v>46204</v>
      </c>
      <c r="F874" s="21">
        <v>46568</v>
      </c>
      <c r="G874" s="21"/>
      <c r="H874" s="21">
        <v>46204</v>
      </c>
      <c r="I874" s="21">
        <v>46568</v>
      </c>
      <c r="J874" s="19" t="s">
        <v>2066</v>
      </c>
      <c r="L874" s="19">
        <v>99.391890750000002</v>
      </c>
      <c r="M874" s="19">
        <v>99.391890750000002</v>
      </c>
      <c r="N874" s="19" t="s">
        <v>1475</v>
      </c>
      <c r="O874" s="20">
        <v>3</v>
      </c>
      <c r="S874" s="19" t="s">
        <v>20</v>
      </c>
      <c r="T874" s="19" t="s">
        <v>1471</v>
      </c>
    </row>
    <row r="875" spans="1:20">
      <c r="A875" s="20">
        <v>202603328302385</v>
      </c>
      <c r="B875" s="19" t="s">
        <v>20</v>
      </c>
      <c r="C875" s="19" t="s">
        <v>21</v>
      </c>
      <c r="D875" s="19" t="s">
        <v>20</v>
      </c>
      <c r="E875" s="21">
        <v>46204</v>
      </c>
      <c r="F875" s="21">
        <v>46568</v>
      </c>
      <c r="G875" s="21"/>
      <c r="H875" s="21">
        <v>46204</v>
      </c>
      <c r="I875" s="21">
        <v>46568</v>
      </c>
      <c r="J875" s="19" t="s">
        <v>2093</v>
      </c>
      <c r="L875" s="19">
        <v>0</v>
      </c>
      <c r="M875" s="19">
        <v>0</v>
      </c>
      <c r="N875" s="19" t="s">
        <v>2394</v>
      </c>
      <c r="O875" s="20">
        <v>2</v>
      </c>
      <c r="S875" s="19" t="s">
        <v>20</v>
      </c>
      <c r="T875" s="19" t="s">
        <v>1471</v>
      </c>
    </row>
    <row r="876" spans="1:20">
      <c r="A876" s="20">
        <v>202603328302385</v>
      </c>
      <c r="B876" s="19" t="s">
        <v>20</v>
      </c>
      <c r="C876" s="19" t="s">
        <v>21</v>
      </c>
      <c r="D876" s="19" t="s">
        <v>20</v>
      </c>
      <c r="E876" s="21">
        <v>46204</v>
      </c>
      <c r="F876" s="21">
        <v>46568</v>
      </c>
      <c r="G876" s="21"/>
      <c r="H876" s="21">
        <v>46204</v>
      </c>
      <c r="I876" s="21">
        <v>46568</v>
      </c>
      <c r="J876" s="19" t="s">
        <v>2093</v>
      </c>
      <c r="L876" s="19">
        <v>57.552068499999997</v>
      </c>
      <c r="M876" s="19">
        <v>57.552068499999997</v>
      </c>
      <c r="N876" s="19" t="s">
        <v>1475</v>
      </c>
      <c r="O876" s="20">
        <v>2</v>
      </c>
      <c r="S876" s="19" t="s">
        <v>20</v>
      </c>
      <c r="T876" s="19" t="s">
        <v>1471</v>
      </c>
    </row>
    <row r="877" spans="1:20">
      <c r="A877" s="20">
        <v>202603328302529</v>
      </c>
      <c r="B877" s="19" t="s">
        <v>20</v>
      </c>
      <c r="C877" s="19" t="s">
        <v>21</v>
      </c>
      <c r="D877" s="19" t="s">
        <v>20</v>
      </c>
      <c r="E877" s="21">
        <v>46204</v>
      </c>
      <c r="F877" s="21">
        <v>46568</v>
      </c>
      <c r="G877" s="21"/>
      <c r="H877" s="21">
        <v>46204</v>
      </c>
      <c r="I877" s="21">
        <v>46568</v>
      </c>
      <c r="J877" s="19" t="s">
        <v>2064</v>
      </c>
      <c r="L877" s="19">
        <v>66.261260500000006</v>
      </c>
      <c r="M877" s="19">
        <v>66.261260500000006</v>
      </c>
      <c r="N877" s="19" t="s">
        <v>1475</v>
      </c>
      <c r="O877" s="20">
        <v>2</v>
      </c>
      <c r="S877" s="19" t="s">
        <v>20</v>
      </c>
      <c r="T877" s="19" t="s">
        <v>1471</v>
      </c>
    </row>
    <row r="878" spans="1:20">
      <c r="A878" s="20">
        <v>202603328302818</v>
      </c>
      <c r="B878" s="19" t="s">
        <v>20</v>
      </c>
      <c r="C878" s="19" t="s">
        <v>21</v>
      </c>
      <c r="D878" s="19" t="s">
        <v>20</v>
      </c>
      <c r="E878" s="21">
        <v>46204</v>
      </c>
      <c r="F878" s="21">
        <v>46568</v>
      </c>
      <c r="G878" s="21"/>
      <c r="H878" s="21">
        <v>46204</v>
      </c>
      <c r="I878" s="21">
        <v>46568</v>
      </c>
      <c r="J878" s="19" t="s">
        <v>2069</v>
      </c>
      <c r="L878" s="19">
        <v>0</v>
      </c>
      <c r="M878" s="19">
        <v>0</v>
      </c>
      <c r="N878" s="19" t="s">
        <v>2394</v>
      </c>
      <c r="O878" s="20">
        <v>4</v>
      </c>
      <c r="S878" s="19" t="s">
        <v>20</v>
      </c>
      <c r="T878" s="19" t="s">
        <v>1471</v>
      </c>
    </row>
    <row r="879" spans="1:20">
      <c r="A879" s="20">
        <v>202603328302818</v>
      </c>
      <c r="B879" s="19" t="s">
        <v>20</v>
      </c>
      <c r="C879" s="19" t="s">
        <v>21</v>
      </c>
      <c r="D879" s="19" t="s">
        <v>20</v>
      </c>
      <c r="E879" s="21">
        <v>46204</v>
      </c>
      <c r="F879" s="21">
        <v>46568</v>
      </c>
      <c r="G879" s="21"/>
      <c r="H879" s="21">
        <v>46204</v>
      </c>
      <c r="I879" s="21">
        <v>46568</v>
      </c>
      <c r="J879" s="19" t="s">
        <v>2069</v>
      </c>
      <c r="L879" s="19">
        <v>132.52252100000001</v>
      </c>
      <c r="M879" s="19">
        <v>132.52252100000001</v>
      </c>
      <c r="N879" s="19" t="s">
        <v>1475</v>
      </c>
      <c r="O879" s="20">
        <v>4</v>
      </c>
      <c r="S879" s="19" t="s">
        <v>20</v>
      </c>
      <c r="T879" s="19" t="s">
        <v>1471</v>
      </c>
    </row>
    <row r="880" spans="1:20">
      <c r="A880" s="20">
        <v>202603328303053</v>
      </c>
      <c r="B880" s="19" t="s">
        <v>20</v>
      </c>
      <c r="C880" s="19" t="s">
        <v>21</v>
      </c>
      <c r="D880" s="19" t="s">
        <v>20</v>
      </c>
      <c r="E880" s="21">
        <v>46204</v>
      </c>
      <c r="F880" s="21">
        <v>46568</v>
      </c>
      <c r="G880" s="21"/>
      <c r="H880" s="21">
        <v>46204</v>
      </c>
      <c r="I880" s="21">
        <v>46568</v>
      </c>
      <c r="J880" s="19" t="s">
        <v>2065</v>
      </c>
      <c r="L880" s="19">
        <v>26.258683999999999</v>
      </c>
      <c r="M880" s="19">
        <v>26.258683999999999</v>
      </c>
      <c r="N880" s="19" t="s">
        <v>1475</v>
      </c>
      <c r="O880" s="20">
        <v>1</v>
      </c>
      <c r="S880" s="19" t="s">
        <v>20</v>
      </c>
      <c r="T880" s="19" t="s">
        <v>1471</v>
      </c>
    </row>
    <row r="881" spans="1:20">
      <c r="A881" s="20">
        <v>202603328303059</v>
      </c>
      <c r="B881" s="19" t="s">
        <v>20</v>
      </c>
      <c r="C881" s="19" t="s">
        <v>21</v>
      </c>
      <c r="D881" s="19" t="s">
        <v>20</v>
      </c>
      <c r="E881" s="21">
        <v>46204</v>
      </c>
      <c r="F881" s="21">
        <v>46568</v>
      </c>
      <c r="G881" s="21"/>
      <c r="H881" s="21">
        <v>46204</v>
      </c>
      <c r="I881" s="21">
        <v>46568</v>
      </c>
      <c r="J881" s="19" t="s">
        <v>2064</v>
      </c>
      <c r="L881" s="19">
        <v>33.130630250000003</v>
      </c>
      <c r="M881" s="19">
        <v>33.130630250000003</v>
      </c>
      <c r="N881" s="19" t="s">
        <v>1475</v>
      </c>
      <c r="O881" s="20">
        <v>1</v>
      </c>
      <c r="S881" s="19" t="s">
        <v>20</v>
      </c>
      <c r="T881" s="19" t="s">
        <v>1471</v>
      </c>
    </row>
    <row r="882" spans="1:20">
      <c r="A882" s="20">
        <v>202603329320957</v>
      </c>
      <c r="B882" s="19" t="s">
        <v>20</v>
      </c>
      <c r="C882" s="19" t="s">
        <v>21</v>
      </c>
      <c r="D882" s="19" t="s">
        <v>20</v>
      </c>
      <c r="E882" s="21">
        <v>46204</v>
      </c>
      <c r="F882" s="21">
        <v>46568</v>
      </c>
      <c r="G882" s="21"/>
      <c r="H882" s="21">
        <v>46204</v>
      </c>
      <c r="I882" s="21">
        <v>46568</v>
      </c>
      <c r="J882" s="19" t="s">
        <v>1473</v>
      </c>
      <c r="L882" s="19">
        <v>0</v>
      </c>
      <c r="M882" s="19">
        <v>0</v>
      </c>
      <c r="N882" s="19" t="s">
        <v>2394</v>
      </c>
      <c r="O882" s="20">
        <v>4</v>
      </c>
      <c r="S882" s="19" t="s">
        <v>20</v>
      </c>
      <c r="T882" s="19" t="s">
        <v>1471</v>
      </c>
    </row>
    <row r="883" spans="1:20">
      <c r="A883" s="20">
        <v>202603329320957</v>
      </c>
      <c r="B883" s="19" t="s">
        <v>20</v>
      </c>
      <c r="C883" s="19" t="s">
        <v>21</v>
      </c>
      <c r="D883" s="19" t="s">
        <v>20</v>
      </c>
      <c r="E883" s="21">
        <v>46204</v>
      </c>
      <c r="F883" s="21">
        <v>46568</v>
      </c>
      <c r="G883" s="21"/>
      <c r="H883" s="21">
        <v>46204</v>
      </c>
      <c r="I883" s="21">
        <v>46568</v>
      </c>
      <c r="J883" s="19" t="s">
        <v>1473</v>
      </c>
      <c r="L883" s="19">
        <v>98.482693999999995</v>
      </c>
      <c r="M883" s="19">
        <v>98.482693999999995</v>
      </c>
      <c r="N883" s="19" t="s">
        <v>1475</v>
      </c>
      <c r="O883" s="20">
        <v>4</v>
      </c>
      <c r="S883" s="19" t="s">
        <v>20</v>
      </c>
      <c r="T883" s="19" t="s">
        <v>1471</v>
      </c>
    </row>
    <row r="884" spans="1:20">
      <c r="A884" s="20">
        <v>202603329321577</v>
      </c>
      <c r="B884" s="19" t="s">
        <v>20</v>
      </c>
      <c r="C884" s="19" t="s">
        <v>21</v>
      </c>
      <c r="D884" s="19" t="s">
        <v>20</v>
      </c>
      <c r="E884" s="21">
        <v>46204</v>
      </c>
      <c r="F884" s="21">
        <v>46568</v>
      </c>
      <c r="G884" s="21"/>
      <c r="H884" s="21">
        <v>46204</v>
      </c>
      <c r="I884" s="21">
        <v>46568</v>
      </c>
      <c r="J884" s="19" t="s">
        <v>2064</v>
      </c>
      <c r="L884" s="19">
        <v>33.130630250000003</v>
      </c>
      <c r="M884" s="19">
        <v>33.130630250000003</v>
      </c>
      <c r="N884" s="19" t="s">
        <v>1475</v>
      </c>
      <c r="O884" s="20">
        <v>1</v>
      </c>
      <c r="S884" s="19" t="s">
        <v>20</v>
      </c>
      <c r="T884" s="19" t="s">
        <v>1471</v>
      </c>
    </row>
    <row r="885" spans="1:20">
      <c r="A885" s="20">
        <v>202603329322309</v>
      </c>
      <c r="B885" s="19" t="s">
        <v>20</v>
      </c>
      <c r="C885" s="19" t="s">
        <v>21</v>
      </c>
      <c r="D885" s="19" t="s">
        <v>20</v>
      </c>
      <c r="E885" s="21">
        <v>46204</v>
      </c>
      <c r="F885" s="21">
        <v>46568</v>
      </c>
      <c r="G885" s="21"/>
      <c r="H885" s="21">
        <v>46204</v>
      </c>
      <c r="I885" s="21">
        <v>46568</v>
      </c>
      <c r="J885" s="19" t="s">
        <v>2087</v>
      </c>
      <c r="L885" s="19">
        <v>0</v>
      </c>
      <c r="M885" s="19">
        <v>0</v>
      </c>
      <c r="N885" s="19" t="s">
        <v>2394</v>
      </c>
      <c r="O885" s="20">
        <v>4</v>
      </c>
      <c r="S885" s="19" t="s">
        <v>20</v>
      </c>
      <c r="T885" s="19" t="s">
        <v>1471</v>
      </c>
    </row>
    <row r="886" spans="1:20">
      <c r="A886" s="20">
        <v>202603329322309</v>
      </c>
      <c r="B886" s="19" t="s">
        <v>20</v>
      </c>
      <c r="C886" s="19" t="s">
        <v>21</v>
      </c>
      <c r="D886" s="19" t="s">
        <v>20</v>
      </c>
      <c r="E886" s="21">
        <v>46204</v>
      </c>
      <c r="F886" s="21">
        <v>46568</v>
      </c>
      <c r="G886" s="21"/>
      <c r="H886" s="21">
        <v>46204</v>
      </c>
      <c r="I886" s="21">
        <v>46568</v>
      </c>
      <c r="J886" s="19" t="s">
        <v>2087</v>
      </c>
      <c r="L886" s="19">
        <v>132.52252100000001</v>
      </c>
      <c r="M886" s="19">
        <v>132.52252100000001</v>
      </c>
      <c r="N886" s="19" t="s">
        <v>1475</v>
      </c>
      <c r="O886" s="20">
        <v>4</v>
      </c>
      <c r="S886" s="19" t="s">
        <v>20</v>
      </c>
      <c r="T886" s="19" t="s">
        <v>1471</v>
      </c>
    </row>
    <row r="887" spans="1:20">
      <c r="A887" s="20">
        <v>202603329322882</v>
      </c>
      <c r="B887" s="19" t="s">
        <v>20</v>
      </c>
      <c r="C887" s="19" t="s">
        <v>21</v>
      </c>
      <c r="D887" s="19" t="s">
        <v>2253</v>
      </c>
      <c r="E887" s="21">
        <v>46204</v>
      </c>
      <c r="F887" s="21">
        <v>46568</v>
      </c>
      <c r="G887" s="21"/>
      <c r="H887" s="21">
        <v>46204</v>
      </c>
      <c r="I887" s="21">
        <v>46568</v>
      </c>
      <c r="J887" s="19" t="s">
        <v>2166</v>
      </c>
      <c r="L887" s="19">
        <v>13.3817395</v>
      </c>
      <c r="M887" s="19">
        <v>13.3817395</v>
      </c>
      <c r="N887" s="19" t="s">
        <v>1467</v>
      </c>
      <c r="O887" s="20">
        <v>1</v>
      </c>
      <c r="S887" s="19" t="s">
        <v>20</v>
      </c>
      <c r="T887" s="19" t="s">
        <v>1471</v>
      </c>
    </row>
    <row r="888" spans="1:20">
      <c r="A888" s="20">
        <v>202603329323112</v>
      </c>
      <c r="B888" s="19" t="s">
        <v>20</v>
      </c>
      <c r="C888" s="19" t="s">
        <v>21</v>
      </c>
      <c r="D888" s="19" t="s">
        <v>20</v>
      </c>
      <c r="E888" s="21">
        <v>46204</v>
      </c>
      <c r="F888" s="21">
        <v>46568</v>
      </c>
      <c r="G888" s="21"/>
      <c r="H888" s="21">
        <v>46204</v>
      </c>
      <c r="I888" s="21">
        <v>46568</v>
      </c>
      <c r="J888" s="19" t="s">
        <v>2064</v>
      </c>
      <c r="L888" s="19">
        <v>66.261260500000006</v>
      </c>
      <c r="M888" s="19">
        <v>66.261260500000006</v>
      </c>
      <c r="N888" s="19" t="s">
        <v>1475</v>
      </c>
      <c r="O888" s="20">
        <v>2</v>
      </c>
      <c r="S888" s="19" t="s">
        <v>20</v>
      </c>
      <c r="T888" s="19" t="s">
        <v>1471</v>
      </c>
    </row>
    <row r="889" spans="1:20">
      <c r="A889" s="20">
        <v>202603329323818</v>
      </c>
      <c r="B889" s="19" t="s">
        <v>20</v>
      </c>
      <c r="C889" s="19" t="s">
        <v>21</v>
      </c>
      <c r="D889" s="19" t="s">
        <v>20</v>
      </c>
      <c r="E889" s="21">
        <v>46204</v>
      </c>
      <c r="F889" s="21">
        <v>46568</v>
      </c>
      <c r="G889" s="21"/>
      <c r="H889" s="21">
        <v>46204</v>
      </c>
      <c r="I889" s="21">
        <v>46568</v>
      </c>
      <c r="J889" s="19" t="s">
        <v>2093</v>
      </c>
      <c r="L889" s="19">
        <v>0</v>
      </c>
      <c r="M889" s="19">
        <v>0</v>
      </c>
      <c r="N889" s="19" t="s">
        <v>2394</v>
      </c>
      <c r="O889" s="20">
        <v>3</v>
      </c>
      <c r="S889" s="19" t="s">
        <v>20</v>
      </c>
      <c r="T889" s="19" t="s">
        <v>1471</v>
      </c>
    </row>
    <row r="890" spans="1:20">
      <c r="A890" s="20">
        <v>202603329323818</v>
      </c>
      <c r="B890" s="19" t="s">
        <v>20</v>
      </c>
      <c r="C890" s="19" t="s">
        <v>21</v>
      </c>
      <c r="D890" s="19" t="s">
        <v>20</v>
      </c>
      <c r="E890" s="21">
        <v>46204</v>
      </c>
      <c r="F890" s="21">
        <v>46568</v>
      </c>
      <c r="G890" s="21"/>
      <c r="H890" s="21">
        <v>46204</v>
      </c>
      <c r="I890" s="21">
        <v>46568</v>
      </c>
      <c r="J890" s="19" t="s">
        <v>2093</v>
      </c>
      <c r="L890" s="19">
        <v>86.328102749999999</v>
      </c>
      <c r="M890" s="19">
        <v>86.328102749999999</v>
      </c>
      <c r="N890" s="19" t="s">
        <v>1475</v>
      </c>
      <c r="O890" s="20">
        <v>3</v>
      </c>
      <c r="S890" s="19" t="s">
        <v>20</v>
      </c>
      <c r="T890" s="19" t="s">
        <v>1471</v>
      </c>
    </row>
    <row r="891" spans="1:20">
      <c r="A891" s="20">
        <v>202603329324829</v>
      </c>
      <c r="B891" s="19" t="s">
        <v>20</v>
      </c>
      <c r="C891" s="19" t="s">
        <v>21</v>
      </c>
      <c r="D891" s="19" t="s">
        <v>20</v>
      </c>
      <c r="E891" s="21">
        <v>46204</v>
      </c>
      <c r="F891" s="21">
        <v>46568</v>
      </c>
      <c r="G891" s="21"/>
      <c r="H891" s="21">
        <v>46204</v>
      </c>
      <c r="I891" s="21">
        <v>46568</v>
      </c>
      <c r="J891" s="19" t="s">
        <v>2118</v>
      </c>
      <c r="L891" s="19">
        <v>33.130630250000003</v>
      </c>
      <c r="M891" s="19">
        <v>33.130630250000003</v>
      </c>
      <c r="N891" s="19" t="s">
        <v>1475</v>
      </c>
      <c r="O891" s="20">
        <v>1</v>
      </c>
      <c r="S891" s="19" t="s">
        <v>20</v>
      </c>
      <c r="T891" s="19" t="s">
        <v>1471</v>
      </c>
    </row>
    <row r="892" spans="1:20">
      <c r="A892" s="20">
        <v>202603329326806</v>
      </c>
      <c r="B892" s="19" t="s">
        <v>20</v>
      </c>
      <c r="C892" s="19" t="s">
        <v>21</v>
      </c>
      <c r="D892" s="19" t="s">
        <v>20</v>
      </c>
      <c r="E892" s="21">
        <v>46204</v>
      </c>
      <c r="F892" s="21">
        <v>46568</v>
      </c>
      <c r="G892" s="21"/>
      <c r="H892" s="21">
        <v>46204</v>
      </c>
      <c r="I892" s="21">
        <v>46568</v>
      </c>
      <c r="J892" s="19" t="s">
        <v>2068</v>
      </c>
      <c r="L892" s="19">
        <v>0</v>
      </c>
      <c r="M892" s="19">
        <v>0</v>
      </c>
      <c r="N892" s="19" t="s">
        <v>2394</v>
      </c>
      <c r="O892" s="20">
        <v>4</v>
      </c>
      <c r="S892" s="19" t="s">
        <v>20</v>
      </c>
      <c r="T892" s="19" t="s">
        <v>1471</v>
      </c>
    </row>
    <row r="893" spans="1:20">
      <c r="A893" s="20">
        <v>202603329326806</v>
      </c>
      <c r="B893" s="19" t="s">
        <v>20</v>
      </c>
      <c r="C893" s="19" t="s">
        <v>21</v>
      </c>
      <c r="D893" s="19" t="s">
        <v>20</v>
      </c>
      <c r="E893" s="21">
        <v>46204</v>
      </c>
      <c r="F893" s="21">
        <v>46568</v>
      </c>
      <c r="G893" s="21"/>
      <c r="H893" s="21">
        <v>46204</v>
      </c>
      <c r="I893" s="21">
        <v>46568</v>
      </c>
      <c r="J893" s="19" t="s">
        <v>2068</v>
      </c>
      <c r="L893" s="19">
        <v>105.034736</v>
      </c>
      <c r="M893" s="19">
        <v>105.034736</v>
      </c>
      <c r="N893" s="19" t="s">
        <v>1475</v>
      </c>
      <c r="O893" s="20">
        <v>4</v>
      </c>
      <c r="S893" s="19" t="s">
        <v>20</v>
      </c>
      <c r="T893" s="19" t="s">
        <v>1471</v>
      </c>
    </row>
    <row r="894" spans="1:20">
      <c r="A894" s="20">
        <v>202603329327078</v>
      </c>
      <c r="B894" s="19" t="s">
        <v>20</v>
      </c>
      <c r="C894" s="19" t="s">
        <v>21</v>
      </c>
      <c r="D894" s="19" t="s">
        <v>20</v>
      </c>
      <c r="E894" s="21">
        <v>46204</v>
      </c>
      <c r="F894" s="21">
        <v>46568</v>
      </c>
      <c r="G894" s="21"/>
      <c r="H894" s="21">
        <v>46204</v>
      </c>
      <c r="I894" s="21">
        <v>46568</v>
      </c>
      <c r="J894" s="19" t="s">
        <v>2101</v>
      </c>
      <c r="L894" s="19">
        <v>29.817561749999999</v>
      </c>
      <c r="M894" s="19">
        <v>29.817561749999999</v>
      </c>
      <c r="N894" s="19" t="s">
        <v>1475</v>
      </c>
      <c r="O894" s="20">
        <v>1</v>
      </c>
      <c r="S894" s="19" t="s">
        <v>20</v>
      </c>
      <c r="T894" s="19" t="s">
        <v>1471</v>
      </c>
    </row>
    <row r="895" spans="1:20">
      <c r="A895" s="20">
        <v>202603329327573</v>
      </c>
      <c r="B895" s="19" t="s">
        <v>20</v>
      </c>
      <c r="C895" s="19" t="s">
        <v>21</v>
      </c>
      <c r="D895" s="19" t="s">
        <v>20</v>
      </c>
      <c r="E895" s="21">
        <v>46204</v>
      </c>
      <c r="F895" s="21">
        <v>46568</v>
      </c>
      <c r="G895" s="21"/>
      <c r="H895" s="21">
        <v>46204</v>
      </c>
      <c r="I895" s="21">
        <v>46568</v>
      </c>
      <c r="J895" s="19" t="s">
        <v>2087</v>
      </c>
      <c r="L895" s="19">
        <v>33.130630250000003</v>
      </c>
      <c r="M895" s="19">
        <v>33.130630250000003</v>
      </c>
      <c r="N895" s="19" t="s">
        <v>1475</v>
      </c>
      <c r="O895" s="20">
        <v>1</v>
      </c>
      <c r="S895" s="19" t="s">
        <v>20</v>
      </c>
      <c r="T895" s="19" t="s">
        <v>1471</v>
      </c>
    </row>
    <row r="896" spans="1:20">
      <c r="A896" s="20">
        <v>202603329328103</v>
      </c>
      <c r="B896" s="19" t="s">
        <v>20</v>
      </c>
      <c r="C896" s="19" t="s">
        <v>21</v>
      </c>
      <c r="D896" s="19" t="s">
        <v>20</v>
      </c>
      <c r="E896" s="21">
        <v>46204</v>
      </c>
      <c r="F896" s="21">
        <v>46568</v>
      </c>
      <c r="G896" s="21"/>
      <c r="H896" s="21">
        <v>46204</v>
      </c>
      <c r="I896" s="21">
        <v>46568</v>
      </c>
      <c r="J896" s="19" t="s">
        <v>2139</v>
      </c>
      <c r="L896" s="19">
        <v>38.659559000000002</v>
      </c>
      <c r="M896" s="19">
        <v>38.659559000000002</v>
      </c>
      <c r="N896" s="19" t="s">
        <v>1475</v>
      </c>
      <c r="O896" s="20">
        <v>1</v>
      </c>
      <c r="S896" s="19" t="s">
        <v>20</v>
      </c>
      <c r="T896" s="19" t="s">
        <v>1471</v>
      </c>
    </row>
    <row r="897" spans="1:20">
      <c r="A897" s="20">
        <v>202603329330202</v>
      </c>
      <c r="B897" s="19" t="s">
        <v>20</v>
      </c>
      <c r="C897" s="19" t="s">
        <v>21</v>
      </c>
      <c r="D897" s="19" t="s">
        <v>20</v>
      </c>
      <c r="E897" s="21">
        <v>46204</v>
      </c>
      <c r="F897" s="21">
        <v>46568</v>
      </c>
      <c r="G897" s="21"/>
      <c r="H897" s="21">
        <v>46204</v>
      </c>
      <c r="I897" s="21">
        <v>46568</v>
      </c>
      <c r="J897" s="19" t="s">
        <v>2114</v>
      </c>
      <c r="L897" s="19">
        <v>33.130630250000003</v>
      </c>
      <c r="M897" s="19">
        <v>33.130630250000003</v>
      </c>
      <c r="N897" s="19" t="s">
        <v>1475</v>
      </c>
      <c r="O897" s="20">
        <v>1</v>
      </c>
      <c r="S897" s="19" t="s">
        <v>20</v>
      </c>
      <c r="T897" s="19" t="s">
        <v>1471</v>
      </c>
    </row>
    <row r="898" spans="1:20">
      <c r="A898" s="20">
        <v>202603329330516</v>
      </c>
      <c r="B898" s="19" t="s">
        <v>20</v>
      </c>
      <c r="C898" s="19" t="s">
        <v>21</v>
      </c>
      <c r="D898" s="19" t="s">
        <v>20</v>
      </c>
      <c r="E898" s="21">
        <v>46204</v>
      </c>
      <c r="F898" s="21">
        <v>46568</v>
      </c>
      <c r="G898" s="21"/>
      <c r="H898" s="21">
        <v>46204</v>
      </c>
      <c r="I898" s="21">
        <v>46568</v>
      </c>
      <c r="J898" s="19" t="s">
        <v>2068</v>
      </c>
      <c r="L898" s="19">
        <v>0</v>
      </c>
      <c r="M898" s="19">
        <v>0</v>
      </c>
      <c r="N898" s="19" t="s">
        <v>2394</v>
      </c>
      <c r="O898" s="20">
        <v>6</v>
      </c>
      <c r="S898" s="19" t="s">
        <v>20</v>
      </c>
      <c r="T898" s="19" t="s">
        <v>1471</v>
      </c>
    </row>
    <row r="899" spans="1:20">
      <c r="A899" s="20">
        <v>202603329330516</v>
      </c>
      <c r="B899" s="19" t="s">
        <v>20</v>
      </c>
      <c r="C899" s="19" t="s">
        <v>21</v>
      </c>
      <c r="D899" s="19" t="s">
        <v>20</v>
      </c>
      <c r="E899" s="21">
        <v>46204</v>
      </c>
      <c r="F899" s="21">
        <v>46568</v>
      </c>
      <c r="G899" s="21"/>
      <c r="H899" s="21">
        <v>46204</v>
      </c>
      <c r="I899" s="21">
        <v>46568</v>
      </c>
      <c r="J899" s="19" t="s">
        <v>2068</v>
      </c>
      <c r="L899" s="19">
        <v>157.55210400000001</v>
      </c>
      <c r="M899" s="19">
        <v>157.55210400000001</v>
      </c>
      <c r="N899" s="19" t="s">
        <v>1475</v>
      </c>
      <c r="O899" s="20">
        <v>6</v>
      </c>
      <c r="S899" s="19" t="s">
        <v>20</v>
      </c>
      <c r="T899" s="19" t="s">
        <v>1471</v>
      </c>
    </row>
    <row r="900" spans="1:20">
      <c r="A900" s="20">
        <v>202603329330863</v>
      </c>
      <c r="B900" s="19" t="s">
        <v>20</v>
      </c>
      <c r="C900" s="19" t="s">
        <v>21</v>
      </c>
      <c r="D900" s="19" t="s">
        <v>20</v>
      </c>
      <c r="E900" s="21">
        <v>46204</v>
      </c>
      <c r="F900" s="21">
        <v>46568</v>
      </c>
      <c r="G900" s="21"/>
      <c r="H900" s="21">
        <v>46204</v>
      </c>
      <c r="I900" s="21">
        <v>46568</v>
      </c>
      <c r="J900" s="19" t="s">
        <v>2086</v>
      </c>
      <c r="L900" s="19">
        <v>0</v>
      </c>
      <c r="M900" s="19">
        <v>0</v>
      </c>
      <c r="N900" s="19" t="s">
        <v>2394</v>
      </c>
      <c r="O900" s="20">
        <v>5</v>
      </c>
      <c r="S900" s="19" t="s">
        <v>20</v>
      </c>
      <c r="T900" s="19" t="s">
        <v>1471</v>
      </c>
    </row>
    <row r="901" spans="1:20">
      <c r="A901" s="20">
        <v>202603329330863</v>
      </c>
      <c r="B901" s="19" t="s">
        <v>20</v>
      </c>
      <c r="C901" s="19" t="s">
        <v>21</v>
      </c>
      <c r="D901" s="19" t="s">
        <v>20</v>
      </c>
      <c r="E901" s="21">
        <v>46204</v>
      </c>
      <c r="F901" s="21">
        <v>46568</v>
      </c>
      <c r="G901" s="21"/>
      <c r="H901" s="21">
        <v>46204</v>
      </c>
      <c r="I901" s="21">
        <v>46568</v>
      </c>
      <c r="J901" s="19" t="s">
        <v>2086</v>
      </c>
      <c r="L901" s="19">
        <v>165.65315125000001</v>
      </c>
      <c r="M901" s="19">
        <v>165.65315125000001</v>
      </c>
      <c r="N901" s="19" t="s">
        <v>1475</v>
      </c>
      <c r="O901" s="20">
        <v>5</v>
      </c>
      <c r="S901" s="19" t="s">
        <v>20</v>
      </c>
      <c r="T901" s="19" t="s">
        <v>1471</v>
      </c>
    </row>
    <row r="902" spans="1:20">
      <c r="A902" s="20">
        <v>202603329330913</v>
      </c>
      <c r="B902" s="19" t="s">
        <v>20</v>
      </c>
      <c r="C902" s="19" t="s">
        <v>21</v>
      </c>
      <c r="D902" s="19" t="s">
        <v>20</v>
      </c>
      <c r="E902" s="21">
        <v>46204</v>
      </c>
      <c r="F902" s="21">
        <v>46568</v>
      </c>
      <c r="G902" s="21"/>
      <c r="H902" s="21">
        <v>46204</v>
      </c>
      <c r="I902" s="21">
        <v>46568</v>
      </c>
      <c r="J902" s="19" t="s">
        <v>2104</v>
      </c>
      <c r="L902" s="19">
        <v>0</v>
      </c>
      <c r="M902" s="19">
        <v>0</v>
      </c>
      <c r="N902" s="19" t="s">
        <v>2394</v>
      </c>
      <c r="O902" s="20">
        <v>6</v>
      </c>
      <c r="S902" s="19" t="s">
        <v>20</v>
      </c>
      <c r="T902" s="19" t="s">
        <v>1471</v>
      </c>
    </row>
    <row r="903" spans="1:20">
      <c r="A903" s="20">
        <v>202603329330913</v>
      </c>
      <c r="B903" s="19" t="s">
        <v>20</v>
      </c>
      <c r="C903" s="19" t="s">
        <v>21</v>
      </c>
      <c r="D903" s="19" t="s">
        <v>20</v>
      </c>
      <c r="E903" s="21">
        <v>46204</v>
      </c>
      <c r="F903" s="21">
        <v>46568</v>
      </c>
      <c r="G903" s="21"/>
      <c r="H903" s="21">
        <v>46204</v>
      </c>
      <c r="I903" s="21">
        <v>46568</v>
      </c>
      <c r="J903" s="19" t="s">
        <v>2104</v>
      </c>
      <c r="L903" s="19">
        <v>198.7837815</v>
      </c>
      <c r="M903" s="19">
        <v>198.7837815</v>
      </c>
      <c r="N903" s="19" t="s">
        <v>1475</v>
      </c>
      <c r="O903" s="20">
        <v>6</v>
      </c>
      <c r="S903" s="19" t="s">
        <v>20</v>
      </c>
      <c r="T903" s="19" t="s">
        <v>1471</v>
      </c>
    </row>
    <row r="904" spans="1:20">
      <c r="A904" s="20">
        <v>202603329331874</v>
      </c>
      <c r="B904" s="19" t="s">
        <v>20</v>
      </c>
      <c r="C904" s="19" t="s">
        <v>21</v>
      </c>
      <c r="D904" s="19" t="s">
        <v>20</v>
      </c>
      <c r="E904" s="21">
        <v>46204</v>
      </c>
      <c r="F904" s="21">
        <v>46568</v>
      </c>
      <c r="G904" s="21"/>
      <c r="H904" s="21">
        <v>46204</v>
      </c>
      <c r="I904" s="21">
        <v>46568</v>
      </c>
      <c r="J904" s="19" t="s">
        <v>2064</v>
      </c>
      <c r="L904" s="19">
        <v>66.261260500000006</v>
      </c>
      <c r="M904" s="19">
        <v>66.261260500000006</v>
      </c>
      <c r="N904" s="19" t="s">
        <v>1475</v>
      </c>
      <c r="O904" s="20">
        <v>2</v>
      </c>
      <c r="S904" s="19" t="s">
        <v>20</v>
      </c>
      <c r="T904" s="19" t="s">
        <v>1471</v>
      </c>
    </row>
    <row r="905" spans="1:20">
      <c r="A905" s="20">
        <v>202603329332311</v>
      </c>
      <c r="B905" s="19" t="s">
        <v>20</v>
      </c>
      <c r="C905" s="19" t="s">
        <v>21</v>
      </c>
      <c r="D905" s="19" t="s">
        <v>20</v>
      </c>
      <c r="E905" s="21">
        <v>46204</v>
      </c>
      <c r="F905" s="21">
        <v>46568</v>
      </c>
      <c r="G905" s="21"/>
      <c r="H905" s="21">
        <v>46204</v>
      </c>
      <c r="I905" s="21">
        <v>46568</v>
      </c>
      <c r="J905" s="19" t="s">
        <v>2243</v>
      </c>
      <c r="L905" s="19">
        <v>66.261260500000006</v>
      </c>
      <c r="M905" s="19">
        <v>66.261260500000006</v>
      </c>
      <c r="N905" s="19" t="s">
        <v>1475</v>
      </c>
      <c r="O905" s="20">
        <v>2</v>
      </c>
      <c r="S905" s="19" t="s">
        <v>20</v>
      </c>
      <c r="T905" s="19" t="s">
        <v>1471</v>
      </c>
    </row>
    <row r="906" spans="1:20">
      <c r="A906" s="20">
        <v>202603329333127</v>
      </c>
      <c r="B906" s="19" t="s">
        <v>20</v>
      </c>
      <c r="C906" s="19" t="s">
        <v>21</v>
      </c>
      <c r="D906" s="19" t="s">
        <v>20</v>
      </c>
      <c r="E906" s="21">
        <v>46204</v>
      </c>
      <c r="F906" s="21">
        <v>46568</v>
      </c>
      <c r="G906" s="21"/>
      <c r="H906" s="21">
        <v>46204</v>
      </c>
      <c r="I906" s="21">
        <v>46568</v>
      </c>
      <c r="J906" s="19" t="s">
        <v>2139</v>
      </c>
      <c r="L906" s="19">
        <v>77.319118000000003</v>
      </c>
      <c r="M906" s="19">
        <v>77.319118000000003</v>
      </c>
      <c r="N906" s="19" t="s">
        <v>1475</v>
      </c>
      <c r="O906" s="20">
        <v>2</v>
      </c>
      <c r="S906" s="19" t="s">
        <v>20</v>
      </c>
      <c r="T906" s="19" t="s">
        <v>1471</v>
      </c>
    </row>
    <row r="907" spans="1:20">
      <c r="A907" s="20">
        <v>202603329333290</v>
      </c>
      <c r="B907" s="19" t="s">
        <v>20</v>
      </c>
      <c r="C907" s="19" t="s">
        <v>21</v>
      </c>
      <c r="D907" s="19" t="s">
        <v>20</v>
      </c>
      <c r="E907" s="21">
        <v>46204</v>
      </c>
      <c r="F907" s="21">
        <v>46568</v>
      </c>
      <c r="G907" s="21"/>
      <c r="H907" s="21">
        <v>46204</v>
      </c>
      <c r="I907" s="21">
        <v>46568</v>
      </c>
      <c r="J907" s="19" t="s">
        <v>2132</v>
      </c>
      <c r="L907" s="19">
        <v>59.635123499999999</v>
      </c>
      <c r="M907" s="19">
        <v>59.635123499999999</v>
      </c>
      <c r="N907" s="19" t="s">
        <v>1475</v>
      </c>
      <c r="O907" s="20">
        <v>2</v>
      </c>
      <c r="S907" s="19" t="s">
        <v>20</v>
      </c>
      <c r="T907" s="19" t="s">
        <v>1471</v>
      </c>
    </row>
    <row r="908" spans="1:20">
      <c r="A908" s="20">
        <v>202603329339030</v>
      </c>
      <c r="B908" s="19" t="s">
        <v>20</v>
      </c>
      <c r="C908" s="19" t="s">
        <v>21</v>
      </c>
      <c r="D908" s="19" t="s">
        <v>20</v>
      </c>
      <c r="E908" s="21">
        <v>46204</v>
      </c>
      <c r="F908" s="21">
        <v>46568</v>
      </c>
      <c r="G908" s="21"/>
      <c r="H908" s="21">
        <v>46204</v>
      </c>
      <c r="I908" s="21">
        <v>46568</v>
      </c>
      <c r="J908" s="19" t="s">
        <v>2068</v>
      </c>
      <c r="L908" s="19">
        <v>52.517367999999998</v>
      </c>
      <c r="M908" s="19">
        <v>52.517367999999998</v>
      </c>
      <c r="N908" s="19" t="s">
        <v>1475</v>
      </c>
      <c r="O908" s="20">
        <v>2</v>
      </c>
      <c r="S908" s="19" t="s">
        <v>20</v>
      </c>
      <c r="T908" s="19" t="s">
        <v>1471</v>
      </c>
    </row>
    <row r="909" spans="1:20">
      <c r="A909" s="20">
        <v>202603329339319</v>
      </c>
      <c r="B909" s="19" t="s">
        <v>20</v>
      </c>
      <c r="C909" s="19" t="s">
        <v>21</v>
      </c>
      <c r="D909" s="19" t="s">
        <v>20</v>
      </c>
      <c r="E909" s="21">
        <v>46204</v>
      </c>
      <c r="F909" s="21">
        <v>46568</v>
      </c>
      <c r="G909" s="21"/>
      <c r="H909" s="21">
        <v>46204</v>
      </c>
      <c r="I909" s="21">
        <v>46568</v>
      </c>
      <c r="J909" s="19" t="s">
        <v>1473</v>
      </c>
      <c r="L909" s="19">
        <v>24.620673499999999</v>
      </c>
      <c r="M909" s="19">
        <v>24.620673499999999</v>
      </c>
      <c r="N909" s="19" t="s">
        <v>1475</v>
      </c>
      <c r="O909" s="20">
        <v>1</v>
      </c>
      <c r="S909" s="19" t="s">
        <v>20</v>
      </c>
      <c r="T909" s="19" t="s">
        <v>1471</v>
      </c>
    </row>
    <row r="910" spans="1:20">
      <c r="A910" s="20">
        <v>202603329340795</v>
      </c>
      <c r="B910" s="19" t="s">
        <v>20</v>
      </c>
      <c r="C910" s="19" t="s">
        <v>21</v>
      </c>
      <c r="D910" s="19" t="s">
        <v>20</v>
      </c>
      <c r="E910" s="21">
        <v>46204</v>
      </c>
      <c r="F910" s="21">
        <v>46568</v>
      </c>
      <c r="G910" s="21"/>
      <c r="H910" s="21">
        <v>46204</v>
      </c>
      <c r="I910" s="21">
        <v>46568</v>
      </c>
      <c r="J910" s="19" t="s">
        <v>2159</v>
      </c>
      <c r="L910" s="19">
        <v>0</v>
      </c>
      <c r="M910" s="19">
        <v>0</v>
      </c>
      <c r="N910" s="19" t="s">
        <v>2394</v>
      </c>
      <c r="O910" s="20">
        <v>2</v>
      </c>
      <c r="S910" s="19" t="s">
        <v>20</v>
      </c>
      <c r="T910" s="19" t="s">
        <v>1471</v>
      </c>
    </row>
    <row r="911" spans="1:20">
      <c r="A911" s="20">
        <v>202603329340795</v>
      </c>
      <c r="B911" s="19" t="s">
        <v>20</v>
      </c>
      <c r="C911" s="19" t="s">
        <v>21</v>
      </c>
      <c r="D911" s="19" t="s">
        <v>20</v>
      </c>
      <c r="E911" s="21">
        <v>46204</v>
      </c>
      <c r="F911" s="21">
        <v>46568</v>
      </c>
      <c r="G911" s="21"/>
      <c r="H911" s="21">
        <v>46204</v>
      </c>
      <c r="I911" s="21">
        <v>46568</v>
      </c>
      <c r="J911" s="19" t="s">
        <v>2159</v>
      </c>
      <c r="L911" s="19">
        <v>66.261260500000006</v>
      </c>
      <c r="M911" s="19">
        <v>66.261260500000006</v>
      </c>
      <c r="N911" s="19" t="s">
        <v>1475</v>
      </c>
      <c r="O911" s="20">
        <v>2</v>
      </c>
      <c r="S911" s="19" t="s">
        <v>20</v>
      </c>
      <c r="T911" s="19" t="s">
        <v>1471</v>
      </c>
    </row>
    <row r="912" spans="1:20">
      <c r="A912" s="20">
        <v>202603329340992</v>
      </c>
      <c r="B912" s="19" t="s">
        <v>20</v>
      </c>
      <c r="C912" s="19" t="s">
        <v>21</v>
      </c>
      <c r="D912" s="19" t="s">
        <v>20</v>
      </c>
      <c r="E912" s="21">
        <v>46204</v>
      </c>
      <c r="F912" s="21">
        <v>46568</v>
      </c>
      <c r="G912" s="21"/>
      <c r="H912" s="21">
        <v>46204</v>
      </c>
      <c r="I912" s="21">
        <v>46568</v>
      </c>
      <c r="J912" s="19" t="s">
        <v>2068</v>
      </c>
      <c r="L912" s="19">
        <v>0</v>
      </c>
      <c r="M912" s="19">
        <v>0</v>
      </c>
      <c r="N912" s="19" t="s">
        <v>2394</v>
      </c>
      <c r="O912" s="20">
        <v>4</v>
      </c>
      <c r="S912" s="19" t="s">
        <v>20</v>
      </c>
      <c r="T912" s="19" t="s">
        <v>1471</v>
      </c>
    </row>
    <row r="913" spans="1:20">
      <c r="A913" s="20">
        <v>202603329340992</v>
      </c>
      <c r="B913" s="19" t="s">
        <v>20</v>
      </c>
      <c r="C913" s="19" t="s">
        <v>21</v>
      </c>
      <c r="D913" s="19" t="s">
        <v>20</v>
      </c>
      <c r="E913" s="21">
        <v>46204</v>
      </c>
      <c r="F913" s="21">
        <v>46568</v>
      </c>
      <c r="G913" s="21"/>
      <c r="H913" s="21">
        <v>46204</v>
      </c>
      <c r="I913" s="21">
        <v>46568</v>
      </c>
      <c r="J913" s="19" t="s">
        <v>2068</v>
      </c>
      <c r="L913" s="19">
        <v>105.034736</v>
      </c>
      <c r="M913" s="19">
        <v>105.034736</v>
      </c>
      <c r="N913" s="19" t="s">
        <v>1475</v>
      </c>
      <c r="O913" s="20">
        <v>4</v>
      </c>
      <c r="S913" s="19" t="s">
        <v>20</v>
      </c>
      <c r="T913" s="19" t="s">
        <v>1471</v>
      </c>
    </row>
    <row r="914" spans="1:20">
      <c r="A914" s="20">
        <v>202603329341029</v>
      </c>
      <c r="B914" s="19" t="s">
        <v>20</v>
      </c>
      <c r="C914" s="19" t="s">
        <v>21</v>
      </c>
      <c r="D914" s="19" t="s">
        <v>20</v>
      </c>
      <c r="E914" s="21">
        <v>46204</v>
      </c>
      <c r="F914" s="21">
        <v>46568</v>
      </c>
      <c r="G914" s="21"/>
      <c r="H914" s="21">
        <v>46204</v>
      </c>
      <c r="I914" s="21">
        <v>46568</v>
      </c>
      <c r="J914" s="19" t="s">
        <v>2085</v>
      </c>
      <c r="L914" s="19">
        <v>0</v>
      </c>
      <c r="M914" s="19">
        <v>0</v>
      </c>
      <c r="N914" s="19" t="s">
        <v>2394</v>
      </c>
      <c r="O914" s="20">
        <v>5</v>
      </c>
      <c r="S914" s="19" t="s">
        <v>20</v>
      </c>
      <c r="T914" s="19" t="s">
        <v>1471</v>
      </c>
    </row>
    <row r="915" spans="1:20">
      <c r="A915" s="20">
        <v>202603329341029</v>
      </c>
      <c r="B915" s="19" t="s">
        <v>20</v>
      </c>
      <c r="C915" s="19" t="s">
        <v>21</v>
      </c>
      <c r="D915" s="19" t="s">
        <v>20</v>
      </c>
      <c r="E915" s="21">
        <v>46204</v>
      </c>
      <c r="F915" s="21">
        <v>46568</v>
      </c>
      <c r="G915" s="21"/>
      <c r="H915" s="21">
        <v>46204</v>
      </c>
      <c r="I915" s="21">
        <v>46568</v>
      </c>
      <c r="J915" s="19" t="s">
        <v>2085</v>
      </c>
      <c r="L915" s="19">
        <v>123.1033675</v>
      </c>
      <c r="M915" s="19">
        <v>123.1033675</v>
      </c>
      <c r="N915" s="19" t="s">
        <v>1475</v>
      </c>
      <c r="O915" s="20">
        <v>5</v>
      </c>
      <c r="S915" s="19" t="s">
        <v>20</v>
      </c>
      <c r="T915" s="19" t="s">
        <v>1471</v>
      </c>
    </row>
    <row r="916" spans="1:20">
      <c r="A916" s="20">
        <v>202603329341696</v>
      </c>
      <c r="B916" s="19" t="s">
        <v>20</v>
      </c>
      <c r="C916" s="19" t="s">
        <v>21</v>
      </c>
      <c r="D916" s="19" t="s">
        <v>20</v>
      </c>
      <c r="E916" s="21">
        <v>46204</v>
      </c>
      <c r="F916" s="21">
        <v>46568</v>
      </c>
      <c r="G916" s="21"/>
      <c r="H916" s="21">
        <v>46204</v>
      </c>
      <c r="I916" s="21">
        <v>46568</v>
      </c>
      <c r="J916" s="19" t="s">
        <v>2062</v>
      </c>
      <c r="L916" s="19">
        <v>0</v>
      </c>
      <c r="M916" s="19">
        <v>0</v>
      </c>
      <c r="N916" s="19" t="s">
        <v>2394</v>
      </c>
      <c r="O916" s="20">
        <v>2</v>
      </c>
      <c r="S916" s="19" t="s">
        <v>20</v>
      </c>
      <c r="T916" s="19" t="s">
        <v>1471</v>
      </c>
    </row>
    <row r="917" spans="1:20">
      <c r="A917" s="20">
        <v>202603329341696</v>
      </c>
      <c r="B917" s="19" t="s">
        <v>20</v>
      </c>
      <c r="C917" s="19" t="s">
        <v>21</v>
      </c>
      <c r="D917" s="19" t="s">
        <v>20</v>
      </c>
      <c r="E917" s="21">
        <v>46204</v>
      </c>
      <c r="F917" s="21">
        <v>46568</v>
      </c>
      <c r="G917" s="21"/>
      <c r="H917" s="21">
        <v>46204</v>
      </c>
      <c r="I917" s="21">
        <v>46568</v>
      </c>
      <c r="J917" s="19" t="s">
        <v>2062</v>
      </c>
      <c r="L917" s="19">
        <v>66.261260500000006</v>
      </c>
      <c r="M917" s="19">
        <v>66.261260500000006</v>
      </c>
      <c r="N917" s="19" t="s">
        <v>1475</v>
      </c>
      <c r="O917" s="20">
        <v>2</v>
      </c>
      <c r="S917" s="19" t="s">
        <v>20</v>
      </c>
      <c r="T917" s="19" t="s">
        <v>1471</v>
      </c>
    </row>
    <row r="918" spans="1:20">
      <c r="A918" s="20">
        <v>202603329342539</v>
      </c>
      <c r="B918" s="19" t="s">
        <v>20</v>
      </c>
      <c r="C918" s="19" t="s">
        <v>21</v>
      </c>
      <c r="D918" s="19" t="s">
        <v>20</v>
      </c>
      <c r="E918" s="21">
        <v>46204</v>
      </c>
      <c r="F918" s="21">
        <v>46568</v>
      </c>
      <c r="G918" s="21"/>
      <c r="H918" s="21">
        <v>46204</v>
      </c>
      <c r="I918" s="21">
        <v>46568</v>
      </c>
      <c r="J918" s="19" t="s">
        <v>2064</v>
      </c>
      <c r="L918" s="19">
        <v>0</v>
      </c>
      <c r="M918" s="19">
        <v>0</v>
      </c>
      <c r="N918" s="19" t="s">
        <v>2394</v>
      </c>
      <c r="O918" s="20">
        <v>3</v>
      </c>
      <c r="S918" s="19" t="s">
        <v>20</v>
      </c>
      <c r="T918" s="19" t="s">
        <v>1471</v>
      </c>
    </row>
    <row r="919" spans="1:20">
      <c r="A919" s="20">
        <v>202603329342539</v>
      </c>
      <c r="B919" s="19" t="s">
        <v>20</v>
      </c>
      <c r="C919" s="19" t="s">
        <v>21</v>
      </c>
      <c r="D919" s="19" t="s">
        <v>20</v>
      </c>
      <c r="E919" s="21">
        <v>46204</v>
      </c>
      <c r="F919" s="21">
        <v>46568</v>
      </c>
      <c r="G919" s="21"/>
      <c r="H919" s="21">
        <v>46204</v>
      </c>
      <c r="I919" s="21">
        <v>46568</v>
      </c>
      <c r="J919" s="19" t="s">
        <v>2064</v>
      </c>
      <c r="L919" s="19">
        <v>99.391890750000002</v>
      </c>
      <c r="M919" s="19">
        <v>99.391890750000002</v>
      </c>
      <c r="N919" s="19" t="s">
        <v>1475</v>
      </c>
      <c r="O919" s="20">
        <v>3</v>
      </c>
      <c r="S919" s="19" t="s">
        <v>20</v>
      </c>
      <c r="T919" s="19" t="s">
        <v>1471</v>
      </c>
    </row>
    <row r="920" spans="1:20">
      <c r="A920" s="20">
        <v>202603329342709</v>
      </c>
      <c r="B920" s="19" t="s">
        <v>20</v>
      </c>
      <c r="C920" s="19" t="s">
        <v>21</v>
      </c>
      <c r="D920" s="19" t="s">
        <v>20</v>
      </c>
      <c r="E920" s="21">
        <v>46204</v>
      </c>
      <c r="F920" s="21">
        <v>46568</v>
      </c>
      <c r="G920" s="21"/>
      <c r="H920" s="21">
        <v>46204</v>
      </c>
      <c r="I920" s="21">
        <v>46568</v>
      </c>
      <c r="J920" s="19" t="s">
        <v>2064</v>
      </c>
      <c r="L920" s="19">
        <v>33.130630250000003</v>
      </c>
      <c r="M920" s="19">
        <v>33.130630250000003</v>
      </c>
      <c r="N920" s="19" t="s">
        <v>1475</v>
      </c>
      <c r="O920" s="20">
        <v>1</v>
      </c>
      <c r="S920" s="19" t="s">
        <v>20</v>
      </c>
      <c r="T920" s="19" t="s">
        <v>1471</v>
      </c>
    </row>
    <row r="921" spans="1:20">
      <c r="A921" s="20">
        <v>202603329342927</v>
      </c>
      <c r="B921" s="19" t="s">
        <v>20</v>
      </c>
      <c r="C921" s="19" t="s">
        <v>21</v>
      </c>
      <c r="D921" s="19" t="s">
        <v>2254</v>
      </c>
      <c r="E921" s="21">
        <v>46204</v>
      </c>
      <c r="F921" s="21">
        <v>46568</v>
      </c>
      <c r="G921" s="21"/>
      <c r="H921" s="21">
        <v>46204</v>
      </c>
      <c r="I921" s="21">
        <v>46568</v>
      </c>
      <c r="J921" s="19" t="s">
        <v>2120</v>
      </c>
      <c r="L921" s="19">
        <v>37.947955</v>
      </c>
      <c r="M921" s="19">
        <v>37.947955</v>
      </c>
      <c r="N921" s="19" t="s">
        <v>1467</v>
      </c>
      <c r="O921" s="20">
        <v>1</v>
      </c>
      <c r="S921" s="19" t="s">
        <v>20</v>
      </c>
      <c r="T921" s="19" t="s">
        <v>1471</v>
      </c>
    </row>
    <row r="922" spans="1:20">
      <c r="A922" s="20">
        <v>202603329346716</v>
      </c>
      <c r="B922" s="19" t="s">
        <v>20</v>
      </c>
      <c r="C922" s="19" t="s">
        <v>21</v>
      </c>
      <c r="D922" s="19" t="s">
        <v>20</v>
      </c>
      <c r="E922" s="21">
        <v>46204</v>
      </c>
      <c r="F922" s="21">
        <v>46568</v>
      </c>
      <c r="G922" s="21"/>
      <c r="H922" s="21">
        <v>46204</v>
      </c>
      <c r="I922" s="21">
        <v>46568</v>
      </c>
      <c r="J922" s="19" t="s">
        <v>2069</v>
      </c>
      <c r="L922" s="19">
        <v>0</v>
      </c>
      <c r="M922" s="19">
        <v>0</v>
      </c>
      <c r="N922" s="19" t="s">
        <v>2394</v>
      </c>
      <c r="O922" s="20">
        <v>6</v>
      </c>
      <c r="S922" s="19" t="s">
        <v>20</v>
      </c>
      <c r="T922" s="19" t="s">
        <v>1471</v>
      </c>
    </row>
    <row r="923" spans="1:20">
      <c r="A923" s="20">
        <v>202603329346716</v>
      </c>
      <c r="B923" s="19" t="s">
        <v>20</v>
      </c>
      <c r="C923" s="19" t="s">
        <v>21</v>
      </c>
      <c r="D923" s="19" t="s">
        <v>20</v>
      </c>
      <c r="E923" s="21">
        <v>46204</v>
      </c>
      <c r="F923" s="21">
        <v>46568</v>
      </c>
      <c r="G923" s="21"/>
      <c r="H923" s="21">
        <v>46204</v>
      </c>
      <c r="I923" s="21">
        <v>46568</v>
      </c>
      <c r="J923" s="19" t="s">
        <v>2069</v>
      </c>
      <c r="L923" s="19">
        <v>198.7837815</v>
      </c>
      <c r="M923" s="19">
        <v>198.7837815</v>
      </c>
      <c r="N923" s="19" t="s">
        <v>1475</v>
      </c>
      <c r="O923" s="20">
        <v>6</v>
      </c>
      <c r="S923" s="19" t="s">
        <v>20</v>
      </c>
      <c r="T923" s="19" t="s">
        <v>1471</v>
      </c>
    </row>
    <row r="924" spans="1:20">
      <c r="A924" s="20">
        <v>202603329348133</v>
      </c>
      <c r="B924" s="19" t="s">
        <v>20</v>
      </c>
      <c r="C924" s="19" t="s">
        <v>21</v>
      </c>
      <c r="D924" s="19" t="s">
        <v>20</v>
      </c>
      <c r="E924" s="21">
        <v>46204</v>
      </c>
      <c r="F924" s="21">
        <v>46568</v>
      </c>
      <c r="G924" s="21"/>
      <c r="H924" s="21">
        <v>46204</v>
      </c>
      <c r="I924" s="21">
        <v>46568</v>
      </c>
      <c r="J924" s="19" t="s">
        <v>2255</v>
      </c>
      <c r="L924" s="19">
        <v>0</v>
      </c>
      <c r="M924" s="19">
        <v>0</v>
      </c>
      <c r="N924" s="19" t="s">
        <v>2394</v>
      </c>
      <c r="O924" s="20">
        <v>2</v>
      </c>
      <c r="S924" s="19" t="s">
        <v>20</v>
      </c>
      <c r="T924" s="19" t="s">
        <v>1471</v>
      </c>
    </row>
    <row r="925" spans="1:20">
      <c r="A925" s="20">
        <v>202603329348133</v>
      </c>
      <c r="B925" s="19" t="s">
        <v>20</v>
      </c>
      <c r="C925" s="19" t="s">
        <v>21</v>
      </c>
      <c r="D925" s="19" t="s">
        <v>2256</v>
      </c>
      <c r="E925" s="21">
        <v>46204</v>
      </c>
      <c r="F925" s="21">
        <v>46568</v>
      </c>
      <c r="G925" s="21"/>
      <c r="H925" s="21">
        <v>46204</v>
      </c>
      <c r="I925" s="21">
        <v>46568</v>
      </c>
      <c r="J925" s="19" t="s">
        <v>2255</v>
      </c>
      <c r="L925" s="19">
        <v>26.763479</v>
      </c>
      <c r="M925" s="19">
        <v>26.763479</v>
      </c>
      <c r="N925" s="19" t="s">
        <v>1467</v>
      </c>
      <c r="O925" s="20">
        <v>2</v>
      </c>
      <c r="S925" s="19" t="s">
        <v>20</v>
      </c>
      <c r="T925" s="19" t="s">
        <v>1471</v>
      </c>
    </row>
    <row r="926" spans="1:20">
      <c r="A926" s="20">
        <v>202603329348621</v>
      </c>
      <c r="B926" s="19" t="s">
        <v>20</v>
      </c>
      <c r="C926" s="19" t="s">
        <v>21</v>
      </c>
      <c r="D926" s="19" t="s">
        <v>20</v>
      </c>
      <c r="E926" s="21">
        <v>46204</v>
      </c>
      <c r="F926" s="21">
        <v>46568</v>
      </c>
      <c r="G926" s="21"/>
      <c r="H926" s="21">
        <v>46204</v>
      </c>
      <c r="I926" s="21">
        <v>46568</v>
      </c>
      <c r="J926" s="19" t="s">
        <v>2087</v>
      </c>
      <c r="L926" s="19">
        <v>99.391890750000002</v>
      </c>
      <c r="M926" s="19">
        <v>99.391890750000002</v>
      </c>
      <c r="N926" s="19" t="s">
        <v>1475</v>
      </c>
      <c r="O926" s="20">
        <v>3</v>
      </c>
      <c r="S926" s="19" t="s">
        <v>20</v>
      </c>
      <c r="T926" s="19" t="s">
        <v>1471</v>
      </c>
    </row>
    <row r="927" spans="1:20">
      <c r="A927" s="20">
        <v>202603329351707</v>
      </c>
      <c r="B927" s="19" t="s">
        <v>20</v>
      </c>
      <c r="C927" s="19" t="s">
        <v>21</v>
      </c>
      <c r="D927" s="19" t="s">
        <v>20</v>
      </c>
      <c r="E927" s="21">
        <v>46204</v>
      </c>
      <c r="F927" s="21">
        <v>46568</v>
      </c>
      <c r="G927" s="21"/>
      <c r="H927" s="21">
        <v>46204</v>
      </c>
      <c r="I927" s="21">
        <v>46568</v>
      </c>
      <c r="J927" s="19" t="s">
        <v>2064</v>
      </c>
      <c r="L927" s="19">
        <v>0</v>
      </c>
      <c r="M927" s="19">
        <v>0</v>
      </c>
      <c r="N927" s="19" t="s">
        <v>2394</v>
      </c>
      <c r="O927" s="20">
        <v>4</v>
      </c>
      <c r="S927" s="19" t="s">
        <v>20</v>
      </c>
      <c r="T927" s="19" t="s">
        <v>1471</v>
      </c>
    </row>
    <row r="928" spans="1:20">
      <c r="A928" s="20">
        <v>202603329351707</v>
      </c>
      <c r="B928" s="19" t="s">
        <v>20</v>
      </c>
      <c r="C928" s="19" t="s">
        <v>21</v>
      </c>
      <c r="D928" s="19" t="s">
        <v>20</v>
      </c>
      <c r="E928" s="21">
        <v>46204</v>
      </c>
      <c r="F928" s="21">
        <v>46568</v>
      </c>
      <c r="G928" s="21"/>
      <c r="H928" s="21">
        <v>46204</v>
      </c>
      <c r="I928" s="21">
        <v>46568</v>
      </c>
      <c r="J928" s="19" t="s">
        <v>2064</v>
      </c>
      <c r="L928" s="19">
        <v>132.52252100000001</v>
      </c>
      <c r="M928" s="19">
        <v>132.52252100000001</v>
      </c>
      <c r="N928" s="19" t="s">
        <v>1475</v>
      </c>
      <c r="O928" s="20">
        <v>4</v>
      </c>
      <c r="S928" s="19" t="s">
        <v>20</v>
      </c>
      <c r="T928" s="19" t="s">
        <v>1471</v>
      </c>
    </row>
    <row r="929" spans="1:20">
      <c r="A929" s="20">
        <v>202603329352403</v>
      </c>
      <c r="B929" s="19" t="s">
        <v>20</v>
      </c>
      <c r="C929" s="19" t="s">
        <v>21</v>
      </c>
      <c r="D929" s="19" t="s">
        <v>20</v>
      </c>
      <c r="E929" s="21">
        <v>46204</v>
      </c>
      <c r="F929" s="21">
        <v>46568</v>
      </c>
      <c r="G929" s="21"/>
      <c r="H929" s="21">
        <v>46204</v>
      </c>
      <c r="I929" s="21">
        <v>46568</v>
      </c>
      <c r="J929" s="19" t="s">
        <v>2068</v>
      </c>
      <c r="L929" s="19">
        <v>0</v>
      </c>
      <c r="M929" s="19">
        <v>0</v>
      </c>
      <c r="N929" s="19" t="s">
        <v>2394</v>
      </c>
      <c r="O929" s="20">
        <v>3</v>
      </c>
      <c r="S929" s="19" t="s">
        <v>20</v>
      </c>
      <c r="T929" s="19" t="s">
        <v>1471</v>
      </c>
    </row>
    <row r="930" spans="1:20">
      <c r="A930" s="20">
        <v>202603329352403</v>
      </c>
      <c r="B930" s="19" t="s">
        <v>20</v>
      </c>
      <c r="C930" s="19" t="s">
        <v>21</v>
      </c>
      <c r="D930" s="19" t="s">
        <v>20</v>
      </c>
      <c r="E930" s="21">
        <v>46204</v>
      </c>
      <c r="F930" s="21">
        <v>46568</v>
      </c>
      <c r="G930" s="21"/>
      <c r="H930" s="21">
        <v>46204</v>
      </c>
      <c r="I930" s="21">
        <v>46568</v>
      </c>
      <c r="J930" s="19" t="s">
        <v>2068</v>
      </c>
      <c r="L930" s="19">
        <v>78.776052000000007</v>
      </c>
      <c r="M930" s="19">
        <v>78.776052000000007</v>
      </c>
      <c r="N930" s="19" t="s">
        <v>1475</v>
      </c>
      <c r="O930" s="20">
        <v>3</v>
      </c>
      <c r="S930" s="19" t="s">
        <v>20</v>
      </c>
      <c r="T930" s="19" t="s">
        <v>1471</v>
      </c>
    </row>
    <row r="931" spans="1:20">
      <c r="A931" s="20">
        <v>202603329353269</v>
      </c>
      <c r="B931" s="19" t="s">
        <v>20</v>
      </c>
      <c r="C931" s="19" t="s">
        <v>21</v>
      </c>
      <c r="D931" s="19" t="s">
        <v>20</v>
      </c>
      <c r="E931" s="21">
        <v>46204</v>
      </c>
      <c r="F931" s="21">
        <v>46568</v>
      </c>
      <c r="G931" s="21"/>
      <c r="H931" s="21">
        <v>46204</v>
      </c>
      <c r="I931" s="21">
        <v>46568</v>
      </c>
      <c r="J931" s="19" t="s">
        <v>2109</v>
      </c>
      <c r="L931" s="19">
        <v>29.817561749999999</v>
      </c>
      <c r="M931" s="19">
        <v>29.817561749999999</v>
      </c>
      <c r="N931" s="19" t="s">
        <v>1475</v>
      </c>
      <c r="O931" s="20">
        <v>1</v>
      </c>
      <c r="S931" s="19" t="s">
        <v>20</v>
      </c>
      <c r="T931" s="19" t="s">
        <v>1471</v>
      </c>
    </row>
    <row r="932" spans="1:20">
      <c r="A932" s="20">
        <v>202603329353945</v>
      </c>
      <c r="B932" s="19" t="s">
        <v>20</v>
      </c>
      <c r="C932" s="19" t="s">
        <v>21</v>
      </c>
      <c r="D932" s="19" t="s">
        <v>20</v>
      </c>
      <c r="E932" s="21">
        <v>46204</v>
      </c>
      <c r="F932" s="21">
        <v>46568</v>
      </c>
      <c r="G932" s="21"/>
      <c r="H932" s="21">
        <v>46204</v>
      </c>
      <c r="I932" s="21">
        <v>46568</v>
      </c>
      <c r="J932" s="19" t="s">
        <v>2132</v>
      </c>
      <c r="L932" s="19">
        <v>0</v>
      </c>
      <c r="M932" s="19">
        <v>0</v>
      </c>
      <c r="N932" s="19" t="s">
        <v>2394</v>
      </c>
      <c r="O932" s="20">
        <v>6</v>
      </c>
      <c r="S932" s="19" t="s">
        <v>20</v>
      </c>
      <c r="T932" s="19" t="s">
        <v>1471</v>
      </c>
    </row>
    <row r="933" spans="1:20">
      <c r="A933" s="20">
        <v>202603329353945</v>
      </c>
      <c r="B933" s="19" t="s">
        <v>20</v>
      </c>
      <c r="C933" s="19" t="s">
        <v>21</v>
      </c>
      <c r="D933" s="19" t="s">
        <v>2257</v>
      </c>
      <c r="E933" s="21">
        <v>46204</v>
      </c>
      <c r="F933" s="21">
        <v>46568</v>
      </c>
      <c r="G933" s="21"/>
      <c r="H933" s="21">
        <v>46204</v>
      </c>
      <c r="I933" s="21">
        <v>46568</v>
      </c>
      <c r="J933" s="19" t="s">
        <v>2132</v>
      </c>
      <c r="L933" s="19">
        <v>178.9053705</v>
      </c>
      <c r="M933" s="19">
        <v>178.9053705</v>
      </c>
      <c r="N933" s="19" t="s">
        <v>1467</v>
      </c>
      <c r="O933" s="20">
        <v>6</v>
      </c>
      <c r="S933" s="19" t="s">
        <v>20</v>
      </c>
      <c r="T933" s="19" t="s">
        <v>1471</v>
      </c>
    </row>
    <row r="934" spans="1:20">
      <c r="A934" s="20">
        <v>202603329354969</v>
      </c>
      <c r="B934" s="19" t="s">
        <v>20</v>
      </c>
      <c r="C934" s="19" t="s">
        <v>21</v>
      </c>
      <c r="D934" s="19" t="s">
        <v>20</v>
      </c>
      <c r="E934" s="21">
        <v>46204</v>
      </c>
      <c r="F934" s="21">
        <v>46568</v>
      </c>
      <c r="G934" s="21"/>
      <c r="H934" s="21">
        <v>46204</v>
      </c>
      <c r="I934" s="21">
        <v>46568</v>
      </c>
      <c r="J934" s="19" t="s">
        <v>2114</v>
      </c>
      <c r="L934" s="19">
        <v>33.130630250000003</v>
      </c>
      <c r="M934" s="19">
        <v>33.130630250000003</v>
      </c>
      <c r="N934" s="19" t="s">
        <v>1475</v>
      </c>
      <c r="O934" s="20">
        <v>1</v>
      </c>
      <c r="S934" s="19" t="s">
        <v>20</v>
      </c>
      <c r="T934" s="19" t="s">
        <v>1471</v>
      </c>
    </row>
    <row r="935" spans="1:20">
      <c r="A935" s="20">
        <v>202603329355666</v>
      </c>
      <c r="B935" s="19" t="s">
        <v>20</v>
      </c>
      <c r="C935" s="19" t="s">
        <v>21</v>
      </c>
      <c r="D935" s="19" t="s">
        <v>20</v>
      </c>
      <c r="E935" s="21">
        <v>46204</v>
      </c>
      <c r="F935" s="21">
        <v>46568</v>
      </c>
      <c r="G935" s="21"/>
      <c r="H935" s="21">
        <v>46204</v>
      </c>
      <c r="I935" s="21">
        <v>46568</v>
      </c>
      <c r="J935" s="19" t="s">
        <v>2085</v>
      </c>
      <c r="L935" s="19">
        <v>0</v>
      </c>
      <c r="M935" s="19">
        <v>0</v>
      </c>
      <c r="N935" s="19" t="s">
        <v>2394</v>
      </c>
      <c r="O935" s="20">
        <v>4</v>
      </c>
      <c r="S935" s="19" t="s">
        <v>20</v>
      </c>
      <c r="T935" s="19" t="s">
        <v>1471</v>
      </c>
    </row>
    <row r="936" spans="1:20">
      <c r="A936" s="20">
        <v>202603329355666</v>
      </c>
      <c r="B936" s="19" t="s">
        <v>20</v>
      </c>
      <c r="C936" s="19" t="s">
        <v>21</v>
      </c>
      <c r="D936" s="19" t="s">
        <v>20</v>
      </c>
      <c r="E936" s="21">
        <v>46204</v>
      </c>
      <c r="F936" s="21">
        <v>46568</v>
      </c>
      <c r="G936" s="21"/>
      <c r="H936" s="21">
        <v>46204</v>
      </c>
      <c r="I936" s="21">
        <v>46568</v>
      </c>
      <c r="J936" s="19" t="s">
        <v>2085</v>
      </c>
      <c r="L936" s="19">
        <v>98.482693999999995</v>
      </c>
      <c r="M936" s="19">
        <v>98.482693999999995</v>
      </c>
      <c r="N936" s="19" t="s">
        <v>1475</v>
      </c>
      <c r="O936" s="20">
        <v>4</v>
      </c>
      <c r="S936" s="19" t="s">
        <v>20</v>
      </c>
      <c r="T936" s="19" t="s">
        <v>1471</v>
      </c>
    </row>
    <row r="937" spans="1:20">
      <c r="A937" s="20">
        <v>202603329355772</v>
      </c>
      <c r="B937" s="19" t="s">
        <v>20</v>
      </c>
      <c r="C937" s="19" t="s">
        <v>21</v>
      </c>
      <c r="D937" s="19" t="s">
        <v>20</v>
      </c>
      <c r="E937" s="21">
        <v>46204</v>
      </c>
      <c r="F937" s="21">
        <v>46568</v>
      </c>
      <c r="G937" s="21"/>
      <c r="H937" s="21">
        <v>46204</v>
      </c>
      <c r="I937" s="21">
        <v>46568</v>
      </c>
      <c r="J937" s="19" t="s">
        <v>2064</v>
      </c>
      <c r="L937" s="19">
        <v>66.261260500000006</v>
      </c>
      <c r="M937" s="19">
        <v>66.261260500000006</v>
      </c>
      <c r="N937" s="19" t="s">
        <v>1475</v>
      </c>
      <c r="O937" s="20">
        <v>2</v>
      </c>
      <c r="S937" s="19" t="s">
        <v>20</v>
      </c>
      <c r="T937" s="19" t="s">
        <v>1471</v>
      </c>
    </row>
    <row r="938" spans="1:20">
      <c r="A938" s="20">
        <v>202603329357261</v>
      </c>
      <c r="B938" s="19" t="s">
        <v>20</v>
      </c>
      <c r="C938" s="19" t="s">
        <v>21</v>
      </c>
      <c r="D938" s="19" t="s">
        <v>20</v>
      </c>
      <c r="E938" s="21">
        <v>46204</v>
      </c>
      <c r="F938" s="21">
        <v>46568</v>
      </c>
      <c r="G938" s="21"/>
      <c r="H938" s="21">
        <v>46204</v>
      </c>
      <c r="I938" s="21">
        <v>46568</v>
      </c>
      <c r="J938" s="19" t="s">
        <v>2064</v>
      </c>
      <c r="L938" s="19">
        <v>33.130630250000003</v>
      </c>
      <c r="M938" s="19">
        <v>33.130630250000003</v>
      </c>
      <c r="N938" s="19" t="s">
        <v>1475</v>
      </c>
      <c r="O938" s="20">
        <v>1</v>
      </c>
      <c r="S938" s="19" t="s">
        <v>20</v>
      </c>
      <c r="T938" s="19" t="s">
        <v>1471</v>
      </c>
    </row>
    <row r="939" spans="1:20">
      <c r="A939" s="20">
        <v>202603329357625</v>
      </c>
      <c r="B939" s="19" t="s">
        <v>20</v>
      </c>
      <c r="C939" s="19" t="s">
        <v>21</v>
      </c>
      <c r="D939" s="19" t="s">
        <v>20</v>
      </c>
      <c r="E939" s="21">
        <v>46204</v>
      </c>
      <c r="F939" s="21">
        <v>46568</v>
      </c>
      <c r="G939" s="21"/>
      <c r="H939" s="21">
        <v>46204</v>
      </c>
      <c r="I939" s="21">
        <v>46568</v>
      </c>
      <c r="J939" s="19" t="s">
        <v>2083</v>
      </c>
      <c r="L939" s="19">
        <v>33.130630250000003</v>
      </c>
      <c r="M939" s="19">
        <v>33.130630250000003</v>
      </c>
      <c r="N939" s="19" t="s">
        <v>1475</v>
      </c>
      <c r="O939" s="20">
        <v>1</v>
      </c>
      <c r="S939" s="19" t="s">
        <v>20</v>
      </c>
      <c r="T939" s="19" t="s">
        <v>1471</v>
      </c>
    </row>
    <row r="940" spans="1:20">
      <c r="A940" s="20">
        <v>202603329357997</v>
      </c>
      <c r="B940" s="19" t="s">
        <v>20</v>
      </c>
      <c r="C940" s="19" t="s">
        <v>21</v>
      </c>
      <c r="D940" s="19" t="s">
        <v>20</v>
      </c>
      <c r="E940" s="21">
        <v>46204</v>
      </c>
      <c r="F940" s="21">
        <v>46568</v>
      </c>
      <c r="G940" s="21"/>
      <c r="H940" s="21">
        <v>46204</v>
      </c>
      <c r="I940" s="21">
        <v>46568</v>
      </c>
      <c r="J940" s="19" t="s">
        <v>2093</v>
      </c>
      <c r="L940" s="19">
        <v>0</v>
      </c>
      <c r="M940" s="19">
        <v>0</v>
      </c>
      <c r="N940" s="19" t="s">
        <v>2394</v>
      </c>
      <c r="O940" s="20">
        <v>6</v>
      </c>
      <c r="S940" s="19" t="s">
        <v>20</v>
      </c>
      <c r="T940" s="19" t="s">
        <v>1471</v>
      </c>
    </row>
    <row r="941" spans="1:20">
      <c r="A941" s="20">
        <v>202603329357997</v>
      </c>
      <c r="B941" s="19" t="s">
        <v>20</v>
      </c>
      <c r="C941" s="19" t="s">
        <v>21</v>
      </c>
      <c r="D941" s="19" t="s">
        <v>20</v>
      </c>
      <c r="E941" s="21">
        <v>46204</v>
      </c>
      <c r="F941" s="21">
        <v>46568</v>
      </c>
      <c r="G941" s="21"/>
      <c r="H941" s="21">
        <v>46204</v>
      </c>
      <c r="I941" s="21">
        <v>46568</v>
      </c>
      <c r="J941" s="19" t="s">
        <v>2093</v>
      </c>
      <c r="L941" s="19">
        <v>172.6562055</v>
      </c>
      <c r="M941" s="19">
        <v>172.6562055</v>
      </c>
      <c r="N941" s="19" t="s">
        <v>1475</v>
      </c>
      <c r="O941" s="20">
        <v>6</v>
      </c>
      <c r="S941" s="19" t="s">
        <v>20</v>
      </c>
      <c r="T941" s="19" t="s">
        <v>1471</v>
      </c>
    </row>
    <row r="942" spans="1:20">
      <c r="A942" s="20">
        <v>202603329360906</v>
      </c>
      <c r="B942" s="19" t="s">
        <v>20</v>
      </c>
      <c r="C942" s="19" t="s">
        <v>21</v>
      </c>
      <c r="D942" s="19" t="s">
        <v>20</v>
      </c>
      <c r="E942" s="21">
        <v>46204</v>
      </c>
      <c r="F942" s="21">
        <v>46568</v>
      </c>
      <c r="G942" s="21"/>
      <c r="H942" s="21">
        <v>46204</v>
      </c>
      <c r="I942" s="21">
        <v>46568</v>
      </c>
      <c r="J942" s="19" t="s">
        <v>2064</v>
      </c>
      <c r="L942" s="19">
        <v>66.261260500000006</v>
      </c>
      <c r="M942" s="19">
        <v>66.261260500000006</v>
      </c>
      <c r="N942" s="19" t="s">
        <v>1475</v>
      </c>
      <c r="O942" s="20">
        <v>2</v>
      </c>
      <c r="S942" s="19" t="s">
        <v>20</v>
      </c>
      <c r="T942" s="19" t="s">
        <v>1471</v>
      </c>
    </row>
    <row r="943" spans="1:20">
      <c r="A943" s="20">
        <v>202603329361916</v>
      </c>
      <c r="B943" s="19" t="s">
        <v>20</v>
      </c>
      <c r="C943" s="19" t="s">
        <v>21</v>
      </c>
      <c r="D943" s="19" t="s">
        <v>20</v>
      </c>
      <c r="E943" s="21">
        <v>46204</v>
      </c>
      <c r="F943" s="21">
        <v>46568</v>
      </c>
      <c r="G943" s="21"/>
      <c r="H943" s="21">
        <v>46204</v>
      </c>
      <c r="I943" s="21">
        <v>46568</v>
      </c>
      <c r="J943" s="19" t="s">
        <v>2243</v>
      </c>
      <c r="L943" s="19">
        <v>0</v>
      </c>
      <c r="M943" s="19">
        <v>0</v>
      </c>
      <c r="N943" s="19" t="s">
        <v>2394</v>
      </c>
      <c r="O943" s="20">
        <v>3</v>
      </c>
      <c r="S943" s="19" t="s">
        <v>20</v>
      </c>
      <c r="T943" s="19" t="s">
        <v>1471</v>
      </c>
    </row>
    <row r="944" spans="1:20">
      <c r="A944" s="20">
        <v>202603329361916</v>
      </c>
      <c r="B944" s="19" t="s">
        <v>20</v>
      </c>
      <c r="C944" s="19" t="s">
        <v>21</v>
      </c>
      <c r="D944" s="19" t="s">
        <v>20</v>
      </c>
      <c r="E944" s="21">
        <v>46204</v>
      </c>
      <c r="F944" s="21">
        <v>46568</v>
      </c>
      <c r="G944" s="21"/>
      <c r="H944" s="21">
        <v>46204</v>
      </c>
      <c r="I944" s="21">
        <v>46568</v>
      </c>
      <c r="J944" s="19" t="s">
        <v>2243</v>
      </c>
      <c r="L944" s="19">
        <v>99.391890750000002</v>
      </c>
      <c r="M944" s="19">
        <v>99.391890750000002</v>
      </c>
      <c r="N944" s="19" t="s">
        <v>1475</v>
      </c>
      <c r="O944" s="20">
        <v>3</v>
      </c>
      <c r="S944" s="19" t="s">
        <v>20</v>
      </c>
      <c r="T944" s="19" t="s">
        <v>1471</v>
      </c>
    </row>
    <row r="945" spans="1:20">
      <c r="A945" s="20">
        <v>202603329362345</v>
      </c>
      <c r="B945" s="19" t="s">
        <v>20</v>
      </c>
      <c r="C945" s="19" t="s">
        <v>21</v>
      </c>
      <c r="D945" s="19" t="s">
        <v>2258</v>
      </c>
      <c r="E945" s="21">
        <v>46204</v>
      </c>
      <c r="F945" s="21">
        <v>46568</v>
      </c>
      <c r="G945" s="21"/>
      <c r="H945" s="21">
        <v>46204</v>
      </c>
      <c r="I945" s="21">
        <v>46568</v>
      </c>
      <c r="J945" s="19" t="s">
        <v>2092</v>
      </c>
      <c r="L945" s="19">
        <v>38.659559000000002</v>
      </c>
      <c r="M945" s="19">
        <v>38.659559000000002</v>
      </c>
      <c r="N945" s="19" t="s">
        <v>1467</v>
      </c>
      <c r="O945" s="20">
        <v>1</v>
      </c>
      <c r="S945" s="19" t="s">
        <v>20</v>
      </c>
      <c r="T945" s="19" t="s">
        <v>1471</v>
      </c>
    </row>
    <row r="946" spans="1:20">
      <c r="A946" s="20">
        <v>202603329364977</v>
      </c>
      <c r="B946" s="19" t="s">
        <v>20</v>
      </c>
      <c r="C946" s="19" t="s">
        <v>21</v>
      </c>
      <c r="D946" s="19" t="s">
        <v>20</v>
      </c>
      <c r="E946" s="21">
        <v>46204</v>
      </c>
      <c r="F946" s="21">
        <v>46568</v>
      </c>
      <c r="G946" s="21"/>
      <c r="H946" s="21">
        <v>46204</v>
      </c>
      <c r="I946" s="21">
        <v>46568</v>
      </c>
      <c r="J946" s="19" t="s">
        <v>2077</v>
      </c>
      <c r="L946" s="19">
        <v>0</v>
      </c>
      <c r="M946" s="19">
        <v>0</v>
      </c>
      <c r="N946" s="19" t="s">
        <v>2394</v>
      </c>
      <c r="O946" s="20">
        <v>2</v>
      </c>
      <c r="S946" s="19" t="s">
        <v>20</v>
      </c>
      <c r="T946" s="19" t="s">
        <v>1471</v>
      </c>
    </row>
    <row r="947" spans="1:20">
      <c r="A947" s="20">
        <v>202603329364977</v>
      </c>
      <c r="B947" s="19" t="s">
        <v>20</v>
      </c>
      <c r="C947" s="19" t="s">
        <v>21</v>
      </c>
      <c r="D947" s="19" t="s">
        <v>20</v>
      </c>
      <c r="E947" s="21">
        <v>46204</v>
      </c>
      <c r="F947" s="21">
        <v>46568</v>
      </c>
      <c r="G947" s="21"/>
      <c r="H947" s="21">
        <v>46204</v>
      </c>
      <c r="I947" s="21">
        <v>46568</v>
      </c>
      <c r="J947" s="19" t="s">
        <v>2077</v>
      </c>
      <c r="L947" s="19">
        <v>59.635123499999999</v>
      </c>
      <c r="M947" s="19">
        <v>59.635123499999999</v>
      </c>
      <c r="N947" s="19" t="s">
        <v>1475</v>
      </c>
      <c r="O947" s="20">
        <v>2</v>
      </c>
      <c r="S947" s="19" t="s">
        <v>20</v>
      </c>
      <c r="T947" s="19" t="s">
        <v>1471</v>
      </c>
    </row>
    <row r="948" spans="1:20">
      <c r="A948" s="20">
        <v>202603329365349</v>
      </c>
      <c r="B948" s="19" t="s">
        <v>20</v>
      </c>
      <c r="C948" s="19" t="s">
        <v>21</v>
      </c>
      <c r="D948" s="19" t="s">
        <v>20</v>
      </c>
      <c r="E948" s="21">
        <v>46204</v>
      </c>
      <c r="F948" s="21">
        <v>46568</v>
      </c>
      <c r="G948" s="21"/>
      <c r="H948" s="21">
        <v>46204</v>
      </c>
      <c r="I948" s="21">
        <v>46568</v>
      </c>
      <c r="J948" s="19" t="s">
        <v>2068</v>
      </c>
      <c r="L948" s="19">
        <v>0</v>
      </c>
      <c r="M948" s="19">
        <v>0</v>
      </c>
      <c r="N948" s="19" t="s">
        <v>2394</v>
      </c>
      <c r="O948" s="20">
        <v>5</v>
      </c>
      <c r="S948" s="19" t="s">
        <v>20</v>
      </c>
      <c r="T948" s="19" t="s">
        <v>1471</v>
      </c>
    </row>
    <row r="949" spans="1:20">
      <c r="A949" s="20">
        <v>202603329365349</v>
      </c>
      <c r="B949" s="19" t="s">
        <v>20</v>
      </c>
      <c r="C949" s="19" t="s">
        <v>21</v>
      </c>
      <c r="D949" s="19" t="s">
        <v>20</v>
      </c>
      <c r="E949" s="21">
        <v>46204</v>
      </c>
      <c r="F949" s="21">
        <v>46568</v>
      </c>
      <c r="G949" s="21"/>
      <c r="H949" s="21">
        <v>46204</v>
      </c>
      <c r="I949" s="21">
        <v>46568</v>
      </c>
      <c r="J949" s="19" t="s">
        <v>2068</v>
      </c>
      <c r="L949" s="19">
        <v>131.29342</v>
      </c>
      <c r="M949" s="19">
        <v>131.29342</v>
      </c>
      <c r="N949" s="19" t="s">
        <v>1475</v>
      </c>
      <c r="O949" s="20">
        <v>5</v>
      </c>
      <c r="S949" s="19" t="s">
        <v>20</v>
      </c>
      <c r="T949" s="19" t="s">
        <v>1471</v>
      </c>
    </row>
    <row r="950" spans="1:20">
      <c r="A950" s="20">
        <v>202603329365484</v>
      </c>
      <c r="B950" s="19" t="s">
        <v>20</v>
      </c>
      <c r="C950" s="19" t="s">
        <v>21</v>
      </c>
      <c r="D950" s="19" t="s">
        <v>20</v>
      </c>
      <c r="E950" s="21">
        <v>46204</v>
      </c>
      <c r="F950" s="21">
        <v>46568</v>
      </c>
      <c r="G950" s="21"/>
      <c r="H950" s="21">
        <v>46204</v>
      </c>
      <c r="I950" s="21">
        <v>46568</v>
      </c>
      <c r="J950" s="19" t="s">
        <v>2068</v>
      </c>
      <c r="L950" s="19">
        <v>0</v>
      </c>
      <c r="M950" s="19">
        <v>0</v>
      </c>
      <c r="N950" s="19" t="s">
        <v>2394</v>
      </c>
      <c r="O950" s="20">
        <v>4</v>
      </c>
      <c r="S950" s="19" t="s">
        <v>20</v>
      </c>
      <c r="T950" s="19" t="s">
        <v>1471</v>
      </c>
    </row>
    <row r="951" spans="1:20">
      <c r="A951" s="20">
        <v>202603329365484</v>
      </c>
      <c r="B951" s="19" t="s">
        <v>20</v>
      </c>
      <c r="C951" s="19" t="s">
        <v>21</v>
      </c>
      <c r="D951" s="19" t="s">
        <v>20</v>
      </c>
      <c r="E951" s="21">
        <v>46204</v>
      </c>
      <c r="F951" s="21">
        <v>46568</v>
      </c>
      <c r="G951" s="21"/>
      <c r="H951" s="21">
        <v>46204</v>
      </c>
      <c r="I951" s="21">
        <v>46568</v>
      </c>
      <c r="J951" s="19" t="s">
        <v>2068</v>
      </c>
      <c r="L951" s="19">
        <v>105.034736</v>
      </c>
      <c r="M951" s="19">
        <v>105.034736</v>
      </c>
      <c r="N951" s="19" t="s">
        <v>1475</v>
      </c>
      <c r="O951" s="20">
        <v>4</v>
      </c>
      <c r="S951" s="19" t="s">
        <v>20</v>
      </c>
      <c r="T951" s="19" t="s">
        <v>1471</v>
      </c>
    </row>
    <row r="952" spans="1:20">
      <c r="A952" s="20">
        <v>202603329366553</v>
      </c>
      <c r="B952" s="19" t="s">
        <v>20</v>
      </c>
      <c r="C952" s="19" t="s">
        <v>21</v>
      </c>
      <c r="D952" s="19" t="s">
        <v>20</v>
      </c>
      <c r="E952" s="21">
        <v>46204</v>
      </c>
      <c r="F952" s="21">
        <v>46568</v>
      </c>
      <c r="G952" s="21"/>
      <c r="H952" s="21">
        <v>46204</v>
      </c>
      <c r="I952" s="21">
        <v>46568</v>
      </c>
      <c r="J952" s="19" t="s">
        <v>2087</v>
      </c>
      <c r="L952" s="19">
        <v>0</v>
      </c>
      <c r="M952" s="19">
        <v>0</v>
      </c>
      <c r="N952" s="19" t="s">
        <v>2394</v>
      </c>
      <c r="O952" s="20">
        <v>4</v>
      </c>
      <c r="S952" s="19" t="s">
        <v>20</v>
      </c>
      <c r="T952" s="19" t="s">
        <v>1471</v>
      </c>
    </row>
    <row r="953" spans="1:20">
      <c r="A953" s="20">
        <v>202603329366553</v>
      </c>
      <c r="B953" s="19" t="s">
        <v>20</v>
      </c>
      <c r="C953" s="19" t="s">
        <v>21</v>
      </c>
      <c r="D953" s="19" t="s">
        <v>20</v>
      </c>
      <c r="E953" s="21">
        <v>46204</v>
      </c>
      <c r="F953" s="21">
        <v>46568</v>
      </c>
      <c r="G953" s="21"/>
      <c r="H953" s="21">
        <v>46204</v>
      </c>
      <c r="I953" s="21">
        <v>46568</v>
      </c>
      <c r="J953" s="19" t="s">
        <v>2087</v>
      </c>
      <c r="L953" s="19">
        <v>132.52252100000001</v>
      </c>
      <c r="M953" s="19">
        <v>132.52252100000001</v>
      </c>
      <c r="N953" s="19" t="s">
        <v>1475</v>
      </c>
      <c r="O953" s="20">
        <v>4</v>
      </c>
      <c r="S953" s="19" t="s">
        <v>20</v>
      </c>
      <c r="T953" s="19" t="s">
        <v>1471</v>
      </c>
    </row>
    <row r="954" spans="1:20">
      <c r="A954" s="20">
        <v>202603329366954</v>
      </c>
      <c r="B954" s="19" t="s">
        <v>20</v>
      </c>
      <c r="C954" s="19" t="s">
        <v>21</v>
      </c>
      <c r="D954" s="19" t="s">
        <v>20</v>
      </c>
      <c r="E954" s="21">
        <v>46204</v>
      </c>
      <c r="F954" s="21">
        <v>46568</v>
      </c>
      <c r="G954" s="21"/>
      <c r="H954" s="21">
        <v>46204</v>
      </c>
      <c r="I954" s="21">
        <v>46568</v>
      </c>
      <c r="J954" s="19" t="s">
        <v>2069</v>
      </c>
      <c r="L954" s="19">
        <v>0</v>
      </c>
      <c r="M954" s="19">
        <v>0</v>
      </c>
      <c r="N954" s="19" t="s">
        <v>2394</v>
      </c>
      <c r="O954" s="20">
        <v>6</v>
      </c>
      <c r="S954" s="19" t="s">
        <v>20</v>
      </c>
      <c r="T954" s="19" t="s">
        <v>1471</v>
      </c>
    </row>
    <row r="955" spans="1:20">
      <c r="A955" s="20">
        <v>202603329366954</v>
      </c>
      <c r="B955" s="19" t="s">
        <v>20</v>
      </c>
      <c r="C955" s="19" t="s">
        <v>21</v>
      </c>
      <c r="D955" s="19" t="s">
        <v>20</v>
      </c>
      <c r="E955" s="21">
        <v>46204</v>
      </c>
      <c r="F955" s="21">
        <v>46568</v>
      </c>
      <c r="G955" s="21"/>
      <c r="H955" s="21">
        <v>46204</v>
      </c>
      <c r="I955" s="21">
        <v>46568</v>
      </c>
      <c r="J955" s="19" t="s">
        <v>2069</v>
      </c>
      <c r="L955" s="19">
        <v>198.7837815</v>
      </c>
      <c r="M955" s="19">
        <v>198.7837815</v>
      </c>
      <c r="N955" s="19" t="s">
        <v>1475</v>
      </c>
      <c r="O955" s="20">
        <v>6</v>
      </c>
      <c r="S955" s="19" t="s">
        <v>20</v>
      </c>
      <c r="T955" s="19" t="s">
        <v>1471</v>
      </c>
    </row>
    <row r="956" spans="1:20">
      <c r="A956" s="20">
        <v>202603329367113</v>
      </c>
      <c r="B956" s="19" t="s">
        <v>20</v>
      </c>
      <c r="C956" s="19" t="s">
        <v>21</v>
      </c>
      <c r="D956" s="19" t="s">
        <v>2259</v>
      </c>
      <c r="E956" s="21">
        <v>46204</v>
      </c>
      <c r="F956" s="21">
        <v>46568</v>
      </c>
      <c r="G956" s="21"/>
      <c r="H956" s="21">
        <v>46204</v>
      </c>
      <c r="I956" s="21">
        <v>46568</v>
      </c>
      <c r="J956" s="19" t="s">
        <v>2093</v>
      </c>
      <c r="L956" s="19">
        <v>115.10413699999999</v>
      </c>
      <c r="M956" s="19">
        <v>115.10413699999999</v>
      </c>
      <c r="N956" s="19" t="s">
        <v>1467</v>
      </c>
      <c r="O956" s="20">
        <v>4</v>
      </c>
      <c r="S956" s="19" t="s">
        <v>20</v>
      </c>
      <c r="T956" s="19" t="s">
        <v>1471</v>
      </c>
    </row>
    <row r="957" spans="1:20">
      <c r="A957" s="20">
        <v>202603329367848</v>
      </c>
      <c r="B957" s="19" t="s">
        <v>20</v>
      </c>
      <c r="C957" s="19" t="s">
        <v>21</v>
      </c>
      <c r="D957" s="19" t="s">
        <v>20</v>
      </c>
      <c r="E957" s="21">
        <v>46204</v>
      </c>
      <c r="F957" s="21">
        <v>46568</v>
      </c>
      <c r="G957" s="21"/>
      <c r="H957" s="21">
        <v>46204</v>
      </c>
      <c r="I957" s="21">
        <v>46568</v>
      </c>
      <c r="J957" s="19" t="s">
        <v>2064</v>
      </c>
      <c r="L957" s="19">
        <v>66.261260500000006</v>
      </c>
      <c r="M957" s="19">
        <v>66.261260500000006</v>
      </c>
      <c r="N957" s="19" t="s">
        <v>1475</v>
      </c>
      <c r="O957" s="20">
        <v>2</v>
      </c>
      <c r="S957" s="19" t="s">
        <v>20</v>
      </c>
      <c r="T957" s="19" t="s">
        <v>1471</v>
      </c>
    </row>
    <row r="958" spans="1:20">
      <c r="A958" s="20">
        <v>202603329368008</v>
      </c>
      <c r="B958" s="19" t="s">
        <v>20</v>
      </c>
      <c r="C958" s="19" t="s">
        <v>21</v>
      </c>
      <c r="D958" s="19" t="s">
        <v>20</v>
      </c>
      <c r="E958" s="21">
        <v>46204</v>
      </c>
      <c r="F958" s="21">
        <v>46568</v>
      </c>
      <c r="G958" s="21"/>
      <c r="H958" s="21">
        <v>46204</v>
      </c>
      <c r="I958" s="21">
        <v>46568</v>
      </c>
      <c r="J958" s="19" t="s">
        <v>2068</v>
      </c>
      <c r="L958" s="19">
        <v>0</v>
      </c>
      <c r="M958" s="19">
        <v>0</v>
      </c>
      <c r="N958" s="19" t="s">
        <v>2394</v>
      </c>
      <c r="O958" s="20">
        <v>6</v>
      </c>
      <c r="S958" s="19" t="s">
        <v>20</v>
      </c>
      <c r="T958" s="19" t="s">
        <v>1471</v>
      </c>
    </row>
    <row r="959" spans="1:20">
      <c r="A959" s="20">
        <v>202603329368008</v>
      </c>
      <c r="B959" s="19" t="s">
        <v>20</v>
      </c>
      <c r="C959" s="19" t="s">
        <v>21</v>
      </c>
      <c r="D959" s="19" t="s">
        <v>20</v>
      </c>
      <c r="E959" s="21">
        <v>46204</v>
      </c>
      <c r="F959" s="21">
        <v>46568</v>
      </c>
      <c r="G959" s="21"/>
      <c r="H959" s="21">
        <v>46204</v>
      </c>
      <c r="I959" s="21">
        <v>46568</v>
      </c>
      <c r="J959" s="19" t="s">
        <v>2068</v>
      </c>
      <c r="L959" s="19">
        <v>157.55210400000001</v>
      </c>
      <c r="M959" s="19">
        <v>157.55210400000001</v>
      </c>
      <c r="N959" s="19" t="s">
        <v>1475</v>
      </c>
      <c r="O959" s="20">
        <v>6</v>
      </c>
      <c r="S959" s="19" t="s">
        <v>20</v>
      </c>
      <c r="T959" s="19" t="s">
        <v>1471</v>
      </c>
    </row>
    <row r="960" spans="1:20">
      <c r="A960" s="20">
        <v>202603329368051</v>
      </c>
      <c r="B960" s="19" t="s">
        <v>20</v>
      </c>
      <c r="C960" s="19" t="s">
        <v>21</v>
      </c>
      <c r="D960" s="19" t="s">
        <v>20</v>
      </c>
      <c r="E960" s="21">
        <v>46204</v>
      </c>
      <c r="F960" s="21">
        <v>46568</v>
      </c>
      <c r="G960" s="21"/>
      <c r="H960" s="21">
        <v>46204</v>
      </c>
      <c r="I960" s="21">
        <v>46568</v>
      </c>
      <c r="J960" s="19" t="s">
        <v>2093</v>
      </c>
      <c r="L960" s="19">
        <v>0</v>
      </c>
      <c r="M960" s="19">
        <v>0</v>
      </c>
      <c r="N960" s="19" t="s">
        <v>2394</v>
      </c>
      <c r="O960" s="20">
        <v>5</v>
      </c>
      <c r="S960" s="19" t="s">
        <v>20</v>
      </c>
      <c r="T960" s="19" t="s">
        <v>1471</v>
      </c>
    </row>
    <row r="961" spans="1:20">
      <c r="A961" s="20">
        <v>202603329368051</v>
      </c>
      <c r="B961" s="19" t="s">
        <v>20</v>
      </c>
      <c r="C961" s="19" t="s">
        <v>21</v>
      </c>
      <c r="D961" s="19" t="s">
        <v>20</v>
      </c>
      <c r="E961" s="21">
        <v>46204</v>
      </c>
      <c r="F961" s="21">
        <v>46568</v>
      </c>
      <c r="G961" s="21"/>
      <c r="H961" s="21">
        <v>46204</v>
      </c>
      <c r="I961" s="21">
        <v>46568</v>
      </c>
      <c r="J961" s="19" t="s">
        <v>2093</v>
      </c>
      <c r="L961" s="19">
        <v>143.88017124999999</v>
      </c>
      <c r="M961" s="19">
        <v>143.88017124999999</v>
      </c>
      <c r="N961" s="19" t="s">
        <v>1475</v>
      </c>
      <c r="O961" s="20">
        <v>5</v>
      </c>
      <c r="S961" s="19" t="s">
        <v>20</v>
      </c>
      <c r="T961" s="19" t="s">
        <v>1471</v>
      </c>
    </row>
    <row r="962" spans="1:20">
      <c r="A962" s="20">
        <v>202603329368135</v>
      </c>
      <c r="B962" s="19" t="s">
        <v>20</v>
      </c>
      <c r="C962" s="19" t="s">
        <v>21</v>
      </c>
      <c r="D962" s="19" t="s">
        <v>20</v>
      </c>
      <c r="E962" s="21">
        <v>46204</v>
      </c>
      <c r="F962" s="21">
        <v>46568</v>
      </c>
      <c r="G962" s="21"/>
      <c r="H962" s="21">
        <v>46204</v>
      </c>
      <c r="I962" s="21">
        <v>46568</v>
      </c>
      <c r="J962" s="19" t="s">
        <v>2131</v>
      </c>
      <c r="L962" s="19">
        <v>38.659559000000002</v>
      </c>
      <c r="M962" s="19">
        <v>38.659559000000002</v>
      </c>
      <c r="N962" s="19" t="s">
        <v>1475</v>
      </c>
      <c r="O962" s="20">
        <v>1</v>
      </c>
      <c r="S962" s="19" t="s">
        <v>20</v>
      </c>
      <c r="T962" s="19" t="s">
        <v>1471</v>
      </c>
    </row>
    <row r="963" spans="1:20">
      <c r="A963" s="20">
        <v>202603329368334</v>
      </c>
      <c r="B963" s="19" t="s">
        <v>20</v>
      </c>
      <c r="C963" s="19" t="s">
        <v>21</v>
      </c>
      <c r="D963" s="19" t="s">
        <v>20</v>
      </c>
      <c r="E963" s="21">
        <v>46204</v>
      </c>
      <c r="F963" s="21">
        <v>46568</v>
      </c>
      <c r="G963" s="21"/>
      <c r="H963" s="21">
        <v>46204</v>
      </c>
      <c r="I963" s="21">
        <v>46568</v>
      </c>
      <c r="J963" s="19" t="s">
        <v>2086</v>
      </c>
      <c r="L963" s="19">
        <v>0</v>
      </c>
      <c r="M963" s="19">
        <v>0</v>
      </c>
      <c r="N963" s="19" t="s">
        <v>2394</v>
      </c>
      <c r="O963" s="20">
        <v>6</v>
      </c>
      <c r="S963" s="19" t="s">
        <v>20</v>
      </c>
      <c r="T963" s="19" t="s">
        <v>1471</v>
      </c>
    </row>
    <row r="964" spans="1:20">
      <c r="A964" s="20">
        <v>202603329368334</v>
      </c>
      <c r="B964" s="19" t="s">
        <v>20</v>
      </c>
      <c r="C964" s="19" t="s">
        <v>21</v>
      </c>
      <c r="D964" s="19" t="s">
        <v>20</v>
      </c>
      <c r="E964" s="21">
        <v>46204</v>
      </c>
      <c r="F964" s="21">
        <v>46568</v>
      </c>
      <c r="G964" s="21"/>
      <c r="H964" s="21">
        <v>46204</v>
      </c>
      <c r="I964" s="21">
        <v>46568</v>
      </c>
      <c r="J964" s="19" t="s">
        <v>2086</v>
      </c>
      <c r="L964" s="19">
        <v>198.7837815</v>
      </c>
      <c r="M964" s="19">
        <v>198.7837815</v>
      </c>
      <c r="N964" s="19" t="s">
        <v>1475</v>
      </c>
      <c r="O964" s="20">
        <v>6</v>
      </c>
      <c r="S964" s="19" t="s">
        <v>20</v>
      </c>
      <c r="T964" s="19" t="s">
        <v>1471</v>
      </c>
    </row>
    <row r="965" spans="1:20">
      <c r="A965" s="20">
        <v>202603329368583</v>
      </c>
      <c r="B965" s="19" t="s">
        <v>20</v>
      </c>
      <c r="C965" s="19" t="s">
        <v>21</v>
      </c>
      <c r="D965" s="19" t="s">
        <v>20</v>
      </c>
      <c r="E965" s="21">
        <v>46204</v>
      </c>
      <c r="F965" s="21">
        <v>46568</v>
      </c>
      <c r="G965" s="21"/>
      <c r="H965" s="21">
        <v>46204</v>
      </c>
      <c r="I965" s="21">
        <v>46568</v>
      </c>
      <c r="J965" s="19" t="s">
        <v>2129</v>
      </c>
      <c r="L965" s="19">
        <v>99.391890750000002</v>
      </c>
      <c r="M965" s="19">
        <v>99.391890750000002</v>
      </c>
      <c r="N965" s="19" t="s">
        <v>1475</v>
      </c>
      <c r="O965" s="20">
        <v>3</v>
      </c>
      <c r="S965" s="19" t="s">
        <v>20</v>
      </c>
      <c r="T965" s="19" t="s">
        <v>1471</v>
      </c>
    </row>
    <row r="966" spans="1:20">
      <c r="A966" s="20">
        <v>202603329369229</v>
      </c>
      <c r="B966" s="19" t="s">
        <v>20</v>
      </c>
      <c r="C966" s="19" t="s">
        <v>21</v>
      </c>
      <c r="D966" s="19" t="s">
        <v>20</v>
      </c>
      <c r="E966" s="21">
        <v>46204</v>
      </c>
      <c r="F966" s="21">
        <v>46568</v>
      </c>
      <c r="G966" s="21"/>
      <c r="H966" s="21">
        <v>46204</v>
      </c>
      <c r="I966" s="21">
        <v>46568</v>
      </c>
      <c r="J966" s="19" t="s">
        <v>2064</v>
      </c>
      <c r="L966" s="19">
        <v>132.52252100000001</v>
      </c>
      <c r="M966" s="19">
        <v>132.52252100000001</v>
      </c>
      <c r="N966" s="19" t="s">
        <v>1475</v>
      </c>
      <c r="O966" s="20">
        <v>4</v>
      </c>
      <c r="S966" s="19" t="s">
        <v>20</v>
      </c>
      <c r="T966" s="19" t="s">
        <v>1471</v>
      </c>
    </row>
    <row r="967" spans="1:20">
      <c r="A967" s="20">
        <v>202603329369548</v>
      </c>
      <c r="B967" s="19" t="s">
        <v>20</v>
      </c>
      <c r="C967" s="19" t="s">
        <v>21</v>
      </c>
      <c r="D967" s="19" t="s">
        <v>20</v>
      </c>
      <c r="E967" s="21">
        <v>46204</v>
      </c>
      <c r="F967" s="21">
        <v>46568</v>
      </c>
      <c r="G967" s="21"/>
      <c r="H967" s="21">
        <v>46204</v>
      </c>
      <c r="I967" s="21">
        <v>46568</v>
      </c>
      <c r="J967" s="19" t="s">
        <v>2093</v>
      </c>
      <c r="L967" s="19">
        <v>0</v>
      </c>
      <c r="M967" s="19">
        <v>0</v>
      </c>
      <c r="N967" s="19" t="s">
        <v>2394</v>
      </c>
      <c r="O967" s="20">
        <v>4</v>
      </c>
      <c r="S967" s="19" t="s">
        <v>20</v>
      </c>
      <c r="T967" s="19" t="s">
        <v>1471</v>
      </c>
    </row>
    <row r="968" spans="1:20">
      <c r="A968" s="20">
        <v>202603329369548</v>
      </c>
      <c r="B968" s="19" t="s">
        <v>20</v>
      </c>
      <c r="C968" s="19" t="s">
        <v>21</v>
      </c>
      <c r="D968" s="19" t="s">
        <v>20</v>
      </c>
      <c r="E968" s="21">
        <v>46204</v>
      </c>
      <c r="F968" s="21">
        <v>46568</v>
      </c>
      <c r="G968" s="21"/>
      <c r="H968" s="21">
        <v>46204</v>
      </c>
      <c r="I968" s="21">
        <v>46568</v>
      </c>
      <c r="J968" s="19" t="s">
        <v>2093</v>
      </c>
      <c r="L968" s="19">
        <v>115.10413699999999</v>
      </c>
      <c r="M968" s="19">
        <v>115.10413699999999</v>
      </c>
      <c r="N968" s="19" t="s">
        <v>1475</v>
      </c>
      <c r="O968" s="20">
        <v>4</v>
      </c>
      <c r="S968" s="19" t="s">
        <v>20</v>
      </c>
      <c r="T968" s="19" t="s">
        <v>1471</v>
      </c>
    </row>
    <row r="969" spans="1:20">
      <c r="A969" s="20">
        <v>202603329370052</v>
      </c>
      <c r="B969" s="19" t="s">
        <v>20</v>
      </c>
      <c r="C969" s="19" t="s">
        <v>21</v>
      </c>
      <c r="D969" s="19" t="s">
        <v>20</v>
      </c>
      <c r="E969" s="21">
        <v>46204</v>
      </c>
      <c r="F969" s="21">
        <v>46568</v>
      </c>
      <c r="G969" s="21"/>
      <c r="H969" s="21">
        <v>46204</v>
      </c>
      <c r="I969" s="21">
        <v>46568</v>
      </c>
      <c r="J969" s="19" t="s">
        <v>1465</v>
      </c>
      <c r="L969" s="19">
        <v>0</v>
      </c>
      <c r="M969" s="19">
        <v>0</v>
      </c>
      <c r="N969" s="19" t="s">
        <v>2394</v>
      </c>
      <c r="O969" s="20">
        <v>4</v>
      </c>
      <c r="S969" s="19" t="s">
        <v>20</v>
      </c>
      <c r="T969" s="19" t="s">
        <v>1471</v>
      </c>
    </row>
    <row r="970" spans="1:20">
      <c r="A970" s="20">
        <v>202603329370052</v>
      </c>
      <c r="B970" s="19" t="s">
        <v>20</v>
      </c>
      <c r="C970" s="19" t="s">
        <v>21</v>
      </c>
      <c r="D970" s="19" t="s">
        <v>2260</v>
      </c>
      <c r="E970" s="21">
        <v>46204</v>
      </c>
      <c r="F970" s="21">
        <v>46568</v>
      </c>
      <c r="G970" s="21"/>
      <c r="H970" s="21">
        <v>46204</v>
      </c>
      <c r="I970" s="21">
        <v>46568</v>
      </c>
      <c r="J970" s="19" t="s">
        <v>1465</v>
      </c>
      <c r="L970" s="19">
        <v>72.640328999999994</v>
      </c>
      <c r="M970" s="19">
        <v>72.640328999999994</v>
      </c>
      <c r="N970" s="19" t="s">
        <v>1467</v>
      </c>
      <c r="O970" s="20">
        <v>4</v>
      </c>
      <c r="S970" s="19" t="s">
        <v>20</v>
      </c>
      <c r="T970" s="19" t="s">
        <v>1471</v>
      </c>
    </row>
    <row r="971" spans="1:20">
      <c r="A971" s="20">
        <v>202603329370169</v>
      </c>
      <c r="B971" s="19" t="s">
        <v>20</v>
      </c>
      <c r="C971" s="19" t="s">
        <v>21</v>
      </c>
      <c r="D971" s="19" t="s">
        <v>20</v>
      </c>
      <c r="E971" s="21">
        <v>46204</v>
      </c>
      <c r="F971" s="21">
        <v>46568</v>
      </c>
      <c r="G971" s="21"/>
      <c r="H971" s="21">
        <v>46204</v>
      </c>
      <c r="I971" s="21">
        <v>46568</v>
      </c>
      <c r="J971" s="19" t="s">
        <v>2064</v>
      </c>
      <c r="L971" s="19">
        <v>33.130630250000003</v>
      </c>
      <c r="M971" s="19">
        <v>33.130630250000003</v>
      </c>
      <c r="N971" s="19" t="s">
        <v>1475</v>
      </c>
      <c r="O971" s="20">
        <v>1</v>
      </c>
      <c r="S971" s="19" t="s">
        <v>20</v>
      </c>
      <c r="T971" s="19" t="s">
        <v>1471</v>
      </c>
    </row>
    <row r="972" spans="1:20">
      <c r="A972" s="20">
        <v>202603329370311</v>
      </c>
      <c r="B972" s="19" t="s">
        <v>20</v>
      </c>
      <c r="C972" s="19" t="s">
        <v>21</v>
      </c>
      <c r="D972" s="19" t="s">
        <v>20</v>
      </c>
      <c r="E972" s="21">
        <v>46204</v>
      </c>
      <c r="F972" s="21">
        <v>46568</v>
      </c>
      <c r="G972" s="21"/>
      <c r="H972" s="21">
        <v>46204</v>
      </c>
      <c r="I972" s="21">
        <v>46568</v>
      </c>
      <c r="J972" s="19" t="s">
        <v>2155</v>
      </c>
      <c r="L972" s="19">
        <v>0</v>
      </c>
      <c r="M972" s="19">
        <v>0</v>
      </c>
      <c r="N972" s="19" t="s">
        <v>2394</v>
      </c>
      <c r="O972" s="20">
        <v>6</v>
      </c>
      <c r="S972" s="19" t="s">
        <v>20</v>
      </c>
      <c r="T972" s="19" t="s">
        <v>1471</v>
      </c>
    </row>
    <row r="973" spans="1:20">
      <c r="A973" s="20">
        <v>202603329370311</v>
      </c>
      <c r="B973" s="19" t="s">
        <v>20</v>
      </c>
      <c r="C973" s="19" t="s">
        <v>21</v>
      </c>
      <c r="D973" s="19" t="s">
        <v>20</v>
      </c>
      <c r="E973" s="21">
        <v>46204</v>
      </c>
      <c r="F973" s="21">
        <v>46568</v>
      </c>
      <c r="G973" s="21"/>
      <c r="H973" s="21">
        <v>46204</v>
      </c>
      <c r="I973" s="21">
        <v>46568</v>
      </c>
      <c r="J973" s="19" t="s">
        <v>2155</v>
      </c>
      <c r="L973" s="19">
        <v>198.7837815</v>
      </c>
      <c r="M973" s="19">
        <v>198.7837815</v>
      </c>
      <c r="N973" s="19" t="s">
        <v>1475</v>
      </c>
      <c r="O973" s="20">
        <v>6</v>
      </c>
      <c r="S973" s="19" t="s">
        <v>20</v>
      </c>
      <c r="T973" s="19" t="s">
        <v>1471</v>
      </c>
    </row>
    <row r="974" spans="1:20">
      <c r="A974" s="20">
        <v>202603329370492</v>
      </c>
      <c r="B974" s="19" t="s">
        <v>20</v>
      </c>
      <c r="C974" s="19" t="s">
        <v>21</v>
      </c>
      <c r="D974" s="19" t="s">
        <v>20</v>
      </c>
      <c r="E974" s="21">
        <v>46204</v>
      </c>
      <c r="F974" s="21">
        <v>46568</v>
      </c>
      <c r="G974" s="21"/>
      <c r="H974" s="21">
        <v>46204</v>
      </c>
      <c r="I974" s="21">
        <v>46568</v>
      </c>
      <c r="J974" s="19" t="s">
        <v>2093</v>
      </c>
      <c r="L974" s="19">
        <v>28.776034249999999</v>
      </c>
      <c r="M974" s="19">
        <v>28.776034249999999</v>
      </c>
      <c r="N974" s="19" t="s">
        <v>1475</v>
      </c>
      <c r="O974" s="20">
        <v>1</v>
      </c>
      <c r="S974" s="19" t="s">
        <v>20</v>
      </c>
      <c r="T974" s="19" t="s">
        <v>1471</v>
      </c>
    </row>
    <row r="975" spans="1:20">
      <c r="A975" s="20">
        <v>202603329370585</v>
      </c>
      <c r="B975" s="19" t="s">
        <v>20</v>
      </c>
      <c r="C975" s="19" t="s">
        <v>21</v>
      </c>
      <c r="D975" s="19" t="s">
        <v>20</v>
      </c>
      <c r="E975" s="21">
        <v>46204</v>
      </c>
      <c r="F975" s="21">
        <v>46568</v>
      </c>
      <c r="G975" s="21"/>
      <c r="H975" s="21">
        <v>46204</v>
      </c>
      <c r="I975" s="21">
        <v>46568</v>
      </c>
      <c r="J975" s="19" t="s">
        <v>2146</v>
      </c>
      <c r="L975" s="19">
        <v>23.968290750000001</v>
      </c>
      <c r="M975" s="19">
        <v>23.968290750000001</v>
      </c>
      <c r="N975" s="19" t="s">
        <v>1475</v>
      </c>
      <c r="O975" s="20">
        <v>1</v>
      </c>
      <c r="S975" s="19" t="s">
        <v>20</v>
      </c>
      <c r="T975" s="19" t="s">
        <v>1471</v>
      </c>
    </row>
    <row r="976" spans="1:20">
      <c r="A976" s="20">
        <v>202603329371002</v>
      </c>
      <c r="B976" s="19" t="s">
        <v>20</v>
      </c>
      <c r="C976" s="19" t="s">
        <v>21</v>
      </c>
      <c r="D976" s="19" t="s">
        <v>20</v>
      </c>
      <c r="E976" s="21">
        <v>46204</v>
      </c>
      <c r="F976" s="21">
        <v>46568</v>
      </c>
      <c r="G976" s="21"/>
      <c r="H976" s="21">
        <v>46204</v>
      </c>
      <c r="I976" s="21">
        <v>46568</v>
      </c>
      <c r="J976" s="19" t="s">
        <v>2064</v>
      </c>
      <c r="L976" s="19">
        <v>0</v>
      </c>
      <c r="M976" s="19">
        <v>0</v>
      </c>
      <c r="N976" s="19" t="s">
        <v>2394</v>
      </c>
      <c r="O976" s="20">
        <v>2</v>
      </c>
      <c r="S976" s="19" t="s">
        <v>20</v>
      </c>
      <c r="T976" s="19" t="s">
        <v>1471</v>
      </c>
    </row>
    <row r="977" spans="1:20">
      <c r="A977" s="20">
        <v>202603329371002</v>
      </c>
      <c r="B977" s="19" t="s">
        <v>20</v>
      </c>
      <c r="C977" s="19" t="s">
        <v>21</v>
      </c>
      <c r="D977" s="19" t="s">
        <v>20</v>
      </c>
      <c r="E977" s="21">
        <v>46204</v>
      </c>
      <c r="F977" s="21">
        <v>46568</v>
      </c>
      <c r="G977" s="21"/>
      <c r="H977" s="21">
        <v>46204</v>
      </c>
      <c r="I977" s="21">
        <v>46568</v>
      </c>
      <c r="J977" s="19" t="s">
        <v>2064</v>
      </c>
      <c r="L977" s="19">
        <v>66.261260500000006</v>
      </c>
      <c r="M977" s="19">
        <v>66.261260500000006</v>
      </c>
      <c r="N977" s="19" t="s">
        <v>1475</v>
      </c>
      <c r="O977" s="20">
        <v>2</v>
      </c>
      <c r="S977" s="19" t="s">
        <v>20</v>
      </c>
      <c r="T977" s="19" t="s">
        <v>1471</v>
      </c>
    </row>
    <row r="978" spans="1:20">
      <c r="A978" s="20">
        <v>202603329371070</v>
      </c>
      <c r="B978" s="19" t="s">
        <v>20</v>
      </c>
      <c r="C978" s="19" t="s">
        <v>21</v>
      </c>
      <c r="D978" s="19" t="s">
        <v>20</v>
      </c>
      <c r="E978" s="21">
        <v>46204</v>
      </c>
      <c r="F978" s="21">
        <v>46568</v>
      </c>
      <c r="G978" s="21"/>
      <c r="H978" s="21">
        <v>46204</v>
      </c>
      <c r="I978" s="21">
        <v>46568</v>
      </c>
      <c r="J978" s="19" t="s">
        <v>2064</v>
      </c>
      <c r="L978" s="19">
        <v>66.261260500000006</v>
      </c>
      <c r="M978" s="19">
        <v>66.261260500000006</v>
      </c>
      <c r="N978" s="19" t="s">
        <v>1475</v>
      </c>
      <c r="O978" s="20">
        <v>2</v>
      </c>
      <c r="S978" s="19" t="s">
        <v>20</v>
      </c>
      <c r="T978" s="19" t="s">
        <v>1471</v>
      </c>
    </row>
    <row r="979" spans="1:20">
      <c r="A979" s="20">
        <v>202603329371612</v>
      </c>
      <c r="B979" s="19" t="s">
        <v>20</v>
      </c>
      <c r="C979" s="19" t="s">
        <v>21</v>
      </c>
      <c r="D979" s="19" t="s">
        <v>20</v>
      </c>
      <c r="E979" s="21">
        <v>46204</v>
      </c>
      <c r="F979" s="21">
        <v>46568</v>
      </c>
      <c r="G979" s="21"/>
      <c r="H979" s="21">
        <v>46204</v>
      </c>
      <c r="I979" s="21">
        <v>46568</v>
      </c>
      <c r="J979" s="19" t="s">
        <v>2261</v>
      </c>
      <c r="L979" s="19">
        <v>12.743409249999999</v>
      </c>
      <c r="M979" s="19">
        <v>12.743409249999999</v>
      </c>
      <c r="N979" s="19" t="s">
        <v>1475</v>
      </c>
      <c r="O979" s="20">
        <v>1</v>
      </c>
      <c r="S979" s="19" t="s">
        <v>20</v>
      </c>
      <c r="T979" s="19" t="s">
        <v>1471</v>
      </c>
    </row>
    <row r="980" spans="1:20">
      <c r="A980" s="20">
        <v>202603329374638</v>
      </c>
      <c r="B980" s="19" t="s">
        <v>20</v>
      </c>
      <c r="C980" s="19" t="s">
        <v>21</v>
      </c>
      <c r="D980" s="19" t="s">
        <v>20</v>
      </c>
      <c r="E980" s="21">
        <v>46204</v>
      </c>
      <c r="F980" s="21">
        <v>46568</v>
      </c>
      <c r="G980" s="21"/>
      <c r="H980" s="21">
        <v>46204</v>
      </c>
      <c r="I980" s="21">
        <v>46568</v>
      </c>
      <c r="J980" s="19" t="s">
        <v>2111</v>
      </c>
      <c r="L980" s="19">
        <v>0</v>
      </c>
      <c r="M980" s="19">
        <v>0</v>
      </c>
      <c r="N980" s="19" t="s">
        <v>2394</v>
      </c>
      <c r="O980" s="20">
        <v>4</v>
      </c>
      <c r="S980" s="19" t="s">
        <v>20</v>
      </c>
      <c r="T980" s="19" t="s">
        <v>1471</v>
      </c>
    </row>
    <row r="981" spans="1:20">
      <c r="A981" s="20">
        <v>202603329374638</v>
      </c>
      <c r="B981" s="19" t="s">
        <v>20</v>
      </c>
      <c r="C981" s="19" t="s">
        <v>21</v>
      </c>
      <c r="D981" s="19" t="s">
        <v>20</v>
      </c>
      <c r="E981" s="21">
        <v>46204</v>
      </c>
      <c r="F981" s="21">
        <v>46568</v>
      </c>
      <c r="G981" s="21"/>
      <c r="H981" s="21">
        <v>46204</v>
      </c>
      <c r="I981" s="21">
        <v>46568</v>
      </c>
      <c r="J981" s="19" t="s">
        <v>2111</v>
      </c>
      <c r="L981" s="19">
        <v>132.52252100000001</v>
      </c>
      <c r="M981" s="19">
        <v>132.52252100000001</v>
      </c>
      <c r="N981" s="19" t="s">
        <v>1475</v>
      </c>
      <c r="O981" s="20">
        <v>4</v>
      </c>
      <c r="S981" s="19" t="s">
        <v>20</v>
      </c>
      <c r="T981" s="19" t="s">
        <v>1471</v>
      </c>
    </row>
    <row r="982" spans="1:20">
      <c r="A982" s="20">
        <v>202603329375409</v>
      </c>
      <c r="B982" s="19" t="s">
        <v>20</v>
      </c>
      <c r="C982" s="19" t="s">
        <v>21</v>
      </c>
      <c r="D982" s="19" t="s">
        <v>20</v>
      </c>
      <c r="E982" s="21">
        <v>46204</v>
      </c>
      <c r="F982" s="21">
        <v>46568</v>
      </c>
      <c r="G982" s="21"/>
      <c r="H982" s="21">
        <v>46204</v>
      </c>
      <c r="I982" s="21">
        <v>46568</v>
      </c>
      <c r="J982" s="19" t="s">
        <v>2085</v>
      </c>
      <c r="L982" s="19">
        <v>0</v>
      </c>
      <c r="M982" s="19">
        <v>0</v>
      </c>
      <c r="N982" s="19" t="s">
        <v>2394</v>
      </c>
      <c r="O982" s="20">
        <v>6</v>
      </c>
      <c r="S982" s="19" t="s">
        <v>20</v>
      </c>
      <c r="T982" s="19" t="s">
        <v>1471</v>
      </c>
    </row>
    <row r="983" spans="1:20">
      <c r="A983" s="20">
        <v>202603329375409</v>
      </c>
      <c r="B983" s="19" t="s">
        <v>20</v>
      </c>
      <c r="C983" s="19" t="s">
        <v>21</v>
      </c>
      <c r="D983" s="19" t="s">
        <v>20</v>
      </c>
      <c r="E983" s="21">
        <v>46204</v>
      </c>
      <c r="F983" s="21">
        <v>46568</v>
      </c>
      <c r="G983" s="21"/>
      <c r="H983" s="21">
        <v>46204</v>
      </c>
      <c r="I983" s="21">
        <v>46568</v>
      </c>
      <c r="J983" s="19" t="s">
        <v>2085</v>
      </c>
      <c r="L983" s="19">
        <v>147.724041</v>
      </c>
      <c r="M983" s="19">
        <v>147.724041</v>
      </c>
      <c r="N983" s="19" t="s">
        <v>1475</v>
      </c>
      <c r="O983" s="20">
        <v>6</v>
      </c>
      <c r="S983" s="19" t="s">
        <v>20</v>
      </c>
      <c r="T983" s="19" t="s">
        <v>1471</v>
      </c>
    </row>
    <row r="984" spans="1:20">
      <c r="A984" s="20">
        <v>202603329376107</v>
      </c>
      <c r="B984" s="19" t="s">
        <v>20</v>
      </c>
      <c r="C984" s="19" t="s">
        <v>21</v>
      </c>
      <c r="D984" s="19" t="s">
        <v>20</v>
      </c>
      <c r="E984" s="21">
        <v>46204</v>
      </c>
      <c r="F984" s="21">
        <v>46568</v>
      </c>
      <c r="G984" s="21"/>
      <c r="H984" s="21">
        <v>46204</v>
      </c>
      <c r="I984" s="21">
        <v>46568</v>
      </c>
      <c r="J984" s="19" t="s">
        <v>2104</v>
      </c>
      <c r="L984" s="19">
        <v>99.391890750000002</v>
      </c>
      <c r="M984" s="19">
        <v>99.391890750000002</v>
      </c>
      <c r="N984" s="19" t="s">
        <v>1475</v>
      </c>
      <c r="O984" s="20">
        <v>3</v>
      </c>
      <c r="S984" s="19" t="s">
        <v>20</v>
      </c>
      <c r="T984" s="19" t="s">
        <v>1471</v>
      </c>
    </row>
    <row r="985" spans="1:20">
      <c r="A985" s="20">
        <v>202603329376719</v>
      </c>
      <c r="B985" s="19" t="s">
        <v>20</v>
      </c>
      <c r="C985" s="19" t="s">
        <v>21</v>
      </c>
      <c r="D985" s="19" t="s">
        <v>20</v>
      </c>
      <c r="E985" s="21">
        <v>46204</v>
      </c>
      <c r="F985" s="21">
        <v>46568</v>
      </c>
      <c r="G985" s="21"/>
      <c r="H985" s="21">
        <v>46204</v>
      </c>
      <c r="I985" s="21">
        <v>46568</v>
      </c>
      <c r="J985" s="19" t="s">
        <v>2262</v>
      </c>
      <c r="L985" s="19">
        <v>0</v>
      </c>
      <c r="M985" s="19">
        <v>0</v>
      </c>
      <c r="N985" s="19" t="s">
        <v>2394</v>
      </c>
      <c r="O985" s="20">
        <v>2</v>
      </c>
      <c r="S985" s="19" t="s">
        <v>20</v>
      </c>
      <c r="T985" s="19" t="s">
        <v>1471</v>
      </c>
    </row>
    <row r="986" spans="1:20">
      <c r="A986" s="20">
        <v>202603329376719</v>
      </c>
      <c r="B986" s="19" t="s">
        <v>20</v>
      </c>
      <c r="C986" s="19" t="s">
        <v>21</v>
      </c>
      <c r="D986" s="19" t="s">
        <v>2263</v>
      </c>
      <c r="E986" s="21">
        <v>46204</v>
      </c>
      <c r="F986" s="21">
        <v>46568</v>
      </c>
      <c r="G986" s="21"/>
      <c r="H986" s="21">
        <v>46204</v>
      </c>
      <c r="I986" s="21">
        <v>46568</v>
      </c>
      <c r="J986" s="19" t="s">
        <v>2262</v>
      </c>
      <c r="L986" s="19">
        <v>8.1224179999999997</v>
      </c>
      <c r="M986" s="19">
        <v>8.1224179999999997</v>
      </c>
      <c r="N986" s="19" t="s">
        <v>1467</v>
      </c>
      <c r="O986" s="20">
        <v>2</v>
      </c>
      <c r="S986" s="19" t="s">
        <v>20</v>
      </c>
      <c r="T986" s="19" t="s">
        <v>1471</v>
      </c>
    </row>
    <row r="987" spans="1:20">
      <c r="A987" s="20">
        <v>202603329377348</v>
      </c>
      <c r="B987" s="19" t="s">
        <v>20</v>
      </c>
      <c r="C987" s="19" t="s">
        <v>21</v>
      </c>
      <c r="D987" s="19" t="s">
        <v>20</v>
      </c>
      <c r="E987" s="21">
        <v>46204</v>
      </c>
      <c r="F987" s="21">
        <v>46568</v>
      </c>
      <c r="G987" s="21"/>
      <c r="H987" s="21">
        <v>46204</v>
      </c>
      <c r="I987" s="21">
        <v>46568</v>
      </c>
      <c r="J987" s="19" t="s">
        <v>2086</v>
      </c>
      <c r="L987" s="19">
        <v>0</v>
      </c>
      <c r="M987" s="19">
        <v>0</v>
      </c>
      <c r="N987" s="19" t="s">
        <v>2394</v>
      </c>
      <c r="O987" s="20">
        <v>5</v>
      </c>
      <c r="S987" s="19" t="s">
        <v>20</v>
      </c>
      <c r="T987" s="19" t="s">
        <v>1471</v>
      </c>
    </row>
    <row r="988" spans="1:20">
      <c r="A988" s="20">
        <v>202603329377348</v>
      </c>
      <c r="B988" s="19" t="s">
        <v>20</v>
      </c>
      <c r="C988" s="19" t="s">
        <v>21</v>
      </c>
      <c r="D988" s="19" t="s">
        <v>2264</v>
      </c>
      <c r="E988" s="21">
        <v>46204</v>
      </c>
      <c r="F988" s="21">
        <v>46568</v>
      </c>
      <c r="G988" s="21"/>
      <c r="H988" s="21">
        <v>46204</v>
      </c>
      <c r="I988" s="21">
        <v>46568</v>
      </c>
      <c r="J988" s="19" t="s">
        <v>2086</v>
      </c>
      <c r="L988" s="19">
        <v>165.65315125000001</v>
      </c>
      <c r="M988" s="19">
        <v>165.65315125000001</v>
      </c>
      <c r="N988" s="19" t="s">
        <v>1467</v>
      </c>
      <c r="O988" s="20">
        <v>5</v>
      </c>
      <c r="S988" s="19" t="s">
        <v>20</v>
      </c>
      <c r="T988" s="19" t="s">
        <v>1471</v>
      </c>
    </row>
    <row r="989" spans="1:20">
      <c r="A989" s="20">
        <v>202603329380661</v>
      </c>
      <c r="B989" s="19" t="s">
        <v>20</v>
      </c>
      <c r="C989" s="19" t="s">
        <v>21</v>
      </c>
      <c r="D989" s="19" t="s">
        <v>20</v>
      </c>
      <c r="E989" s="21">
        <v>46204</v>
      </c>
      <c r="F989" s="21">
        <v>46568</v>
      </c>
      <c r="G989" s="21"/>
      <c r="H989" s="21">
        <v>46204</v>
      </c>
      <c r="I989" s="21">
        <v>46568</v>
      </c>
      <c r="J989" s="19" t="s">
        <v>2064</v>
      </c>
      <c r="L989" s="19">
        <v>0</v>
      </c>
      <c r="M989" s="19">
        <v>0</v>
      </c>
      <c r="N989" s="19" t="s">
        <v>2394</v>
      </c>
      <c r="O989" s="20">
        <v>2</v>
      </c>
      <c r="S989" s="19" t="s">
        <v>20</v>
      </c>
      <c r="T989" s="19" t="s">
        <v>1471</v>
      </c>
    </row>
    <row r="990" spans="1:20">
      <c r="A990" s="20">
        <v>202603329380661</v>
      </c>
      <c r="B990" s="19" t="s">
        <v>20</v>
      </c>
      <c r="C990" s="19" t="s">
        <v>21</v>
      </c>
      <c r="D990" s="19" t="s">
        <v>20</v>
      </c>
      <c r="E990" s="21">
        <v>46204</v>
      </c>
      <c r="F990" s="21">
        <v>46568</v>
      </c>
      <c r="G990" s="21"/>
      <c r="H990" s="21">
        <v>46204</v>
      </c>
      <c r="I990" s="21">
        <v>46568</v>
      </c>
      <c r="J990" s="19" t="s">
        <v>2064</v>
      </c>
      <c r="L990" s="19">
        <v>66.261260500000006</v>
      </c>
      <c r="M990" s="19">
        <v>66.261260500000006</v>
      </c>
      <c r="N990" s="19" t="s">
        <v>1475</v>
      </c>
      <c r="O990" s="20">
        <v>2</v>
      </c>
      <c r="S990" s="19" t="s">
        <v>20</v>
      </c>
      <c r="T990" s="19" t="s">
        <v>1471</v>
      </c>
    </row>
    <row r="991" spans="1:20">
      <c r="A991" s="20">
        <v>202603329381342</v>
      </c>
      <c r="B991" s="19" t="s">
        <v>20</v>
      </c>
      <c r="C991" s="19" t="s">
        <v>21</v>
      </c>
      <c r="D991" s="19" t="s">
        <v>20</v>
      </c>
      <c r="E991" s="21">
        <v>46204</v>
      </c>
      <c r="F991" s="21">
        <v>46568</v>
      </c>
      <c r="G991" s="21"/>
      <c r="H991" s="21">
        <v>46204</v>
      </c>
      <c r="I991" s="21">
        <v>46568</v>
      </c>
      <c r="J991" s="19" t="s">
        <v>2068</v>
      </c>
      <c r="L991" s="19">
        <v>0</v>
      </c>
      <c r="M991" s="19">
        <v>0</v>
      </c>
      <c r="N991" s="19" t="s">
        <v>2394</v>
      </c>
      <c r="O991" s="20">
        <v>3</v>
      </c>
      <c r="S991" s="19" t="s">
        <v>20</v>
      </c>
      <c r="T991" s="19" t="s">
        <v>1471</v>
      </c>
    </row>
    <row r="992" spans="1:20">
      <c r="A992" s="20">
        <v>202603329381342</v>
      </c>
      <c r="B992" s="19" t="s">
        <v>20</v>
      </c>
      <c r="C992" s="19" t="s">
        <v>21</v>
      </c>
      <c r="D992" s="19" t="s">
        <v>20</v>
      </c>
      <c r="E992" s="21">
        <v>46204</v>
      </c>
      <c r="F992" s="21">
        <v>46568</v>
      </c>
      <c r="G992" s="21"/>
      <c r="H992" s="21">
        <v>46204</v>
      </c>
      <c r="I992" s="21">
        <v>46568</v>
      </c>
      <c r="J992" s="19" t="s">
        <v>2068</v>
      </c>
      <c r="L992" s="19">
        <v>78.776052000000007</v>
      </c>
      <c r="M992" s="19">
        <v>78.776052000000007</v>
      </c>
      <c r="N992" s="19" t="s">
        <v>1475</v>
      </c>
      <c r="O992" s="20">
        <v>3</v>
      </c>
      <c r="S992" s="19" t="s">
        <v>20</v>
      </c>
      <c r="T992" s="19" t="s">
        <v>1471</v>
      </c>
    </row>
    <row r="993" spans="1:20">
      <c r="A993" s="20">
        <v>202603329381893</v>
      </c>
      <c r="B993" s="19" t="s">
        <v>20</v>
      </c>
      <c r="C993" s="19" t="s">
        <v>21</v>
      </c>
      <c r="D993" s="19" t="s">
        <v>20</v>
      </c>
      <c r="E993" s="21">
        <v>46204</v>
      </c>
      <c r="F993" s="21">
        <v>46568</v>
      </c>
      <c r="G993" s="21"/>
      <c r="H993" s="21">
        <v>46204</v>
      </c>
      <c r="I993" s="21">
        <v>46568</v>
      </c>
      <c r="J993" s="19" t="s">
        <v>2068</v>
      </c>
      <c r="L993" s="19">
        <v>78.776052000000007</v>
      </c>
      <c r="M993" s="19">
        <v>78.776052000000007</v>
      </c>
      <c r="N993" s="19" t="s">
        <v>1475</v>
      </c>
      <c r="O993" s="20">
        <v>3</v>
      </c>
      <c r="S993" s="19" t="s">
        <v>20</v>
      </c>
      <c r="T993" s="19" t="s">
        <v>1471</v>
      </c>
    </row>
    <row r="994" spans="1:20">
      <c r="A994" s="20">
        <v>202603329382776</v>
      </c>
      <c r="B994" s="19" t="s">
        <v>20</v>
      </c>
      <c r="C994" s="19" t="s">
        <v>21</v>
      </c>
      <c r="D994" s="19" t="s">
        <v>20</v>
      </c>
      <c r="E994" s="21">
        <v>46204</v>
      </c>
      <c r="F994" s="21">
        <v>46568</v>
      </c>
      <c r="G994" s="21"/>
      <c r="H994" s="21">
        <v>46204</v>
      </c>
      <c r="I994" s="21">
        <v>46568</v>
      </c>
      <c r="J994" s="19" t="s">
        <v>2104</v>
      </c>
      <c r="L994" s="19">
        <v>33.130630250000003</v>
      </c>
      <c r="M994" s="19">
        <v>33.130630250000003</v>
      </c>
      <c r="N994" s="19" t="s">
        <v>1475</v>
      </c>
      <c r="O994" s="20">
        <v>1</v>
      </c>
      <c r="S994" s="19" t="s">
        <v>20</v>
      </c>
      <c r="T994" s="19" t="s">
        <v>1471</v>
      </c>
    </row>
    <row r="995" spans="1:20">
      <c r="A995" s="20">
        <v>202603329384343</v>
      </c>
      <c r="B995" s="19" t="s">
        <v>20</v>
      </c>
      <c r="C995" s="19" t="s">
        <v>21</v>
      </c>
      <c r="D995" s="19" t="s">
        <v>20</v>
      </c>
      <c r="E995" s="21">
        <v>46204</v>
      </c>
      <c r="F995" s="21">
        <v>46568</v>
      </c>
      <c r="G995" s="21"/>
      <c r="H995" s="21">
        <v>46204</v>
      </c>
      <c r="I995" s="21">
        <v>46568</v>
      </c>
      <c r="J995" s="19" t="s">
        <v>2068</v>
      </c>
      <c r="L995" s="19">
        <v>0</v>
      </c>
      <c r="M995" s="19">
        <v>0</v>
      </c>
      <c r="N995" s="19" t="s">
        <v>2394</v>
      </c>
      <c r="O995" s="20">
        <v>3</v>
      </c>
      <c r="S995" s="19" t="s">
        <v>20</v>
      </c>
      <c r="T995" s="19" t="s">
        <v>1471</v>
      </c>
    </row>
    <row r="996" spans="1:20">
      <c r="A996" s="20">
        <v>202603329384343</v>
      </c>
      <c r="B996" s="19" t="s">
        <v>20</v>
      </c>
      <c r="C996" s="19" t="s">
        <v>21</v>
      </c>
      <c r="D996" s="19" t="s">
        <v>20</v>
      </c>
      <c r="E996" s="21">
        <v>46204</v>
      </c>
      <c r="F996" s="21">
        <v>46568</v>
      </c>
      <c r="G996" s="21"/>
      <c r="H996" s="21">
        <v>46204</v>
      </c>
      <c r="I996" s="21">
        <v>46568</v>
      </c>
      <c r="J996" s="19" t="s">
        <v>2068</v>
      </c>
      <c r="L996" s="19">
        <v>78.776052000000007</v>
      </c>
      <c r="M996" s="19">
        <v>78.776052000000007</v>
      </c>
      <c r="N996" s="19" t="s">
        <v>1475</v>
      </c>
      <c r="O996" s="20">
        <v>3</v>
      </c>
      <c r="S996" s="19" t="s">
        <v>20</v>
      </c>
      <c r="T996" s="19" t="s">
        <v>1471</v>
      </c>
    </row>
    <row r="997" spans="1:20">
      <c r="A997" s="20">
        <v>202603329384969</v>
      </c>
      <c r="B997" s="19" t="s">
        <v>20</v>
      </c>
      <c r="C997" s="19" t="s">
        <v>21</v>
      </c>
      <c r="D997" s="19" t="s">
        <v>20</v>
      </c>
      <c r="E997" s="21">
        <v>46204</v>
      </c>
      <c r="F997" s="21">
        <v>46568</v>
      </c>
      <c r="G997" s="21"/>
      <c r="H997" s="21">
        <v>46204</v>
      </c>
      <c r="I997" s="21">
        <v>46568</v>
      </c>
      <c r="J997" s="19" t="s">
        <v>2064</v>
      </c>
      <c r="L997" s="19">
        <v>33.130630250000003</v>
      </c>
      <c r="M997" s="19">
        <v>33.130630250000003</v>
      </c>
      <c r="N997" s="19" t="s">
        <v>1475</v>
      </c>
      <c r="O997" s="20">
        <v>1</v>
      </c>
      <c r="S997" s="19" t="s">
        <v>20</v>
      </c>
      <c r="T997" s="19" t="s">
        <v>1471</v>
      </c>
    </row>
    <row r="998" spans="1:20">
      <c r="A998" s="20">
        <v>202603329385989</v>
      </c>
      <c r="B998" s="19" t="s">
        <v>20</v>
      </c>
      <c r="C998" s="19" t="s">
        <v>21</v>
      </c>
      <c r="D998" s="19" t="s">
        <v>20</v>
      </c>
      <c r="E998" s="21">
        <v>46204</v>
      </c>
      <c r="F998" s="21">
        <v>46568</v>
      </c>
      <c r="G998" s="21"/>
      <c r="H998" s="21">
        <v>46204</v>
      </c>
      <c r="I998" s="21">
        <v>46568</v>
      </c>
      <c r="J998" s="19" t="s">
        <v>2068</v>
      </c>
      <c r="L998" s="19">
        <v>0</v>
      </c>
      <c r="M998" s="19">
        <v>0</v>
      </c>
      <c r="N998" s="19" t="s">
        <v>2394</v>
      </c>
      <c r="O998" s="20">
        <v>3</v>
      </c>
      <c r="S998" s="19" t="s">
        <v>20</v>
      </c>
      <c r="T998" s="19" t="s">
        <v>1471</v>
      </c>
    </row>
    <row r="999" spans="1:20">
      <c r="A999" s="20">
        <v>202603329385989</v>
      </c>
      <c r="B999" s="19" t="s">
        <v>20</v>
      </c>
      <c r="C999" s="19" t="s">
        <v>21</v>
      </c>
      <c r="D999" s="19" t="s">
        <v>20</v>
      </c>
      <c r="E999" s="21">
        <v>46204</v>
      </c>
      <c r="F999" s="21">
        <v>46568</v>
      </c>
      <c r="G999" s="21"/>
      <c r="H999" s="21">
        <v>46204</v>
      </c>
      <c r="I999" s="21">
        <v>46568</v>
      </c>
      <c r="J999" s="19" t="s">
        <v>2068</v>
      </c>
      <c r="L999" s="19">
        <v>78.776052000000007</v>
      </c>
      <c r="M999" s="19">
        <v>78.776052000000007</v>
      </c>
      <c r="N999" s="19" t="s">
        <v>1475</v>
      </c>
      <c r="O999" s="20">
        <v>3</v>
      </c>
      <c r="S999" s="19" t="s">
        <v>20</v>
      </c>
      <c r="T999" s="19" t="s">
        <v>1471</v>
      </c>
    </row>
    <row r="1000" spans="1:20">
      <c r="A1000" s="20">
        <v>202603329386236</v>
      </c>
      <c r="B1000" s="19" t="s">
        <v>20</v>
      </c>
      <c r="C1000" s="19" t="s">
        <v>21</v>
      </c>
      <c r="D1000" s="19" t="s">
        <v>20</v>
      </c>
      <c r="E1000" s="21">
        <v>46204</v>
      </c>
      <c r="F1000" s="21">
        <v>46568</v>
      </c>
      <c r="G1000" s="21"/>
      <c r="H1000" s="21">
        <v>46204</v>
      </c>
      <c r="I1000" s="21">
        <v>46568</v>
      </c>
      <c r="J1000" s="19" t="s">
        <v>2068</v>
      </c>
      <c r="L1000" s="19">
        <v>0</v>
      </c>
      <c r="M1000" s="19">
        <v>0</v>
      </c>
      <c r="N1000" s="19" t="s">
        <v>2394</v>
      </c>
      <c r="O1000" s="20">
        <v>4</v>
      </c>
      <c r="S1000" s="19" t="s">
        <v>20</v>
      </c>
      <c r="T1000" s="19" t="s">
        <v>1471</v>
      </c>
    </row>
    <row r="1001" spans="1:20">
      <c r="A1001" s="20">
        <v>202603329386236</v>
      </c>
      <c r="B1001" s="19" t="s">
        <v>20</v>
      </c>
      <c r="C1001" s="19" t="s">
        <v>21</v>
      </c>
      <c r="D1001" s="19" t="s">
        <v>20</v>
      </c>
      <c r="E1001" s="21">
        <v>46204</v>
      </c>
      <c r="F1001" s="21">
        <v>46568</v>
      </c>
      <c r="G1001" s="21"/>
      <c r="H1001" s="21">
        <v>46204</v>
      </c>
      <c r="I1001" s="21">
        <v>46568</v>
      </c>
      <c r="J1001" s="19" t="s">
        <v>2068</v>
      </c>
      <c r="L1001" s="19">
        <v>105.034736</v>
      </c>
      <c r="M1001" s="19">
        <v>105.034736</v>
      </c>
      <c r="N1001" s="19" t="s">
        <v>1475</v>
      </c>
      <c r="O1001" s="20">
        <v>4</v>
      </c>
      <c r="S1001" s="19" t="s">
        <v>20</v>
      </c>
      <c r="T1001" s="19" t="s">
        <v>1471</v>
      </c>
    </row>
    <row r="1002" spans="1:20">
      <c r="A1002" s="20">
        <v>202603329387868</v>
      </c>
      <c r="B1002" s="19" t="s">
        <v>20</v>
      </c>
      <c r="C1002" s="19" t="s">
        <v>21</v>
      </c>
      <c r="D1002" s="19" t="s">
        <v>20</v>
      </c>
      <c r="E1002" s="21">
        <v>46204</v>
      </c>
      <c r="F1002" s="21">
        <v>46568</v>
      </c>
      <c r="G1002" s="21"/>
      <c r="H1002" s="21">
        <v>46204</v>
      </c>
      <c r="I1002" s="21">
        <v>46568</v>
      </c>
      <c r="J1002" s="19" t="s">
        <v>2104</v>
      </c>
      <c r="L1002" s="19">
        <v>0</v>
      </c>
      <c r="M1002" s="19">
        <v>0</v>
      </c>
      <c r="N1002" s="19" t="s">
        <v>2394</v>
      </c>
      <c r="O1002" s="20">
        <v>3</v>
      </c>
      <c r="S1002" s="19" t="s">
        <v>20</v>
      </c>
      <c r="T1002" s="19" t="s">
        <v>1471</v>
      </c>
    </row>
    <row r="1003" spans="1:20">
      <c r="A1003" s="20">
        <v>202603329387868</v>
      </c>
      <c r="B1003" s="19" t="s">
        <v>20</v>
      </c>
      <c r="C1003" s="19" t="s">
        <v>21</v>
      </c>
      <c r="D1003" s="19" t="s">
        <v>20</v>
      </c>
      <c r="E1003" s="21">
        <v>46204</v>
      </c>
      <c r="F1003" s="21">
        <v>46568</v>
      </c>
      <c r="G1003" s="21"/>
      <c r="H1003" s="21">
        <v>46204</v>
      </c>
      <c r="I1003" s="21">
        <v>46568</v>
      </c>
      <c r="J1003" s="19" t="s">
        <v>2104</v>
      </c>
      <c r="L1003" s="19">
        <v>99.391890750000002</v>
      </c>
      <c r="M1003" s="19">
        <v>99.391890750000002</v>
      </c>
      <c r="N1003" s="19" t="s">
        <v>1475</v>
      </c>
      <c r="O1003" s="20">
        <v>3</v>
      </c>
      <c r="S1003" s="19" t="s">
        <v>20</v>
      </c>
      <c r="T1003" s="19" t="s">
        <v>1471</v>
      </c>
    </row>
    <row r="1004" spans="1:20">
      <c r="A1004" s="20">
        <v>202603329388105</v>
      </c>
      <c r="B1004" s="19" t="s">
        <v>20</v>
      </c>
      <c r="C1004" s="19" t="s">
        <v>21</v>
      </c>
      <c r="D1004" s="19" t="s">
        <v>20</v>
      </c>
      <c r="E1004" s="21">
        <v>46204</v>
      </c>
      <c r="F1004" s="21">
        <v>46568</v>
      </c>
      <c r="G1004" s="21"/>
      <c r="H1004" s="21">
        <v>46204</v>
      </c>
      <c r="I1004" s="21">
        <v>46568</v>
      </c>
      <c r="J1004" s="19" t="s">
        <v>2085</v>
      </c>
      <c r="L1004" s="19">
        <v>73.8620205</v>
      </c>
      <c r="M1004" s="19">
        <v>73.8620205</v>
      </c>
      <c r="N1004" s="19" t="s">
        <v>1475</v>
      </c>
      <c r="O1004" s="20">
        <v>3</v>
      </c>
      <c r="S1004" s="19" t="s">
        <v>20</v>
      </c>
      <c r="T1004" s="19" t="s">
        <v>1471</v>
      </c>
    </row>
    <row r="1005" spans="1:20">
      <c r="A1005" s="20">
        <v>202603329388568</v>
      </c>
      <c r="B1005" s="19" t="s">
        <v>20</v>
      </c>
      <c r="C1005" s="19" t="s">
        <v>21</v>
      </c>
      <c r="D1005" s="19" t="s">
        <v>20</v>
      </c>
      <c r="E1005" s="21">
        <v>46204</v>
      </c>
      <c r="F1005" s="21">
        <v>46568</v>
      </c>
      <c r="G1005" s="21"/>
      <c r="H1005" s="21">
        <v>46204</v>
      </c>
      <c r="I1005" s="21">
        <v>46568</v>
      </c>
      <c r="J1005" s="19" t="s">
        <v>2064</v>
      </c>
      <c r="L1005" s="19">
        <v>0</v>
      </c>
      <c r="M1005" s="19">
        <v>0</v>
      </c>
      <c r="N1005" s="19" t="s">
        <v>2394</v>
      </c>
      <c r="O1005" s="20">
        <v>6</v>
      </c>
      <c r="S1005" s="19" t="s">
        <v>20</v>
      </c>
      <c r="T1005" s="19" t="s">
        <v>1471</v>
      </c>
    </row>
    <row r="1006" spans="1:20">
      <c r="A1006" s="20">
        <v>202603329388568</v>
      </c>
      <c r="B1006" s="19" t="s">
        <v>20</v>
      </c>
      <c r="C1006" s="19" t="s">
        <v>21</v>
      </c>
      <c r="D1006" s="19" t="s">
        <v>20</v>
      </c>
      <c r="E1006" s="21">
        <v>46204</v>
      </c>
      <c r="F1006" s="21">
        <v>46568</v>
      </c>
      <c r="G1006" s="21"/>
      <c r="H1006" s="21">
        <v>46204</v>
      </c>
      <c r="I1006" s="21">
        <v>46568</v>
      </c>
      <c r="J1006" s="19" t="s">
        <v>2064</v>
      </c>
      <c r="L1006" s="19">
        <v>198.7837815</v>
      </c>
      <c r="M1006" s="19">
        <v>198.7837815</v>
      </c>
      <c r="N1006" s="19" t="s">
        <v>1475</v>
      </c>
      <c r="O1006" s="20">
        <v>6</v>
      </c>
      <c r="S1006" s="19" t="s">
        <v>20</v>
      </c>
      <c r="T1006" s="19" t="s">
        <v>1471</v>
      </c>
    </row>
    <row r="1007" spans="1:20">
      <c r="A1007" s="20">
        <v>202603329390803</v>
      </c>
      <c r="B1007" s="19" t="s">
        <v>20</v>
      </c>
      <c r="C1007" s="19" t="s">
        <v>21</v>
      </c>
      <c r="D1007" s="19" t="s">
        <v>20</v>
      </c>
      <c r="E1007" s="21">
        <v>46204</v>
      </c>
      <c r="F1007" s="21">
        <v>46568</v>
      </c>
      <c r="G1007" s="21"/>
      <c r="H1007" s="21">
        <v>46204</v>
      </c>
      <c r="I1007" s="21">
        <v>46568</v>
      </c>
      <c r="J1007" s="19" t="s">
        <v>2114</v>
      </c>
      <c r="L1007" s="19">
        <v>0</v>
      </c>
      <c r="M1007" s="19">
        <v>0</v>
      </c>
      <c r="N1007" s="19" t="s">
        <v>2394</v>
      </c>
      <c r="O1007" s="20">
        <v>2</v>
      </c>
      <c r="S1007" s="19" t="s">
        <v>20</v>
      </c>
      <c r="T1007" s="19" t="s">
        <v>1471</v>
      </c>
    </row>
    <row r="1008" spans="1:20">
      <c r="A1008" s="20">
        <v>202603329390803</v>
      </c>
      <c r="B1008" s="19" t="s">
        <v>20</v>
      </c>
      <c r="C1008" s="19" t="s">
        <v>21</v>
      </c>
      <c r="D1008" s="19" t="s">
        <v>20</v>
      </c>
      <c r="E1008" s="21">
        <v>46204</v>
      </c>
      <c r="F1008" s="21">
        <v>46568</v>
      </c>
      <c r="G1008" s="21"/>
      <c r="H1008" s="21">
        <v>46204</v>
      </c>
      <c r="I1008" s="21">
        <v>46568</v>
      </c>
      <c r="J1008" s="19" t="s">
        <v>2114</v>
      </c>
      <c r="L1008" s="19">
        <v>66.261260500000006</v>
      </c>
      <c r="M1008" s="19">
        <v>66.261260500000006</v>
      </c>
      <c r="N1008" s="19" t="s">
        <v>1475</v>
      </c>
      <c r="O1008" s="20">
        <v>2</v>
      </c>
      <c r="S1008" s="19" t="s">
        <v>20</v>
      </c>
      <c r="T1008" s="19" t="s">
        <v>1471</v>
      </c>
    </row>
    <row r="1009" spans="1:20">
      <c r="A1009" s="20">
        <v>202603329391962</v>
      </c>
      <c r="B1009" s="19" t="s">
        <v>20</v>
      </c>
      <c r="C1009" s="19" t="s">
        <v>21</v>
      </c>
      <c r="D1009" s="19" t="s">
        <v>20</v>
      </c>
      <c r="E1009" s="21">
        <v>46204</v>
      </c>
      <c r="F1009" s="21">
        <v>46568</v>
      </c>
      <c r="G1009" s="21"/>
      <c r="H1009" s="21">
        <v>46204</v>
      </c>
      <c r="I1009" s="21">
        <v>46568</v>
      </c>
      <c r="J1009" s="19" t="s">
        <v>2064</v>
      </c>
      <c r="L1009" s="19">
        <v>0</v>
      </c>
      <c r="M1009" s="19">
        <v>0</v>
      </c>
      <c r="N1009" s="19" t="s">
        <v>2394</v>
      </c>
      <c r="O1009" s="20">
        <v>3</v>
      </c>
      <c r="S1009" s="19" t="s">
        <v>20</v>
      </c>
      <c r="T1009" s="19" t="s">
        <v>1471</v>
      </c>
    </row>
    <row r="1010" spans="1:20">
      <c r="A1010" s="20">
        <v>202603329391962</v>
      </c>
      <c r="B1010" s="19" t="s">
        <v>20</v>
      </c>
      <c r="C1010" s="19" t="s">
        <v>21</v>
      </c>
      <c r="D1010" s="19" t="s">
        <v>20</v>
      </c>
      <c r="E1010" s="21">
        <v>46204</v>
      </c>
      <c r="F1010" s="21">
        <v>46568</v>
      </c>
      <c r="G1010" s="21"/>
      <c r="H1010" s="21">
        <v>46204</v>
      </c>
      <c r="I1010" s="21">
        <v>46568</v>
      </c>
      <c r="J1010" s="19" t="s">
        <v>2064</v>
      </c>
      <c r="L1010" s="19">
        <v>99.391890750000002</v>
      </c>
      <c r="M1010" s="19">
        <v>99.391890750000002</v>
      </c>
      <c r="N1010" s="19" t="s">
        <v>1475</v>
      </c>
      <c r="O1010" s="20">
        <v>3</v>
      </c>
      <c r="S1010" s="19" t="s">
        <v>20</v>
      </c>
      <c r="T1010" s="19" t="s">
        <v>1471</v>
      </c>
    </row>
    <row r="1011" spans="1:20">
      <c r="A1011" s="20">
        <v>202603329393988</v>
      </c>
      <c r="B1011" s="19" t="s">
        <v>20</v>
      </c>
      <c r="C1011" s="19" t="s">
        <v>21</v>
      </c>
      <c r="D1011" s="19" t="s">
        <v>20</v>
      </c>
      <c r="E1011" s="21">
        <v>46204</v>
      </c>
      <c r="F1011" s="21">
        <v>46568</v>
      </c>
      <c r="G1011" s="21"/>
      <c r="H1011" s="21">
        <v>46204</v>
      </c>
      <c r="I1011" s="21">
        <v>46568</v>
      </c>
      <c r="J1011" s="19" t="s">
        <v>2064</v>
      </c>
      <c r="L1011" s="19">
        <v>0</v>
      </c>
      <c r="M1011" s="19">
        <v>0</v>
      </c>
      <c r="N1011" s="19" t="s">
        <v>2394</v>
      </c>
      <c r="O1011" s="20">
        <v>4</v>
      </c>
      <c r="S1011" s="19" t="s">
        <v>20</v>
      </c>
      <c r="T1011" s="19" t="s">
        <v>1471</v>
      </c>
    </row>
    <row r="1012" spans="1:20">
      <c r="A1012" s="20">
        <v>202603329393988</v>
      </c>
      <c r="B1012" s="19" t="s">
        <v>20</v>
      </c>
      <c r="C1012" s="19" t="s">
        <v>21</v>
      </c>
      <c r="D1012" s="19" t="s">
        <v>20</v>
      </c>
      <c r="E1012" s="21">
        <v>46204</v>
      </c>
      <c r="F1012" s="21">
        <v>46568</v>
      </c>
      <c r="G1012" s="21"/>
      <c r="H1012" s="21">
        <v>46204</v>
      </c>
      <c r="I1012" s="21">
        <v>46568</v>
      </c>
      <c r="J1012" s="19" t="s">
        <v>2064</v>
      </c>
      <c r="L1012" s="19">
        <v>132.52252100000001</v>
      </c>
      <c r="M1012" s="19">
        <v>132.52252100000001</v>
      </c>
      <c r="N1012" s="19" t="s">
        <v>1475</v>
      </c>
      <c r="O1012" s="20">
        <v>4</v>
      </c>
      <c r="S1012" s="19" t="s">
        <v>20</v>
      </c>
      <c r="T1012" s="19" t="s">
        <v>1471</v>
      </c>
    </row>
    <row r="1013" spans="1:20">
      <c r="A1013" s="20">
        <v>202603329394236</v>
      </c>
      <c r="B1013" s="19" t="s">
        <v>20</v>
      </c>
      <c r="C1013" s="19" t="s">
        <v>21</v>
      </c>
      <c r="D1013" s="19" t="s">
        <v>20</v>
      </c>
      <c r="E1013" s="21">
        <v>46204</v>
      </c>
      <c r="F1013" s="21">
        <v>46568</v>
      </c>
      <c r="G1013" s="21"/>
      <c r="H1013" s="21">
        <v>46204</v>
      </c>
      <c r="I1013" s="21">
        <v>46568</v>
      </c>
      <c r="J1013" s="19" t="s">
        <v>2064</v>
      </c>
      <c r="L1013" s="19">
        <v>0</v>
      </c>
      <c r="M1013" s="19">
        <v>0</v>
      </c>
      <c r="N1013" s="19" t="s">
        <v>2394</v>
      </c>
      <c r="O1013" s="20">
        <v>7</v>
      </c>
      <c r="S1013" s="19" t="s">
        <v>20</v>
      </c>
      <c r="T1013" s="19" t="s">
        <v>1471</v>
      </c>
    </row>
    <row r="1014" spans="1:20">
      <c r="A1014" s="20">
        <v>202603329394236</v>
      </c>
      <c r="B1014" s="19" t="s">
        <v>20</v>
      </c>
      <c r="C1014" s="19" t="s">
        <v>21</v>
      </c>
      <c r="D1014" s="19" t="s">
        <v>20</v>
      </c>
      <c r="E1014" s="21">
        <v>46204</v>
      </c>
      <c r="F1014" s="21">
        <v>46568</v>
      </c>
      <c r="G1014" s="21"/>
      <c r="H1014" s="21">
        <v>46204</v>
      </c>
      <c r="I1014" s="21">
        <v>46568</v>
      </c>
      <c r="J1014" s="19" t="s">
        <v>2064</v>
      </c>
      <c r="L1014" s="19">
        <v>231.91441175</v>
      </c>
      <c r="M1014" s="19">
        <v>231.91441175</v>
      </c>
      <c r="N1014" s="19" t="s">
        <v>1475</v>
      </c>
      <c r="O1014" s="20">
        <v>7</v>
      </c>
      <c r="S1014" s="19" t="s">
        <v>20</v>
      </c>
      <c r="T1014" s="19" t="s">
        <v>1471</v>
      </c>
    </row>
    <row r="1015" spans="1:20">
      <c r="A1015" s="20">
        <v>202603329394344</v>
      </c>
      <c r="B1015" s="19" t="s">
        <v>20</v>
      </c>
      <c r="C1015" s="19" t="s">
        <v>21</v>
      </c>
      <c r="D1015" s="19" t="s">
        <v>20</v>
      </c>
      <c r="E1015" s="21">
        <v>46204</v>
      </c>
      <c r="F1015" s="21">
        <v>46568</v>
      </c>
      <c r="G1015" s="21"/>
      <c r="H1015" s="21">
        <v>46204</v>
      </c>
      <c r="I1015" s="21">
        <v>46568</v>
      </c>
      <c r="J1015" s="19" t="s">
        <v>2064</v>
      </c>
      <c r="L1015" s="19">
        <v>0</v>
      </c>
      <c r="M1015" s="19">
        <v>0</v>
      </c>
      <c r="N1015" s="19" t="s">
        <v>2394</v>
      </c>
      <c r="O1015" s="20">
        <v>4</v>
      </c>
      <c r="S1015" s="19" t="s">
        <v>20</v>
      </c>
      <c r="T1015" s="19" t="s">
        <v>1471</v>
      </c>
    </row>
    <row r="1016" spans="1:20">
      <c r="A1016" s="20">
        <v>202603329394344</v>
      </c>
      <c r="B1016" s="19" t="s">
        <v>20</v>
      </c>
      <c r="C1016" s="19" t="s">
        <v>21</v>
      </c>
      <c r="D1016" s="19" t="s">
        <v>2265</v>
      </c>
      <c r="E1016" s="21">
        <v>46204</v>
      </c>
      <c r="F1016" s="21">
        <v>46568</v>
      </c>
      <c r="G1016" s="21"/>
      <c r="H1016" s="21">
        <v>46204</v>
      </c>
      <c r="I1016" s="21">
        <v>46568</v>
      </c>
      <c r="J1016" s="19" t="s">
        <v>2064</v>
      </c>
      <c r="L1016" s="19">
        <v>66.908733999999995</v>
      </c>
      <c r="M1016" s="19">
        <v>66.908733999999995</v>
      </c>
      <c r="N1016" s="19" t="s">
        <v>1467</v>
      </c>
      <c r="O1016" s="20">
        <v>4</v>
      </c>
      <c r="S1016" s="19" t="s">
        <v>20</v>
      </c>
      <c r="T1016" s="19" t="s">
        <v>1471</v>
      </c>
    </row>
    <row r="1017" spans="1:20">
      <c r="A1017" s="20">
        <v>202603329396426</v>
      </c>
      <c r="B1017" s="19" t="s">
        <v>20</v>
      </c>
      <c r="C1017" s="19" t="s">
        <v>21</v>
      </c>
      <c r="D1017" s="19" t="s">
        <v>20</v>
      </c>
      <c r="E1017" s="21">
        <v>46204</v>
      </c>
      <c r="F1017" s="21">
        <v>46568</v>
      </c>
      <c r="G1017" s="21"/>
      <c r="H1017" s="21">
        <v>46204</v>
      </c>
      <c r="I1017" s="21">
        <v>46568</v>
      </c>
      <c r="J1017" s="19" t="s">
        <v>2120</v>
      </c>
      <c r="L1017" s="19">
        <v>0</v>
      </c>
      <c r="M1017" s="19">
        <v>0</v>
      </c>
      <c r="N1017" s="19" t="s">
        <v>2394</v>
      </c>
      <c r="O1017" s="20">
        <v>4</v>
      </c>
      <c r="S1017" s="19" t="s">
        <v>20</v>
      </c>
      <c r="T1017" s="19" t="s">
        <v>1471</v>
      </c>
    </row>
    <row r="1018" spans="1:20">
      <c r="A1018" s="20">
        <v>202603329396426</v>
      </c>
      <c r="B1018" s="19" t="s">
        <v>20</v>
      </c>
      <c r="C1018" s="19" t="s">
        <v>21</v>
      </c>
      <c r="D1018" s="19" t="s">
        <v>20</v>
      </c>
      <c r="E1018" s="21">
        <v>46204</v>
      </c>
      <c r="F1018" s="21">
        <v>46568</v>
      </c>
      <c r="G1018" s="21"/>
      <c r="H1018" s="21">
        <v>46204</v>
      </c>
      <c r="I1018" s="21">
        <v>46568</v>
      </c>
      <c r="J1018" s="19" t="s">
        <v>2120</v>
      </c>
      <c r="L1018" s="19">
        <v>151.79182</v>
      </c>
      <c r="M1018" s="19">
        <v>151.79182</v>
      </c>
      <c r="N1018" s="19" t="s">
        <v>1475</v>
      </c>
      <c r="O1018" s="20">
        <v>4</v>
      </c>
      <c r="S1018" s="19" t="s">
        <v>20</v>
      </c>
      <c r="T1018" s="19" t="s">
        <v>1471</v>
      </c>
    </row>
    <row r="1019" spans="1:20">
      <c r="A1019" s="20">
        <v>202603329397207</v>
      </c>
      <c r="B1019" s="19" t="s">
        <v>20</v>
      </c>
      <c r="C1019" s="19" t="s">
        <v>21</v>
      </c>
      <c r="D1019" s="19" t="s">
        <v>20</v>
      </c>
      <c r="E1019" s="21">
        <v>46204</v>
      </c>
      <c r="F1019" s="21">
        <v>46568</v>
      </c>
      <c r="G1019" s="21"/>
      <c r="H1019" s="21">
        <v>46204</v>
      </c>
      <c r="I1019" s="21">
        <v>46568</v>
      </c>
      <c r="J1019" s="19" t="s">
        <v>2135</v>
      </c>
      <c r="L1019" s="19">
        <v>0</v>
      </c>
      <c r="M1019" s="19">
        <v>0</v>
      </c>
      <c r="N1019" s="19" t="s">
        <v>2394</v>
      </c>
      <c r="O1019" s="20">
        <v>5</v>
      </c>
      <c r="S1019" s="19" t="s">
        <v>20</v>
      </c>
      <c r="T1019" s="19" t="s">
        <v>1471</v>
      </c>
    </row>
    <row r="1020" spans="1:20">
      <c r="A1020" s="20">
        <v>202603329397207</v>
      </c>
      <c r="B1020" s="19" t="s">
        <v>20</v>
      </c>
      <c r="C1020" s="19" t="s">
        <v>21</v>
      </c>
      <c r="D1020" s="19" t="s">
        <v>20</v>
      </c>
      <c r="E1020" s="21">
        <v>46204</v>
      </c>
      <c r="F1020" s="21">
        <v>46568</v>
      </c>
      <c r="G1020" s="21"/>
      <c r="H1020" s="21">
        <v>46204</v>
      </c>
      <c r="I1020" s="21">
        <v>46568</v>
      </c>
      <c r="J1020" s="19" t="s">
        <v>2135</v>
      </c>
      <c r="L1020" s="19">
        <v>165.65315125000001</v>
      </c>
      <c r="M1020" s="19">
        <v>165.65315125000001</v>
      </c>
      <c r="N1020" s="19" t="s">
        <v>1475</v>
      </c>
      <c r="O1020" s="20">
        <v>5</v>
      </c>
      <c r="S1020" s="19" t="s">
        <v>20</v>
      </c>
      <c r="T1020" s="19" t="s">
        <v>1471</v>
      </c>
    </row>
    <row r="1021" spans="1:20">
      <c r="A1021" s="20">
        <v>202603329397635</v>
      </c>
      <c r="B1021" s="19" t="s">
        <v>20</v>
      </c>
      <c r="C1021" s="19" t="s">
        <v>21</v>
      </c>
      <c r="D1021" s="19" t="s">
        <v>20</v>
      </c>
      <c r="E1021" s="21">
        <v>46204</v>
      </c>
      <c r="F1021" s="21">
        <v>46568</v>
      </c>
      <c r="G1021" s="21"/>
      <c r="H1021" s="21">
        <v>46204</v>
      </c>
      <c r="I1021" s="21">
        <v>46568</v>
      </c>
      <c r="J1021" s="19" t="s">
        <v>2099</v>
      </c>
      <c r="L1021" s="19">
        <v>0</v>
      </c>
      <c r="M1021" s="19">
        <v>0</v>
      </c>
      <c r="N1021" s="19" t="s">
        <v>2394</v>
      </c>
      <c r="O1021" s="20">
        <v>3</v>
      </c>
      <c r="S1021" s="19" t="s">
        <v>20</v>
      </c>
      <c r="T1021" s="19" t="s">
        <v>1471</v>
      </c>
    </row>
    <row r="1022" spans="1:20">
      <c r="A1022" s="20">
        <v>202603329397635</v>
      </c>
      <c r="B1022" s="19" t="s">
        <v>20</v>
      </c>
      <c r="C1022" s="19" t="s">
        <v>21</v>
      </c>
      <c r="D1022" s="19" t="s">
        <v>20</v>
      </c>
      <c r="E1022" s="21">
        <v>46204</v>
      </c>
      <c r="F1022" s="21">
        <v>46568</v>
      </c>
      <c r="G1022" s="21"/>
      <c r="H1022" s="21">
        <v>46204</v>
      </c>
      <c r="I1022" s="21">
        <v>46568</v>
      </c>
      <c r="J1022" s="19" t="s">
        <v>2099</v>
      </c>
      <c r="L1022" s="19">
        <v>78.776052000000007</v>
      </c>
      <c r="M1022" s="19">
        <v>78.776052000000007</v>
      </c>
      <c r="N1022" s="19" t="s">
        <v>1475</v>
      </c>
      <c r="O1022" s="20">
        <v>3</v>
      </c>
      <c r="S1022" s="19" t="s">
        <v>20</v>
      </c>
      <c r="T1022" s="19" t="s">
        <v>1471</v>
      </c>
    </row>
    <row r="1023" spans="1:20">
      <c r="A1023" s="20">
        <v>202603329401235</v>
      </c>
      <c r="B1023" s="19" t="s">
        <v>20</v>
      </c>
      <c r="C1023" s="19" t="s">
        <v>21</v>
      </c>
      <c r="D1023" s="19" t="s">
        <v>20</v>
      </c>
      <c r="E1023" s="21">
        <v>46204</v>
      </c>
      <c r="F1023" s="21">
        <v>46568</v>
      </c>
      <c r="G1023" s="21"/>
      <c r="H1023" s="21">
        <v>46204</v>
      </c>
      <c r="I1023" s="21">
        <v>46568</v>
      </c>
      <c r="J1023" s="19" t="s">
        <v>2122</v>
      </c>
      <c r="L1023" s="19">
        <v>0</v>
      </c>
      <c r="M1023" s="19">
        <v>0</v>
      </c>
      <c r="N1023" s="19" t="s">
        <v>2394</v>
      </c>
      <c r="O1023" s="20">
        <v>2</v>
      </c>
      <c r="S1023" s="19" t="s">
        <v>20</v>
      </c>
      <c r="T1023" s="19" t="s">
        <v>1471</v>
      </c>
    </row>
    <row r="1024" spans="1:20">
      <c r="A1024" s="20">
        <v>202603329401235</v>
      </c>
      <c r="B1024" s="19" t="s">
        <v>20</v>
      </c>
      <c r="C1024" s="19" t="s">
        <v>21</v>
      </c>
      <c r="D1024" s="19" t="s">
        <v>20</v>
      </c>
      <c r="E1024" s="21">
        <v>46204</v>
      </c>
      <c r="F1024" s="21">
        <v>46568</v>
      </c>
      <c r="G1024" s="21"/>
      <c r="H1024" s="21">
        <v>46204</v>
      </c>
      <c r="I1024" s="21">
        <v>46568</v>
      </c>
      <c r="J1024" s="19" t="s">
        <v>2122</v>
      </c>
      <c r="L1024" s="19">
        <v>47.936581500000003</v>
      </c>
      <c r="M1024" s="19">
        <v>47.936581500000003</v>
      </c>
      <c r="N1024" s="19" t="s">
        <v>1475</v>
      </c>
      <c r="O1024" s="20">
        <v>2</v>
      </c>
      <c r="S1024" s="19" t="s">
        <v>20</v>
      </c>
      <c r="T1024" s="19" t="s">
        <v>1471</v>
      </c>
    </row>
    <row r="1025" spans="1:20">
      <c r="A1025" s="20">
        <v>202603329402239</v>
      </c>
      <c r="B1025" s="19" t="s">
        <v>20</v>
      </c>
      <c r="C1025" s="19" t="s">
        <v>21</v>
      </c>
      <c r="D1025" s="19" t="s">
        <v>20</v>
      </c>
      <c r="E1025" s="21">
        <v>46204</v>
      </c>
      <c r="F1025" s="21">
        <v>46568</v>
      </c>
      <c r="G1025" s="21"/>
      <c r="H1025" s="21">
        <v>46204</v>
      </c>
      <c r="I1025" s="21">
        <v>46568</v>
      </c>
      <c r="J1025" s="19" t="s">
        <v>2064</v>
      </c>
      <c r="L1025" s="19">
        <v>33.130630250000003</v>
      </c>
      <c r="M1025" s="19">
        <v>33.130630250000003</v>
      </c>
      <c r="N1025" s="19" t="s">
        <v>1475</v>
      </c>
      <c r="O1025" s="20">
        <v>1</v>
      </c>
      <c r="S1025" s="19" t="s">
        <v>20</v>
      </c>
      <c r="T1025" s="19" t="s">
        <v>1471</v>
      </c>
    </row>
    <row r="1026" spans="1:20">
      <c r="A1026" s="20">
        <v>202603329404201</v>
      </c>
      <c r="B1026" s="19" t="s">
        <v>20</v>
      </c>
      <c r="C1026" s="19" t="s">
        <v>21</v>
      </c>
      <c r="D1026" s="19" t="s">
        <v>2266</v>
      </c>
      <c r="E1026" s="21">
        <v>46204</v>
      </c>
      <c r="F1026" s="21">
        <v>46568</v>
      </c>
      <c r="G1026" s="21"/>
      <c r="H1026" s="21">
        <v>46204</v>
      </c>
      <c r="I1026" s="21">
        <v>46568</v>
      </c>
      <c r="J1026" s="19" t="s">
        <v>1473</v>
      </c>
      <c r="L1026" s="19">
        <v>49.241346999999998</v>
      </c>
      <c r="M1026" s="19">
        <v>49.241346999999998</v>
      </c>
      <c r="N1026" s="19" t="s">
        <v>1467</v>
      </c>
      <c r="O1026" s="20">
        <v>2</v>
      </c>
      <c r="S1026" s="19" t="s">
        <v>20</v>
      </c>
      <c r="T1026" s="19" t="s">
        <v>1471</v>
      </c>
    </row>
    <row r="1027" spans="1:20">
      <c r="A1027" s="20">
        <v>202603329404622</v>
      </c>
      <c r="B1027" s="19" t="s">
        <v>20</v>
      </c>
      <c r="C1027" s="19" t="s">
        <v>21</v>
      </c>
      <c r="D1027" s="19" t="s">
        <v>20</v>
      </c>
      <c r="E1027" s="21">
        <v>46204</v>
      </c>
      <c r="F1027" s="21">
        <v>46568</v>
      </c>
      <c r="G1027" s="21"/>
      <c r="H1027" s="21">
        <v>46204</v>
      </c>
      <c r="I1027" s="21">
        <v>46568</v>
      </c>
      <c r="J1027" s="19" t="s">
        <v>2159</v>
      </c>
      <c r="L1027" s="19">
        <v>0</v>
      </c>
      <c r="M1027" s="19">
        <v>0</v>
      </c>
      <c r="N1027" s="19" t="s">
        <v>2394</v>
      </c>
      <c r="O1027" s="20">
        <v>6</v>
      </c>
      <c r="S1027" s="19" t="s">
        <v>20</v>
      </c>
      <c r="T1027" s="19" t="s">
        <v>1471</v>
      </c>
    </row>
    <row r="1028" spans="1:20">
      <c r="A1028" s="20">
        <v>202603329404622</v>
      </c>
      <c r="B1028" s="19" t="s">
        <v>20</v>
      </c>
      <c r="C1028" s="19" t="s">
        <v>21</v>
      </c>
      <c r="D1028" s="19" t="s">
        <v>20</v>
      </c>
      <c r="E1028" s="21">
        <v>46204</v>
      </c>
      <c r="F1028" s="21">
        <v>46568</v>
      </c>
      <c r="G1028" s="21"/>
      <c r="H1028" s="21">
        <v>46204</v>
      </c>
      <c r="I1028" s="21">
        <v>46568</v>
      </c>
      <c r="J1028" s="19" t="s">
        <v>2159</v>
      </c>
      <c r="L1028" s="19">
        <v>198.7837815</v>
      </c>
      <c r="M1028" s="19">
        <v>198.7837815</v>
      </c>
      <c r="N1028" s="19" t="s">
        <v>1475</v>
      </c>
      <c r="O1028" s="20">
        <v>6</v>
      </c>
      <c r="S1028" s="19" t="s">
        <v>20</v>
      </c>
      <c r="T1028" s="19" t="s">
        <v>1471</v>
      </c>
    </row>
    <row r="1029" spans="1:20">
      <c r="A1029" s="20">
        <v>202603329404822</v>
      </c>
      <c r="B1029" s="19" t="s">
        <v>20</v>
      </c>
      <c r="C1029" s="19" t="s">
        <v>21</v>
      </c>
      <c r="D1029" s="19" t="s">
        <v>20</v>
      </c>
      <c r="E1029" s="21">
        <v>46204</v>
      </c>
      <c r="F1029" s="21">
        <v>46568</v>
      </c>
      <c r="G1029" s="21"/>
      <c r="H1029" s="21">
        <v>46204</v>
      </c>
      <c r="I1029" s="21">
        <v>46568</v>
      </c>
      <c r="J1029" s="19" t="s">
        <v>2083</v>
      </c>
      <c r="L1029" s="19">
        <v>0</v>
      </c>
      <c r="M1029" s="19">
        <v>0</v>
      </c>
      <c r="N1029" s="19" t="s">
        <v>2394</v>
      </c>
      <c r="O1029" s="20">
        <v>5</v>
      </c>
      <c r="S1029" s="19" t="s">
        <v>20</v>
      </c>
      <c r="T1029" s="19" t="s">
        <v>1471</v>
      </c>
    </row>
    <row r="1030" spans="1:20">
      <c r="A1030" s="20">
        <v>202603329404822</v>
      </c>
      <c r="B1030" s="19" t="s">
        <v>20</v>
      </c>
      <c r="C1030" s="19" t="s">
        <v>21</v>
      </c>
      <c r="D1030" s="19" t="s">
        <v>20</v>
      </c>
      <c r="E1030" s="21">
        <v>46204</v>
      </c>
      <c r="F1030" s="21">
        <v>46568</v>
      </c>
      <c r="G1030" s="21"/>
      <c r="H1030" s="21">
        <v>46204</v>
      </c>
      <c r="I1030" s="21">
        <v>46568</v>
      </c>
      <c r="J1030" s="19" t="s">
        <v>2083</v>
      </c>
      <c r="L1030" s="19">
        <v>165.65315125000001</v>
      </c>
      <c r="M1030" s="19">
        <v>165.65315125000001</v>
      </c>
      <c r="N1030" s="19" t="s">
        <v>1475</v>
      </c>
      <c r="O1030" s="20">
        <v>5</v>
      </c>
      <c r="S1030" s="19" t="s">
        <v>20</v>
      </c>
      <c r="T1030" s="19" t="s">
        <v>1471</v>
      </c>
    </row>
    <row r="1031" spans="1:20">
      <c r="A1031" s="20">
        <v>202603329404886</v>
      </c>
      <c r="B1031" s="19" t="s">
        <v>20</v>
      </c>
      <c r="C1031" s="19" t="s">
        <v>21</v>
      </c>
      <c r="D1031" s="19" t="s">
        <v>20</v>
      </c>
      <c r="E1031" s="21">
        <v>46204</v>
      </c>
      <c r="F1031" s="21">
        <v>46568</v>
      </c>
      <c r="G1031" s="21"/>
      <c r="H1031" s="21">
        <v>46204</v>
      </c>
      <c r="I1031" s="21">
        <v>46568</v>
      </c>
      <c r="J1031" s="19" t="s">
        <v>2068</v>
      </c>
      <c r="L1031" s="19">
        <v>26.258683999999999</v>
      </c>
      <c r="M1031" s="19">
        <v>26.258683999999999</v>
      </c>
      <c r="N1031" s="19" t="s">
        <v>1475</v>
      </c>
      <c r="O1031" s="20">
        <v>1</v>
      </c>
      <c r="S1031" s="19" t="s">
        <v>20</v>
      </c>
      <c r="T1031" s="19" t="s">
        <v>1471</v>
      </c>
    </row>
    <row r="1032" spans="1:20">
      <c r="A1032" s="20">
        <v>202603329405147</v>
      </c>
      <c r="B1032" s="19" t="s">
        <v>20</v>
      </c>
      <c r="C1032" s="19" t="s">
        <v>21</v>
      </c>
      <c r="D1032" s="19" t="s">
        <v>20</v>
      </c>
      <c r="E1032" s="21">
        <v>46204</v>
      </c>
      <c r="F1032" s="21">
        <v>46568</v>
      </c>
      <c r="G1032" s="21"/>
      <c r="H1032" s="21">
        <v>46204</v>
      </c>
      <c r="I1032" s="21">
        <v>46568</v>
      </c>
      <c r="J1032" s="19" t="s">
        <v>2064</v>
      </c>
      <c r="L1032" s="19">
        <v>0</v>
      </c>
      <c r="M1032" s="19">
        <v>0</v>
      </c>
      <c r="N1032" s="19" t="s">
        <v>2394</v>
      </c>
      <c r="O1032" s="20">
        <v>2</v>
      </c>
      <c r="S1032" s="19" t="s">
        <v>20</v>
      </c>
      <c r="T1032" s="19" t="s">
        <v>1471</v>
      </c>
    </row>
    <row r="1033" spans="1:20">
      <c r="A1033" s="20">
        <v>202603329405147</v>
      </c>
      <c r="B1033" s="19" t="s">
        <v>20</v>
      </c>
      <c r="C1033" s="19" t="s">
        <v>21</v>
      </c>
      <c r="D1033" s="19" t="s">
        <v>20</v>
      </c>
      <c r="E1033" s="21">
        <v>46204</v>
      </c>
      <c r="F1033" s="21">
        <v>46568</v>
      </c>
      <c r="G1033" s="21"/>
      <c r="H1033" s="21">
        <v>46204</v>
      </c>
      <c r="I1033" s="21">
        <v>46568</v>
      </c>
      <c r="J1033" s="19" t="s">
        <v>2064</v>
      </c>
      <c r="L1033" s="19">
        <v>66.261260500000006</v>
      </c>
      <c r="M1033" s="19">
        <v>66.261260500000006</v>
      </c>
      <c r="N1033" s="19" t="s">
        <v>1475</v>
      </c>
      <c r="O1033" s="20">
        <v>2</v>
      </c>
      <c r="S1033" s="19" t="s">
        <v>20</v>
      </c>
      <c r="T1033" s="19" t="s">
        <v>1471</v>
      </c>
    </row>
    <row r="1034" spans="1:20">
      <c r="A1034" s="20">
        <v>202603329406315</v>
      </c>
      <c r="B1034" s="19" t="s">
        <v>20</v>
      </c>
      <c r="C1034" s="19" t="s">
        <v>21</v>
      </c>
      <c r="D1034" s="19" t="s">
        <v>20</v>
      </c>
      <c r="E1034" s="21">
        <v>46204</v>
      </c>
      <c r="F1034" s="21">
        <v>46568</v>
      </c>
      <c r="G1034" s="21"/>
      <c r="H1034" s="21">
        <v>46204</v>
      </c>
      <c r="I1034" s="21">
        <v>46568</v>
      </c>
      <c r="J1034" s="19" t="s">
        <v>2085</v>
      </c>
      <c r="L1034" s="19">
        <v>0</v>
      </c>
      <c r="M1034" s="19">
        <v>0</v>
      </c>
      <c r="N1034" s="19" t="s">
        <v>2394</v>
      </c>
      <c r="O1034" s="20">
        <v>4</v>
      </c>
      <c r="S1034" s="19" t="s">
        <v>20</v>
      </c>
      <c r="T1034" s="19" t="s">
        <v>1471</v>
      </c>
    </row>
    <row r="1035" spans="1:20">
      <c r="A1035" s="20">
        <v>202603329406315</v>
      </c>
      <c r="B1035" s="19" t="s">
        <v>20</v>
      </c>
      <c r="C1035" s="19" t="s">
        <v>21</v>
      </c>
      <c r="D1035" s="19" t="s">
        <v>2267</v>
      </c>
      <c r="E1035" s="21">
        <v>46204</v>
      </c>
      <c r="F1035" s="21">
        <v>46568</v>
      </c>
      <c r="G1035" s="21"/>
      <c r="H1035" s="21">
        <v>46204</v>
      </c>
      <c r="I1035" s="21">
        <v>46568</v>
      </c>
      <c r="J1035" s="19" t="s">
        <v>2085</v>
      </c>
      <c r="L1035" s="19">
        <v>98.482693999999995</v>
      </c>
      <c r="M1035" s="19">
        <v>98.482693999999995</v>
      </c>
      <c r="N1035" s="19" t="s">
        <v>1467</v>
      </c>
      <c r="O1035" s="20">
        <v>4</v>
      </c>
      <c r="S1035" s="19" t="s">
        <v>20</v>
      </c>
      <c r="T1035" s="19" t="s">
        <v>1471</v>
      </c>
    </row>
    <row r="1036" spans="1:20">
      <c r="A1036" s="20">
        <v>202603329406410</v>
      </c>
      <c r="B1036" s="19" t="s">
        <v>20</v>
      </c>
      <c r="C1036" s="19" t="s">
        <v>21</v>
      </c>
      <c r="D1036" s="19" t="s">
        <v>20</v>
      </c>
      <c r="E1036" s="21">
        <v>46204</v>
      </c>
      <c r="F1036" s="21">
        <v>46568</v>
      </c>
      <c r="G1036" s="21"/>
      <c r="H1036" s="21">
        <v>46204</v>
      </c>
      <c r="I1036" s="21">
        <v>46568</v>
      </c>
      <c r="J1036" s="19" t="s">
        <v>2064</v>
      </c>
      <c r="L1036" s="19">
        <v>0</v>
      </c>
      <c r="M1036" s="19">
        <v>0</v>
      </c>
      <c r="N1036" s="19" t="s">
        <v>2394</v>
      </c>
      <c r="O1036" s="20">
        <v>5</v>
      </c>
      <c r="S1036" s="19" t="s">
        <v>20</v>
      </c>
      <c r="T1036" s="19" t="s">
        <v>1471</v>
      </c>
    </row>
    <row r="1037" spans="1:20">
      <c r="A1037" s="20">
        <v>202603329406410</v>
      </c>
      <c r="B1037" s="19" t="s">
        <v>20</v>
      </c>
      <c r="C1037" s="19" t="s">
        <v>21</v>
      </c>
      <c r="D1037" s="19" t="s">
        <v>20</v>
      </c>
      <c r="E1037" s="21">
        <v>46204</v>
      </c>
      <c r="F1037" s="21">
        <v>46568</v>
      </c>
      <c r="G1037" s="21"/>
      <c r="H1037" s="21">
        <v>46204</v>
      </c>
      <c r="I1037" s="21">
        <v>46568</v>
      </c>
      <c r="J1037" s="19" t="s">
        <v>2064</v>
      </c>
      <c r="L1037" s="19">
        <v>165.65315125000001</v>
      </c>
      <c r="M1037" s="19">
        <v>165.65315125000001</v>
      </c>
      <c r="N1037" s="19" t="s">
        <v>1475</v>
      </c>
      <c r="O1037" s="20">
        <v>5</v>
      </c>
      <c r="S1037" s="19" t="s">
        <v>20</v>
      </c>
      <c r="T1037" s="19" t="s">
        <v>1471</v>
      </c>
    </row>
    <row r="1038" spans="1:20">
      <c r="A1038" s="20">
        <v>202603329406477</v>
      </c>
      <c r="B1038" s="19" t="s">
        <v>20</v>
      </c>
      <c r="C1038" s="19" t="s">
        <v>21</v>
      </c>
      <c r="D1038" s="19" t="s">
        <v>20</v>
      </c>
      <c r="E1038" s="21">
        <v>46204</v>
      </c>
      <c r="F1038" s="21">
        <v>46568</v>
      </c>
      <c r="G1038" s="21"/>
      <c r="H1038" s="21">
        <v>46204</v>
      </c>
      <c r="I1038" s="21">
        <v>46568</v>
      </c>
      <c r="J1038" s="19" t="s">
        <v>2268</v>
      </c>
      <c r="L1038" s="19">
        <v>59.635123499999999</v>
      </c>
      <c r="M1038" s="19">
        <v>59.635123499999999</v>
      </c>
      <c r="N1038" s="19" t="s">
        <v>1475</v>
      </c>
      <c r="O1038" s="20">
        <v>2</v>
      </c>
      <c r="S1038" s="19" t="s">
        <v>20</v>
      </c>
      <c r="T1038" s="19" t="s">
        <v>1471</v>
      </c>
    </row>
    <row r="1039" spans="1:20">
      <c r="A1039" s="20">
        <v>202603329406765</v>
      </c>
      <c r="B1039" s="19" t="s">
        <v>20</v>
      </c>
      <c r="C1039" s="19" t="s">
        <v>21</v>
      </c>
      <c r="D1039" s="19" t="s">
        <v>20</v>
      </c>
      <c r="E1039" s="21">
        <v>46204</v>
      </c>
      <c r="F1039" s="21">
        <v>46568</v>
      </c>
      <c r="G1039" s="21"/>
      <c r="H1039" s="21">
        <v>46204</v>
      </c>
      <c r="I1039" s="21">
        <v>46568</v>
      </c>
      <c r="J1039" s="19" t="s">
        <v>2139</v>
      </c>
      <c r="L1039" s="19">
        <v>38.659559000000002</v>
      </c>
      <c r="M1039" s="19">
        <v>38.659559000000002</v>
      </c>
      <c r="N1039" s="19" t="s">
        <v>1475</v>
      </c>
      <c r="O1039" s="20">
        <v>1</v>
      </c>
      <c r="S1039" s="19" t="s">
        <v>20</v>
      </c>
      <c r="T1039" s="19" t="s">
        <v>1471</v>
      </c>
    </row>
    <row r="1040" spans="1:20">
      <c r="A1040" s="20">
        <v>202603329412408</v>
      </c>
      <c r="B1040" s="19" t="s">
        <v>20</v>
      </c>
      <c r="C1040" s="19" t="s">
        <v>21</v>
      </c>
      <c r="D1040" s="19" t="s">
        <v>20</v>
      </c>
      <c r="E1040" s="21">
        <v>46204</v>
      </c>
      <c r="F1040" s="21">
        <v>46568</v>
      </c>
      <c r="G1040" s="21"/>
      <c r="H1040" s="21">
        <v>46204</v>
      </c>
      <c r="I1040" s="21">
        <v>46568</v>
      </c>
      <c r="J1040" s="19" t="s">
        <v>2093</v>
      </c>
      <c r="L1040" s="19">
        <v>0</v>
      </c>
      <c r="M1040" s="19">
        <v>0</v>
      </c>
      <c r="N1040" s="19" t="s">
        <v>2394</v>
      </c>
      <c r="O1040" s="20">
        <v>3</v>
      </c>
      <c r="S1040" s="19" t="s">
        <v>20</v>
      </c>
      <c r="T1040" s="19" t="s">
        <v>1471</v>
      </c>
    </row>
    <row r="1041" spans="1:20">
      <c r="A1041" s="20">
        <v>202603329412408</v>
      </c>
      <c r="B1041" s="19" t="s">
        <v>20</v>
      </c>
      <c r="C1041" s="19" t="s">
        <v>21</v>
      </c>
      <c r="D1041" s="19" t="s">
        <v>20</v>
      </c>
      <c r="E1041" s="21">
        <v>46204</v>
      </c>
      <c r="F1041" s="21">
        <v>46568</v>
      </c>
      <c r="G1041" s="21"/>
      <c r="H1041" s="21">
        <v>46204</v>
      </c>
      <c r="I1041" s="21">
        <v>46568</v>
      </c>
      <c r="J1041" s="19" t="s">
        <v>2093</v>
      </c>
      <c r="L1041" s="19">
        <v>86.328102749999999</v>
      </c>
      <c r="M1041" s="19">
        <v>86.328102749999999</v>
      </c>
      <c r="N1041" s="19" t="s">
        <v>1475</v>
      </c>
      <c r="O1041" s="20">
        <v>3</v>
      </c>
      <c r="S1041" s="19" t="s">
        <v>20</v>
      </c>
      <c r="T1041" s="19" t="s">
        <v>1471</v>
      </c>
    </row>
    <row r="1042" spans="1:20">
      <c r="A1042" s="20">
        <v>202603329412566</v>
      </c>
      <c r="B1042" s="19" t="s">
        <v>20</v>
      </c>
      <c r="C1042" s="19" t="s">
        <v>21</v>
      </c>
      <c r="D1042" s="19" t="s">
        <v>20</v>
      </c>
      <c r="E1042" s="21">
        <v>46204</v>
      </c>
      <c r="F1042" s="21">
        <v>46568</v>
      </c>
      <c r="G1042" s="21"/>
      <c r="H1042" s="21">
        <v>46204</v>
      </c>
      <c r="I1042" s="21">
        <v>46568</v>
      </c>
      <c r="J1042" s="19" t="s">
        <v>2073</v>
      </c>
      <c r="L1042" s="19">
        <v>26.258683999999999</v>
      </c>
      <c r="M1042" s="19">
        <v>26.258683999999999</v>
      </c>
      <c r="N1042" s="19" t="s">
        <v>1475</v>
      </c>
      <c r="O1042" s="20">
        <v>1</v>
      </c>
      <c r="S1042" s="19" t="s">
        <v>20</v>
      </c>
      <c r="T1042" s="19" t="s">
        <v>1471</v>
      </c>
    </row>
    <row r="1043" spans="1:20">
      <c r="A1043" s="20">
        <v>202603329413365</v>
      </c>
      <c r="B1043" s="19" t="s">
        <v>20</v>
      </c>
      <c r="C1043" s="19" t="s">
        <v>21</v>
      </c>
      <c r="D1043" s="19" t="s">
        <v>20</v>
      </c>
      <c r="E1043" s="21">
        <v>46204</v>
      </c>
      <c r="F1043" s="21">
        <v>46568</v>
      </c>
      <c r="G1043" s="21"/>
      <c r="H1043" s="21">
        <v>46204</v>
      </c>
      <c r="I1043" s="21">
        <v>46568</v>
      </c>
      <c r="J1043" s="19" t="s">
        <v>2088</v>
      </c>
      <c r="L1043" s="19">
        <v>33.130630250000003</v>
      </c>
      <c r="M1043" s="19">
        <v>33.130630250000003</v>
      </c>
      <c r="N1043" s="19" t="s">
        <v>1475</v>
      </c>
      <c r="O1043" s="20">
        <v>1</v>
      </c>
      <c r="S1043" s="19" t="s">
        <v>20</v>
      </c>
      <c r="T1043" s="19" t="s">
        <v>1471</v>
      </c>
    </row>
    <row r="1044" spans="1:20">
      <c r="A1044" s="20">
        <v>202603329413917</v>
      </c>
      <c r="B1044" s="19" t="s">
        <v>20</v>
      </c>
      <c r="C1044" s="19" t="s">
        <v>21</v>
      </c>
      <c r="D1044" s="19" t="s">
        <v>20</v>
      </c>
      <c r="E1044" s="21">
        <v>46204</v>
      </c>
      <c r="F1044" s="21">
        <v>46568</v>
      </c>
      <c r="G1044" s="21"/>
      <c r="H1044" s="21">
        <v>46204</v>
      </c>
      <c r="I1044" s="21">
        <v>46568</v>
      </c>
      <c r="J1044" s="19" t="s">
        <v>2151</v>
      </c>
      <c r="L1044" s="19">
        <v>33.130630250000003</v>
      </c>
      <c r="M1044" s="19">
        <v>33.130630250000003</v>
      </c>
      <c r="N1044" s="19" t="s">
        <v>1475</v>
      </c>
      <c r="O1044" s="20">
        <v>1</v>
      </c>
      <c r="S1044" s="19" t="s">
        <v>20</v>
      </c>
      <c r="T1044" s="19" t="s">
        <v>1471</v>
      </c>
    </row>
    <row r="1045" spans="1:20">
      <c r="A1045" s="20">
        <v>202603329414457</v>
      </c>
      <c r="B1045" s="19" t="s">
        <v>20</v>
      </c>
      <c r="C1045" s="19" t="s">
        <v>21</v>
      </c>
      <c r="D1045" s="19" t="s">
        <v>20</v>
      </c>
      <c r="E1045" s="21">
        <v>46204</v>
      </c>
      <c r="F1045" s="21">
        <v>46568</v>
      </c>
      <c r="G1045" s="21"/>
      <c r="H1045" s="21">
        <v>46204</v>
      </c>
      <c r="I1045" s="21">
        <v>46568</v>
      </c>
      <c r="J1045" s="19" t="s">
        <v>2066</v>
      </c>
      <c r="L1045" s="19">
        <v>33.130630250000003</v>
      </c>
      <c r="M1045" s="19">
        <v>33.130630250000003</v>
      </c>
      <c r="N1045" s="19" t="s">
        <v>1475</v>
      </c>
      <c r="O1045" s="20">
        <v>1</v>
      </c>
      <c r="S1045" s="19" t="s">
        <v>20</v>
      </c>
      <c r="T1045" s="19" t="s">
        <v>1471</v>
      </c>
    </row>
    <row r="1046" spans="1:20">
      <c r="A1046" s="20">
        <v>202603329416241</v>
      </c>
      <c r="B1046" s="19" t="s">
        <v>20</v>
      </c>
      <c r="C1046" s="19" t="s">
        <v>21</v>
      </c>
      <c r="D1046" s="19" t="s">
        <v>20</v>
      </c>
      <c r="E1046" s="21">
        <v>46204</v>
      </c>
      <c r="F1046" s="21">
        <v>46568</v>
      </c>
      <c r="G1046" s="21"/>
      <c r="H1046" s="21">
        <v>46204</v>
      </c>
      <c r="I1046" s="21">
        <v>46568</v>
      </c>
      <c r="J1046" s="19" t="s">
        <v>2083</v>
      </c>
      <c r="L1046" s="19">
        <v>0</v>
      </c>
      <c r="M1046" s="19">
        <v>0</v>
      </c>
      <c r="N1046" s="19" t="s">
        <v>2394</v>
      </c>
      <c r="O1046" s="20">
        <v>3</v>
      </c>
      <c r="S1046" s="19" t="s">
        <v>20</v>
      </c>
      <c r="T1046" s="19" t="s">
        <v>1471</v>
      </c>
    </row>
    <row r="1047" spans="1:20">
      <c r="A1047" s="20">
        <v>202603329416241</v>
      </c>
      <c r="B1047" s="19" t="s">
        <v>20</v>
      </c>
      <c r="C1047" s="19" t="s">
        <v>21</v>
      </c>
      <c r="D1047" s="19" t="s">
        <v>20</v>
      </c>
      <c r="E1047" s="21">
        <v>46204</v>
      </c>
      <c r="F1047" s="21">
        <v>46568</v>
      </c>
      <c r="G1047" s="21"/>
      <c r="H1047" s="21">
        <v>46204</v>
      </c>
      <c r="I1047" s="21">
        <v>46568</v>
      </c>
      <c r="J1047" s="19" t="s">
        <v>2083</v>
      </c>
      <c r="L1047" s="19">
        <v>99.391890750000002</v>
      </c>
      <c r="M1047" s="19">
        <v>99.391890750000002</v>
      </c>
      <c r="N1047" s="19" t="s">
        <v>1475</v>
      </c>
      <c r="O1047" s="20">
        <v>3</v>
      </c>
      <c r="S1047" s="19" t="s">
        <v>20</v>
      </c>
      <c r="T1047" s="19" t="s">
        <v>1471</v>
      </c>
    </row>
    <row r="1048" spans="1:20">
      <c r="A1048" s="20">
        <v>202603329417270</v>
      </c>
      <c r="B1048" s="19" t="s">
        <v>20</v>
      </c>
      <c r="C1048" s="19" t="s">
        <v>21</v>
      </c>
      <c r="D1048" s="19" t="s">
        <v>20</v>
      </c>
      <c r="E1048" s="21">
        <v>46204</v>
      </c>
      <c r="F1048" s="21">
        <v>46568</v>
      </c>
      <c r="G1048" s="21"/>
      <c r="H1048" s="21">
        <v>46204</v>
      </c>
      <c r="I1048" s="21">
        <v>46568</v>
      </c>
      <c r="J1048" s="19" t="s">
        <v>2128</v>
      </c>
      <c r="L1048" s="19">
        <v>29.817561749999999</v>
      </c>
      <c r="M1048" s="19">
        <v>29.817561749999999</v>
      </c>
      <c r="N1048" s="19" t="s">
        <v>1475</v>
      </c>
      <c r="O1048" s="20">
        <v>1</v>
      </c>
      <c r="S1048" s="19" t="s">
        <v>20</v>
      </c>
      <c r="T1048" s="19" t="s">
        <v>1471</v>
      </c>
    </row>
    <row r="1049" spans="1:20">
      <c r="A1049" s="20">
        <v>202603329417719</v>
      </c>
      <c r="B1049" s="19" t="s">
        <v>20</v>
      </c>
      <c r="C1049" s="19" t="s">
        <v>21</v>
      </c>
      <c r="D1049" s="19" t="s">
        <v>20</v>
      </c>
      <c r="E1049" s="21">
        <v>46204</v>
      </c>
      <c r="F1049" s="21">
        <v>46568</v>
      </c>
      <c r="G1049" s="21"/>
      <c r="H1049" s="21">
        <v>46204</v>
      </c>
      <c r="I1049" s="21">
        <v>46568</v>
      </c>
      <c r="J1049" s="19" t="s">
        <v>2087</v>
      </c>
      <c r="L1049" s="19">
        <v>0</v>
      </c>
      <c r="M1049" s="19">
        <v>0</v>
      </c>
      <c r="N1049" s="19" t="s">
        <v>2394</v>
      </c>
      <c r="O1049" s="20">
        <v>2</v>
      </c>
      <c r="S1049" s="19" t="s">
        <v>20</v>
      </c>
      <c r="T1049" s="19" t="s">
        <v>1471</v>
      </c>
    </row>
    <row r="1050" spans="1:20">
      <c r="A1050" s="20">
        <v>202603329417719</v>
      </c>
      <c r="B1050" s="19" t="s">
        <v>20</v>
      </c>
      <c r="C1050" s="19" t="s">
        <v>21</v>
      </c>
      <c r="D1050" s="19" t="s">
        <v>20</v>
      </c>
      <c r="E1050" s="21">
        <v>46204</v>
      </c>
      <c r="F1050" s="21">
        <v>46568</v>
      </c>
      <c r="G1050" s="21"/>
      <c r="H1050" s="21">
        <v>46204</v>
      </c>
      <c r="I1050" s="21">
        <v>46568</v>
      </c>
      <c r="J1050" s="19" t="s">
        <v>2087</v>
      </c>
      <c r="L1050" s="19">
        <v>66.261260500000006</v>
      </c>
      <c r="M1050" s="19">
        <v>66.261260500000006</v>
      </c>
      <c r="N1050" s="19" t="s">
        <v>1475</v>
      </c>
      <c r="O1050" s="20">
        <v>2</v>
      </c>
      <c r="S1050" s="19" t="s">
        <v>20</v>
      </c>
      <c r="T1050" s="19" t="s">
        <v>1471</v>
      </c>
    </row>
    <row r="1051" spans="1:20">
      <c r="A1051" s="20">
        <v>202603329418892</v>
      </c>
      <c r="B1051" s="19" t="s">
        <v>20</v>
      </c>
      <c r="C1051" s="19" t="s">
        <v>21</v>
      </c>
      <c r="D1051" s="19" t="s">
        <v>20</v>
      </c>
      <c r="E1051" s="21">
        <v>46204</v>
      </c>
      <c r="F1051" s="21">
        <v>46568</v>
      </c>
      <c r="G1051" s="21"/>
      <c r="H1051" s="21">
        <v>46204</v>
      </c>
      <c r="I1051" s="21">
        <v>46568</v>
      </c>
      <c r="J1051" s="19" t="s">
        <v>2093</v>
      </c>
      <c r="L1051" s="19">
        <v>28.776034249999999</v>
      </c>
      <c r="M1051" s="19">
        <v>28.776034249999999</v>
      </c>
      <c r="N1051" s="19" t="s">
        <v>1475</v>
      </c>
      <c r="O1051" s="20">
        <v>1</v>
      </c>
      <c r="S1051" s="19" t="s">
        <v>20</v>
      </c>
      <c r="T1051" s="19" t="s">
        <v>1471</v>
      </c>
    </row>
    <row r="1052" spans="1:20">
      <c r="A1052" s="20">
        <v>202603329419464</v>
      </c>
      <c r="B1052" s="19" t="s">
        <v>20</v>
      </c>
      <c r="C1052" s="19" t="s">
        <v>21</v>
      </c>
      <c r="D1052" s="19" t="s">
        <v>20</v>
      </c>
      <c r="E1052" s="21">
        <v>46204</v>
      </c>
      <c r="F1052" s="21">
        <v>46568</v>
      </c>
      <c r="G1052" s="21"/>
      <c r="H1052" s="21">
        <v>46204</v>
      </c>
      <c r="I1052" s="21">
        <v>46568</v>
      </c>
      <c r="J1052" s="19" t="s">
        <v>2068</v>
      </c>
      <c r="L1052" s="19">
        <v>0</v>
      </c>
      <c r="M1052" s="19">
        <v>0</v>
      </c>
      <c r="N1052" s="19" t="s">
        <v>2394</v>
      </c>
      <c r="O1052" s="20">
        <v>5</v>
      </c>
      <c r="S1052" s="19" t="s">
        <v>20</v>
      </c>
      <c r="T1052" s="19" t="s">
        <v>1471</v>
      </c>
    </row>
    <row r="1053" spans="1:20">
      <c r="A1053" s="20">
        <v>202603329419464</v>
      </c>
      <c r="B1053" s="19" t="s">
        <v>20</v>
      </c>
      <c r="C1053" s="19" t="s">
        <v>21</v>
      </c>
      <c r="D1053" s="19" t="s">
        <v>20</v>
      </c>
      <c r="E1053" s="21">
        <v>46204</v>
      </c>
      <c r="F1053" s="21">
        <v>46568</v>
      </c>
      <c r="G1053" s="21"/>
      <c r="H1053" s="21">
        <v>46204</v>
      </c>
      <c r="I1053" s="21">
        <v>46568</v>
      </c>
      <c r="J1053" s="19" t="s">
        <v>2068</v>
      </c>
      <c r="L1053" s="19">
        <v>131.29342</v>
      </c>
      <c r="M1053" s="19">
        <v>131.29342</v>
      </c>
      <c r="N1053" s="19" t="s">
        <v>1475</v>
      </c>
      <c r="O1053" s="20">
        <v>5</v>
      </c>
      <c r="S1053" s="19" t="s">
        <v>20</v>
      </c>
      <c r="T1053" s="19" t="s">
        <v>1471</v>
      </c>
    </row>
    <row r="1054" spans="1:20">
      <c r="A1054" s="20">
        <v>202603329420142</v>
      </c>
      <c r="B1054" s="19" t="s">
        <v>20</v>
      </c>
      <c r="C1054" s="19" t="s">
        <v>21</v>
      </c>
      <c r="D1054" s="19" t="s">
        <v>20</v>
      </c>
      <c r="E1054" s="21">
        <v>46204</v>
      </c>
      <c r="F1054" s="21">
        <v>46568</v>
      </c>
      <c r="G1054" s="21"/>
      <c r="H1054" s="21">
        <v>46204</v>
      </c>
      <c r="I1054" s="21">
        <v>46568</v>
      </c>
      <c r="J1054" s="19" t="s">
        <v>2064</v>
      </c>
      <c r="L1054" s="19">
        <v>99.391890750000002</v>
      </c>
      <c r="M1054" s="19">
        <v>99.391890750000002</v>
      </c>
      <c r="N1054" s="19" t="s">
        <v>1475</v>
      </c>
      <c r="O1054" s="20">
        <v>3</v>
      </c>
      <c r="S1054" s="19" t="s">
        <v>20</v>
      </c>
      <c r="T1054" s="19" t="s">
        <v>1471</v>
      </c>
    </row>
    <row r="1055" spans="1:20">
      <c r="A1055" s="20">
        <v>202603329421119</v>
      </c>
      <c r="B1055" s="19" t="s">
        <v>20</v>
      </c>
      <c r="C1055" s="19" t="s">
        <v>21</v>
      </c>
      <c r="D1055" s="19" t="s">
        <v>20</v>
      </c>
      <c r="E1055" s="21">
        <v>46204</v>
      </c>
      <c r="F1055" s="21">
        <v>46568</v>
      </c>
      <c r="G1055" s="21"/>
      <c r="H1055" s="21">
        <v>46204</v>
      </c>
      <c r="I1055" s="21">
        <v>46568</v>
      </c>
      <c r="J1055" s="19" t="s">
        <v>2093</v>
      </c>
      <c r="L1055" s="19">
        <v>0</v>
      </c>
      <c r="M1055" s="19">
        <v>0</v>
      </c>
      <c r="N1055" s="19" t="s">
        <v>2394</v>
      </c>
      <c r="O1055" s="20">
        <v>4</v>
      </c>
      <c r="S1055" s="19" t="s">
        <v>20</v>
      </c>
      <c r="T1055" s="19" t="s">
        <v>1471</v>
      </c>
    </row>
    <row r="1056" spans="1:20">
      <c r="A1056" s="20">
        <v>202603329421119</v>
      </c>
      <c r="B1056" s="19" t="s">
        <v>20</v>
      </c>
      <c r="C1056" s="19" t="s">
        <v>21</v>
      </c>
      <c r="D1056" s="19" t="s">
        <v>20</v>
      </c>
      <c r="E1056" s="21">
        <v>46204</v>
      </c>
      <c r="F1056" s="21">
        <v>46568</v>
      </c>
      <c r="G1056" s="21"/>
      <c r="H1056" s="21">
        <v>46204</v>
      </c>
      <c r="I1056" s="21">
        <v>46568</v>
      </c>
      <c r="J1056" s="19" t="s">
        <v>2093</v>
      </c>
      <c r="L1056" s="19">
        <v>115.10413699999999</v>
      </c>
      <c r="M1056" s="19">
        <v>115.10413699999999</v>
      </c>
      <c r="N1056" s="19" t="s">
        <v>1475</v>
      </c>
      <c r="O1056" s="20">
        <v>4</v>
      </c>
      <c r="S1056" s="19" t="s">
        <v>20</v>
      </c>
      <c r="T1056" s="19" t="s">
        <v>1471</v>
      </c>
    </row>
    <row r="1057" spans="1:20">
      <c r="A1057" s="20">
        <v>202603329422625</v>
      </c>
      <c r="B1057" s="19" t="s">
        <v>20</v>
      </c>
      <c r="C1057" s="19" t="s">
        <v>21</v>
      </c>
      <c r="D1057" s="19" t="s">
        <v>20</v>
      </c>
      <c r="E1057" s="21">
        <v>46204</v>
      </c>
      <c r="F1057" s="21">
        <v>46568</v>
      </c>
      <c r="G1057" s="21"/>
      <c r="H1057" s="21">
        <v>46204</v>
      </c>
      <c r="I1057" s="21">
        <v>46568</v>
      </c>
      <c r="J1057" s="19" t="s">
        <v>2073</v>
      </c>
      <c r="L1057" s="19">
        <v>52.517367999999998</v>
      </c>
      <c r="M1057" s="19">
        <v>52.517367999999998</v>
      </c>
      <c r="N1057" s="19" t="s">
        <v>1475</v>
      </c>
      <c r="O1057" s="20">
        <v>2</v>
      </c>
      <c r="S1057" s="19" t="s">
        <v>20</v>
      </c>
      <c r="T1057" s="19" t="s">
        <v>1471</v>
      </c>
    </row>
    <row r="1058" spans="1:20">
      <c r="A1058" s="20">
        <v>202603329423281</v>
      </c>
      <c r="B1058" s="19" t="s">
        <v>20</v>
      </c>
      <c r="C1058" s="19" t="s">
        <v>21</v>
      </c>
      <c r="D1058" s="19" t="s">
        <v>20</v>
      </c>
      <c r="E1058" s="21">
        <v>46204</v>
      </c>
      <c r="F1058" s="21">
        <v>46568</v>
      </c>
      <c r="G1058" s="21"/>
      <c r="H1058" s="21">
        <v>46204</v>
      </c>
      <c r="I1058" s="21">
        <v>46568</v>
      </c>
      <c r="J1058" s="19" t="s">
        <v>2068</v>
      </c>
      <c r="L1058" s="19">
        <v>26.258683999999999</v>
      </c>
      <c r="M1058" s="19">
        <v>26.258683999999999</v>
      </c>
      <c r="N1058" s="19" t="s">
        <v>1475</v>
      </c>
      <c r="O1058" s="20">
        <v>1</v>
      </c>
      <c r="S1058" s="19" t="s">
        <v>20</v>
      </c>
      <c r="T1058" s="19" t="s">
        <v>1471</v>
      </c>
    </row>
    <row r="1059" spans="1:20">
      <c r="A1059" s="20">
        <v>202603329423452</v>
      </c>
      <c r="B1059" s="19" t="s">
        <v>20</v>
      </c>
      <c r="C1059" s="19" t="s">
        <v>21</v>
      </c>
      <c r="D1059" s="19" t="s">
        <v>20</v>
      </c>
      <c r="E1059" s="21">
        <v>46204</v>
      </c>
      <c r="F1059" s="21">
        <v>46568</v>
      </c>
      <c r="G1059" s="21"/>
      <c r="H1059" s="21">
        <v>46204</v>
      </c>
      <c r="I1059" s="21">
        <v>46568</v>
      </c>
      <c r="J1059" s="19" t="s">
        <v>2130</v>
      </c>
      <c r="L1059" s="19">
        <v>0</v>
      </c>
      <c r="M1059" s="19">
        <v>0</v>
      </c>
      <c r="N1059" s="19" t="s">
        <v>2394</v>
      </c>
      <c r="O1059" s="20">
        <v>5</v>
      </c>
      <c r="S1059" s="19" t="s">
        <v>20</v>
      </c>
      <c r="T1059" s="19" t="s">
        <v>1471</v>
      </c>
    </row>
    <row r="1060" spans="1:20">
      <c r="A1060" s="20">
        <v>202603329423452</v>
      </c>
      <c r="B1060" s="19" t="s">
        <v>20</v>
      </c>
      <c r="C1060" s="19" t="s">
        <v>21</v>
      </c>
      <c r="D1060" s="19" t="s">
        <v>20</v>
      </c>
      <c r="E1060" s="21">
        <v>46204</v>
      </c>
      <c r="F1060" s="21">
        <v>46568</v>
      </c>
      <c r="G1060" s="21"/>
      <c r="H1060" s="21">
        <v>46204</v>
      </c>
      <c r="I1060" s="21">
        <v>46568</v>
      </c>
      <c r="J1060" s="19" t="s">
        <v>2130</v>
      </c>
      <c r="L1060" s="19">
        <v>90.800411249999996</v>
      </c>
      <c r="M1060" s="19">
        <v>90.800411249999996</v>
      </c>
      <c r="N1060" s="19" t="s">
        <v>1475</v>
      </c>
      <c r="O1060" s="20">
        <v>5</v>
      </c>
      <c r="S1060" s="19" t="s">
        <v>20</v>
      </c>
      <c r="T1060" s="19" t="s">
        <v>1471</v>
      </c>
    </row>
    <row r="1061" spans="1:20">
      <c r="A1061" s="20">
        <v>202603329423455</v>
      </c>
      <c r="B1061" s="19" t="s">
        <v>20</v>
      </c>
      <c r="C1061" s="19" t="s">
        <v>21</v>
      </c>
      <c r="D1061" s="19" t="s">
        <v>20</v>
      </c>
      <c r="E1061" s="21">
        <v>46204</v>
      </c>
      <c r="F1061" s="21">
        <v>46568</v>
      </c>
      <c r="G1061" s="21"/>
      <c r="H1061" s="21">
        <v>46204</v>
      </c>
      <c r="I1061" s="21">
        <v>46568</v>
      </c>
      <c r="J1061" s="19" t="s">
        <v>2062</v>
      </c>
      <c r="L1061" s="19">
        <v>33.130630250000003</v>
      </c>
      <c r="M1061" s="19">
        <v>33.130630250000003</v>
      </c>
      <c r="N1061" s="19" t="s">
        <v>1475</v>
      </c>
      <c r="O1061" s="20">
        <v>1</v>
      </c>
      <c r="S1061" s="19" t="s">
        <v>20</v>
      </c>
      <c r="T1061" s="19" t="s">
        <v>1471</v>
      </c>
    </row>
    <row r="1062" spans="1:20">
      <c r="A1062" s="20">
        <v>202603329423551</v>
      </c>
      <c r="B1062" s="19" t="s">
        <v>20</v>
      </c>
      <c r="C1062" s="19" t="s">
        <v>21</v>
      </c>
      <c r="D1062" s="19" t="s">
        <v>20</v>
      </c>
      <c r="E1062" s="21">
        <v>46204</v>
      </c>
      <c r="F1062" s="21">
        <v>46568</v>
      </c>
      <c r="G1062" s="21"/>
      <c r="H1062" s="21">
        <v>46204</v>
      </c>
      <c r="I1062" s="21">
        <v>46568</v>
      </c>
      <c r="J1062" s="19" t="s">
        <v>2135</v>
      </c>
      <c r="L1062" s="19">
        <v>33.130630250000003</v>
      </c>
      <c r="M1062" s="19">
        <v>33.130630250000003</v>
      </c>
      <c r="N1062" s="19" t="s">
        <v>1475</v>
      </c>
      <c r="O1062" s="20">
        <v>1</v>
      </c>
      <c r="S1062" s="19" t="s">
        <v>20</v>
      </c>
      <c r="T1062" s="19" t="s">
        <v>1471</v>
      </c>
    </row>
    <row r="1063" spans="1:20">
      <c r="A1063" s="20">
        <v>202603329424959</v>
      </c>
      <c r="B1063" s="19" t="s">
        <v>20</v>
      </c>
      <c r="C1063" s="19" t="s">
        <v>21</v>
      </c>
      <c r="D1063" s="19" t="s">
        <v>20</v>
      </c>
      <c r="E1063" s="21">
        <v>46204</v>
      </c>
      <c r="F1063" s="21">
        <v>46568</v>
      </c>
      <c r="G1063" s="21"/>
      <c r="H1063" s="21">
        <v>46204</v>
      </c>
      <c r="I1063" s="21">
        <v>46568</v>
      </c>
      <c r="J1063" s="19" t="s">
        <v>2087</v>
      </c>
      <c r="L1063" s="19">
        <v>33.130630250000003</v>
      </c>
      <c r="M1063" s="19">
        <v>33.130630250000003</v>
      </c>
      <c r="N1063" s="19" t="s">
        <v>1475</v>
      </c>
      <c r="O1063" s="20">
        <v>1</v>
      </c>
      <c r="S1063" s="19" t="s">
        <v>20</v>
      </c>
      <c r="T1063" s="19" t="s">
        <v>1471</v>
      </c>
    </row>
    <row r="1064" spans="1:20">
      <c r="A1064" s="20">
        <v>202603329425104</v>
      </c>
      <c r="B1064" s="19" t="s">
        <v>20</v>
      </c>
      <c r="C1064" s="19" t="s">
        <v>21</v>
      </c>
      <c r="D1064" s="19" t="s">
        <v>20</v>
      </c>
      <c r="E1064" s="21">
        <v>46204</v>
      </c>
      <c r="F1064" s="21">
        <v>46568</v>
      </c>
      <c r="G1064" s="21"/>
      <c r="H1064" s="21">
        <v>46204</v>
      </c>
      <c r="I1064" s="21">
        <v>46568</v>
      </c>
      <c r="J1064" s="19" t="s">
        <v>2064</v>
      </c>
      <c r="L1064" s="19">
        <v>0</v>
      </c>
      <c r="M1064" s="19">
        <v>0</v>
      </c>
      <c r="N1064" s="19" t="s">
        <v>2394</v>
      </c>
      <c r="O1064" s="20">
        <v>7</v>
      </c>
      <c r="S1064" s="19" t="s">
        <v>20</v>
      </c>
      <c r="T1064" s="19" t="s">
        <v>1471</v>
      </c>
    </row>
    <row r="1065" spans="1:20">
      <c r="A1065" s="20">
        <v>202603329425104</v>
      </c>
      <c r="B1065" s="19" t="s">
        <v>20</v>
      </c>
      <c r="C1065" s="19" t="s">
        <v>21</v>
      </c>
      <c r="D1065" s="19" t="s">
        <v>20</v>
      </c>
      <c r="E1065" s="21">
        <v>46204</v>
      </c>
      <c r="F1065" s="21">
        <v>46568</v>
      </c>
      <c r="G1065" s="21"/>
      <c r="H1065" s="21">
        <v>46204</v>
      </c>
      <c r="I1065" s="21">
        <v>46568</v>
      </c>
      <c r="J1065" s="19" t="s">
        <v>2064</v>
      </c>
      <c r="L1065" s="19">
        <v>231.91441175</v>
      </c>
      <c r="M1065" s="19">
        <v>231.91441175</v>
      </c>
      <c r="N1065" s="19" t="s">
        <v>1475</v>
      </c>
      <c r="O1065" s="20">
        <v>7</v>
      </c>
      <c r="S1065" s="19" t="s">
        <v>20</v>
      </c>
      <c r="T1065" s="19" t="s">
        <v>1471</v>
      </c>
    </row>
    <row r="1066" spans="1:20">
      <c r="A1066" s="20">
        <v>202603329426294</v>
      </c>
      <c r="B1066" s="19" t="s">
        <v>20</v>
      </c>
      <c r="C1066" s="19" t="s">
        <v>21</v>
      </c>
      <c r="D1066" s="19" t="s">
        <v>20</v>
      </c>
      <c r="E1066" s="21">
        <v>46204</v>
      </c>
      <c r="F1066" s="21">
        <v>46568</v>
      </c>
      <c r="G1066" s="21"/>
      <c r="H1066" s="21">
        <v>46204</v>
      </c>
      <c r="I1066" s="21">
        <v>46568</v>
      </c>
      <c r="J1066" s="19" t="s">
        <v>2064</v>
      </c>
      <c r="L1066" s="19">
        <v>33.130630250000003</v>
      </c>
      <c r="M1066" s="19">
        <v>33.130630250000003</v>
      </c>
      <c r="N1066" s="19" t="s">
        <v>1475</v>
      </c>
      <c r="O1066" s="20">
        <v>1</v>
      </c>
      <c r="S1066" s="19" t="s">
        <v>20</v>
      </c>
      <c r="T1066" s="19" t="s">
        <v>1471</v>
      </c>
    </row>
    <row r="1067" spans="1:20">
      <c r="A1067" s="20">
        <v>202603329427647</v>
      </c>
      <c r="B1067" s="19" t="s">
        <v>20</v>
      </c>
      <c r="C1067" s="19" t="s">
        <v>21</v>
      </c>
      <c r="D1067" s="19" t="s">
        <v>20</v>
      </c>
      <c r="E1067" s="21">
        <v>46204</v>
      </c>
      <c r="F1067" s="21">
        <v>46568</v>
      </c>
      <c r="G1067" s="21"/>
      <c r="H1067" s="21">
        <v>46204</v>
      </c>
      <c r="I1067" s="21">
        <v>46568</v>
      </c>
      <c r="J1067" s="19" t="s">
        <v>2111</v>
      </c>
      <c r="L1067" s="19">
        <v>33.130630250000003</v>
      </c>
      <c r="M1067" s="19">
        <v>33.130630250000003</v>
      </c>
      <c r="N1067" s="19" t="s">
        <v>1475</v>
      </c>
      <c r="O1067" s="20">
        <v>1</v>
      </c>
      <c r="S1067" s="19" t="s">
        <v>20</v>
      </c>
      <c r="T1067" s="19" t="s">
        <v>1471</v>
      </c>
    </row>
    <row r="1068" spans="1:20">
      <c r="A1068" s="20">
        <v>202603329428152</v>
      </c>
      <c r="B1068" s="19" t="s">
        <v>20</v>
      </c>
      <c r="C1068" s="19" t="s">
        <v>21</v>
      </c>
      <c r="D1068" s="19" t="s">
        <v>20</v>
      </c>
      <c r="E1068" s="21">
        <v>46204</v>
      </c>
      <c r="F1068" s="21">
        <v>46568</v>
      </c>
      <c r="G1068" s="21"/>
      <c r="H1068" s="21">
        <v>46204</v>
      </c>
      <c r="I1068" s="21">
        <v>46568</v>
      </c>
      <c r="J1068" s="19" t="s">
        <v>2190</v>
      </c>
      <c r="L1068" s="19">
        <v>0</v>
      </c>
      <c r="M1068" s="19">
        <v>0</v>
      </c>
      <c r="N1068" s="19" t="s">
        <v>2394</v>
      </c>
      <c r="O1068" s="20">
        <v>3</v>
      </c>
      <c r="S1068" s="19" t="s">
        <v>20</v>
      </c>
      <c r="T1068" s="19" t="s">
        <v>1471</v>
      </c>
    </row>
    <row r="1069" spans="1:20">
      <c r="A1069" s="20">
        <v>202603329428152</v>
      </c>
      <c r="B1069" s="19" t="s">
        <v>20</v>
      </c>
      <c r="C1069" s="19" t="s">
        <v>21</v>
      </c>
      <c r="D1069" s="19" t="s">
        <v>2269</v>
      </c>
      <c r="E1069" s="21">
        <v>46204</v>
      </c>
      <c r="F1069" s="21">
        <v>46568</v>
      </c>
      <c r="G1069" s="21"/>
      <c r="H1069" s="21">
        <v>46204</v>
      </c>
      <c r="I1069" s="21">
        <v>46568</v>
      </c>
      <c r="J1069" s="19" t="s">
        <v>2190</v>
      </c>
      <c r="L1069" s="19">
        <v>99.391890750000002</v>
      </c>
      <c r="M1069" s="19">
        <v>99.391890750000002</v>
      </c>
      <c r="N1069" s="19" t="s">
        <v>1467</v>
      </c>
      <c r="O1069" s="20">
        <v>3</v>
      </c>
      <c r="S1069" s="19" t="s">
        <v>20</v>
      </c>
      <c r="T1069" s="19" t="s">
        <v>1471</v>
      </c>
    </row>
    <row r="1070" spans="1:20">
      <c r="A1070" s="20">
        <v>202603329428165</v>
      </c>
      <c r="B1070" s="19" t="s">
        <v>20</v>
      </c>
      <c r="C1070" s="19" t="s">
        <v>21</v>
      </c>
      <c r="D1070" s="19" t="s">
        <v>20</v>
      </c>
      <c r="E1070" s="21">
        <v>46204</v>
      </c>
      <c r="F1070" s="21">
        <v>46568</v>
      </c>
      <c r="G1070" s="21"/>
      <c r="H1070" s="21">
        <v>46204</v>
      </c>
      <c r="I1070" s="21">
        <v>46568</v>
      </c>
      <c r="J1070" s="19" t="s">
        <v>2087</v>
      </c>
      <c r="L1070" s="19">
        <v>66.261260500000006</v>
      </c>
      <c r="M1070" s="19">
        <v>66.261260500000006</v>
      </c>
      <c r="N1070" s="19" t="s">
        <v>1475</v>
      </c>
      <c r="O1070" s="20">
        <v>2</v>
      </c>
      <c r="S1070" s="19" t="s">
        <v>20</v>
      </c>
      <c r="T1070" s="19" t="s">
        <v>1471</v>
      </c>
    </row>
    <row r="1071" spans="1:20">
      <c r="A1071" s="20">
        <v>202603329429238</v>
      </c>
      <c r="B1071" s="19" t="s">
        <v>20</v>
      </c>
      <c r="C1071" s="19" t="s">
        <v>21</v>
      </c>
      <c r="D1071" s="19" t="s">
        <v>20</v>
      </c>
      <c r="E1071" s="21">
        <v>46204</v>
      </c>
      <c r="F1071" s="21">
        <v>46568</v>
      </c>
      <c r="G1071" s="21"/>
      <c r="H1071" s="21">
        <v>46204</v>
      </c>
      <c r="I1071" s="21">
        <v>46568</v>
      </c>
      <c r="J1071" s="19" t="s">
        <v>2078</v>
      </c>
      <c r="L1071" s="19">
        <v>0</v>
      </c>
      <c r="M1071" s="19">
        <v>0</v>
      </c>
      <c r="N1071" s="19" t="s">
        <v>2394</v>
      </c>
      <c r="O1071" s="20">
        <v>2</v>
      </c>
      <c r="S1071" s="19" t="s">
        <v>20</v>
      </c>
      <c r="T1071" s="19" t="s">
        <v>1471</v>
      </c>
    </row>
    <row r="1072" spans="1:20">
      <c r="A1072" s="20">
        <v>202603329429238</v>
      </c>
      <c r="B1072" s="19" t="s">
        <v>20</v>
      </c>
      <c r="C1072" s="19" t="s">
        <v>21</v>
      </c>
      <c r="D1072" s="19" t="s">
        <v>20</v>
      </c>
      <c r="E1072" s="21">
        <v>46204</v>
      </c>
      <c r="F1072" s="21">
        <v>46568</v>
      </c>
      <c r="G1072" s="21"/>
      <c r="H1072" s="21">
        <v>46204</v>
      </c>
      <c r="I1072" s="21">
        <v>46568</v>
      </c>
      <c r="J1072" s="19" t="s">
        <v>2078</v>
      </c>
      <c r="L1072" s="19">
        <v>42.731754500000001</v>
      </c>
      <c r="M1072" s="19">
        <v>42.731754500000001</v>
      </c>
      <c r="N1072" s="19" t="s">
        <v>1475</v>
      </c>
      <c r="O1072" s="20">
        <v>2</v>
      </c>
      <c r="S1072" s="19" t="s">
        <v>20</v>
      </c>
      <c r="T1072" s="19" t="s">
        <v>1471</v>
      </c>
    </row>
    <row r="1073" spans="1:20">
      <c r="A1073" s="20">
        <v>202603329430438</v>
      </c>
      <c r="B1073" s="19" t="s">
        <v>20</v>
      </c>
      <c r="C1073" s="19" t="s">
        <v>21</v>
      </c>
      <c r="D1073" s="19" t="s">
        <v>20</v>
      </c>
      <c r="E1073" s="21">
        <v>46204</v>
      </c>
      <c r="F1073" s="21">
        <v>46568</v>
      </c>
      <c r="G1073" s="21"/>
      <c r="H1073" s="21">
        <v>46204</v>
      </c>
      <c r="I1073" s="21">
        <v>46568</v>
      </c>
      <c r="J1073" s="19" t="s">
        <v>2209</v>
      </c>
      <c r="L1073" s="19">
        <v>66.261260500000006</v>
      </c>
      <c r="M1073" s="19">
        <v>66.261260500000006</v>
      </c>
      <c r="N1073" s="19" t="s">
        <v>1475</v>
      </c>
      <c r="O1073" s="20">
        <v>2</v>
      </c>
      <c r="S1073" s="19" t="s">
        <v>20</v>
      </c>
      <c r="T1073" s="19" t="s">
        <v>1471</v>
      </c>
    </row>
    <row r="1074" spans="1:20">
      <c r="A1074" s="20">
        <v>202603329431616</v>
      </c>
      <c r="B1074" s="19" t="s">
        <v>20</v>
      </c>
      <c r="C1074" s="19" t="s">
        <v>21</v>
      </c>
      <c r="D1074" s="19" t="s">
        <v>20</v>
      </c>
      <c r="E1074" s="21">
        <v>46204</v>
      </c>
      <c r="F1074" s="21">
        <v>46568</v>
      </c>
      <c r="G1074" s="21"/>
      <c r="H1074" s="21">
        <v>46204</v>
      </c>
      <c r="I1074" s="21">
        <v>46568</v>
      </c>
      <c r="J1074" s="19" t="s">
        <v>2130</v>
      </c>
      <c r="L1074" s="19">
        <v>0</v>
      </c>
      <c r="M1074" s="19">
        <v>0</v>
      </c>
      <c r="N1074" s="19" t="s">
        <v>2394</v>
      </c>
      <c r="O1074" s="20">
        <v>3</v>
      </c>
      <c r="S1074" s="19" t="s">
        <v>20</v>
      </c>
      <c r="T1074" s="19" t="s">
        <v>1471</v>
      </c>
    </row>
    <row r="1075" spans="1:20">
      <c r="A1075" s="20">
        <v>202603329431616</v>
      </c>
      <c r="B1075" s="19" t="s">
        <v>20</v>
      </c>
      <c r="C1075" s="19" t="s">
        <v>21</v>
      </c>
      <c r="D1075" s="19" t="s">
        <v>20</v>
      </c>
      <c r="E1075" s="21">
        <v>46204</v>
      </c>
      <c r="F1075" s="21">
        <v>46568</v>
      </c>
      <c r="G1075" s="21"/>
      <c r="H1075" s="21">
        <v>46204</v>
      </c>
      <c r="I1075" s="21">
        <v>46568</v>
      </c>
      <c r="J1075" s="19" t="s">
        <v>2130</v>
      </c>
      <c r="L1075" s="19">
        <v>54.480246749999999</v>
      </c>
      <c r="M1075" s="19">
        <v>54.480246749999999</v>
      </c>
      <c r="N1075" s="19" t="s">
        <v>1475</v>
      </c>
      <c r="O1075" s="20">
        <v>3</v>
      </c>
      <c r="S1075" s="19" t="s">
        <v>20</v>
      </c>
      <c r="T1075" s="19" t="s">
        <v>1471</v>
      </c>
    </row>
    <row r="1076" spans="1:20">
      <c r="A1076" s="20">
        <v>202603329431886</v>
      </c>
      <c r="B1076" s="19" t="s">
        <v>20</v>
      </c>
      <c r="C1076" s="19" t="s">
        <v>21</v>
      </c>
      <c r="D1076" s="19" t="s">
        <v>20</v>
      </c>
      <c r="E1076" s="21">
        <v>46204</v>
      </c>
      <c r="F1076" s="21">
        <v>46568</v>
      </c>
      <c r="G1076" s="21"/>
      <c r="H1076" s="21">
        <v>46204</v>
      </c>
      <c r="I1076" s="21">
        <v>46568</v>
      </c>
      <c r="J1076" s="19" t="s">
        <v>1465</v>
      </c>
      <c r="L1076" s="19">
        <v>36.320164499999997</v>
      </c>
      <c r="M1076" s="19">
        <v>36.320164499999997</v>
      </c>
      <c r="N1076" s="19" t="s">
        <v>1475</v>
      </c>
      <c r="O1076" s="20">
        <v>2</v>
      </c>
      <c r="S1076" s="19" t="s">
        <v>20</v>
      </c>
      <c r="T1076" s="19" t="s">
        <v>1471</v>
      </c>
    </row>
    <row r="1077" spans="1:20">
      <c r="A1077" s="20">
        <v>202603329432781</v>
      </c>
      <c r="B1077" s="19" t="s">
        <v>20</v>
      </c>
      <c r="C1077" s="19" t="s">
        <v>21</v>
      </c>
      <c r="D1077" s="19" t="s">
        <v>20</v>
      </c>
      <c r="E1077" s="21">
        <v>46204</v>
      </c>
      <c r="F1077" s="21">
        <v>46568</v>
      </c>
      <c r="G1077" s="21"/>
      <c r="H1077" s="21">
        <v>46204</v>
      </c>
      <c r="I1077" s="21">
        <v>46568</v>
      </c>
      <c r="J1077" s="19" t="s">
        <v>2064</v>
      </c>
      <c r="L1077" s="19">
        <v>33.130630250000003</v>
      </c>
      <c r="M1077" s="19">
        <v>33.130630250000003</v>
      </c>
      <c r="N1077" s="19" t="s">
        <v>1475</v>
      </c>
      <c r="O1077" s="20">
        <v>1</v>
      </c>
      <c r="S1077" s="19" t="s">
        <v>20</v>
      </c>
      <c r="T1077" s="19" t="s">
        <v>1471</v>
      </c>
    </row>
    <row r="1078" spans="1:20">
      <c r="A1078" s="20">
        <v>202603329433722</v>
      </c>
      <c r="B1078" s="19" t="s">
        <v>20</v>
      </c>
      <c r="C1078" s="19" t="s">
        <v>21</v>
      </c>
      <c r="D1078" s="19" t="s">
        <v>20</v>
      </c>
      <c r="E1078" s="21">
        <v>46204</v>
      </c>
      <c r="F1078" s="21">
        <v>46568</v>
      </c>
      <c r="G1078" s="21"/>
      <c r="H1078" s="21">
        <v>46204</v>
      </c>
      <c r="I1078" s="21">
        <v>46568</v>
      </c>
      <c r="J1078" s="19" t="s">
        <v>2064</v>
      </c>
      <c r="L1078" s="19">
        <v>33.130630250000003</v>
      </c>
      <c r="M1078" s="19">
        <v>33.130630250000003</v>
      </c>
      <c r="N1078" s="19" t="s">
        <v>1475</v>
      </c>
      <c r="O1078" s="20">
        <v>1</v>
      </c>
      <c r="S1078" s="19" t="s">
        <v>20</v>
      </c>
      <c r="T1078" s="19" t="s">
        <v>1471</v>
      </c>
    </row>
    <row r="1079" spans="1:20">
      <c r="A1079" s="20">
        <v>202603329434139</v>
      </c>
      <c r="B1079" s="19" t="s">
        <v>20</v>
      </c>
      <c r="C1079" s="19" t="s">
        <v>21</v>
      </c>
      <c r="D1079" s="19" t="s">
        <v>20</v>
      </c>
      <c r="E1079" s="21">
        <v>46204</v>
      </c>
      <c r="F1079" s="21">
        <v>46568</v>
      </c>
      <c r="G1079" s="21"/>
      <c r="H1079" s="21">
        <v>46204</v>
      </c>
      <c r="I1079" s="21">
        <v>46568</v>
      </c>
      <c r="J1079" s="19" t="s">
        <v>2159</v>
      </c>
      <c r="L1079" s="19">
        <v>0</v>
      </c>
      <c r="M1079" s="19">
        <v>0</v>
      </c>
      <c r="N1079" s="19" t="s">
        <v>2394</v>
      </c>
      <c r="O1079" s="20">
        <v>2</v>
      </c>
      <c r="S1079" s="19" t="s">
        <v>20</v>
      </c>
      <c r="T1079" s="19" t="s">
        <v>1471</v>
      </c>
    </row>
    <row r="1080" spans="1:20">
      <c r="A1080" s="20">
        <v>202603329434139</v>
      </c>
      <c r="B1080" s="19" t="s">
        <v>20</v>
      </c>
      <c r="C1080" s="19" t="s">
        <v>21</v>
      </c>
      <c r="D1080" s="19" t="s">
        <v>20</v>
      </c>
      <c r="E1080" s="21">
        <v>46204</v>
      </c>
      <c r="F1080" s="21">
        <v>46568</v>
      </c>
      <c r="G1080" s="21"/>
      <c r="H1080" s="21">
        <v>46204</v>
      </c>
      <c r="I1080" s="21">
        <v>46568</v>
      </c>
      <c r="J1080" s="19" t="s">
        <v>2159</v>
      </c>
      <c r="L1080" s="19">
        <v>66.261260500000006</v>
      </c>
      <c r="M1080" s="19">
        <v>66.261260500000006</v>
      </c>
      <c r="N1080" s="19" t="s">
        <v>1475</v>
      </c>
      <c r="O1080" s="20">
        <v>2</v>
      </c>
      <c r="S1080" s="19" t="s">
        <v>20</v>
      </c>
      <c r="T1080" s="19" t="s">
        <v>1471</v>
      </c>
    </row>
    <row r="1081" spans="1:20">
      <c r="A1081" s="20">
        <v>202603329434323</v>
      </c>
      <c r="B1081" s="19" t="s">
        <v>20</v>
      </c>
      <c r="C1081" s="19" t="s">
        <v>21</v>
      </c>
      <c r="D1081" s="19" t="s">
        <v>20</v>
      </c>
      <c r="E1081" s="21">
        <v>46204</v>
      </c>
      <c r="F1081" s="21">
        <v>46568</v>
      </c>
      <c r="G1081" s="21"/>
      <c r="H1081" s="21">
        <v>46204</v>
      </c>
      <c r="I1081" s="21">
        <v>46568</v>
      </c>
      <c r="J1081" s="19" t="s">
        <v>2093</v>
      </c>
      <c r="L1081" s="19">
        <v>0</v>
      </c>
      <c r="M1081" s="19">
        <v>0</v>
      </c>
      <c r="N1081" s="19" t="s">
        <v>2394</v>
      </c>
      <c r="O1081" s="20">
        <v>4</v>
      </c>
      <c r="S1081" s="19" t="s">
        <v>20</v>
      </c>
      <c r="T1081" s="19" t="s">
        <v>1471</v>
      </c>
    </row>
    <row r="1082" spans="1:20">
      <c r="A1082" s="20">
        <v>202603329434323</v>
      </c>
      <c r="B1082" s="19" t="s">
        <v>20</v>
      </c>
      <c r="C1082" s="19" t="s">
        <v>21</v>
      </c>
      <c r="D1082" s="19" t="s">
        <v>20</v>
      </c>
      <c r="E1082" s="21">
        <v>46204</v>
      </c>
      <c r="F1082" s="21">
        <v>46568</v>
      </c>
      <c r="G1082" s="21"/>
      <c r="H1082" s="21">
        <v>46204</v>
      </c>
      <c r="I1082" s="21">
        <v>46568</v>
      </c>
      <c r="J1082" s="19" t="s">
        <v>2093</v>
      </c>
      <c r="L1082" s="19">
        <v>115.10413699999999</v>
      </c>
      <c r="M1082" s="19">
        <v>115.10413699999999</v>
      </c>
      <c r="N1082" s="19" t="s">
        <v>1475</v>
      </c>
      <c r="O1082" s="20">
        <v>4</v>
      </c>
      <c r="S1082" s="19" t="s">
        <v>20</v>
      </c>
      <c r="T1082" s="19" t="s">
        <v>1471</v>
      </c>
    </row>
    <row r="1083" spans="1:20">
      <c r="A1083" s="20">
        <v>202603329436007</v>
      </c>
      <c r="B1083" s="19" t="s">
        <v>20</v>
      </c>
      <c r="C1083" s="19" t="s">
        <v>21</v>
      </c>
      <c r="D1083" s="19" t="s">
        <v>20</v>
      </c>
      <c r="E1083" s="21">
        <v>46204</v>
      </c>
      <c r="F1083" s="21">
        <v>46568</v>
      </c>
      <c r="G1083" s="21"/>
      <c r="H1083" s="21">
        <v>46204</v>
      </c>
      <c r="I1083" s="21">
        <v>46568</v>
      </c>
      <c r="J1083" s="19" t="s">
        <v>2085</v>
      </c>
      <c r="L1083" s="19">
        <v>0</v>
      </c>
      <c r="M1083" s="19">
        <v>0</v>
      </c>
      <c r="N1083" s="19" t="s">
        <v>2394</v>
      </c>
      <c r="O1083" s="20">
        <v>4</v>
      </c>
      <c r="S1083" s="19" t="s">
        <v>20</v>
      </c>
      <c r="T1083" s="19" t="s">
        <v>1471</v>
      </c>
    </row>
    <row r="1084" spans="1:20">
      <c r="A1084" s="20">
        <v>202603329436007</v>
      </c>
      <c r="B1084" s="19" t="s">
        <v>20</v>
      </c>
      <c r="C1084" s="19" t="s">
        <v>21</v>
      </c>
      <c r="D1084" s="19" t="s">
        <v>20</v>
      </c>
      <c r="E1084" s="21">
        <v>46204</v>
      </c>
      <c r="F1084" s="21">
        <v>46568</v>
      </c>
      <c r="G1084" s="21"/>
      <c r="H1084" s="21">
        <v>46204</v>
      </c>
      <c r="I1084" s="21">
        <v>46568</v>
      </c>
      <c r="J1084" s="19" t="s">
        <v>2085</v>
      </c>
      <c r="L1084" s="19">
        <v>98.482693999999995</v>
      </c>
      <c r="M1084" s="19">
        <v>98.482693999999995</v>
      </c>
      <c r="N1084" s="19" t="s">
        <v>1475</v>
      </c>
      <c r="O1084" s="20">
        <v>4</v>
      </c>
      <c r="S1084" s="19" t="s">
        <v>20</v>
      </c>
      <c r="T1084" s="19" t="s">
        <v>1471</v>
      </c>
    </row>
    <row r="1085" spans="1:20">
      <c r="A1085" s="20">
        <v>202603329438282</v>
      </c>
      <c r="B1085" s="19" t="s">
        <v>20</v>
      </c>
      <c r="C1085" s="19" t="s">
        <v>21</v>
      </c>
      <c r="D1085" s="19" t="s">
        <v>20</v>
      </c>
      <c r="E1085" s="21">
        <v>46204</v>
      </c>
      <c r="F1085" s="21">
        <v>46568</v>
      </c>
      <c r="G1085" s="21"/>
      <c r="H1085" s="21">
        <v>46204</v>
      </c>
      <c r="I1085" s="21">
        <v>46568</v>
      </c>
      <c r="J1085" s="19" t="s">
        <v>2086</v>
      </c>
      <c r="L1085" s="19">
        <v>33.130630250000003</v>
      </c>
      <c r="M1085" s="19">
        <v>33.130630250000003</v>
      </c>
      <c r="N1085" s="19" t="s">
        <v>1475</v>
      </c>
      <c r="O1085" s="20">
        <v>1</v>
      </c>
      <c r="S1085" s="19" t="s">
        <v>20</v>
      </c>
      <c r="T1085" s="19" t="s">
        <v>1471</v>
      </c>
    </row>
    <row r="1086" spans="1:20">
      <c r="A1086" s="20">
        <v>202603329439498</v>
      </c>
      <c r="B1086" s="19" t="s">
        <v>20</v>
      </c>
      <c r="C1086" s="19" t="s">
        <v>21</v>
      </c>
      <c r="D1086" s="19" t="s">
        <v>20</v>
      </c>
      <c r="E1086" s="21">
        <v>46204</v>
      </c>
      <c r="F1086" s="21">
        <v>46568</v>
      </c>
      <c r="G1086" s="21"/>
      <c r="H1086" s="21">
        <v>46204</v>
      </c>
      <c r="I1086" s="21">
        <v>46568</v>
      </c>
      <c r="J1086" s="19" t="s">
        <v>2153</v>
      </c>
      <c r="L1086" s="19">
        <v>23.968290750000001</v>
      </c>
      <c r="M1086" s="19">
        <v>23.968290750000001</v>
      </c>
      <c r="N1086" s="19" t="s">
        <v>1475</v>
      </c>
      <c r="O1086" s="20">
        <v>1</v>
      </c>
      <c r="S1086" s="19" t="s">
        <v>20</v>
      </c>
      <c r="T1086" s="19" t="s">
        <v>1471</v>
      </c>
    </row>
    <row r="1087" spans="1:20">
      <c r="A1087" s="20">
        <v>202603329439794</v>
      </c>
      <c r="B1087" s="19" t="s">
        <v>20</v>
      </c>
      <c r="C1087" s="19" t="s">
        <v>21</v>
      </c>
      <c r="D1087" s="19" t="s">
        <v>20</v>
      </c>
      <c r="E1087" s="21">
        <v>46204</v>
      </c>
      <c r="F1087" s="21">
        <v>46568</v>
      </c>
      <c r="G1087" s="21"/>
      <c r="H1087" s="21">
        <v>46204</v>
      </c>
      <c r="I1087" s="21">
        <v>46568</v>
      </c>
      <c r="J1087" s="19" t="s">
        <v>2268</v>
      </c>
      <c r="L1087" s="19">
        <v>29.817561749999999</v>
      </c>
      <c r="M1087" s="19">
        <v>29.817561749999999</v>
      </c>
      <c r="N1087" s="19" t="s">
        <v>1475</v>
      </c>
      <c r="O1087" s="20">
        <v>1</v>
      </c>
      <c r="S1087" s="19" t="s">
        <v>20</v>
      </c>
      <c r="T1087" s="19" t="s">
        <v>1471</v>
      </c>
    </row>
    <row r="1088" spans="1:20">
      <c r="A1088" s="20">
        <v>202603329441381</v>
      </c>
      <c r="B1088" s="19" t="s">
        <v>20</v>
      </c>
      <c r="C1088" s="19" t="s">
        <v>21</v>
      </c>
      <c r="D1088" s="19" t="s">
        <v>20</v>
      </c>
      <c r="E1088" s="21">
        <v>46204</v>
      </c>
      <c r="F1088" s="21">
        <v>46568</v>
      </c>
      <c r="G1088" s="21"/>
      <c r="H1088" s="21">
        <v>46204</v>
      </c>
      <c r="I1088" s="21">
        <v>46568</v>
      </c>
      <c r="J1088" s="19" t="s">
        <v>2086</v>
      </c>
      <c r="L1088" s="19">
        <v>33.130630250000003</v>
      </c>
      <c r="M1088" s="19">
        <v>33.130630250000003</v>
      </c>
      <c r="N1088" s="19" t="s">
        <v>1475</v>
      </c>
      <c r="O1088" s="20">
        <v>1</v>
      </c>
      <c r="S1088" s="19" t="s">
        <v>20</v>
      </c>
      <c r="T1088" s="19" t="s">
        <v>1471</v>
      </c>
    </row>
    <row r="1089" spans="1:20">
      <c r="A1089" s="20">
        <v>202603329441690</v>
      </c>
      <c r="B1089" s="19" t="s">
        <v>20</v>
      </c>
      <c r="C1089" s="19" t="s">
        <v>21</v>
      </c>
      <c r="D1089" s="19" t="s">
        <v>20</v>
      </c>
      <c r="E1089" s="21">
        <v>46204</v>
      </c>
      <c r="F1089" s="21">
        <v>46568</v>
      </c>
      <c r="G1089" s="21"/>
      <c r="H1089" s="21">
        <v>46204</v>
      </c>
      <c r="I1089" s="21">
        <v>46568</v>
      </c>
      <c r="J1089" s="19" t="s">
        <v>2064</v>
      </c>
      <c r="L1089" s="19">
        <v>33.130630250000003</v>
      </c>
      <c r="M1089" s="19">
        <v>33.130630250000003</v>
      </c>
      <c r="N1089" s="19" t="s">
        <v>1475</v>
      </c>
      <c r="O1089" s="20">
        <v>1</v>
      </c>
      <c r="S1089" s="19" t="s">
        <v>20</v>
      </c>
      <c r="T1089" s="19" t="s">
        <v>1471</v>
      </c>
    </row>
    <row r="1090" spans="1:20">
      <c r="A1090" s="20">
        <v>202603329443133</v>
      </c>
      <c r="B1090" s="19" t="s">
        <v>20</v>
      </c>
      <c r="C1090" s="19" t="s">
        <v>21</v>
      </c>
      <c r="D1090" s="19" t="s">
        <v>20</v>
      </c>
      <c r="E1090" s="21">
        <v>46204</v>
      </c>
      <c r="F1090" s="21">
        <v>46568</v>
      </c>
      <c r="G1090" s="21"/>
      <c r="H1090" s="21">
        <v>46204</v>
      </c>
      <c r="I1090" s="21">
        <v>46568</v>
      </c>
      <c r="J1090" s="19" t="s">
        <v>2270</v>
      </c>
      <c r="L1090" s="19">
        <v>18.3002605</v>
      </c>
      <c r="M1090" s="19">
        <v>18.3002605</v>
      </c>
      <c r="N1090" s="19" t="s">
        <v>1475</v>
      </c>
      <c r="O1090" s="20">
        <v>1</v>
      </c>
      <c r="S1090" s="19" t="s">
        <v>20</v>
      </c>
      <c r="T1090" s="19" t="s">
        <v>1471</v>
      </c>
    </row>
    <row r="1091" spans="1:20">
      <c r="A1091" s="20">
        <v>202603329444828</v>
      </c>
      <c r="B1091" s="19" t="s">
        <v>20</v>
      </c>
      <c r="C1091" s="19" t="s">
        <v>21</v>
      </c>
      <c r="D1091" s="19" t="s">
        <v>2271</v>
      </c>
      <c r="E1091" s="21">
        <v>46204</v>
      </c>
      <c r="F1091" s="21">
        <v>46568</v>
      </c>
      <c r="G1091" s="21"/>
      <c r="H1091" s="21">
        <v>46204</v>
      </c>
      <c r="I1091" s="21">
        <v>46568</v>
      </c>
      <c r="J1091" s="19" t="s">
        <v>2069</v>
      </c>
      <c r="L1091" s="19">
        <v>33.130630250000003</v>
      </c>
      <c r="M1091" s="19">
        <v>33.130630250000003</v>
      </c>
      <c r="N1091" s="19" t="s">
        <v>1467</v>
      </c>
      <c r="O1091" s="20">
        <v>1</v>
      </c>
      <c r="S1091" s="19" t="s">
        <v>20</v>
      </c>
      <c r="T1091" s="19" t="s">
        <v>1471</v>
      </c>
    </row>
    <row r="1092" spans="1:20">
      <c r="A1092" s="20">
        <v>202603329445534</v>
      </c>
      <c r="B1092" s="19" t="s">
        <v>20</v>
      </c>
      <c r="C1092" s="19" t="s">
        <v>21</v>
      </c>
      <c r="D1092" s="19" t="s">
        <v>20</v>
      </c>
      <c r="E1092" s="21">
        <v>46204</v>
      </c>
      <c r="F1092" s="21">
        <v>46568</v>
      </c>
      <c r="G1092" s="21"/>
      <c r="H1092" s="21">
        <v>46204</v>
      </c>
      <c r="I1092" s="21">
        <v>46568</v>
      </c>
      <c r="J1092" s="19" t="s">
        <v>2064</v>
      </c>
      <c r="L1092" s="19">
        <v>33.130630250000003</v>
      </c>
      <c r="M1092" s="19">
        <v>33.130630250000003</v>
      </c>
      <c r="N1092" s="19" t="s">
        <v>1475</v>
      </c>
      <c r="O1092" s="20">
        <v>1</v>
      </c>
      <c r="S1092" s="19" t="s">
        <v>20</v>
      </c>
      <c r="T1092" s="19" t="s">
        <v>1471</v>
      </c>
    </row>
    <row r="1093" spans="1:20">
      <c r="A1093" s="20">
        <v>202603329446418</v>
      </c>
      <c r="B1093" s="19" t="s">
        <v>20</v>
      </c>
      <c r="C1093" s="19" t="s">
        <v>21</v>
      </c>
      <c r="D1093" s="19" t="s">
        <v>20</v>
      </c>
      <c r="E1093" s="21">
        <v>46204</v>
      </c>
      <c r="F1093" s="21">
        <v>46568</v>
      </c>
      <c r="G1093" s="21"/>
      <c r="H1093" s="21">
        <v>46204</v>
      </c>
      <c r="I1093" s="21">
        <v>46568</v>
      </c>
      <c r="J1093" s="19" t="s">
        <v>1473</v>
      </c>
      <c r="L1093" s="19">
        <v>0</v>
      </c>
      <c r="M1093" s="19">
        <v>0</v>
      </c>
      <c r="N1093" s="19" t="s">
        <v>2394</v>
      </c>
      <c r="O1093" s="20">
        <v>7</v>
      </c>
      <c r="S1093" s="19" t="s">
        <v>20</v>
      </c>
      <c r="T1093" s="19" t="s">
        <v>1471</v>
      </c>
    </row>
    <row r="1094" spans="1:20">
      <c r="A1094" s="20">
        <v>202603329446418</v>
      </c>
      <c r="B1094" s="19" t="s">
        <v>20</v>
      </c>
      <c r="C1094" s="19" t="s">
        <v>21</v>
      </c>
      <c r="D1094" s="19" t="s">
        <v>20</v>
      </c>
      <c r="E1094" s="21">
        <v>46204</v>
      </c>
      <c r="F1094" s="21">
        <v>46568</v>
      </c>
      <c r="G1094" s="21"/>
      <c r="H1094" s="21">
        <v>46204</v>
      </c>
      <c r="I1094" s="21">
        <v>46568</v>
      </c>
      <c r="J1094" s="19" t="s">
        <v>1473</v>
      </c>
      <c r="L1094" s="19">
        <v>172.34471450000001</v>
      </c>
      <c r="M1094" s="19">
        <v>172.34471450000001</v>
      </c>
      <c r="N1094" s="19" t="s">
        <v>1475</v>
      </c>
      <c r="O1094" s="20">
        <v>7</v>
      </c>
      <c r="S1094" s="19" t="s">
        <v>20</v>
      </c>
      <c r="T1094" s="19" t="s">
        <v>1471</v>
      </c>
    </row>
    <row r="1095" spans="1:20">
      <c r="A1095" s="20">
        <v>202603329447197</v>
      </c>
      <c r="B1095" s="19" t="s">
        <v>20</v>
      </c>
      <c r="C1095" s="19" t="s">
        <v>21</v>
      </c>
      <c r="D1095" s="19" t="s">
        <v>20</v>
      </c>
      <c r="E1095" s="21">
        <v>46204</v>
      </c>
      <c r="F1095" s="21">
        <v>46568</v>
      </c>
      <c r="G1095" s="21"/>
      <c r="H1095" s="21">
        <v>46204</v>
      </c>
      <c r="I1095" s="21">
        <v>46568</v>
      </c>
      <c r="J1095" s="19" t="s">
        <v>2066</v>
      </c>
      <c r="L1095" s="19">
        <v>0</v>
      </c>
      <c r="M1095" s="19">
        <v>0</v>
      </c>
      <c r="N1095" s="19" t="s">
        <v>2394</v>
      </c>
      <c r="O1095" s="20">
        <v>4</v>
      </c>
      <c r="S1095" s="19" t="s">
        <v>20</v>
      </c>
      <c r="T1095" s="19" t="s">
        <v>1471</v>
      </c>
    </row>
    <row r="1096" spans="1:20">
      <c r="A1096" s="20">
        <v>202603329447197</v>
      </c>
      <c r="B1096" s="19" t="s">
        <v>20</v>
      </c>
      <c r="C1096" s="19" t="s">
        <v>21</v>
      </c>
      <c r="D1096" s="19" t="s">
        <v>20</v>
      </c>
      <c r="E1096" s="21">
        <v>46204</v>
      </c>
      <c r="F1096" s="21">
        <v>46568</v>
      </c>
      <c r="G1096" s="21"/>
      <c r="H1096" s="21">
        <v>46204</v>
      </c>
      <c r="I1096" s="21">
        <v>46568</v>
      </c>
      <c r="J1096" s="19" t="s">
        <v>2066</v>
      </c>
      <c r="L1096" s="19">
        <v>132.52252100000001</v>
      </c>
      <c r="M1096" s="19">
        <v>132.52252100000001</v>
      </c>
      <c r="N1096" s="19" t="s">
        <v>1475</v>
      </c>
      <c r="O1096" s="20">
        <v>4</v>
      </c>
      <c r="S1096" s="19" t="s">
        <v>20</v>
      </c>
      <c r="T1096" s="19" t="s">
        <v>1471</v>
      </c>
    </row>
    <row r="1097" spans="1:20">
      <c r="A1097" s="20">
        <v>202603329448751</v>
      </c>
      <c r="B1097" s="19" t="s">
        <v>20</v>
      </c>
      <c r="C1097" s="19" t="s">
        <v>21</v>
      </c>
      <c r="D1097" s="19" t="s">
        <v>20</v>
      </c>
      <c r="E1097" s="21">
        <v>46204</v>
      </c>
      <c r="F1097" s="21">
        <v>46568</v>
      </c>
      <c r="G1097" s="21"/>
      <c r="H1097" s="21">
        <v>46204</v>
      </c>
      <c r="I1097" s="21">
        <v>46568</v>
      </c>
      <c r="J1097" s="19" t="s">
        <v>2087</v>
      </c>
      <c r="L1097" s="19">
        <v>33.130630250000003</v>
      </c>
      <c r="M1097" s="19">
        <v>33.130630250000003</v>
      </c>
      <c r="N1097" s="19" t="s">
        <v>1475</v>
      </c>
      <c r="O1097" s="20">
        <v>1</v>
      </c>
      <c r="S1097" s="19" t="s">
        <v>20</v>
      </c>
      <c r="T1097" s="19" t="s">
        <v>1471</v>
      </c>
    </row>
    <row r="1098" spans="1:20">
      <c r="A1098" s="20">
        <v>202603329451039</v>
      </c>
      <c r="B1098" s="19" t="s">
        <v>20</v>
      </c>
      <c r="C1098" s="19" t="s">
        <v>21</v>
      </c>
      <c r="D1098" s="19" t="s">
        <v>20</v>
      </c>
      <c r="E1098" s="21">
        <v>46204</v>
      </c>
      <c r="F1098" s="21">
        <v>46568</v>
      </c>
      <c r="G1098" s="21"/>
      <c r="H1098" s="21">
        <v>46204</v>
      </c>
      <c r="I1098" s="21">
        <v>46568</v>
      </c>
      <c r="J1098" s="19" t="s">
        <v>2104</v>
      </c>
      <c r="L1098" s="19">
        <v>0</v>
      </c>
      <c r="M1098" s="19">
        <v>0</v>
      </c>
      <c r="N1098" s="19" t="s">
        <v>2394</v>
      </c>
      <c r="O1098" s="20">
        <v>4</v>
      </c>
      <c r="S1098" s="19" t="s">
        <v>20</v>
      </c>
      <c r="T1098" s="19" t="s">
        <v>1471</v>
      </c>
    </row>
    <row r="1099" spans="1:20">
      <c r="A1099" s="20">
        <v>202603329451039</v>
      </c>
      <c r="B1099" s="19" t="s">
        <v>20</v>
      </c>
      <c r="C1099" s="19" t="s">
        <v>21</v>
      </c>
      <c r="D1099" s="19" t="s">
        <v>20</v>
      </c>
      <c r="E1099" s="21">
        <v>46204</v>
      </c>
      <c r="F1099" s="21">
        <v>46568</v>
      </c>
      <c r="G1099" s="21"/>
      <c r="H1099" s="21">
        <v>46204</v>
      </c>
      <c r="I1099" s="21">
        <v>46568</v>
      </c>
      <c r="J1099" s="19" t="s">
        <v>2104</v>
      </c>
      <c r="L1099" s="19">
        <v>132.52252100000001</v>
      </c>
      <c r="M1099" s="19">
        <v>132.52252100000001</v>
      </c>
      <c r="N1099" s="19" t="s">
        <v>1475</v>
      </c>
      <c r="O1099" s="20">
        <v>4</v>
      </c>
      <c r="S1099" s="19" t="s">
        <v>20</v>
      </c>
      <c r="T1099" s="19" t="s">
        <v>1471</v>
      </c>
    </row>
    <row r="1100" spans="1:20">
      <c r="A1100" s="20">
        <v>202603329451059</v>
      </c>
      <c r="B1100" s="19" t="s">
        <v>20</v>
      </c>
      <c r="C1100" s="19" t="s">
        <v>21</v>
      </c>
      <c r="D1100" s="19" t="s">
        <v>20</v>
      </c>
      <c r="E1100" s="21">
        <v>46204</v>
      </c>
      <c r="F1100" s="21">
        <v>46568</v>
      </c>
      <c r="G1100" s="21"/>
      <c r="H1100" s="21">
        <v>46204</v>
      </c>
      <c r="I1100" s="21">
        <v>46568</v>
      </c>
      <c r="J1100" s="19" t="s">
        <v>2272</v>
      </c>
      <c r="L1100" s="19">
        <v>0</v>
      </c>
      <c r="M1100" s="19">
        <v>0</v>
      </c>
      <c r="N1100" s="19" t="s">
        <v>2394</v>
      </c>
      <c r="O1100" s="20">
        <v>5</v>
      </c>
      <c r="S1100" s="19" t="s">
        <v>20</v>
      </c>
      <c r="T1100" s="19" t="s">
        <v>1471</v>
      </c>
    </row>
    <row r="1101" spans="1:20">
      <c r="A1101" s="20">
        <v>202603329451059</v>
      </c>
      <c r="B1101" s="19" t="s">
        <v>20</v>
      </c>
      <c r="C1101" s="19" t="s">
        <v>21</v>
      </c>
      <c r="D1101" s="19" t="s">
        <v>20</v>
      </c>
      <c r="E1101" s="21">
        <v>46204</v>
      </c>
      <c r="F1101" s="21">
        <v>46568</v>
      </c>
      <c r="G1101" s="21"/>
      <c r="H1101" s="21">
        <v>46204</v>
      </c>
      <c r="I1101" s="21">
        <v>46568</v>
      </c>
      <c r="J1101" s="19" t="s">
        <v>2272</v>
      </c>
      <c r="L1101" s="19">
        <v>165.65315125000001</v>
      </c>
      <c r="M1101" s="19">
        <v>165.65315125000001</v>
      </c>
      <c r="N1101" s="19" t="s">
        <v>1475</v>
      </c>
      <c r="O1101" s="20">
        <v>5</v>
      </c>
      <c r="S1101" s="19" t="s">
        <v>20</v>
      </c>
      <c r="T1101" s="19" t="s">
        <v>1471</v>
      </c>
    </row>
    <row r="1102" spans="1:20">
      <c r="A1102" s="20">
        <v>202603329453212</v>
      </c>
      <c r="B1102" s="19" t="s">
        <v>20</v>
      </c>
      <c r="C1102" s="19" t="s">
        <v>21</v>
      </c>
      <c r="D1102" s="19" t="s">
        <v>20</v>
      </c>
      <c r="E1102" s="21">
        <v>46204</v>
      </c>
      <c r="F1102" s="21">
        <v>46568</v>
      </c>
      <c r="G1102" s="21"/>
      <c r="H1102" s="21">
        <v>46204</v>
      </c>
      <c r="I1102" s="21">
        <v>46568</v>
      </c>
      <c r="J1102" s="19" t="s">
        <v>2164</v>
      </c>
      <c r="L1102" s="19">
        <v>59.863540499999999</v>
      </c>
      <c r="M1102" s="19">
        <v>59.863540499999999</v>
      </c>
      <c r="N1102" s="19" t="s">
        <v>1475</v>
      </c>
      <c r="O1102" s="20">
        <v>2</v>
      </c>
      <c r="S1102" s="19" t="s">
        <v>20</v>
      </c>
      <c r="T1102" s="19" t="s">
        <v>1471</v>
      </c>
    </row>
    <row r="1103" spans="1:20">
      <c r="A1103" s="20">
        <v>202603329454332</v>
      </c>
      <c r="B1103" s="19" t="s">
        <v>20</v>
      </c>
      <c r="C1103" s="19" t="s">
        <v>21</v>
      </c>
      <c r="D1103" s="19" t="s">
        <v>20</v>
      </c>
      <c r="E1103" s="21">
        <v>46204</v>
      </c>
      <c r="F1103" s="21">
        <v>46568</v>
      </c>
      <c r="G1103" s="21"/>
      <c r="H1103" s="21">
        <v>46204</v>
      </c>
      <c r="I1103" s="21">
        <v>46568</v>
      </c>
      <c r="J1103" s="19" t="s">
        <v>2151</v>
      </c>
      <c r="L1103" s="19">
        <v>33.130630250000003</v>
      </c>
      <c r="M1103" s="19">
        <v>33.130630250000003</v>
      </c>
      <c r="N1103" s="19" t="s">
        <v>1475</v>
      </c>
      <c r="O1103" s="20">
        <v>1</v>
      </c>
      <c r="S1103" s="19" t="s">
        <v>20</v>
      </c>
      <c r="T1103" s="19" t="s">
        <v>1471</v>
      </c>
    </row>
    <row r="1104" spans="1:20">
      <c r="A1104" s="20">
        <v>202603329455910</v>
      </c>
      <c r="B1104" s="19" t="s">
        <v>20</v>
      </c>
      <c r="C1104" s="19" t="s">
        <v>21</v>
      </c>
      <c r="D1104" s="19" t="s">
        <v>20</v>
      </c>
      <c r="E1104" s="21">
        <v>46204</v>
      </c>
      <c r="F1104" s="21">
        <v>46568</v>
      </c>
      <c r="G1104" s="21"/>
      <c r="H1104" s="21">
        <v>46204</v>
      </c>
      <c r="I1104" s="21">
        <v>46568</v>
      </c>
      <c r="J1104" s="19" t="s">
        <v>2087</v>
      </c>
      <c r="L1104" s="19">
        <v>0</v>
      </c>
      <c r="M1104" s="19">
        <v>0</v>
      </c>
      <c r="N1104" s="19" t="s">
        <v>2394</v>
      </c>
      <c r="O1104" s="20">
        <v>2</v>
      </c>
      <c r="S1104" s="19" t="s">
        <v>20</v>
      </c>
      <c r="T1104" s="19" t="s">
        <v>1471</v>
      </c>
    </row>
    <row r="1105" spans="1:20">
      <c r="A1105" s="20">
        <v>202603329455910</v>
      </c>
      <c r="B1105" s="19" t="s">
        <v>20</v>
      </c>
      <c r="C1105" s="19" t="s">
        <v>21</v>
      </c>
      <c r="D1105" s="19" t="s">
        <v>20</v>
      </c>
      <c r="E1105" s="21">
        <v>46204</v>
      </c>
      <c r="F1105" s="21">
        <v>46568</v>
      </c>
      <c r="G1105" s="21"/>
      <c r="H1105" s="21">
        <v>46204</v>
      </c>
      <c r="I1105" s="21">
        <v>46568</v>
      </c>
      <c r="J1105" s="19" t="s">
        <v>2087</v>
      </c>
      <c r="L1105" s="19">
        <v>66.261260500000006</v>
      </c>
      <c r="M1105" s="19">
        <v>66.261260500000006</v>
      </c>
      <c r="N1105" s="19" t="s">
        <v>1475</v>
      </c>
      <c r="O1105" s="20">
        <v>2</v>
      </c>
      <c r="S1105" s="19" t="s">
        <v>20</v>
      </c>
      <c r="T1105" s="19" t="s">
        <v>1471</v>
      </c>
    </row>
    <row r="1106" spans="1:20">
      <c r="A1106" s="20">
        <v>202603329456572</v>
      </c>
      <c r="B1106" s="19" t="s">
        <v>20</v>
      </c>
      <c r="C1106" s="19" t="s">
        <v>21</v>
      </c>
      <c r="D1106" s="19" t="s">
        <v>20</v>
      </c>
      <c r="E1106" s="21">
        <v>46204</v>
      </c>
      <c r="F1106" s="21">
        <v>46568</v>
      </c>
      <c r="G1106" s="21"/>
      <c r="H1106" s="21">
        <v>46204</v>
      </c>
      <c r="I1106" s="21">
        <v>46568</v>
      </c>
      <c r="J1106" s="19" t="s">
        <v>2182</v>
      </c>
      <c r="L1106" s="19">
        <v>0</v>
      </c>
      <c r="M1106" s="19">
        <v>0</v>
      </c>
      <c r="N1106" s="19" t="s">
        <v>2394</v>
      </c>
      <c r="O1106" s="20">
        <v>4</v>
      </c>
      <c r="S1106" s="19" t="s">
        <v>20</v>
      </c>
      <c r="T1106" s="19" t="s">
        <v>1471</v>
      </c>
    </row>
    <row r="1107" spans="1:20">
      <c r="A1107" s="20">
        <v>202603329456572</v>
      </c>
      <c r="B1107" s="19" t="s">
        <v>20</v>
      </c>
      <c r="C1107" s="19" t="s">
        <v>21</v>
      </c>
      <c r="D1107" s="19" t="s">
        <v>2273</v>
      </c>
      <c r="E1107" s="21">
        <v>46204</v>
      </c>
      <c r="F1107" s="21">
        <v>46568</v>
      </c>
      <c r="G1107" s="21"/>
      <c r="H1107" s="21">
        <v>46204</v>
      </c>
      <c r="I1107" s="21">
        <v>46568</v>
      </c>
      <c r="J1107" s="19" t="s">
        <v>2182</v>
      </c>
      <c r="L1107" s="19">
        <v>95.873163000000005</v>
      </c>
      <c r="M1107" s="19">
        <v>95.873163000000005</v>
      </c>
      <c r="N1107" s="19" t="s">
        <v>1467</v>
      </c>
      <c r="O1107" s="20">
        <v>4</v>
      </c>
      <c r="S1107" s="19" t="s">
        <v>20</v>
      </c>
      <c r="T1107" s="19" t="s">
        <v>1471</v>
      </c>
    </row>
    <row r="1108" spans="1:20">
      <c r="A1108" s="20">
        <v>202603329457058</v>
      </c>
      <c r="B1108" s="19" t="s">
        <v>20</v>
      </c>
      <c r="C1108" s="19" t="s">
        <v>21</v>
      </c>
      <c r="D1108" s="19" t="s">
        <v>20</v>
      </c>
      <c r="E1108" s="21">
        <v>46204</v>
      </c>
      <c r="F1108" s="21">
        <v>46568</v>
      </c>
      <c r="G1108" s="21"/>
      <c r="H1108" s="21">
        <v>46204</v>
      </c>
      <c r="I1108" s="21">
        <v>46568</v>
      </c>
      <c r="J1108" s="19" t="s">
        <v>2274</v>
      </c>
      <c r="L1108" s="19">
        <v>0</v>
      </c>
      <c r="M1108" s="19">
        <v>0</v>
      </c>
      <c r="N1108" s="19" t="s">
        <v>2394</v>
      </c>
      <c r="O1108" s="20">
        <v>6</v>
      </c>
      <c r="S1108" s="19" t="s">
        <v>20</v>
      </c>
      <c r="T1108" s="19" t="s">
        <v>1471</v>
      </c>
    </row>
    <row r="1109" spans="1:20">
      <c r="A1109" s="20">
        <v>202603329457058</v>
      </c>
      <c r="B1109" s="19" t="s">
        <v>20</v>
      </c>
      <c r="C1109" s="19" t="s">
        <v>21</v>
      </c>
      <c r="D1109" s="19" t="s">
        <v>2275</v>
      </c>
      <c r="E1109" s="21">
        <v>46204</v>
      </c>
      <c r="F1109" s="21">
        <v>46568</v>
      </c>
      <c r="G1109" s="21"/>
      <c r="H1109" s="21">
        <v>46204</v>
      </c>
      <c r="I1109" s="21">
        <v>46568</v>
      </c>
      <c r="J1109" s="19" t="s">
        <v>2274</v>
      </c>
      <c r="L1109" s="19">
        <v>231.95735400000001</v>
      </c>
      <c r="M1109" s="19">
        <v>231.95735400000001</v>
      </c>
      <c r="N1109" s="19" t="s">
        <v>1467</v>
      </c>
      <c r="O1109" s="20">
        <v>6</v>
      </c>
      <c r="S1109" s="19" t="s">
        <v>20</v>
      </c>
      <c r="T1109" s="19" t="s">
        <v>1471</v>
      </c>
    </row>
    <row r="1110" spans="1:20">
      <c r="A1110" s="20">
        <v>202603329458126</v>
      </c>
      <c r="B1110" s="19" t="s">
        <v>20</v>
      </c>
      <c r="C1110" s="19" t="s">
        <v>21</v>
      </c>
      <c r="D1110" s="19" t="s">
        <v>20</v>
      </c>
      <c r="E1110" s="21">
        <v>46204</v>
      </c>
      <c r="F1110" s="21">
        <v>46568</v>
      </c>
      <c r="G1110" s="21"/>
      <c r="H1110" s="21">
        <v>46204</v>
      </c>
      <c r="I1110" s="21">
        <v>46568</v>
      </c>
      <c r="J1110" s="19" t="s">
        <v>2104</v>
      </c>
      <c r="L1110" s="19">
        <v>33.130630250000003</v>
      </c>
      <c r="M1110" s="19">
        <v>33.130630250000003</v>
      </c>
      <c r="N1110" s="19" t="s">
        <v>1475</v>
      </c>
      <c r="O1110" s="20">
        <v>1</v>
      </c>
      <c r="S1110" s="19" t="s">
        <v>20</v>
      </c>
      <c r="T1110" s="19" t="s">
        <v>1471</v>
      </c>
    </row>
    <row r="1111" spans="1:20">
      <c r="A1111" s="20">
        <v>202603329459250</v>
      </c>
      <c r="B1111" s="19" t="s">
        <v>20</v>
      </c>
      <c r="C1111" s="19" t="s">
        <v>21</v>
      </c>
      <c r="D1111" s="19" t="s">
        <v>20</v>
      </c>
      <c r="E1111" s="21">
        <v>46204</v>
      </c>
      <c r="F1111" s="21">
        <v>46568</v>
      </c>
      <c r="G1111" s="21"/>
      <c r="H1111" s="21">
        <v>46204</v>
      </c>
      <c r="I1111" s="21">
        <v>46568</v>
      </c>
      <c r="J1111" s="19" t="s">
        <v>2164</v>
      </c>
      <c r="L1111" s="19">
        <v>0</v>
      </c>
      <c r="M1111" s="19">
        <v>0</v>
      </c>
      <c r="N1111" s="19" t="s">
        <v>2394</v>
      </c>
      <c r="O1111" s="20">
        <v>4</v>
      </c>
      <c r="S1111" s="19" t="s">
        <v>20</v>
      </c>
      <c r="T1111" s="19" t="s">
        <v>1471</v>
      </c>
    </row>
    <row r="1112" spans="1:20">
      <c r="A1112" s="20">
        <v>202603329459250</v>
      </c>
      <c r="B1112" s="19" t="s">
        <v>20</v>
      </c>
      <c r="C1112" s="19" t="s">
        <v>21</v>
      </c>
      <c r="D1112" s="19" t="s">
        <v>20</v>
      </c>
      <c r="E1112" s="21">
        <v>46204</v>
      </c>
      <c r="F1112" s="21">
        <v>46568</v>
      </c>
      <c r="G1112" s="21"/>
      <c r="H1112" s="21">
        <v>46204</v>
      </c>
      <c r="I1112" s="21">
        <v>46568</v>
      </c>
      <c r="J1112" s="19" t="s">
        <v>2164</v>
      </c>
      <c r="L1112" s="19">
        <v>119.727081</v>
      </c>
      <c r="M1112" s="19">
        <v>119.727081</v>
      </c>
      <c r="N1112" s="19" t="s">
        <v>1475</v>
      </c>
      <c r="O1112" s="20">
        <v>4</v>
      </c>
      <c r="S1112" s="19" t="s">
        <v>20</v>
      </c>
      <c r="T1112" s="19" t="s">
        <v>1471</v>
      </c>
    </row>
    <row r="1113" spans="1:20">
      <c r="A1113" s="20">
        <v>202603329459416</v>
      </c>
      <c r="B1113" s="19" t="s">
        <v>20</v>
      </c>
      <c r="C1113" s="19" t="s">
        <v>21</v>
      </c>
      <c r="D1113" s="19" t="s">
        <v>20</v>
      </c>
      <c r="E1113" s="21">
        <v>46204</v>
      </c>
      <c r="F1113" s="21">
        <v>46568</v>
      </c>
      <c r="G1113" s="21"/>
      <c r="H1113" s="21">
        <v>46204</v>
      </c>
      <c r="I1113" s="21">
        <v>46568</v>
      </c>
      <c r="J1113" s="19" t="s">
        <v>2069</v>
      </c>
      <c r="L1113" s="19">
        <v>0</v>
      </c>
      <c r="M1113" s="19">
        <v>0</v>
      </c>
      <c r="N1113" s="19" t="s">
        <v>2394</v>
      </c>
      <c r="O1113" s="20">
        <v>3</v>
      </c>
      <c r="S1113" s="19" t="s">
        <v>20</v>
      </c>
      <c r="T1113" s="19" t="s">
        <v>1471</v>
      </c>
    </row>
    <row r="1114" spans="1:20">
      <c r="A1114" s="20">
        <v>202603329459416</v>
      </c>
      <c r="B1114" s="19" t="s">
        <v>20</v>
      </c>
      <c r="C1114" s="19" t="s">
        <v>21</v>
      </c>
      <c r="D1114" s="19" t="s">
        <v>20</v>
      </c>
      <c r="E1114" s="21">
        <v>46204</v>
      </c>
      <c r="F1114" s="21">
        <v>46568</v>
      </c>
      <c r="G1114" s="21"/>
      <c r="H1114" s="21">
        <v>46204</v>
      </c>
      <c r="I1114" s="21">
        <v>46568</v>
      </c>
      <c r="J1114" s="19" t="s">
        <v>2069</v>
      </c>
      <c r="L1114" s="19">
        <v>99.391890750000002</v>
      </c>
      <c r="M1114" s="19">
        <v>99.391890750000002</v>
      </c>
      <c r="N1114" s="19" t="s">
        <v>1475</v>
      </c>
      <c r="O1114" s="20">
        <v>3</v>
      </c>
      <c r="S1114" s="19" t="s">
        <v>20</v>
      </c>
      <c r="T1114" s="19" t="s">
        <v>1471</v>
      </c>
    </row>
    <row r="1115" spans="1:20">
      <c r="A1115" s="20">
        <v>202603329460660</v>
      </c>
      <c r="B1115" s="19" t="s">
        <v>20</v>
      </c>
      <c r="C1115" s="19" t="s">
        <v>21</v>
      </c>
      <c r="D1115" s="19" t="s">
        <v>2276</v>
      </c>
      <c r="E1115" s="21">
        <v>46204</v>
      </c>
      <c r="F1115" s="21">
        <v>46568</v>
      </c>
      <c r="G1115" s="21"/>
      <c r="H1115" s="21">
        <v>46204</v>
      </c>
      <c r="I1115" s="21">
        <v>46568</v>
      </c>
      <c r="J1115" s="19" t="s">
        <v>2064</v>
      </c>
      <c r="L1115" s="19">
        <v>83.635917500000005</v>
      </c>
      <c r="M1115" s="19">
        <v>83.635917500000005</v>
      </c>
      <c r="N1115" s="19" t="s">
        <v>1467</v>
      </c>
      <c r="O1115" s="20">
        <v>5</v>
      </c>
      <c r="S1115" s="19" t="s">
        <v>20</v>
      </c>
      <c r="T1115" s="19" t="s">
        <v>1471</v>
      </c>
    </row>
    <row r="1116" spans="1:20">
      <c r="A1116" s="20">
        <v>202603329462638</v>
      </c>
      <c r="B1116" s="19" t="s">
        <v>20</v>
      </c>
      <c r="C1116" s="19" t="s">
        <v>21</v>
      </c>
      <c r="D1116" s="19" t="s">
        <v>20</v>
      </c>
      <c r="E1116" s="21">
        <v>46204</v>
      </c>
      <c r="F1116" s="21">
        <v>46568</v>
      </c>
      <c r="G1116" s="21"/>
      <c r="H1116" s="21">
        <v>46204</v>
      </c>
      <c r="I1116" s="21">
        <v>46568</v>
      </c>
      <c r="J1116" s="19" t="s">
        <v>2068</v>
      </c>
      <c r="L1116" s="19">
        <v>26.258683999999999</v>
      </c>
      <c r="M1116" s="19">
        <v>26.258683999999999</v>
      </c>
      <c r="N1116" s="19" t="s">
        <v>1475</v>
      </c>
      <c r="O1116" s="20">
        <v>1</v>
      </c>
      <c r="S1116" s="19" t="s">
        <v>20</v>
      </c>
      <c r="T1116" s="19" t="s">
        <v>1471</v>
      </c>
    </row>
    <row r="1117" spans="1:20">
      <c r="A1117" s="20">
        <v>202603329463327</v>
      </c>
      <c r="B1117" s="19" t="s">
        <v>20</v>
      </c>
      <c r="C1117" s="19" t="s">
        <v>21</v>
      </c>
      <c r="D1117" s="19" t="s">
        <v>2277</v>
      </c>
      <c r="E1117" s="21">
        <v>46204</v>
      </c>
      <c r="F1117" s="21">
        <v>46568</v>
      </c>
      <c r="G1117" s="21"/>
      <c r="H1117" s="21">
        <v>46204</v>
      </c>
      <c r="I1117" s="21">
        <v>46568</v>
      </c>
      <c r="J1117" s="19" t="s">
        <v>2069</v>
      </c>
      <c r="L1117" s="19">
        <v>33.130630250000003</v>
      </c>
      <c r="M1117" s="19">
        <v>33.130630250000003</v>
      </c>
      <c r="N1117" s="19" t="s">
        <v>1467</v>
      </c>
      <c r="O1117" s="20">
        <v>1</v>
      </c>
      <c r="S1117" s="19" t="s">
        <v>20</v>
      </c>
      <c r="T1117" s="19" t="s">
        <v>1471</v>
      </c>
    </row>
    <row r="1118" spans="1:20">
      <c r="A1118" s="20">
        <v>202603329463797</v>
      </c>
      <c r="B1118" s="19" t="s">
        <v>20</v>
      </c>
      <c r="C1118" s="19" t="s">
        <v>21</v>
      </c>
      <c r="D1118" s="19" t="s">
        <v>20</v>
      </c>
      <c r="E1118" s="21">
        <v>46204</v>
      </c>
      <c r="F1118" s="21">
        <v>46568</v>
      </c>
      <c r="G1118" s="21"/>
      <c r="H1118" s="21">
        <v>46204</v>
      </c>
      <c r="I1118" s="21">
        <v>46568</v>
      </c>
      <c r="J1118" s="19" t="s">
        <v>2064</v>
      </c>
      <c r="L1118" s="19">
        <v>0</v>
      </c>
      <c r="M1118" s="19">
        <v>0</v>
      </c>
      <c r="N1118" s="19" t="s">
        <v>2394</v>
      </c>
      <c r="O1118" s="20">
        <v>3</v>
      </c>
      <c r="S1118" s="19" t="s">
        <v>20</v>
      </c>
      <c r="T1118" s="19" t="s">
        <v>1471</v>
      </c>
    </row>
    <row r="1119" spans="1:20">
      <c r="A1119" s="20">
        <v>202603329463797</v>
      </c>
      <c r="B1119" s="19" t="s">
        <v>20</v>
      </c>
      <c r="C1119" s="19" t="s">
        <v>21</v>
      </c>
      <c r="D1119" s="19" t="s">
        <v>20</v>
      </c>
      <c r="E1119" s="21">
        <v>46204</v>
      </c>
      <c r="F1119" s="21">
        <v>46568</v>
      </c>
      <c r="G1119" s="21"/>
      <c r="H1119" s="21">
        <v>46204</v>
      </c>
      <c r="I1119" s="21">
        <v>46568</v>
      </c>
      <c r="J1119" s="19" t="s">
        <v>2064</v>
      </c>
      <c r="L1119" s="19">
        <v>99.391890750000002</v>
      </c>
      <c r="M1119" s="19">
        <v>99.391890750000002</v>
      </c>
      <c r="N1119" s="19" t="s">
        <v>1475</v>
      </c>
      <c r="O1119" s="20">
        <v>3</v>
      </c>
      <c r="S1119" s="19" t="s">
        <v>20</v>
      </c>
      <c r="T1119" s="19" t="s">
        <v>1471</v>
      </c>
    </row>
    <row r="1120" spans="1:20">
      <c r="A1120" s="20">
        <v>202603329464182</v>
      </c>
      <c r="B1120" s="19" t="s">
        <v>20</v>
      </c>
      <c r="C1120" s="19" t="s">
        <v>21</v>
      </c>
      <c r="D1120" s="19" t="s">
        <v>2278</v>
      </c>
      <c r="E1120" s="21">
        <v>46204</v>
      </c>
      <c r="F1120" s="21">
        <v>46568</v>
      </c>
      <c r="G1120" s="21"/>
      <c r="H1120" s="21">
        <v>46204</v>
      </c>
      <c r="I1120" s="21">
        <v>46568</v>
      </c>
      <c r="J1120" s="19" t="s">
        <v>2279</v>
      </c>
      <c r="L1120" s="19">
        <v>33.130630250000003</v>
      </c>
      <c r="M1120" s="19">
        <v>33.130630250000003</v>
      </c>
      <c r="N1120" s="19" t="s">
        <v>1467</v>
      </c>
      <c r="O1120" s="20">
        <v>1</v>
      </c>
      <c r="S1120" s="19" t="s">
        <v>20</v>
      </c>
      <c r="T1120" s="19" t="s">
        <v>1471</v>
      </c>
    </row>
    <row r="1121" spans="1:20">
      <c r="A1121" s="20">
        <v>202603329466013</v>
      </c>
      <c r="B1121" s="19" t="s">
        <v>20</v>
      </c>
      <c r="C1121" s="19" t="s">
        <v>21</v>
      </c>
      <c r="D1121" s="19" t="s">
        <v>2280</v>
      </c>
      <c r="E1121" s="21">
        <v>46204</v>
      </c>
      <c r="F1121" s="21">
        <v>46568</v>
      </c>
      <c r="G1121" s="21"/>
      <c r="H1121" s="21">
        <v>46204</v>
      </c>
      <c r="I1121" s="21">
        <v>46568</v>
      </c>
      <c r="J1121" s="19" t="s">
        <v>2085</v>
      </c>
      <c r="L1121" s="19">
        <v>24.620673499999999</v>
      </c>
      <c r="M1121" s="19">
        <v>24.620673499999999</v>
      </c>
      <c r="N1121" s="19" t="s">
        <v>1467</v>
      </c>
      <c r="O1121" s="20">
        <v>1</v>
      </c>
      <c r="S1121" s="19" t="s">
        <v>20</v>
      </c>
      <c r="T1121" s="19" t="s">
        <v>1471</v>
      </c>
    </row>
    <row r="1122" spans="1:20">
      <c r="A1122" s="20">
        <v>202603329466826</v>
      </c>
      <c r="B1122" s="19" t="s">
        <v>20</v>
      </c>
      <c r="C1122" s="19" t="s">
        <v>21</v>
      </c>
      <c r="D1122" s="19" t="s">
        <v>20</v>
      </c>
      <c r="E1122" s="21">
        <v>46204</v>
      </c>
      <c r="F1122" s="21">
        <v>46568</v>
      </c>
      <c r="G1122" s="21"/>
      <c r="H1122" s="21">
        <v>46204</v>
      </c>
      <c r="I1122" s="21">
        <v>46568</v>
      </c>
      <c r="J1122" s="19" t="s">
        <v>2064</v>
      </c>
      <c r="L1122" s="19">
        <v>33.130630250000003</v>
      </c>
      <c r="M1122" s="19">
        <v>33.130630250000003</v>
      </c>
      <c r="N1122" s="19" t="s">
        <v>1475</v>
      </c>
      <c r="O1122" s="20">
        <v>1</v>
      </c>
      <c r="S1122" s="19" t="s">
        <v>20</v>
      </c>
      <c r="T1122" s="19" t="s">
        <v>1471</v>
      </c>
    </row>
    <row r="1123" spans="1:20">
      <c r="A1123" s="20">
        <v>202603329467167</v>
      </c>
      <c r="B1123" s="19" t="s">
        <v>20</v>
      </c>
      <c r="C1123" s="19" t="s">
        <v>21</v>
      </c>
      <c r="D1123" s="19" t="s">
        <v>20</v>
      </c>
      <c r="E1123" s="21">
        <v>46204</v>
      </c>
      <c r="F1123" s="21">
        <v>46568</v>
      </c>
      <c r="G1123" s="21"/>
      <c r="H1123" s="21">
        <v>46204</v>
      </c>
      <c r="I1123" s="21">
        <v>46568</v>
      </c>
      <c r="J1123" s="19" t="s">
        <v>2120</v>
      </c>
      <c r="L1123" s="19">
        <v>37.947955</v>
      </c>
      <c r="M1123" s="19">
        <v>37.947955</v>
      </c>
      <c r="N1123" s="19" t="s">
        <v>1475</v>
      </c>
      <c r="O1123" s="20">
        <v>1</v>
      </c>
      <c r="S1123" s="19" t="s">
        <v>20</v>
      </c>
      <c r="T1123" s="19" t="s">
        <v>1471</v>
      </c>
    </row>
    <row r="1124" spans="1:20">
      <c r="A1124" s="20">
        <v>202603329467966</v>
      </c>
      <c r="B1124" s="19" t="s">
        <v>20</v>
      </c>
      <c r="C1124" s="19" t="s">
        <v>21</v>
      </c>
      <c r="D1124" s="19" t="s">
        <v>20</v>
      </c>
      <c r="E1124" s="21">
        <v>46204</v>
      </c>
      <c r="F1124" s="21">
        <v>46568</v>
      </c>
      <c r="G1124" s="21"/>
      <c r="H1124" s="21">
        <v>46204</v>
      </c>
      <c r="I1124" s="21">
        <v>46568</v>
      </c>
      <c r="J1124" s="19" t="s">
        <v>2093</v>
      </c>
      <c r="L1124" s="19">
        <v>0</v>
      </c>
      <c r="M1124" s="19">
        <v>0</v>
      </c>
      <c r="N1124" s="19" t="s">
        <v>2394</v>
      </c>
      <c r="O1124" s="20">
        <v>3</v>
      </c>
      <c r="S1124" s="19" t="s">
        <v>20</v>
      </c>
      <c r="T1124" s="19" t="s">
        <v>1471</v>
      </c>
    </row>
    <row r="1125" spans="1:20">
      <c r="A1125" s="20">
        <v>202603329467966</v>
      </c>
      <c r="B1125" s="19" t="s">
        <v>20</v>
      </c>
      <c r="C1125" s="19" t="s">
        <v>21</v>
      </c>
      <c r="D1125" s="19" t="s">
        <v>20</v>
      </c>
      <c r="E1125" s="21">
        <v>46204</v>
      </c>
      <c r="F1125" s="21">
        <v>46568</v>
      </c>
      <c r="G1125" s="21"/>
      <c r="H1125" s="21">
        <v>46204</v>
      </c>
      <c r="I1125" s="21">
        <v>46568</v>
      </c>
      <c r="J1125" s="19" t="s">
        <v>2093</v>
      </c>
      <c r="L1125" s="19">
        <v>86.328102749999999</v>
      </c>
      <c r="M1125" s="19">
        <v>86.328102749999999</v>
      </c>
      <c r="N1125" s="19" t="s">
        <v>1475</v>
      </c>
      <c r="O1125" s="20">
        <v>3</v>
      </c>
      <c r="S1125" s="19" t="s">
        <v>20</v>
      </c>
      <c r="T1125" s="19" t="s">
        <v>1471</v>
      </c>
    </row>
    <row r="1126" spans="1:20">
      <c r="A1126" s="20">
        <v>202603329468045</v>
      </c>
      <c r="B1126" s="19" t="s">
        <v>20</v>
      </c>
      <c r="C1126" s="19" t="s">
        <v>21</v>
      </c>
      <c r="D1126" s="19" t="s">
        <v>20</v>
      </c>
      <c r="E1126" s="21">
        <v>46204</v>
      </c>
      <c r="F1126" s="21">
        <v>46568</v>
      </c>
      <c r="G1126" s="21"/>
      <c r="H1126" s="21">
        <v>46204</v>
      </c>
      <c r="I1126" s="21">
        <v>46568</v>
      </c>
      <c r="J1126" s="19" t="s">
        <v>2064</v>
      </c>
      <c r="L1126" s="19">
        <v>0</v>
      </c>
      <c r="M1126" s="19">
        <v>0</v>
      </c>
      <c r="N1126" s="19" t="s">
        <v>2394</v>
      </c>
      <c r="O1126" s="20">
        <v>3</v>
      </c>
      <c r="S1126" s="19" t="s">
        <v>20</v>
      </c>
      <c r="T1126" s="19" t="s">
        <v>1471</v>
      </c>
    </row>
    <row r="1127" spans="1:20">
      <c r="A1127" s="20">
        <v>202603329468045</v>
      </c>
      <c r="B1127" s="19" t="s">
        <v>20</v>
      </c>
      <c r="C1127" s="19" t="s">
        <v>21</v>
      </c>
      <c r="D1127" s="19" t="s">
        <v>20</v>
      </c>
      <c r="E1127" s="21">
        <v>46204</v>
      </c>
      <c r="F1127" s="21">
        <v>46568</v>
      </c>
      <c r="G1127" s="21"/>
      <c r="H1127" s="21">
        <v>46204</v>
      </c>
      <c r="I1127" s="21">
        <v>46568</v>
      </c>
      <c r="J1127" s="19" t="s">
        <v>2064</v>
      </c>
      <c r="L1127" s="19">
        <v>99.391890750000002</v>
      </c>
      <c r="M1127" s="19">
        <v>99.391890750000002</v>
      </c>
      <c r="N1127" s="19" t="s">
        <v>1475</v>
      </c>
      <c r="O1127" s="20">
        <v>3</v>
      </c>
      <c r="S1127" s="19" t="s">
        <v>20</v>
      </c>
      <c r="T1127" s="19" t="s">
        <v>1471</v>
      </c>
    </row>
    <row r="1128" spans="1:20">
      <c r="A1128" s="20">
        <v>202603329468213</v>
      </c>
      <c r="B1128" s="19" t="s">
        <v>20</v>
      </c>
      <c r="C1128" s="19" t="s">
        <v>21</v>
      </c>
      <c r="D1128" s="19" t="s">
        <v>20</v>
      </c>
      <c r="E1128" s="21">
        <v>46204</v>
      </c>
      <c r="F1128" s="21">
        <v>46568</v>
      </c>
      <c r="G1128" s="21"/>
      <c r="H1128" s="21">
        <v>46204</v>
      </c>
      <c r="I1128" s="21">
        <v>46568</v>
      </c>
      <c r="J1128" s="19" t="s">
        <v>2120</v>
      </c>
      <c r="L1128" s="19">
        <v>0</v>
      </c>
      <c r="M1128" s="19">
        <v>0</v>
      </c>
      <c r="N1128" s="19" t="s">
        <v>2394</v>
      </c>
      <c r="O1128" s="20">
        <v>8</v>
      </c>
      <c r="S1128" s="19" t="s">
        <v>20</v>
      </c>
      <c r="T1128" s="19" t="s">
        <v>1471</v>
      </c>
    </row>
    <row r="1129" spans="1:20">
      <c r="A1129" s="20">
        <v>202603329468213</v>
      </c>
      <c r="B1129" s="19" t="s">
        <v>20</v>
      </c>
      <c r="C1129" s="19" t="s">
        <v>21</v>
      </c>
      <c r="D1129" s="19" t="s">
        <v>20</v>
      </c>
      <c r="E1129" s="21">
        <v>46204</v>
      </c>
      <c r="F1129" s="21">
        <v>46568</v>
      </c>
      <c r="G1129" s="21"/>
      <c r="H1129" s="21">
        <v>46204</v>
      </c>
      <c r="I1129" s="21">
        <v>46568</v>
      </c>
      <c r="J1129" s="19" t="s">
        <v>2120</v>
      </c>
      <c r="L1129" s="19">
        <v>303.58364</v>
      </c>
      <c r="M1129" s="19">
        <v>303.58364</v>
      </c>
      <c r="N1129" s="19" t="s">
        <v>1475</v>
      </c>
      <c r="O1129" s="20">
        <v>8</v>
      </c>
      <c r="S1129" s="19" t="s">
        <v>20</v>
      </c>
      <c r="T1129" s="19" t="s">
        <v>1471</v>
      </c>
    </row>
    <row r="1130" spans="1:20">
      <c r="A1130" s="20">
        <v>202603329468214</v>
      </c>
      <c r="B1130" s="19" t="s">
        <v>20</v>
      </c>
      <c r="C1130" s="19" t="s">
        <v>21</v>
      </c>
      <c r="D1130" s="19" t="s">
        <v>20</v>
      </c>
      <c r="E1130" s="21">
        <v>46204</v>
      </c>
      <c r="F1130" s="21">
        <v>46568</v>
      </c>
      <c r="G1130" s="21"/>
      <c r="H1130" s="21">
        <v>46204</v>
      </c>
      <c r="I1130" s="21">
        <v>46568</v>
      </c>
      <c r="J1130" s="19" t="s">
        <v>2064</v>
      </c>
      <c r="L1130" s="19">
        <v>33.130630250000003</v>
      </c>
      <c r="M1130" s="19">
        <v>33.130630250000003</v>
      </c>
      <c r="N1130" s="19" t="s">
        <v>1475</v>
      </c>
      <c r="O1130" s="20">
        <v>1</v>
      </c>
      <c r="S1130" s="19" t="s">
        <v>20</v>
      </c>
      <c r="T1130" s="19" t="s">
        <v>1471</v>
      </c>
    </row>
    <row r="1131" spans="1:20">
      <c r="A1131" s="20">
        <v>202603329468373</v>
      </c>
      <c r="B1131" s="19" t="s">
        <v>20</v>
      </c>
      <c r="C1131" s="19" t="s">
        <v>21</v>
      </c>
      <c r="D1131" s="19" t="s">
        <v>20</v>
      </c>
      <c r="E1131" s="21">
        <v>46204</v>
      </c>
      <c r="F1131" s="21">
        <v>46568</v>
      </c>
      <c r="G1131" s="21"/>
      <c r="H1131" s="21">
        <v>46204</v>
      </c>
      <c r="I1131" s="21">
        <v>46568</v>
      </c>
      <c r="J1131" s="19" t="s">
        <v>2064</v>
      </c>
      <c r="L1131" s="19">
        <v>0</v>
      </c>
      <c r="M1131" s="19">
        <v>0</v>
      </c>
      <c r="N1131" s="19" t="s">
        <v>2394</v>
      </c>
      <c r="O1131" s="20">
        <v>5</v>
      </c>
      <c r="S1131" s="19" t="s">
        <v>20</v>
      </c>
      <c r="T1131" s="19" t="s">
        <v>1471</v>
      </c>
    </row>
    <row r="1132" spans="1:20">
      <c r="A1132" s="20">
        <v>202603329468373</v>
      </c>
      <c r="B1132" s="19" t="s">
        <v>20</v>
      </c>
      <c r="C1132" s="19" t="s">
        <v>21</v>
      </c>
      <c r="D1132" s="19" t="s">
        <v>20</v>
      </c>
      <c r="E1132" s="21">
        <v>46204</v>
      </c>
      <c r="F1132" s="21">
        <v>46568</v>
      </c>
      <c r="G1132" s="21"/>
      <c r="H1132" s="21">
        <v>46204</v>
      </c>
      <c r="I1132" s="21">
        <v>46568</v>
      </c>
      <c r="J1132" s="19" t="s">
        <v>2064</v>
      </c>
      <c r="L1132" s="19">
        <v>165.65315125000001</v>
      </c>
      <c r="M1132" s="19">
        <v>165.65315125000001</v>
      </c>
      <c r="N1132" s="19" t="s">
        <v>1475</v>
      </c>
      <c r="O1132" s="20">
        <v>5</v>
      </c>
      <c r="S1132" s="19" t="s">
        <v>20</v>
      </c>
      <c r="T1132" s="19" t="s">
        <v>1471</v>
      </c>
    </row>
    <row r="1133" spans="1:20">
      <c r="A1133" s="20">
        <v>202603329469272</v>
      </c>
      <c r="B1133" s="19" t="s">
        <v>20</v>
      </c>
      <c r="C1133" s="19" t="s">
        <v>21</v>
      </c>
      <c r="D1133" s="19" t="s">
        <v>20</v>
      </c>
      <c r="E1133" s="21">
        <v>46204</v>
      </c>
      <c r="F1133" s="21">
        <v>46568</v>
      </c>
      <c r="G1133" s="21"/>
      <c r="H1133" s="21">
        <v>46204</v>
      </c>
      <c r="I1133" s="21">
        <v>46568</v>
      </c>
      <c r="J1133" s="19" t="s">
        <v>2064</v>
      </c>
      <c r="L1133" s="19">
        <v>0</v>
      </c>
      <c r="M1133" s="19">
        <v>0</v>
      </c>
      <c r="N1133" s="19" t="s">
        <v>2394</v>
      </c>
      <c r="O1133" s="20">
        <v>5</v>
      </c>
      <c r="S1133" s="19" t="s">
        <v>20</v>
      </c>
      <c r="T1133" s="19" t="s">
        <v>1471</v>
      </c>
    </row>
    <row r="1134" spans="1:20">
      <c r="A1134" s="20">
        <v>202603329469272</v>
      </c>
      <c r="B1134" s="19" t="s">
        <v>20</v>
      </c>
      <c r="C1134" s="19" t="s">
        <v>21</v>
      </c>
      <c r="D1134" s="19" t="s">
        <v>20</v>
      </c>
      <c r="E1134" s="21">
        <v>46204</v>
      </c>
      <c r="F1134" s="21">
        <v>46568</v>
      </c>
      <c r="G1134" s="21"/>
      <c r="H1134" s="21">
        <v>46204</v>
      </c>
      <c r="I1134" s="21">
        <v>46568</v>
      </c>
      <c r="J1134" s="19" t="s">
        <v>2064</v>
      </c>
      <c r="L1134" s="19">
        <v>165.65315125000001</v>
      </c>
      <c r="M1134" s="19">
        <v>165.65315125000001</v>
      </c>
      <c r="N1134" s="19" t="s">
        <v>1475</v>
      </c>
      <c r="O1134" s="20">
        <v>5</v>
      </c>
      <c r="S1134" s="19" t="s">
        <v>20</v>
      </c>
      <c r="T1134" s="19" t="s">
        <v>1471</v>
      </c>
    </row>
    <row r="1135" spans="1:20">
      <c r="A1135" s="20">
        <v>202603329470341</v>
      </c>
      <c r="B1135" s="19" t="s">
        <v>20</v>
      </c>
      <c r="C1135" s="19" t="s">
        <v>21</v>
      </c>
      <c r="D1135" s="19" t="s">
        <v>20</v>
      </c>
      <c r="E1135" s="21">
        <v>46204</v>
      </c>
      <c r="F1135" s="21">
        <v>46568</v>
      </c>
      <c r="G1135" s="21"/>
      <c r="H1135" s="21">
        <v>46204</v>
      </c>
      <c r="I1135" s="21">
        <v>46568</v>
      </c>
      <c r="J1135" s="19" t="s">
        <v>1473</v>
      </c>
      <c r="L1135" s="19">
        <v>0</v>
      </c>
      <c r="M1135" s="19">
        <v>0</v>
      </c>
      <c r="N1135" s="19" t="s">
        <v>2394</v>
      </c>
      <c r="O1135" s="20">
        <v>5</v>
      </c>
      <c r="S1135" s="19" t="s">
        <v>20</v>
      </c>
      <c r="T1135" s="19" t="s">
        <v>1471</v>
      </c>
    </row>
    <row r="1136" spans="1:20">
      <c r="A1136" s="20">
        <v>202603329470341</v>
      </c>
      <c r="B1136" s="19" t="s">
        <v>20</v>
      </c>
      <c r="C1136" s="19" t="s">
        <v>21</v>
      </c>
      <c r="D1136" s="19" t="s">
        <v>20</v>
      </c>
      <c r="E1136" s="21">
        <v>46204</v>
      </c>
      <c r="F1136" s="21">
        <v>46568</v>
      </c>
      <c r="G1136" s="21"/>
      <c r="H1136" s="21">
        <v>46204</v>
      </c>
      <c r="I1136" s="21">
        <v>46568</v>
      </c>
      <c r="J1136" s="19" t="s">
        <v>1473</v>
      </c>
      <c r="L1136" s="19">
        <v>123.1033675</v>
      </c>
      <c r="M1136" s="19">
        <v>123.1033675</v>
      </c>
      <c r="N1136" s="19" t="s">
        <v>1475</v>
      </c>
      <c r="O1136" s="20">
        <v>5</v>
      </c>
      <c r="S1136" s="19" t="s">
        <v>20</v>
      </c>
      <c r="T1136" s="19" t="s">
        <v>1471</v>
      </c>
    </row>
    <row r="1137" spans="1:20">
      <c r="A1137" s="20">
        <v>202603329470748</v>
      </c>
      <c r="B1137" s="19" t="s">
        <v>20</v>
      </c>
      <c r="C1137" s="19" t="s">
        <v>21</v>
      </c>
      <c r="D1137" s="19" t="s">
        <v>20</v>
      </c>
      <c r="E1137" s="21">
        <v>46204</v>
      </c>
      <c r="F1137" s="21">
        <v>46568</v>
      </c>
      <c r="G1137" s="21"/>
      <c r="H1137" s="21">
        <v>46204</v>
      </c>
      <c r="I1137" s="21">
        <v>46568</v>
      </c>
      <c r="J1137" s="19" t="s">
        <v>2064</v>
      </c>
      <c r="L1137" s="19">
        <v>0</v>
      </c>
      <c r="M1137" s="19">
        <v>0</v>
      </c>
      <c r="N1137" s="19" t="s">
        <v>2394</v>
      </c>
      <c r="O1137" s="20">
        <v>2</v>
      </c>
      <c r="S1137" s="19" t="s">
        <v>20</v>
      </c>
      <c r="T1137" s="19" t="s">
        <v>1471</v>
      </c>
    </row>
    <row r="1138" spans="1:20">
      <c r="A1138" s="20">
        <v>202603329470748</v>
      </c>
      <c r="B1138" s="19" t="s">
        <v>20</v>
      </c>
      <c r="C1138" s="19" t="s">
        <v>21</v>
      </c>
      <c r="D1138" s="19" t="s">
        <v>2281</v>
      </c>
      <c r="E1138" s="21">
        <v>46204</v>
      </c>
      <c r="F1138" s="21">
        <v>46568</v>
      </c>
      <c r="G1138" s="21"/>
      <c r="H1138" s="21">
        <v>46204</v>
      </c>
      <c r="I1138" s="21">
        <v>46568</v>
      </c>
      <c r="J1138" s="19" t="s">
        <v>2064</v>
      </c>
      <c r="L1138" s="19">
        <v>66.261260500000006</v>
      </c>
      <c r="M1138" s="19">
        <v>66.261260500000006</v>
      </c>
      <c r="N1138" s="19" t="s">
        <v>1467</v>
      </c>
      <c r="O1138" s="20">
        <v>2</v>
      </c>
      <c r="S1138" s="19" t="s">
        <v>20</v>
      </c>
      <c r="T1138" s="19" t="s">
        <v>1471</v>
      </c>
    </row>
    <row r="1139" spans="1:20">
      <c r="A1139" s="20">
        <v>202603329470929</v>
      </c>
      <c r="B1139" s="19" t="s">
        <v>20</v>
      </c>
      <c r="C1139" s="19" t="s">
        <v>21</v>
      </c>
      <c r="D1139" s="19" t="s">
        <v>20</v>
      </c>
      <c r="E1139" s="21">
        <v>46204</v>
      </c>
      <c r="F1139" s="21">
        <v>46568</v>
      </c>
      <c r="G1139" s="21"/>
      <c r="H1139" s="21">
        <v>46204</v>
      </c>
      <c r="I1139" s="21">
        <v>46568</v>
      </c>
      <c r="J1139" s="19" t="s">
        <v>2104</v>
      </c>
      <c r="L1139" s="19">
        <v>33.130630250000003</v>
      </c>
      <c r="M1139" s="19">
        <v>33.130630250000003</v>
      </c>
      <c r="N1139" s="19" t="s">
        <v>1475</v>
      </c>
      <c r="O1139" s="20">
        <v>1</v>
      </c>
      <c r="S1139" s="19" t="s">
        <v>20</v>
      </c>
      <c r="T1139" s="19" t="s">
        <v>1471</v>
      </c>
    </row>
    <row r="1140" spans="1:20">
      <c r="A1140" s="20">
        <v>202603329471675</v>
      </c>
      <c r="B1140" s="19" t="s">
        <v>20</v>
      </c>
      <c r="C1140" s="19" t="s">
        <v>21</v>
      </c>
      <c r="D1140" s="19" t="s">
        <v>20</v>
      </c>
      <c r="E1140" s="21">
        <v>46204</v>
      </c>
      <c r="F1140" s="21">
        <v>46568</v>
      </c>
      <c r="G1140" s="21"/>
      <c r="H1140" s="21">
        <v>46204</v>
      </c>
      <c r="I1140" s="21">
        <v>46568</v>
      </c>
      <c r="J1140" s="19" t="s">
        <v>2190</v>
      </c>
      <c r="L1140" s="19">
        <v>0</v>
      </c>
      <c r="M1140" s="19">
        <v>0</v>
      </c>
      <c r="N1140" s="19" t="s">
        <v>2394</v>
      </c>
      <c r="O1140" s="20">
        <v>6</v>
      </c>
      <c r="S1140" s="19" t="s">
        <v>20</v>
      </c>
      <c r="T1140" s="19" t="s">
        <v>1471</v>
      </c>
    </row>
    <row r="1141" spans="1:20">
      <c r="A1141" s="20">
        <v>202603329471675</v>
      </c>
      <c r="B1141" s="19" t="s">
        <v>20</v>
      </c>
      <c r="C1141" s="19" t="s">
        <v>21</v>
      </c>
      <c r="D1141" s="19" t="s">
        <v>2282</v>
      </c>
      <c r="E1141" s="21">
        <v>46204</v>
      </c>
      <c r="F1141" s="21">
        <v>46568</v>
      </c>
      <c r="G1141" s="21"/>
      <c r="H1141" s="21">
        <v>46204</v>
      </c>
      <c r="I1141" s="21">
        <v>46568</v>
      </c>
      <c r="J1141" s="19" t="s">
        <v>2190</v>
      </c>
      <c r="L1141" s="19">
        <v>198.7837815</v>
      </c>
      <c r="M1141" s="19">
        <v>198.7837815</v>
      </c>
      <c r="N1141" s="19" t="s">
        <v>1467</v>
      </c>
      <c r="O1141" s="20">
        <v>6</v>
      </c>
      <c r="S1141" s="19" t="s">
        <v>20</v>
      </c>
      <c r="T1141" s="19" t="s">
        <v>1471</v>
      </c>
    </row>
    <row r="1142" spans="1:20">
      <c r="A1142" s="20">
        <v>202603329473544</v>
      </c>
      <c r="B1142" s="19" t="s">
        <v>20</v>
      </c>
      <c r="C1142" s="19" t="s">
        <v>21</v>
      </c>
      <c r="D1142" s="19" t="s">
        <v>20</v>
      </c>
      <c r="E1142" s="21">
        <v>46204</v>
      </c>
      <c r="F1142" s="21">
        <v>46568</v>
      </c>
      <c r="G1142" s="21"/>
      <c r="H1142" s="21">
        <v>46204</v>
      </c>
      <c r="I1142" s="21">
        <v>46568</v>
      </c>
      <c r="J1142" s="19" t="s">
        <v>2064</v>
      </c>
      <c r="L1142" s="19">
        <v>0</v>
      </c>
      <c r="M1142" s="19">
        <v>0</v>
      </c>
      <c r="N1142" s="19" t="s">
        <v>2394</v>
      </c>
      <c r="O1142" s="20">
        <v>6</v>
      </c>
      <c r="S1142" s="19" t="s">
        <v>20</v>
      </c>
      <c r="T1142" s="19" t="s">
        <v>1471</v>
      </c>
    </row>
    <row r="1143" spans="1:20">
      <c r="A1143" s="20">
        <v>202603329473544</v>
      </c>
      <c r="B1143" s="19" t="s">
        <v>20</v>
      </c>
      <c r="C1143" s="19" t="s">
        <v>21</v>
      </c>
      <c r="D1143" s="19" t="s">
        <v>20</v>
      </c>
      <c r="E1143" s="21">
        <v>46204</v>
      </c>
      <c r="F1143" s="21">
        <v>46568</v>
      </c>
      <c r="G1143" s="21"/>
      <c r="H1143" s="21">
        <v>46204</v>
      </c>
      <c r="I1143" s="21">
        <v>46568</v>
      </c>
      <c r="J1143" s="19" t="s">
        <v>2064</v>
      </c>
      <c r="L1143" s="19">
        <v>198.7837815</v>
      </c>
      <c r="M1143" s="19">
        <v>198.7837815</v>
      </c>
      <c r="N1143" s="19" t="s">
        <v>1475</v>
      </c>
      <c r="O1143" s="20">
        <v>6</v>
      </c>
      <c r="S1143" s="19" t="s">
        <v>20</v>
      </c>
      <c r="T1143" s="19" t="s">
        <v>1471</v>
      </c>
    </row>
    <row r="1144" spans="1:20">
      <c r="A1144" s="20">
        <v>202603329474112</v>
      </c>
      <c r="B1144" s="19" t="s">
        <v>20</v>
      </c>
      <c r="C1144" s="19" t="s">
        <v>21</v>
      </c>
      <c r="D1144" s="19" t="s">
        <v>20</v>
      </c>
      <c r="E1144" s="21">
        <v>46204</v>
      </c>
      <c r="F1144" s="21">
        <v>46568</v>
      </c>
      <c r="G1144" s="21"/>
      <c r="H1144" s="21">
        <v>46204</v>
      </c>
      <c r="I1144" s="21">
        <v>46568</v>
      </c>
      <c r="J1144" s="19" t="s">
        <v>2085</v>
      </c>
      <c r="L1144" s="19">
        <v>24.620673499999999</v>
      </c>
      <c r="M1144" s="19">
        <v>24.620673499999999</v>
      </c>
      <c r="N1144" s="19" t="s">
        <v>1475</v>
      </c>
      <c r="O1144" s="20">
        <v>1</v>
      </c>
      <c r="S1144" s="19" t="s">
        <v>20</v>
      </c>
      <c r="T1144" s="19" t="s">
        <v>1471</v>
      </c>
    </row>
    <row r="1145" spans="1:20">
      <c r="A1145" s="20">
        <v>202603329474235</v>
      </c>
      <c r="B1145" s="19" t="s">
        <v>20</v>
      </c>
      <c r="C1145" s="19" t="s">
        <v>21</v>
      </c>
      <c r="D1145" s="19" t="s">
        <v>20</v>
      </c>
      <c r="E1145" s="21">
        <v>46204</v>
      </c>
      <c r="F1145" s="21">
        <v>46568</v>
      </c>
      <c r="G1145" s="21"/>
      <c r="H1145" s="21">
        <v>46204</v>
      </c>
      <c r="I1145" s="21">
        <v>46568</v>
      </c>
      <c r="J1145" s="19" t="s">
        <v>2068</v>
      </c>
      <c r="L1145" s="19">
        <v>0</v>
      </c>
      <c r="M1145" s="19">
        <v>0</v>
      </c>
      <c r="N1145" s="19" t="s">
        <v>2394</v>
      </c>
      <c r="O1145" s="20">
        <v>4</v>
      </c>
      <c r="S1145" s="19" t="s">
        <v>20</v>
      </c>
      <c r="T1145" s="19" t="s">
        <v>1471</v>
      </c>
    </row>
    <row r="1146" spans="1:20">
      <c r="A1146" s="20">
        <v>202603329474235</v>
      </c>
      <c r="B1146" s="19" t="s">
        <v>20</v>
      </c>
      <c r="C1146" s="19" t="s">
        <v>21</v>
      </c>
      <c r="D1146" s="19" t="s">
        <v>20</v>
      </c>
      <c r="E1146" s="21">
        <v>46204</v>
      </c>
      <c r="F1146" s="21">
        <v>46568</v>
      </c>
      <c r="G1146" s="21"/>
      <c r="H1146" s="21">
        <v>46204</v>
      </c>
      <c r="I1146" s="21">
        <v>46568</v>
      </c>
      <c r="J1146" s="19" t="s">
        <v>2068</v>
      </c>
      <c r="L1146" s="19">
        <v>105.034736</v>
      </c>
      <c r="M1146" s="19">
        <v>105.034736</v>
      </c>
      <c r="N1146" s="19" t="s">
        <v>1475</v>
      </c>
      <c r="O1146" s="20">
        <v>4</v>
      </c>
      <c r="S1146" s="19" t="s">
        <v>20</v>
      </c>
      <c r="T1146" s="19" t="s">
        <v>1471</v>
      </c>
    </row>
    <row r="1147" spans="1:20">
      <c r="A1147" s="20">
        <v>202603329480736</v>
      </c>
      <c r="B1147" s="19" t="s">
        <v>20</v>
      </c>
      <c r="C1147" s="19" t="s">
        <v>21</v>
      </c>
      <c r="D1147" s="19" t="s">
        <v>20</v>
      </c>
      <c r="E1147" s="21">
        <v>46204</v>
      </c>
      <c r="F1147" s="21">
        <v>46568</v>
      </c>
      <c r="G1147" s="21"/>
      <c r="H1147" s="21">
        <v>46204</v>
      </c>
      <c r="I1147" s="21">
        <v>46568</v>
      </c>
      <c r="J1147" s="19" t="s">
        <v>2064</v>
      </c>
      <c r="L1147" s="19">
        <v>0</v>
      </c>
      <c r="M1147" s="19">
        <v>0</v>
      </c>
      <c r="N1147" s="19" t="s">
        <v>2394</v>
      </c>
      <c r="O1147" s="20">
        <v>2</v>
      </c>
      <c r="S1147" s="19" t="s">
        <v>20</v>
      </c>
      <c r="T1147" s="19" t="s">
        <v>1471</v>
      </c>
    </row>
    <row r="1148" spans="1:20">
      <c r="A1148" s="20">
        <v>202603329480736</v>
      </c>
      <c r="B1148" s="19" t="s">
        <v>20</v>
      </c>
      <c r="C1148" s="19" t="s">
        <v>21</v>
      </c>
      <c r="D1148" s="19" t="s">
        <v>20</v>
      </c>
      <c r="E1148" s="21">
        <v>46204</v>
      </c>
      <c r="F1148" s="21">
        <v>46568</v>
      </c>
      <c r="G1148" s="21"/>
      <c r="H1148" s="21">
        <v>46204</v>
      </c>
      <c r="I1148" s="21">
        <v>46568</v>
      </c>
      <c r="J1148" s="19" t="s">
        <v>2064</v>
      </c>
      <c r="L1148" s="19">
        <v>66.261260500000006</v>
      </c>
      <c r="M1148" s="19">
        <v>66.261260500000006</v>
      </c>
      <c r="N1148" s="19" t="s">
        <v>1475</v>
      </c>
      <c r="O1148" s="20">
        <v>2</v>
      </c>
      <c r="S1148" s="19" t="s">
        <v>20</v>
      </c>
      <c r="T1148" s="19" t="s">
        <v>1471</v>
      </c>
    </row>
    <row r="1149" spans="1:20">
      <c r="A1149" s="20">
        <v>202603329480950</v>
      </c>
      <c r="B1149" s="19" t="s">
        <v>20</v>
      </c>
      <c r="C1149" s="19" t="s">
        <v>21</v>
      </c>
      <c r="D1149" s="19" t="s">
        <v>20</v>
      </c>
      <c r="E1149" s="21">
        <v>46204</v>
      </c>
      <c r="F1149" s="21">
        <v>46568</v>
      </c>
      <c r="G1149" s="21"/>
      <c r="H1149" s="21">
        <v>46204</v>
      </c>
      <c r="I1149" s="21">
        <v>46568</v>
      </c>
      <c r="J1149" s="19" t="s">
        <v>1473</v>
      </c>
      <c r="L1149" s="19">
        <v>0</v>
      </c>
      <c r="M1149" s="19">
        <v>0</v>
      </c>
      <c r="N1149" s="19" t="s">
        <v>2394</v>
      </c>
      <c r="O1149" s="20">
        <v>5</v>
      </c>
      <c r="S1149" s="19" t="s">
        <v>20</v>
      </c>
      <c r="T1149" s="19" t="s">
        <v>1471</v>
      </c>
    </row>
    <row r="1150" spans="1:20">
      <c r="A1150" s="20">
        <v>202603329480950</v>
      </c>
      <c r="B1150" s="19" t="s">
        <v>20</v>
      </c>
      <c r="C1150" s="19" t="s">
        <v>21</v>
      </c>
      <c r="D1150" s="19" t="s">
        <v>20</v>
      </c>
      <c r="E1150" s="21">
        <v>46204</v>
      </c>
      <c r="F1150" s="21">
        <v>46568</v>
      </c>
      <c r="G1150" s="21"/>
      <c r="H1150" s="21">
        <v>46204</v>
      </c>
      <c r="I1150" s="21">
        <v>46568</v>
      </c>
      <c r="J1150" s="19" t="s">
        <v>1473</v>
      </c>
      <c r="L1150" s="19">
        <v>123.1033675</v>
      </c>
      <c r="M1150" s="19">
        <v>123.1033675</v>
      </c>
      <c r="N1150" s="19" t="s">
        <v>1475</v>
      </c>
      <c r="O1150" s="20">
        <v>5</v>
      </c>
      <c r="S1150" s="19" t="s">
        <v>20</v>
      </c>
      <c r="T1150" s="19" t="s">
        <v>1471</v>
      </c>
    </row>
    <row r="1151" spans="1:20">
      <c r="A1151" s="20">
        <v>202603329481163</v>
      </c>
      <c r="B1151" s="19" t="s">
        <v>20</v>
      </c>
      <c r="C1151" s="19" t="s">
        <v>21</v>
      </c>
      <c r="D1151" s="19" t="s">
        <v>20</v>
      </c>
      <c r="E1151" s="21">
        <v>46204</v>
      </c>
      <c r="F1151" s="21">
        <v>46568</v>
      </c>
      <c r="G1151" s="21"/>
      <c r="H1151" s="21">
        <v>46204</v>
      </c>
      <c r="I1151" s="21">
        <v>46568</v>
      </c>
      <c r="J1151" s="19" t="s">
        <v>2068</v>
      </c>
      <c r="L1151" s="19">
        <v>0</v>
      </c>
      <c r="M1151" s="19">
        <v>0</v>
      </c>
      <c r="N1151" s="19" t="s">
        <v>2394</v>
      </c>
      <c r="O1151" s="20">
        <v>3</v>
      </c>
      <c r="S1151" s="19" t="s">
        <v>20</v>
      </c>
      <c r="T1151" s="19" t="s">
        <v>1471</v>
      </c>
    </row>
    <row r="1152" spans="1:20">
      <c r="A1152" s="20">
        <v>202603329481163</v>
      </c>
      <c r="B1152" s="19" t="s">
        <v>20</v>
      </c>
      <c r="C1152" s="19" t="s">
        <v>21</v>
      </c>
      <c r="D1152" s="19" t="s">
        <v>20</v>
      </c>
      <c r="E1152" s="21">
        <v>46204</v>
      </c>
      <c r="F1152" s="21">
        <v>46568</v>
      </c>
      <c r="G1152" s="21"/>
      <c r="H1152" s="21">
        <v>46204</v>
      </c>
      <c r="I1152" s="21">
        <v>46568</v>
      </c>
      <c r="J1152" s="19" t="s">
        <v>2068</v>
      </c>
      <c r="L1152" s="19">
        <v>78.776052000000007</v>
      </c>
      <c r="M1152" s="19">
        <v>78.776052000000007</v>
      </c>
      <c r="N1152" s="19" t="s">
        <v>1475</v>
      </c>
      <c r="O1152" s="20">
        <v>3</v>
      </c>
      <c r="S1152" s="19" t="s">
        <v>20</v>
      </c>
      <c r="T1152" s="19" t="s">
        <v>1471</v>
      </c>
    </row>
    <row r="1153" spans="1:20">
      <c r="A1153" s="20">
        <v>202603329482519</v>
      </c>
      <c r="B1153" s="19" t="s">
        <v>20</v>
      </c>
      <c r="C1153" s="19" t="s">
        <v>21</v>
      </c>
      <c r="D1153" s="19" t="s">
        <v>20</v>
      </c>
      <c r="E1153" s="21">
        <v>46204</v>
      </c>
      <c r="F1153" s="21">
        <v>46568</v>
      </c>
      <c r="G1153" s="21"/>
      <c r="H1153" s="21">
        <v>46204</v>
      </c>
      <c r="I1153" s="21">
        <v>46568</v>
      </c>
      <c r="J1153" s="19" t="s">
        <v>2062</v>
      </c>
      <c r="L1153" s="19">
        <v>33.130630250000003</v>
      </c>
      <c r="M1153" s="19">
        <v>33.130630250000003</v>
      </c>
      <c r="N1153" s="19" t="s">
        <v>1475</v>
      </c>
      <c r="O1153" s="20">
        <v>1</v>
      </c>
      <c r="S1153" s="19" t="s">
        <v>20</v>
      </c>
      <c r="T1153" s="19" t="s">
        <v>1471</v>
      </c>
    </row>
    <row r="1154" spans="1:20">
      <c r="A1154" s="20">
        <v>202603329482666</v>
      </c>
      <c r="B1154" s="19" t="s">
        <v>20</v>
      </c>
      <c r="C1154" s="19" t="s">
        <v>21</v>
      </c>
      <c r="D1154" s="19" t="s">
        <v>20</v>
      </c>
      <c r="E1154" s="21">
        <v>46204</v>
      </c>
      <c r="F1154" s="21">
        <v>46568</v>
      </c>
      <c r="G1154" s="21"/>
      <c r="H1154" s="21">
        <v>46204</v>
      </c>
      <c r="I1154" s="21">
        <v>46568</v>
      </c>
      <c r="J1154" s="19" t="s">
        <v>2064</v>
      </c>
      <c r="L1154" s="19">
        <v>0</v>
      </c>
      <c r="M1154" s="19">
        <v>0</v>
      </c>
      <c r="N1154" s="19" t="s">
        <v>2394</v>
      </c>
      <c r="O1154" s="20">
        <v>6</v>
      </c>
      <c r="S1154" s="19" t="s">
        <v>20</v>
      </c>
      <c r="T1154" s="19" t="s">
        <v>1471</v>
      </c>
    </row>
    <row r="1155" spans="1:20">
      <c r="A1155" s="20">
        <v>202603329482666</v>
      </c>
      <c r="B1155" s="19" t="s">
        <v>20</v>
      </c>
      <c r="C1155" s="19" t="s">
        <v>21</v>
      </c>
      <c r="D1155" s="19" t="s">
        <v>20</v>
      </c>
      <c r="E1155" s="21">
        <v>46204</v>
      </c>
      <c r="F1155" s="21">
        <v>46568</v>
      </c>
      <c r="G1155" s="21"/>
      <c r="H1155" s="21">
        <v>46204</v>
      </c>
      <c r="I1155" s="21">
        <v>46568</v>
      </c>
      <c r="J1155" s="19" t="s">
        <v>2064</v>
      </c>
      <c r="L1155" s="19">
        <v>198.7837815</v>
      </c>
      <c r="M1155" s="19">
        <v>198.7837815</v>
      </c>
      <c r="N1155" s="19" t="s">
        <v>1475</v>
      </c>
      <c r="O1155" s="20">
        <v>6</v>
      </c>
      <c r="S1155" s="19" t="s">
        <v>20</v>
      </c>
      <c r="T1155" s="19" t="s">
        <v>1471</v>
      </c>
    </row>
    <row r="1156" spans="1:20">
      <c r="A1156" s="20">
        <v>202603329482801</v>
      </c>
      <c r="B1156" s="19" t="s">
        <v>20</v>
      </c>
      <c r="C1156" s="19" t="s">
        <v>21</v>
      </c>
      <c r="D1156" s="19" t="s">
        <v>20</v>
      </c>
      <c r="E1156" s="21">
        <v>46204</v>
      </c>
      <c r="F1156" s="21">
        <v>46568</v>
      </c>
      <c r="G1156" s="21"/>
      <c r="H1156" s="21">
        <v>46204</v>
      </c>
      <c r="I1156" s="21">
        <v>46568</v>
      </c>
      <c r="J1156" s="19" t="s">
        <v>2068</v>
      </c>
      <c r="L1156" s="19">
        <v>52.517367999999998</v>
      </c>
      <c r="M1156" s="19">
        <v>52.517367999999998</v>
      </c>
      <c r="N1156" s="19" t="s">
        <v>1475</v>
      </c>
      <c r="O1156" s="20">
        <v>2</v>
      </c>
      <c r="S1156" s="19" t="s">
        <v>20</v>
      </c>
      <c r="T1156" s="19" t="s">
        <v>1471</v>
      </c>
    </row>
    <row r="1157" spans="1:20">
      <c r="A1157" s="20">
        <v>202603329484434</v>
      </c>
      <c r="B1157" s="19" t="s">
        <v>20</v>
      </c>
      <c r="C1157" s="19" t="s">
        <v>21</v>
      </c>
      <c r="D1157" s="19" t="s">
        <v>20</v>
      </c>
      <c r="E1157" s="21">
        <v>46204</v>
      </c>
      <c r="F1157" s="21">
        <v>46568</v>
      </c>
      <c r="G1157" s="21"/>
      <c r="H1157" s="21">
        <v>46204</v>
      </c>
      <c r="I1157" s="21">
        <v>46568</v>
      </c>
      <c r="J1157" s="19" t="s">
        <v>2062</v>
      </c>
      <c r="L1157" s="19">
        <v>0</v>
      </c>
      <c r="M1157" s="19">
        <v>0</v>
      </c>
      <c r="N1157" s="19" t="s">
        <v>2394</v>
      </c>
      <c r="O1157" s="20">
        <v>6</v>
      </c>
      <c r="S1157" s="19" t="s">
        <v>20</v>
      </c>
      <c r="T1157" s="19" t="s">
        <v>1471</v>
      </c>
    </row>
    <row r="1158" spans="1:20">
      <c r="A1158" s="20">
        <v>202603329484434</v>
      </c>
      <c r="B1158" s="19" t="s">
        <v>20</v>
      </c>
      <c r="C1158" s="19" t="s">
        <v>21</v>
      </c>
      <c r="D1158" s="19" t="s">
        <v>20</v>
      </c>
      <c r="E1158" s="21">
        <v>46204</v>
      </c>
      <c r="F1158" s="21">
        <v>46568</v>
      </c>
      <c r="G1158" s="21"/>
      <c r="H1158" s="21">
        <v>46204</v>
      </c>
      <c r="I1158" s="21">
        <v>46568</v>
      </c>
      <c r="J1158" s="19" t="s">
        <v>2062</v>
      </c>
      <c r="L1158" s="19">
        <v>198.7837815</v>
      </c>
      <c r="M1158" s="19">
        <v>198.7837815</v>
      </c>
      <c r="N1158" s="19" t="s">
        <v>1475</v>
      </c>
      <c r="O1158" s="20">
        <v>6</v>
      </c>
      <c r="S1158" s="19" t="s">
        <v>20</v>
      </c>
      <c r="T1158" s="19" t="s">
        <v>1471</v>
      </c>
    </row>
    <row r="1159" spans="1:20">
      <c r="A1159" s="20">
        <v>202603329485352</v>
      </c>
      <c r="B1159" s="19" t="s">
        <v>20</v>
      </c>
      <c r="C1159" s="19" t="s">
        <v>21</v>
      </c>
      <c r="D1159" s="19" t="s">
        <v>20</v>
      </c>
      <c r="E1159" s="21">
        <v>46204</v>
      </c>
      <c r="F1159" s="21">
        <v>46568</v>
      </c>
      <c r="G1159" s="21"/>
      <c r="H1159" s="21">
        <v>46204</v>
      </c>
      <c r="I1159" s="21">
        <v>46568</v>
      </c>
      <c r="J1159" s="19" t="s">
        <v>2087</v>
      </c>
      <c r="L1159" s="19">
        <v>0</v>
      </c>
      <c r="M1159" s="19">
        <v>0</v>
      </c>
      <c r="N1159" s="19" t="s">
        <v>2394</v>
      </c>
      <c r="O1159" s="20">
        <v>3</v>
      </c>
      <c r="S1159" s="19" t="s">
        <v>20</v>
      </c>
      <c r="T1159" s="19" t="s">
        <v>1471</v>
      </c>
    </row>
    <row r="1160" spans="1:20">
      <c r="A1160" s="20">
        <v>202603329485352</v>
      </c>
      <c r="B1160" s="19" t="s">
        <v>20</v>
      </c>
      <c r="C1160" s="19" t="s">
        <v>21</v>
      </c>
      <c r="D1160" s="19" t="s">
        <v>20</v>
      </c>
      <c r="E1160" s="21">
        <v>46204</v>
      </c>
      <c r="F1160" s="21">
        <v>46568</v>
      </c>
      <c r="G1160" s="21"/>
      <c r="H1160" s="21">
        <v>46204</v>
      </c>
      <c r="I1160" s="21">
        <v>46568</v>
      </c>
      <c r="J1160" s="19" t="s">
        <v>2087</v>
      </c>
      <c r="L1160" s="19">
        <v>99.391890750000002</v>
      </c>
      <c r="M1160" s="19">
        <v>99.391890750000002</v>
      </c>
      <c r="N1160" s="19" t="s">
        <v>1475</v>
      </c>
      <c r="O1160" s="20">
        <v>3</v>
      </c>
      <c r="S1160" s="19" t="s">
        <v>20</v>
      </c>
      <c r="T1160" s="19" t="s">
        <v>1471</v>
      </c>
    </row>
    <row r="1161" spans="1:20">
      <c r="A1161" s="20">
        <v>202603329485541</v>
      </c>
      <c r="B1161" s="19" t="s">
        <v>20</v>
      </c>
      <c r="C1161" s="19" t="s">
        <v>21</v>
      </c>
      <c r="D1161" s="19" t="s">
        <v>20</v>
      </c>
      <c r="E1161" s="21">
        <v>46204</v>
      </c>
      <c r="F1161" s="21">
        <v>46568</v>
      </c>
      <c r="G1161" s="21"/>
      <c r="H1161" s="21">
        <v>46204</v>
      </c>
      <c r="I1161" s="21">
        <v>46568</v>
      </c>
      <c r="J1161" s="19" t="s">
        <v>2135</v>
      </c>
      <c r="L1161" s="19">
        <v>33.130630250000003</v>
      </c>
      <c r="M1161" s="19">
        <v>33.130630250000003</v>
      </c>
      <c r="N1161" s="19" t="s">
        <v>1475</v>
      </c>
      <c r="O1161" s="20">
        <v>1</v>
      </c>
      <c r="S1161" s="19" t="s">
        <v>20</v>
      </c>
      <c r="T1161" s="19" t="s">
        <v>1471</v>
      </c>
    </row>
    <row r="1162" spans="1:20">
      <c r="A1162" s="20">
        <v>202603329485754</v>
      </c>
      <c r="B1162" s="19" t="s">
        <v>20</v>
      </c>
      <c r="C1162" s="19" t="s">
        <v>21</v>
      </c>
      <c r="D1162" s="19" t="s">
        <v>20</v>
      </c>
      <c r="E1162" s="21">
        <v>46204</v>
      </c>
      <c r="F1162" s="21">
        <v>46568</v>
      </c>
      <c r="G1162" s="21"/>
      <c r="H1162" s="21">
        <v>46204</v>
      </c>
      <c r="I1162" s="21">
        <v>46568</v>
      </c>
      <c r="J1162" s="19" t="s">
        <v>2283</v>
      </c>
      <c r="L1162" s="19">
        <v>0</v>
      </c>
      <c r="M1162" s="19">
        <v>0</v>
      </c>
      <c r="N1162" s="19" t="s">
        <v>2394</v>
      </c>
      <c r="O1162" s="20">
        <v>5</v>
      </c>
      <c r="S1162" s="19" t="s">
        <v>20</v>
      </c>
      <c r="T1162" s="19" t="s">
        <v>1471</v>
      </c>
    </row>
    <row r="1163" spans="1:20">
      <c r="A1163" s="20">
        <v>202603329485754</v>
      </c>
      <c r="B1163" s="19" t="s">
        <v>20</v>
      </c>
      <c r="C1163" s="19" t="s">
        <v>21</v>
      </c>
      <c r="D1163" s="19" t="s">
        <v>20</v>
      </c>
      <c r="E1163" s="21">
        <v>46204</v>
      </c>
      <c r="F1163" s="21">
        <v>46568</v>
      </c>
      <c r="G1163" s="21"/>
      <c r="H1163" s="21">
        <v>46204</v>
      </c>
      <c r="I1163" s="21">
        <v>46568</v>
      </c>
      <c r="J1163" s="19" t="s">
        <v>2283</v>
      </c>
      <c r="L1163" s="19">
        <v>165.65315125000001</v>
      </c>
      <c r="M1163" s="19">
        <v>165.65315125000001</v>
      </c>
      <c r="N1163" s="19" t="s">
        <v>1475</v>
      </c>
      <c r="O1163" s="20">
        <v>5</v>
      </c>
      <c r="S1163" s="19" t="s">
        <v>20</v>
      </c>
      <c r="T1163" s="19" t="s">
        <v>1471</v>
      </c>
    </row>
    <row r="1164" spans="1:20">
      <c r="A1164" s="20">
        <v>202603329487368</v>
      </c>
      <c r="B1164" s="19" t="s">
        <v>20</v>
      </c>
      <c r="C1164" s="19" t="s">
        <v>21</v>
      </c>
      <c r="D1164" s="19" t="s">
        <v>20</v>
      </c>
      <c r="E1164" s="21">
        <v>46204</v>
      </c>
      <c r="F1164" s="21">
        <v>46568</v>
      </c>
      <c r="G1164" s="21"/>
      <c r="H1164" s="21">
        <v>46204</v>
      </c>
      <c r="I1164" s="21">
        <v>46568</v>
      </c>
      <c r="J1164" s="19" t="s">
        <v>2083</v>
      </c>
      <c r="L1164" s="19">
        <v>132.52252100000001</v>
      </c>
      <c r="M1164" s="19">
        <v>132.52252100000001</v>
      </c>
      <c r="N1164" s="19" t="s">
        <v>1475</v>
      </c>
      <c r="O1164" s="20">
        <v>4</v>
      </c>
      <c r="S1164" s="19" t="s">
        <v>20</v>
      </c>
      <c r="T1164" s="19" t="s">
        <v>1471</v>
      </c>
    </row>
    <row r="1165" spans="1:20">
      <c r="A1165" s="20">
        <v>202603329488601</v>
      </c>
      <c r="B1165" s="19" t="s">
        <v>20</v>
      </c>
      <c r="C1165" s="19" t="s">
        <v>21</v>
      </c>
      <c r="D1165" s="19" t="s">
        <v>20</v>
      </c>
      <c r="E1165" s="21">
        <v>46204</v>
      </c>
      <c r="F1165" s="21">
        <v>46568</v>
      </c>
      <c r="G1165" s="21"/>
      <c r="H1165" s="21">
        <v>46204</v>
      </c>
      <c r="I1165" s="21">
        <v>46568</v>
      </c>
      <c r="J1165" s="19" t="s">
        <v>1473</v>
      </c>
      <c r="L1165" s="19">
        <v>24.620673499999999</v>
      </c>
      <c r="M1165" s="19">
        <v>24.620673499999999</v>
      </c>
      <c r="N1165" s="19" t="s">
        <v>1475</v>
      </c>
      <c r="O1165" s="20">
        <v>1</v>
      </c>
      <c r="S1165" s="19" t="s">
        <v>20</v>
      </c>
      <c r="T1165" s="19" t="s">
        <v>1471</v>
      </c>
    </row>
    <row r="1166" spans="1:20">
      <c r="A1166" s="20">
        <v>202603329489695</v>
      </c>
      <c r="B1166" s="19" t="s">
        <v>20</v>
      </c>
      <c r="C1166" s="19" t="s">
        <v>21</v>
      </c>
      <c r="D1166" s="19" t="s">
        <v>20</v>
      </c>
      <c r="E1166" s="21">
        <v>46204</v>
      </c>
      <c r="F1166" s="21">
        <v>46568</v>
      </c>
      <c r="G1166" s="21"/>
      <c r="H1166" s="21">
        <v>46204</v>
      </c>
      <c r="I1166" s="21">
        <v>46568</v>
      </c>
      <c r="J1166" s="19" t="s">
        <v>2064</v>
      </c>
      <c r="L1166" s="19">
        <v>0</v>
      </c>
      <c r="M1166" s="19">
        <v>0</v>
      </c>
      <c r="N1166" s="19" t="s">
        <v>2394</v>
      </c>
      <c r="O1166" s="20">
        <v>6</v>
      </c>
      <c r="S1166" s="19" t="s">
        <v>20</v>
      </c>
      <c r="T1166" s="19" t="s">
        <v>1471</v>
      </c>
    </row>
    <row r="1167" spans="1:20">
      <c r="A1167" s="20">
        <v>202603329489695</v>
      </c>
      <c r="B1167" s="19" t="s">
        <v>20</v>
      </c>
      <c r="C1167" s="19" t="s">
        <v>21</v>
      </c>
      <c r="D1167" s="19" t="s">
        <v>20</v>
      </c>
      <c r="E1167" s="21">
        <v>46204</v>
      </c>
      <c r="F1167" s="21">
        <v>46568</v>
      </c>
      <c r="G1167" s="21"/>
      <c r="H1167" s="21">
        <v>46204</v>
      </c>
      <c r="I1167" s="21">
        <v>46568</v>
      </c>
      <c r="J1167" s="19" t="s">
        <v>2064</v>
      </c>
      <c r="L1167" s="19">
        <v>198.7837815</v>
      </c>
      <c r="M1167" s="19">
        <v>198.7837815</v>
      </c>
      <c r="N1167" s="19" t="s">
        <v>1475</v>
      </c>
      <c r="O1167" s="20">
        <v>6</v>
      </c>
      <c r="S1167" s="19" t="s">
        <v>20</v>
      </c>
      <c r="T1167" s="19" t="s">
        <v>1471</v>
      </c>
    </row>
    <row r="1168" spans="1:20">
      <c r="A1168" s="20">
        <v>202603329491480</v>
      </c>
      <c r="B1168" s="19" t="s">
        <v>20</v>
      </c>
      <c r="C1168" s="19" t="s">
        <v>21</v>
      </c>
      <c r="D1168" s="19" t="s">
        <v>20</v>
      </c>
      <c r="E1168" s="21">
        <v>46204</v>
      </c>
      <c r="F1168" s="21">
        <v>46568</v>
      </c>
      <c r="G1168" s="21"/>
      <c r="H1168" s="21">
        <v>46204</v>
      </c>
      <c r="I1168" s="21">
        <v>46568</v>
      </c>
      <c r="J1168" s="19" t="s">
        <v>2073</v>
      </c>
      <c r="L1168" s="19">
        <v>0</v>
      </c>
      <c r="M1168" s="19">
        <v>0</v>
      </c>
      <c r="N1168" s="19" t="s">
        <v>2394</v>
      </c>
      <c r="O1168" s="20">
        <v>5</v>
      </c>
      <c r="S1168" s="19" t="s">
        <v>20</v>
      </c>
      <c r="T1168" s="19" t="s">
        <v>1471</v>
      </c>
    </row>
    <row r="1169" spans="1:20">
      <c r="A1169" s="20">
        <v>202603329491480</v>
      </c>
      <c r="B1169" s="19" t="s">
        <v>20</v>
      </c>
      <c r="C1169" s="19" t="s">
        <v>21</v>
      </c>
      <c r="D1169" s="19" t="s">
        <v>20</v>
      </c>
      <c r="E1169" s="21">
        <v>46204</v>
      </c>
      <c r="F1169" s="21">
        <v>46568</v>
      </c>
      <c r="G1169" s="21"/>
      <c r="H1169" s="21">
        <v>46204</v>
      </c>
      <c r="I1169" s="21">
        <v>46568</v>
      </c>
      <c r="J1169" s="19" t="s">
        <v>2073</v>
      </c>
      <c r="L1169" s="19">
        <v>131.29342</v>
      </c>
      <c r="M1169" s="19">
        <v>131.29342</v>
      </c>
      <c r="N1169" s="19" t="s">
        <v>1475</v>
      </c>
      <c r="O1169" s="20">
        <v>5</v>
      </c>
      <c r="S1169" s="19" t="s">
        <v>20</v>
      </c>
      <c r="T1169" s="19" t="s">
        <v>1471</v>
      </c>
    </row>
    <row r="1170" spans="1:20">
      <c r="A1170" s="20">
        <v>202603329493399</v>
      </c>
      <c r="B1170" s="19" t="s">
        <v>20</v>
      </c>
      <c r="C1170" s="19" t="s">
        <v>21</v>
      </c>
      <c r="D1170" s="19" t="s">
        <v>20</v>
      </c>
      <c r="E1170" s="21">
        <v>46204</v>
      </c>
      <c r="F1170" s="21">
        <v>46568</v>
      </c>
      <c r="G1170" s="21"/>
      <c r="H1170" s="21">
        <v>46204</v>
      </c>
      <c r="I1170" s="21">
        <v>46568</v>
      </c>
      <c r="J1170" s="19" t="s">
        <v>2068</v>
      </c>
      <c r="L1170" s="19">
        <v>0</v>
      </c>
      <c r="M1170" s="19">
        <v>0</v>
      </c>
      <c r="N1170" s="19" t="s">
        <v>2394</v>
      </c>
      <c r="O1170" s="20">
        <v>2</v>
      </c>
      <c r="S1170" s="19" t="s">
        <v>20</v>
      </c>
      <c r="T1170" s="19" t="s">
        <v>1471</v>
      </c>
    </row>
    <row r="1171" spans="1:20">
      <c r="A1171" s="20">
        <v>202603329493399</v>
      </c>
      <c r="B1171" s="19" t="s">
        <v>20</v>
      </c>
      <c r="C1171" s="19" t="s">
        <v>21</v>
      </c>
      <c r="D1171" s="19" t="s">
        <v>20</v>
      </c>
      <c r="E1171" s="21">
        <v>46204</v>
      </c>
      <c r="F1171" s="21">
        <v>46568</v>
      </c>
      <c r="G1171" s="21"/>
      <c r="H1171" s="21">
        <v>46204</v>
      </c>
      <c r="I1171" s="21">
        <v>46568</v>
      </c>
      <c r="J1171" s="19" t="s">
        <v>2068</v>
      </c>
      <c r="L1171" s="19">
        <v>52.517367999999998</v>
      </c>
      <c r="M1171" s="19">
        <v>52.517367999999998</v>
      </c>
      <c r="N1171" s="19" t="s">
        <v>1475</v>
      </c>
      <c r="O1171" s="20">
        <v>2</v>
      </c>
      <c r="S1171" s="19" t="s">
        <v>20</v>
      </c>
      <c r="T1171" s="19" t="s">
        <v>1471</v>
      </c>
    </row>
    <row r="1172" spans="1:20">
      <c r="A1172" s="20">
        <v>202603329493815</v>
      </c>
      <c r="B1172" s="19" t="s">
        <v>20</v>
      </c>
      <c r="C1172" s="19" t="s">
        <v>21</v>
      </c>
      <c r="D1172" s="19" t="s">
        <v>20</v>
      </c>
      <c r="E1172" s="21">
        <v>46204</v>
      </c>
      <c r="F1172" s="21">
        <v>46568</v>
      </c>
      <c r="G1172" s="21"/>
      <c r="H1172" s="21">
        <v>46204</v>
      </c>
      <c r="I1172" s="21">
        <v>46568</v>
      </c>
      <c r="J1172" s="19" t="s">
        <v>2130</v>
      </c>
      <c r="L1172" s="19">
        <v>54.480246749999999</v>
      </c>
      <c r="M1172" s="19">
        <v>54.480246749999999</v>
      </c>
      <c r="N1172" s="19" t="s">
        <v>1475</v>
      </c>
      <c r="O1172" s="20">
        <v>3</v>
      </c>
      <c r="S1172" s="19" t="s">
        <v>20</v>
      </c>
      <c r="T1172" s="19" t="s">
        <v>1471</v>
      </c>
    </row>
    <row r="1173" spans="1:20">
      <c r="A1173" s="20">
        <v>202603329493897</v>
      </c>
      <c r="B1173" s="19" t="s">
        <v>20</v>
      </c>
      <c r="C1173" s="19" t="s">
        <v>21</v>
      </c>
      <c r="D1173" s="19" t="s">
        <v>20</v>
      </c>
      <c r="E1173" s="21">
        <v>46204</v>
      </c>
      <c r="F1173" s="21">
        <v>46568</v>
      </c>
      <c r="G1173" s="21"/>
      <c r="H1173" s="21">
        <v>46204</v>
      </c>
      <c r="I1173" s="21">
        <v>46568</v>
      </c>
      <c r="J1173" s="19" t="s">
        <v>2093</v>
      </c>
      <c r="L1173" s="19">
        <v>0</v>
      </c>
      <c r="M1173" s="19">
        <v>0</v>
      </c>
      <c r="N1173" s="19" t="s">
        <v>2394</v>
      </c>
      <c r="O1173" s="20">
        <v>3</v>
      </c>
      <c r="S1173" s="19" t="s">
        <v>20</v>
      </c>
      <c r="T1173" s="19" t="s">
        <v>1471</v>
      </c>
    </row>
    <row r="1174" spans="1:20">
      <c r="A1174" s="20">
        <v>202603329493897</v>
      </c>
      <c r="B1174" s="19" t="s">
        <v>20</v>
      </c>
      <c r="C1174" s="19" t="s">
        <v>21</v>
      </c>
      <c r="D1174" s="19" t="s">
        <v>20</v>
      </c>
      <c r="E1174" s="21">
        <v>46204</v>
      </c>
      <c r="F1174" s="21">
        <v>46568</v>
      </c>
      <c r="G1174" s="21"/>
      <c r="H1174" s="21">
        <v>46204</v>
      </c>
      <c r="I1174" s="21">
        <v>46568</v>
      </c>
      <c r="J1174" s="19" t="s">
        <v>2093</v>
      </c>
      <c r="L1174" s="19">
        <v>86.328102749999999</v>
      </c>
      <c r="M1174" s="19">
        <v>86.328102749999999</v>
      </c>
      <c r="N1174" s="19" t="s">
        <v>1475</v>
      </c>
      <c r="O1174" s="20">
        <v>3</v>
      </c>
      <c r="S1174" s="19" t="s">
        <v>20</v>
      </c>
      <c r="T1174" s="19" t="s">
        <v>1471</v>
      </c>
    </row>
    <row r="1175" spans="1:20">
      <c r="A1175" s="20">
        <v>202603329494271</v>
      </c>
      <c r="B1175" s="19" t="s">
        <v>20</v>
      </c>
      <c r="C1175" s="19" t="s">
        <v>21</v>
      </c>
      <c r="D1175" s="19" t="s">
        <v>20</v>
      </c>
      <c r="E1175" s="21">
        <v>46204</v>
      </c>
      <c r="F1175" s="21">
        <v>46568</v>
      </c>
      <c r="G1175" s="21"/>
      <c r="H1175" s="21">
        <v>46204</v>
      </c>
      <c r="I1175" s="21">
        <v>46568</v>
      </c>
      <c r="J1175" s="19" t="s">
        <v>2196</v>
      </c>
      <c r="L1175" s="19">
        <v>0</v>
      </c>
      <c r="M1175" s="19">
        <v>0</v>
      </c>
      <c r="N1175" s="19" t="s">
        <v>2394</v>
      </c>
      <c r="O1175" s="20">
        <v>4</v>
      </c>
      <c r="S1175" s="19" t="s">
        <v>20</v>
      </c>
      <c r="T1175" s="19" t="s">
        <v>1471</v>
      </c>
    </row>
    <row r="1176" spans="1:20">
      <c r="A1176" s="20">
        <v>202603329494271</v>
      </c>
      <c r="B1176" s="19" t="s">
        <v>20</v>
      </c>
      <c r="C1176" s="19" t="s">
        <v>21</v>
      </c>
      <c r="D1176" s="19" t="s">
        <v>20</v>
      </c>
      <c r="E1176" s="21">
        <v>46204</v>
      </c>
      <c r="F1176" s="21">
        <v>46568</v>
      </c>
      <c r="G1176" s="21"/>
      <c r="H1176" s="21">
        <v>46204</v>
      </c>
      <c r="I1176" s="21">
        <v>46568</v>
      </c>
      <c r="J1176" s="19" t="s">
        <v>2196</v>
      </c>
      <c r="L1176" s="19">
        <v>95.873163000000005</v>
      </c>
      <c r="M1176" s="19">
        <v>95.873163000000005</v>
      </c>
      <c r="N1176" s="19" t="s">
        <v>1475</v>
      </c>
      <c r="O1176" s="20">
        <v>4</v>
      </c>
      <c r="S1176" s="19" t="s">
        <v>20</v>
      </c>
      <c r="T1176" s="19" t="s">
        <v>1471</v>
      </c>
    </row>
    <row r="1177" spans="1:20">
      <c r="A1177" s="20">
        <v>202603329494668</v>
      </c>
      <c r="B1177" s="19" t="s">
        <v>20</v>
      </c>
      <c r="C1177" s="19" t="s">
        <v>21</v>
      </c>
      <c r="D1177" s="19" t="s">
        <v>20</v>
      </c>
      <c r="E1177" s="21">
        <v>46204</v>
      </c>
      <c r="F1177" s="21">
        <v>46568</v>
      </c>
      <c r="G1177" s="21"/>
      <c r="H1177" s="21">
        <v>46204</v>
      </c>
      <c r="I1177" s="21">
        <v>46568</v>
      </c>
      <c r="J1177" s="19" t="s">
        <v>2087</v>
      </c>
      <c r="L1177" s="19">
        <v>0</v>
      </c>
      <c r="M1177" s="19">
        <v>0</v>
      </c>
      <c r="N1177" s="19" t="s">
        <v>2394</v>
      </c>
      <c r="O1177" s="20">
        <v>5</v>
      </c>
      <c r="S1177" s="19" t="s">
        <v>20</v>
      </c>
      <c r="T1177" s="19" t="s">
        <v>1471</v>
      </c>
    </row>
    <row r="1178" spans="1:20">
      <c r="A1178" s="20">
        <v>202603329494668</v>
      </c>
      <c r="B1178" s="19" t="s">
        <v>20</v>
      </c>
      <c r="C1178" s="19" t="s">
        <v>21</v>
      </c>
      <c r="D1178" s="19" t="s">
        <v>20</v>
      </c>
      <c r="E1178" s="21">
        <v>46204</v>
      </c>
      <c r="F1178" s="21">
        <v>46568</v>
      </c>
      <c r="G1178" s="21"/>
      <c r="H1178" s="21">
        <v>46204</v>
      </c>
      <c r="I1178" s="21">
        <v>46568</v>
      </c>
      <c r="J1178" s="19" t="s">
        <v>2087</v>
      </c>
      <c r="L1178" s="19">
        <v>165.65315125000001</v>
      </c>
      <c r="M1178" s="19">
        <v>165.65315125000001</v>
      </c>
      <c r="N1178" s="19" t="s">
        <v>1475</v>
      </c>
      <c r="O1178" s="20">
        <v>5</v>
      </c>
      <c r="S1178" s="19" t="s">
        <v>20</v>
      </c>
      <c r="T1178" s="19" t="s">
        <v>1471</v>
      </c>
    </row>
    <row r="1179" spans="1:20">
      <c r="A1179" s="20">
        <v>202603329494904</v>
      </c>
      <c r="B1179" s="19" t="s">
        <v>20</v>
      </c>
      <c r="C1179" s="19" t="s">
        <v>21</v>
      </c>
      <c r="D1179" s="19" t="s">
        <v>20</v>
      </c>
      <c r="E1179" s="21">
        <v>46204</v>
      </c>
      <c r="F1179" s="21">
        <v>46568</v>
      </c>
      <c r="G1179" s="21"/>
      <c r="H1179" s="21">
        <v>46204</v>
      </c>
      <c r="I1179" s="21">
        <v>46568</v>
      </c>
      <c r="J1179" s="19" t="s">
        <v>2064</v>
      </c>
      <c r="L1179" s="19">
        <v>33.130630250000003</v>
      </c>
      <c r="M1179" s="19">
        <v>33.130630250000003</v>
      </c>
      <c r="N1179" s="19" t="s">
        <v>1475</v>
      </c>
      <c r="O1179" s="20">
        <v>1</v>
      </c>
      <c r="S1179" s="19" t="s">
        <v>20</v>
      </c>
      <c r="T1179" s="19" t="s">
        <v>1471</v>
      </c>
    </row>
    <row r="1180" spans="1:20">
      <c r="A1180" s="20">
        <v>202603329495954</v>
      </c>
      <c r="B1180" s="19" t="s">
        <v>20</v>
      </c>
      <c r="C1180" s="19" t="s">
        <v>21</v>
      </c>
      <c r="D1180" s="19" t="s">
        <v>2284</v>
      </c>
      <c r="E1180" s="21">
        <v>46204</v>
      </c>
      <c r="F1180" s="21">
        <v>46568</v>
      </c>
      <c r="G1180" s="21"/>
      <c r="H1180" s="21">
        <v>46204</v>
      </c>
      <c r="I1180" s="21">
        <v>46568</v>
      </c>
      <c r="J1180" s="19" t="s">
        <v>2285</v>
      </c>
      <c r="L1180" s="19">
        <v>13.8862425</v>
      </c>
      <c r="M1180" s="19">
        <v>13.8862425</v>
      </c>
      <c r="N1180" s="19" t="s">
        <v>1467</v>
      </c>
      <c r="O1180" s="20">
        <v>1</v>
      </c>
      <c r="S1180" s="19" t="s">
        <v>20</v>
      </c>
      <c r="T1180" s="19" t="s">
        <v>1471</v>
      </c>
    </row>
    <row r="1181" spans="1:20">
      <c r="A1181" s="20">
        <v>202603329496065</v>
      </c>
      <c r="B1181" s="19" t="s">
        <v>20</v>
      </c>
      <c r="C1181" s="19" t="s">
        <v>21</v>
      </c>
      <c r="D1181" s="19" t="s">
        <v>20</v>
      </c>
      <c r="E1181" s="21">
        <v>46204</v>
      </c>
      <c r="F1181" s="21">
        <v>46568</v>
      </c>
      <c r="G1181" s="21"/>
      <c r="H1181" s="21">
        <v>46204</v>
      </c>
      <c r="I1181" s="21">
        <v>46568</v>
      </c>
      <c r="J1181" s="19" t="s">
        <v>2064</v>
      </c>
      <c r="L1181" s="19">
        <v>0</v>
      </c>
      <c r="M1181" s="19">
        <v>0</v>
      </c>
      <c r="N1181" s="19" t="s">
        <v>2394</v>
      </c>
      <c r="O1181" s="20">
        <v>5</v>
      </c>
      <c r="S1181" s="19" t="s">
        <v>20</v>
      </c>
      <c r="T1181" s="19" t="s">
        <v>1471</v>
      </c>
    </row>
    <row r="1182" spans="1:20">
      <c r="A1182" s="20">
        <v>202603329496065</v>
      </c>
      <c r="B1182" s="19" t="s">
        <v>20</v>
      </c>
      <c r="C1182" s="19" t="s">
        <v>21</v>
      </c>
      <c r="D1182" s="19" t="s">
        <v>20</v>
      </c>
      <c r="E1182" s="21">
        <v>46204</v>
      </c>
      <c r="F1182" s="21">
        <v>46568</v>
      </c>
      <c r="G1182" s="21"/>
      <c r="H1182" s="21">
        <v>46204</v>
      </c>
      <c r="I1182" s="21">
        <v>46568</v>
      </c>
      <c r="J1182" s="19" t="s">
        <v>2064</v>
      </c>
      <c r="L1182" s="19">
        <v>165.65315125000001</v>
      </c>
      <c r="M1182" s="19">
        <v>165.65315125000001</v>
      </c>
      <c r="N1182" s="19" t="s">
        <v>1475</v>
      </c>
      <c r="O1182" s="20">
        <v>5</v>
      </c>
      <c r="S1182" s="19" t="s">
        <v>20</v>
      </c>
      <c r="T1182" s="19" t="s">
        <v>1471</v>
      </c>
    </row>
    <row r="1183" spans="1:20">
      <c r="A1183" s="20">
        <v>202603329497380</v>
      </c>
      <c r="B1183" s="19" t="s">
        <v>20</v>
      </c>
      <c r="C1183" s="19" t="s">
        <v>21</v>
      </c>
      <c r="D1183" s="19" t="s">
        <v>20</v>
      </c>
      <c r="E1183" s="21">
        <v>46204</v>
      </c>
      <c r="F1183" s="21">
        <v>46568</v>
      </c>
      <c r="G1183" s="21"/>
      <c r="H1183" s="21">
        <v>46204</v>
      </c>
      <c r="I1183" s="21">
        <v>46568</v>
      </c>
      <c r="J1183" s="19" t="s">
        <v>2139</v>
      </c>
      <c r="L1183" s="19">
        <v>0</v>
      </c>
      <c r="M1183" s="19">
        <v>0</v>
      </c>
      <c r="N1183" s="19" t="s">
        <v>2394</v>
      </c>
      <c r="O1183" s="20">
        <v>2</v>
      </c>
      <c r="S1183" s="19" t="s">
        <v>20</v>
      </c>
      <c r="T1183" s="19" t="s">
        <v>1471</v>
      </c>
    </row>
    <row r="1184" spans="1:20">
      <c r="A1184" s="20">
        <v>202603329497380</v>
      </c>
      <c r="B1184" s="19" t="s">
        <v>20</v>
      </c>
      <c r="C1184" s="19" t="s">
        <v>21</v>
      </c>
      <c r="D1184" s="19" t="s">
        <v>20</v>
      </c>
      <c r="E1184" s="21">
        <v>46204</v>
      </c>
      <c r="F1184" s="21">
        <v>46568</v>
      </c>
      <c r="G1184" s="21"/>
      <c r="H1184" s="21">
        <v>46204</v>
      </c>
      <c r="I1184" s="21">
        <v>46568</v>
      </c>
      <c r="J1184" s="19" t="s">
        <v>2139</v>
      </c>
      <c r="L1184" s="19">
        <v>77.319118000000003</v>
      </c>
      <c r="M1184" s="19">
        <v>77.319118000000003</v>
      </c>
      <c r="N1184" s="19" t="s">
        <v>1475</v>
      </c>
      <c r="O1184" s="20">
        <v>2</v>
      </c>
      <c r="S1184" s="19" t="s">
        <v>20</v>
      </c>
      <c r="T1184" s="19" t="s">
        <v>1471</v>
      </c>
    </row>
    <row r="1185" spans="1:20">
      <c r="A1185" s="20">
        <v>202603329497432</v>
      </c>
      <c r="B1185" s="19" t="s">
        <v>20</v>
      </c>
      <c r="C1185" s="19" t="s">
        <v>21</v>
      </c>
      <c r="D1185" s="19" t="s">
        <v>20</v>
      </c>
      <c r="E1185" s="21">
        <v>46204</v>
      </c>
      <c r="F1185" s="21">
        <v>46568</v>
      </c>
      <c r="G1185" s="21"/>
      <c r="H1185" s="21">
        <v>46204</v>
      </c>
      <c r="I1185" s="21">
        <v>46568</v>
      </c>
      <c r="J1185" s="19" t="s">
        <v>2151</v>
      </c>
      <c r="L1185" s="19">
        <v>0</v>
      </c>
      <c r="M1185" s="19">
        <v>0</v>
      </c>
      <c r="N1185" s="19" t="s">
        <v>2394</v>
      </c>
      <c r="O1185" s="20">
        <v>4</v>
      </c>
      <c r="S1185" s="19" t="s">
        <v>20</v>
      </c>
      <c r="T1185" s="19" t="s">
        <v>1471</v>
      </c>
    </row>
    <row r="1186" spans="1:20">
      <c r="A1186" s="20">
        <v>202603329497432</v>
      </c>
      <c r="B1186" s="19" t="s">
        <v>20</v>
      </c>
      <c r="C1186" s="19" t="s">
        <v>21</v>
      </c>
      <c r="D1186" s="19" t="s">
        <v>20</v>
      </c>
      <c r="E1186" s="21">
        <v>46204</v>
      </c>
      <c r="F1186" s="21">
        <v>46568</v>
      </c>
      <c r="G1186" s="21"/>
      <c r="H1186" s="21">
        <v>46204</v>
      </c>
      <c r="I1186" s="21">
        <v>46568</v>
      </c>
      <c r="J1186" s="19" t="s">
        <v>2151</v>
      </c>
      <c r="L1186" s="19">
        <v>132.52252100000001</v>
      </c>
      <c r="M1186" s="19">
        <v>132.52252100000001</v>
      </c>
      <c r="N1186" s="19" t="s">
        <v>1475</v>
      </c>
      <c r="O1186" s="20">
        <v>4</v>
      </c>
      <c r="S1186" s="19" t="s">
        <v>20</v>
      </c>
      <c r="T1186" s="19" t="s">
        <v>1471</v>
      </c>
    </row>
    <row r="1187" spans="1:20">
      <c r="A1187" s="20">
        <v>202603329497568</v>
      </c>
      <c r="B1187" s="19" t="s">
        <v>20</v>
      </c>
      <c r="C1187" s="19" t="s">
        <v>21</v>
      </c>
      <c r="D1187" s="19" t="s">
        <v>20</v>
      </c>
      <c r="E1187" s="21">
        <v>46204</v>
      </c>
      <c r="F1187" s="21">
        <v>46568</v>
      </c>
      <c r="G1187" s="21"/>
      <c r="H1187" s="21">
        <v>46204</v>
      </c>
      <c r="I1187" s="21">
        <v>46568</v>
      </c>
      <c r="J1187" s="19" t="s">
        <v>2064</v>
      </c>
      <c r="L1187" s="19">
        <v>33.130630250000003</v>
      </c>
      <c r="M1187" s="19">
        <v>33.130630250000003</v>
      </c>
      <c r="N1187" s="19" t="s">
        <v>1475</v>
      </c>
      <c r="O1187" s="20">
        <v>1</v>
      </c>
      <c r="S1187" s="19" t="s">
        <v>20</v>
      </c>
      <c r="T1187" s="19" t="s">
        <v>1471</v>
      </c>
    </row>
    <row r="1188" spans="1:20">
      <c r="A1188" s="20">
        <v>202603329497897</v>
      </c>
      <c r="B1188" s="19" t="s">
        <v>20</v>
      </c>
      <c r="C1188" s="19" t="s">
        <v>21</v>
      </c>
      <c r="D1188" s="19" t="s">
        <v>20</v>
      </c>
      <c r="E1188" s="21">
        <v>46204</v>
      </c>
      <c r="F1188" s="21">
        <v>46568</v>
      </c>
      <c r="G1188" s="21"/>
      <c r="H1188" s="21">
        <v>46204</v>
      </c>
      <c r="I1188" s="21">
        <v>46568</v>
      </c>
      <c r="J1188" s="19" t="s">
        <v>2092</v>
      </c>
      <c r="L1188" s="19">
        <v>0</v>
      </c>
      <c r="M1188" s="19">
        <v>0</v>
      </c>
      <c r="N1188" s="19" t="s">
        <v>2394</v>
      </c>
      <c r="O1188" s="20">
        <v>2</v>
      </c>
      <c r="S1188" s="19" t="s">
        <v>20</v>
      </c>
      <c r="T1188" s="19" t="s">
        <v>1471</v>
      </c>
    </row>
    <row r="1189" spans="1:20">
      <c r="A1189" s="20">
        <v>202603329497897</v>
      </c>
      <c r="B1189" s="19" t="s">
        <v>20</v>
      </c>
      <c r="C1189" s="19" t="s">
        <v>21</v>
      </c>
      <c r="D1189" s="19" t="s">
        <v>20</v>
      </c>
      <c r="E1189" s="21">
        <v>46204</v>
      </c>
      <c r="F1189" s="21">
        <v>46568</v>
      </c>
      <c r="G1189" s="21"/>
      <c r="H1189" s="21">
        <v>46204</v>
      </c>
      <c r="I1189" s="21">
        <v>46568</v>
      </c>
      <c r="J1189" s="19" t="s">
        <v>2092</v>
      </c>
      <c r="L1189" s="19">
        <v>77.319118000000003</v>
      </c>
      <c r="M1189" s="19">
        <v>77.319118000000003</v>
      </c>
      <c r="N1189" s="19" t="s">
        <v>1475</v>
      </c>
      <c r="O1189" s="20">
        <v>2</v>
      </c>
      <c r="S1189" s="19" t="s">
        <v>20</v>
      </c>
      <c r="T1189" s="19" t="s">
        <v>1471</v>
      </c>
    </row>
    <row r="1190" spans="1:20">
      <c r="A1190" s="20">
        <v>202603329498538</v>
      </c>
      <c r="B1190" s="19" t="s">
        <v>20</v>
      </c>
      <c r="C1190" s="19" t="s">
        <v>21</v>
      </c>
      <c r="D1190" s="19" t="s">
        <v>20</v>
      </c>
      <c r="E1190" s="21">
        <v>46204</v>
      </c>
      <c r="F1190" s="21">
        <v>46568</v>
      </c>
      <c r="G1190" s="21"/>
      <c r="H1190" s="21">
        <v>46204</v>
      </c>
      <c r="I1190" s="21">
        <v>46568</v>
      </c>
      <c r="J1190" s="19" t="s">
        <v>2087</v>
      </c>
      <c r="L1190" s="19">
        <v>33.130630250000003</v>
      </c>
      <c r="M1190" s="19">
        <v>33.130630250000003</v>
      </c>
      <c r="N1190" s="19" t="s">
        <v>1475</v>
      </c>
      <c r="O1190" s="20">
        <v>1</v>
      </c>
      <c r="S1190" s="19" t="s">
        <v>20</v>
      </c>
      <c r="T1190" s="19" t="s">
        <v>1471</v>
      </c>
    </row>
    <row r="1191" spans="1:20">
      <c r="A1191" s="20">
        <v>202603329499432</v>
      </c>
      <c r="B1191" s="19" t="s">
        <v>20</v>
      </c>
      <c r="C1191" s="19" t="s">
        <v>21</v>
      </c>
      <c r="D1191" s="19" t="s">
        <v>20</v>
      </c>
      <c r="E1191" s="21">
        <v>46204</v>
      </c>
      <c r="F1191" s="21">
        <v>46568</v>
      </c>
      <c r="G1191" s="21"/>
      <c r="H1191" s="21">
        <v>46204</v>
      </c>
      <c r="I1191" s="21">
        <v>46568</v>
      </c>
      <c r="J1191" s="19" t="s">
        <v>2155</v>
      </c>
      <c r="L1191" s="19">
        <v>0</v>
      </c>
      <c r="M1191" s="19">
        <v>0</v>
      </c>
      <c r="N1191" s="19" t="s">
        <v>2394</v>
      </c>
      <c r="O1191" s="20">
        <v>3</v>
      </c>
      <c r="S1191" s="19" t="s">
        <v>20</v>
      </c>
      <c r="T1191" s="19" t="s">
        <v>1471</v>
      </c>
    </row>
    <row r="1192" spans="1:20">
      <c r="A1192" s="20">
        <v>202603329499432</v>
      </c>
      <c r="B1192" s="19" t="s">
        <v>20</v>
      </c>
      <c r="C1192" s="19" t="s">
        <v>21</v>
      </c>
      <c r="D1192" s="19" t="s">
        <v>20</v>
      </c>
      <c r="E1192" s="21">
        <v>46204</v>
      </c>
      <c r="F1192" s="21">
        <v>46568</v>
      </c>
      <c r="G1192" s="21"/>
      <c r="H1192" s="21">
        <v>46204</v>
      </c>
      <c r="I1192" s="21">
        <v>46568</v>
      </c>
      <c r="J1192" s="19" t="s">
        <v>2155</v>
      </c>
      <c r="L1192" s="19">
        <v>99.391890750000002</v>
      </c>
      <c r="M1192" s="19">
        <v>99.391890750000002</v>
      </c>
      <c r="N1192" s="19" t="s">
        <v>1475</v>
      </c>
      <c r="O1192" s="20">
        <v>3</v>
      </c>
      <c r="S1192" s="19" t="s">
        <v>20</v>
      </c>
      <c r="T1192" s="19" t="s">
        <v>1471</v>
      </c>
    </row>
    <row r="1193" spans="1:20">
      <c r="A1193" s="20">
        <v>202603329501572</v>
      </c>
      <c r="B1193" s="19" t="s">
        <v>20</v>
      </c>
      <c r="C1193" s="19" t="s">
        <v>21</v>
      </c>
      <c r="D1193" s="19" t="s">
        <v>20</v>
      </c>
      <c r="E1193" s="21">
        <v>46204</v>
      </c>
      <c r="F1193" s="21">
        <v>46568</v>
      </c>
      <c r="G1193" s="21"/>
      <c r="H1193" s="21">
        <v>46204</v>
      </c>
      <c r="I1193" s="21">
        <v>46568</v>
      </c>
      <c r="J1193" s="19" t="s">
        <v>2086</v>
      </c>
      <c r="L1193" s="19">
        <v>0</v>
      </c>
      <c r="M1193" s="19">
        <v>0</v>
      </c>
      <c r="N1193" s="19" t="s">
        <v>2394</v>
      </c>
      <c r="O1193" s="20">
        <v>2</v>
      </c>
      <c r="S1193" s="19" t="s">
        <v>20</v>
      </c>
      <c r="T1193" s="19" t="s">
        <v>1471</v>
      </c>
    </row>
    <row r="1194" spans="1:20">
      <c r="A1194" s="20">
        <v>202603329501572</v>
      </c>
      <c r="B1194" s="19" t="s">
        <v>20</v>
      </c>
      <c r="C1194" s="19" t="s">
        <v>21</v>
      </c>
      <c r="D1194" s="19" t="s">
        <v>20</v>
      </c>
      <c r="E1194" s="21">
        <v>46204</v>
      </c>
      <c r="F1194" s="21">
        <v>46568</v>
      </c>
      <c r="G1194" s="21"/>
      <c r="H1194" s="21">
        <v>46204</v>
      </c>
      <c r="I1194" s="21">
        <v>46568</v>
      </c>
      <c r="J1194" s="19" t="s">
        <v>2086</v>
      </c>
      <c r="L1194" s="19">
        <v>66.261260500000006</v>
      </c>
      <c r="M1194" s="19">
        <v>66.261260500000006</v>
      </c>
      <c r="N1194" s="19" t="s">
        <v>1475</v>
      </c>
      <c r="O1194" s="20">
        <v>2</v>
      </c>
      <c r="S1194" s="19" t="s">
        <v>20</v>
      </c>
      <c r="T1194" s="19" t="s">
        <v>1471</v>
      </c>
    </row>
    <row r="1195" spans="1:20">
      <c r="A1195" s="20">
        <v>202603329503996</v>
      </c>
      <c r="B1195" s="19" t="s">
        <v>20</v>
      </c>
      <c r="C1195" s="19" t="s">
        <v>21</v>
      </c>
      <c r="D1195" s="19" t="s">
        <v>20</v>
      </c>
      <c r="E1195" s="21">
        <v>46204</v>
      </c>
      <c r="F1195" s="21">
        <v>46568</v>
      </c>
      <c r="G1195" s="21"/>
      <c r="H1195" s="21">
        <v>46204</v>
      </c>
      <c r="I1195" s="21">
        <v>46568</v>
      </c>
      <c r="J1195" s="19" t="s">
        <v>2104</v>
      </c>
      <c r="L1195" s="19">
        <v>0</v>
      </c>
      <c r="M1195" s="19">
        <v>0</v>
      </c>
      <c r="N1195" s="19" t="s">
        <v>2394</v>
      </c>
      <c r="O1195" s="20">
        <v>3</v>
      </c>
      <c r="S1195" s="19" t="s">
        <v>20</v>
      </c>
      <c r="T1195" s="19" t="s">
        <v>1471</v>
      </c>
    </row>
    <row r="1196" spans="1:20">
      <c r="A1196" s="20">
        <v>202603329503996</v>
      </c>
      <c r="B1196" s="19" t="s">
        <v>20</v>
      </c>
      <c r="C1196" s="19" t="s">
        <v>21</v>
      </c>
      <c r="D1196" s="19" t="s">
        <v>20</v>
      </c>
      <c r="E1196" s="21">
        <v>46204</v>
      </c>
      <c r="F1196" s="21">
        <v>46568</v>
      </c>
      <c r="G1196" s="21"/>
      <c r="H1196" s="21">
        <v>46204</v>
      </c>
      <c r="I1196" s="21">
        <v>46568</v>
      </c>
      <c r="J1196" s="19" t="s">
        <v>2104</v>
      </c>
      <c r="L1196" s="19">
        <v>99.391890750000002</v>
      </c>
      <c r="M1196" s="19">
        <v>99.391890750000002</v>
      </c>
      <c r="N1196" s="19" t="s">
        <v>1475</v>
      </c>
      <c r="O1196" s="20">
        <v>3</v>
      </c>
      <c r="S1196" s="19" t="s">
        <v>20</v>
      </c>
      <c r="T1196" s="19" t="s">
        <v>1471</v>
      </c>
    </row>
    <row r="1197" spans="1:20">
      <c r="A1197" s="20">
        <v>202603329504023</v>
      </c>
      <c r="B1197" s="19" t="s">
        <v>20</v>
      </c>
      <c r="C1197" s="19" t="s">
        <v>21</v>
      </c>
      <c r="D1197" s="19" t="s">
        <v>20</v>
      </c>
      <c r="E1197" s="21">
        <v>46204</v>
      </c>
      <c r="F1197" s="21">
        <v>46568</v>
      </c>
      <c r="G1197" s="21"/>
      <c r="H1197" s="21">
        <v>46204</v>
      </c>
      <c r="I1197" s="21">
        <v>46568</v>
      </c>
      <c r="J1197" s="19" t="s">
        <v>2067</v>
      </c>
      <c r="L1197" s="19">
        <v>0</v>
      </c>
      <c r="M1197" s="19">
        <v>0</v>
      </c>
      <c r="N1197" s="19" t="s">
        <v>2394</v>
      </c>
      <c r="O1197" s="20">
        <v>6</v>
      </c>
      <c r="S1197" s="19" t="s">
        <v>20</v>
      </c>
      <c r="T1197" s="19" t="s">
        <v>1471</v>
      </c>
    </row>
    <row r="1198" spans="1:20">
      <c r="A1198" s="20">
        <v>202603329504023</v>
      </c>
      <c r="B1198" s="19" t="s">
        <v>20</v>
      </c>
      <c r="C1198" s="19" t="s">
        <v>21</v>
      </c>
      <c r="D1198" s="19" t="s">
        <v>20</v>
      </c>
      <c r="E1198" s="21">
        <v>46204</v>
      </c>
      <c r="F1198" s="21">
        <v>46568</v>
      </c>
      <c r="G1198" s="21"/>
      <c r="H1198" s="21">
        <v>46204</v>
      </c>
      <c r="I1198" s="21">
        <v>46568</v>
      </c>
      <c r="J1198" s="19" t="s">
        <v>2067</v>
      </c>
      <c r="L1198" s="19">
        <v>210.6656265</v>
      </c>
      <c r="M1198" s="19">
        <v>210.6656265</v>
      </c>
      <c r="N1198" s="19" t="s">
        <v>1475</v>
      </c>
      <c r="O1198" s="20">
        <v>6</v>
      </c>
      <c r="S1198" s="19" t="s">
        <v>20</v>
      </c>
      <c r="T1198" s="19" t="s">
        <v>1471</v>
      </c>
    </row>
    <row r="1199" spans="1:20">
      <c r="A1199" s="20">
        <v>202603329504674</v>
      </c>
      <c r="B1199" s="19" t="s">
        <v>20</v>
      </c>
      <c r="C1199" s="19" t="s">
        <v>21</v>
      </c>
      <c r="D1199" s="19" t="s">
        <v>20</v>
      </c>
      <c r="E1199" s="21">
        <v>46204</v>
      </c>
      <c r="F1199" s="21">
        <v>46568</v>
      </c>
      <c r="G1199" s="21"/>
      <c r="H1199" s="21">
        <v>46204</v>
      </c>
      <c r="I1199" s="21">
        <v>46568</v>
      </c>
      <c r="J1199" s="19" t="s">
        <v>2064</v>
      </c>
      <c r="L1199" s="19">
        <v>0</v>
      </c>
      <c r="M1199" s="19">
        <v>0</v>
      </c>
      <c r="N1199" s="19" t="s">
        <v>2394</v>
      </c>
      <c r="O1199" s="20">
        <v>2</v>
      </c>
      <c r="S1199" s="19" t="s">
        <v>20</v>
      </c>
      <c r="T1199" s="19" t="s">
        <v>1471</v>
      </c>
    </row>
    <row r="1200" spans="1:20">
      <c r="A1200" s="20">
        <v>202603329504674</v>
      </c>
      <c r="B1200" s="19" t="s">
        <v>20</v>
      </c>
      <c r="C1200" s="19" t="s">
        <v>21</v>
      </c>
      <c r="D1200" s="19" t="s">
        <v>2286</v>
      </c>
      <c r="E1200" s="21">
        <v>46204</v>
      </c>
      <c r="F1200" s="21">
        <v>46568</v>
      </c>
      <c r="G1200" s="21"/>
      <c r="H1200" s="21">
        <v>46204</v>
      </c>
      <c r="I1200" s="21">
        <v>46568</v>
      </c>
      <c r="J1200" s="19" t="s">
        <v>2064</v>
      </c>
      <c r="L1200" s="19">
        <v>33.454366999999998</v>
      </c>
      <c r="M1200" s="19">
        <v>33.454366999999998</v>
      </c>
      <c r="N1200" s="19" t="s">
        <v>1467</v>
      </c>
      <c r="O1200" s="20">
        <v>2</v>
      </c>
      <c r="S1200" s="19" t="s">
        <v>20</v>
      </c>
      <c r="T1200" s="19" t="s">
        <v>1471</v>
      </c>
    </row>
    <row r="1201" spans="1:20">
      <c r="A1201" s="20">
        <v>202603329506545</v>
      </c>
      <c r="B1201" s="19" t="s">
        <v>20</v>
      </c>
      <c r="C1201" s="19" t="s">
        <v>21</v>
      </c>
      <c r="D1201" s="19" t="s">
        <v>20</v>
      </c>
      <c r="E1201" s="21">
        <v>46204</v>
      </c>
      <c r="F1201" s="21">
        <v>46568</v>
      </c>
      <c r="G1201" s="21"/>
      <c r="H1201" s="21">
        <v>46204</v>
      </c>
      <c r="I1201" s="21">
        <v>46568</v>
      </c>
      <c r="J1201" s="19" t="s">
        <v>2118</v>
      </c>
      <c r="L1201" s="19">
        <v>33.130630250000003</v>
      </c>
      <c r="M1201" s="19">
        <v>33.130630250000003</v>
      </c>
      <c r="N1201" s="19" t="s">
        <v>1475</v>
      </c>
      <c r="O1201" s="20">
        <v>1</v>
      </c>
      <c r="S1201" s="19" t="s">
        <v>20</v>
      </c>
      <c r="T1201" s="19" t="s">
        <v>1471</v>
      </c>
    </row>
    <row r="1202" spans="1:20">
      <c r="A1202" s="20">
        <v>202603329507249</v>
      </c>
      <c r="B1202" s="19" t="s">
        <v>20</v>
      </c>
      <c r="C1202" s="19" t="s">
        <v>21</v>
      </c>
      <c r="D1202" s="19" t="s">
        <v>20</v>
      </c>
      <c r="E1202" s="21">
        <v>46204</v>
      </c>
      <c r="F1202" s="21">
        <v>46568</v>
      </c>
      <c r="G1202" s="21"/>
      <c r="H1202" s="21">
        <v>46204</v>
      </c>
      <c r="I1202" s="21">
        <v>46568</v>
      </c>
      <c r="J1202" s="19" t="s">
        <v>2196</v>
      </c>
      <c r="L1202" s="19">
        <v>23.968290750000001</v>
      </c>
      <c r="M1202" s="19">
        <v>23.968290750000001</v>
      </c>
      <c r="N1202" s="19" t="s">
        <v>1475</v>
      </c>
      <c r="O1202" s="20">
        <v>1</v>
      </c>
      <c r="S1202" s="19" t="s">
        <v>20</v>
      </c>
      <c r="T1202" s="19" t="s">
        <v>1471</v>
      </c>
    </row>
    <row r="1203" spans="1:20">
      <c r="A1203" s="20">
        <v>202603329507548</v>
      </c>
      <c r="B1203" s="19" t="s">
        <v>20</v>
      </c>
      <c r="C1203" s="19" t="s">
        <v>21</v>
      </c>
      <c r="D1203" s="19" t="s">
        <v>20</v>
      </c>
      <c r="E1203" s="21">
        <v>46204</v>
      </c>
      <c r="F1203" s="21">
        <v>46568</v>
      </c>
      <c r="G1203" s="21"/>
      <c r="H1203" s="21">
        <v>46204</v>
      </c>
      <c r="I1203" s="21">
        <v>46568</v>
      </c>
      <c r="J1203" s="19" t="s">
        <v>2080</v>
      </c>
      <c r="L1203" s="19">
        <v>0</v>
      </c>
      <c r="M1203" s="19">
        <v>0</v>
      </c>
      <c r="N1203" s="19" t="s">
        <v>2394</v>
      </c>
      <c r="O1203" s="20">
        <v>2</v>
      </c>
      <c r="S1203" s="19" t="s">
        <v>20</v>
      </c>
      <c r="T1203" s="19" t="s">
        <v>1471</v>
      </c>
    </row>
    <row r="1204" spans="1:20">
      <c r="A1204" s="20">
        <v>202603329507548</v>
      </c>
      <c r="B1204" s="19" t="s">
        <v>20</v>
      </c>
      <c r="C1204" s="19" t="s">
        <v>21</v>
      </c>
      <c r="D1204" s="19" t="s">
        <v>2287</v>
      </c>
      <c r="E1204" s="21">
        <v>46204</v>
      </c>
      <c r="F1204" s="21">
        <v>46568</v>
      </c>
      <c r="G1204" s="21"/>
      <c r="H1204" s="21">
        <v>46204</v>
      </c>
      <c r="I1204" s="21">
        <v>46568</v>
      </c>
      <c r="J1204" s="19" t="s">
        <v>2080</v>
      </c>
      <c r="L1204" s="19">
        <v>66.261260500000006</v>
      </c>
      <c r="M1204" s="19">
        <v>66.261260500000006</v>
      </c>
      <c r="N1204" s="19" t="s">
        <v>1467</v>
      </c>
      <c r="O1204" s="20">
        <v>2</v>
      </c>
      <c r="S1204" s="19" t="s">
        <v>20</v>
      </c>
      <c r="T1204" s="19" t="s">
        <v>1471</v>
      </c>
    </row>
    <row r="1205" spans="1:20">
      <c r="A1205" s="20">
        <v>202603329507792</v>
      </c>
      <c r="B1205" s="19" t="s">
        <v>20</v>
      </c>
      <c r="C1205" s="19" t="s">
        <v>21</v>
      </c>
      <c r="D1205" s="19" t="s">
        <v>20</v>
      </c>
      <c r="E1205" s="21">
        <v>46204</v>
      </c>
      <c r="F1205" s="21">
        <v>46568</v>
      </c>
      <c r="G1205" s="21"/>
      <c r="H1205" s="21">
        <v>46204</v>
      </c>
      <c r="I1205" s="21">
        <v>46568</v>
      </c>
      <c r="J1205" s="19" t="s">
        <v>2062</v>
      </c>
      <c r="L1205" s="19">
        <v>0</v>
      </c>
      <c r="M1205" s="19">
        <v>0</v>
      </c>
      <c r="N1205" s="19" t="s">
        <v>2394</v>
      </c>
      <c r="O1205" s="20">
        <v>2</v>
      </c>
      <c r="S1205" s="19" t="s">
        <v>20</v>
      </c>
      <c r="T1205" s="19" t="s">
        <v>1471</v>
      </c>
    </row>
    <row r="1206" spans="1:20">
      <c r="A1206" s="20">
        <v>202603329507792</v>
      </c>
      <c r="B1206" s="19" t="s">
        <v>20</v>
      </c>
      <c r="C1206" s="19" t="s">
        <v>21</v>
      </c>
      <c r="D1206" s="19" t="s">
        <v>20</v>
      </c>
      <c r="E1206" s="21">
        <v>46204</v>
      </c>
      <c r="F1206" s="21">
        <v>46568</v>
      </c>
      <c r="G1206" s="21"/>
      <c r="H1206" s="21">
        <v>46204</v>
      </c>
      <c r="I1206" s="21">
        <v>46568</v>
      </c>
      <c r="J1206" s="19" t="s">
        <v>2062</v>
      </c>
      <c r="L1206" s="19">
        <v>66.261260500000006</v>
      </c>
      <c r="M1206" s="19">
        <v>66.261260500000006</v>
      </c>
      <c r="N1206" s="19" t="s">
        <v>1475</v>
      </c>
      <c r="O1206" s="20">
        <v>2</v>
      </c>
      <c r="S1206" s="19" t="s">
        <v>20</v>
      </c>
      <c r="T1206" s="19" t="s">
        <v>1471</v>
      </c>
    </row>
    <row r="1207" spans="1:20">
      <c r="A1207" s="20">
        <v>202603329508108</v>
      </c>
      <c r="B1207" s="19" t="s">
        <v>20</v>
      </c>
      <c r="C1207" s="19" t="s">
        <v>21</v>
      </c>
      <c r="D1207" s="19" t="s">
        <v>20</v>
      </c>
      <c r="E1207" s="21">
        <v>46204</v>
      </c>
      <c r="F1207" s="21">
        <v>46568</v>
      </c>
      <c r="G1207" s="21"/>
      <c r="H1207" s="21">
        <v>46204</v>
      </c>
      <c r="I1207" s="21">
        <v>46568</v>
      </c>
      <c r="J1207" s="19" t="s">
        <v>2085</v>
      </c>
      <c r="L1207" s="19">
        <v>0</v>
      </c>
      <c r="M1207" s="19">
        <v>0</v>
      </c>
      <c r="N1207" s="19" t="s">
        <v>2394</v>
      </c>
      <c r="O1207" s="20">
        <v>5</v>
      </c>
      <c r="S1207" s="19" t="s">
        <v>20</v>
      </c>
      <c r="T1207" s="19" t="s">
        <v>1471</v>
      </c>
    </row>
    <row r="1208" spans="1:20">
      <c r="A1208" s="20">
        <v>202603329508108</v>
      </c>
      <c r="B1208" s="19" t="s">
        <v>20</v>
      </c>
      <c r="C1208" s="19" t="s">
        <v>21</v>
      </c>
      <c r="D1208" s="19" t="s">
        <v>20</v>
      </c>
      <c r="E1208" s="21">
        <v>46204</v>
      </c>
      <c r="F1208" s="21">
        <v>46568</v>
      </c>
      <c r="G1208" s="21"/>
      <c r="H1208" s="21">
        <v>46204</v>
      </c>
      <c r="I1208" s="21">
        <v>46568</v>
      </c>
      <c r="J1208" s="19" t="s">
        <v>2085</v>
      </c>
      <c r="L1208" s="19">
        <v>123.1033675</v>
      </c>
      <c r="M1208" s="19">
        <v>123.1033675</v>
      </c>
      <c r="N1208" s="19" t="s">
        <v>1475</v>
      </c>
      <c r="O1208" s="20">
        <v>5</v>
      </c>
      <c r="S1208" s="19" t="s">
        <v>20</v>
      </c>
      <c r="T1208" s="19" t="s">
        <v>1471</v>
      </c>
    </row>
    <row r="1209" spans="1:20">
      <c r="A1209" s="20">
        <v>202603329508135</v>
      </c>
      <c r="B1209" s="19" t="s">
        <v>20</v>
      </c>
      <c r="C1209" s="19" t="s">
        <v>21</v>
      </c>
      <c r="D1209" s="19" t="s">
        <v>20</v>
      </c>
      <c r="E1209" s="21">
        <v>46204</v>
      </c>
      <c r="F1209" s="21">
        <v>46568</v>
      </c>
      <c r="G1209" s="21"/>
      <c r="H1209" s="21">
        <v>46204</v>
      </c>
      <c r="I1209" s="21">
        <v>46568</v>
      </c>
      <c r="J1209" s="19" t="s">
        <v>2120</v>
      </c>
      <c r="L1209" s="19">
        <v>37.947955</v>
      </c>
      <c r="M1209" s="19">
        <v>37.947955</v>
      </c>
      <c r="N1209" s="19" t="s">
        <v>1475</v>
      </c>
      <c r="O1209" s="20">
        <v>1</v>
      </c>
      <c r="S1209" s="19" t="s">
        <v>20</v>
      </c>
      <c r="T1209" s="19" t="s">
        <v>1471</v>
      </c>
    </row>
    <row r="1210" spans="1:20">
      <c r="A1210" s="20">
        <v>202603329510185</v>
      </c>
      <c r="B1210" s="19" t="s">
        <v>20</v>
      </c>
      <c r="C1210" s="19" t="s">
        <v>21</v>
      </c>
      <c r="D1210" s="19" t="s">
        <v>20</v>
      </c>
      <c r="E1210" s="21">
        <v>46204</v>
      </c>
      <c r="F1210" s="21">
        <v>46568</v>
      </c>
      <c r="G1210" s="21"/>
      <c r="H1210" s="21">
        <v>46204</v>
      </c>
      <c r="I1210" s="21">
        <v>46568</v>
      </c>
      <c r="J1210" s="19" t="s">
        <v>2135</v>
      </c>
      <c r="L1210" s="19">
        <v>33.130630250000003</v>
      </c>
      <c r="M1210" s="19">
        <v>33.130630250000003</v>
      </c>
      <c r="N1210" s="19" t="s">
        <v>1475</v>
      </c>
      <c r="O1210" s="20">
        <v>1</v>
      </c>
      <c r="S1210" s="19" t="s">
        <v>20</v>
      </c>
      <c r="T1210" s="19" t="s">
        <v>1471</v>
      </c>
    </row>
    <row r="1211" spans="1:20">
      <c r="A1211" s="20">
        <v>202603329514738</v>
      </c>
      <c r="B1211" s="19" t="s">
        <v>20</v>
      </c>
      <c r="C1211" s="19" t="s">
        <v>21</v>
      </c>
      <c r="D1211" s="19" t="s">
        <v>20</v>
      </c>
      <c r="E1211" s="21">
        <v>46204</v>
      </c>
      <c r="F1211" s="21">
        <v>46568</v>
      </c>
      <c r="G1211" s="21"/>
      <c r="H1211" s="21">
        <v>46204</v>
      </c>
      <c r="I1211" s="21">
        <v>46568</v>
      </c>
      <c r="J1211" s="19" t="s">
        <v>2092</v>
      </c>
      <c r="L1211" s="19">
        <v>38.659559000000002</v>
      </c>
      <c r="M1211" s="19">
        <v>38.659559000000002</v>
      </c>
      <c r="N1211" s="19" t="s">
        <v>1475</v>
      </c>
      <c r="O1211" s="20">
        <v>1</v>
      </c>
      <c r="S1211" s="19" t="s">
        <v>20</v>
      </c>
      <c r="T1211" s="19" t="s">
        <v>1471</v>
      </c>
    </row>
    <row r="1212" spans="1:20">
      <c r="A1212" s="20">
        <v>202603329515635</v>
      </c>
      <c r="B1212" s="19" t="s">
        <v>20</v>
      </c>
      <c r="C1212" s="19" t="s">
        <v>21</v>
      </c>
      <c r="D1212" s="19" t="s">
        <v>20</v>
      </c>
      <c r="E1212" s="21">
        <v>46204</v>
      </c>
      <c r="F1212" s="21">
        <v>46568</v>
      </c>
      <c r="G1212" s="21"/>
      <c r="H1212" s="21">
        <v>46204</v>
      </c>
      <c r="I1212" s="21">
        <v>46568</v>
      </c>
      <c r="J1212" s="19" t="s">
        <v>2243</v>
      </c>
      <c r="L1212" s="19">
        <v>33.130630250000003</v>
      </c>
      <c r="M1212" s="19">
        <v>33.130630250000003</v>
      </c>
      <c r="N1212" s="19" t="s">
        <v>1475</v>
      </c>
      <c r="O1212" s="20">
        <v>1</v>
      </c>
      <c r="S1212" s="19" t="s">
        <v>20</v>
      </c>
      <c r="T1212" s="19" t="s">
        <v>1471</v>
      </c>
    </row>
    <row r="1213" spans="1:20">
      <c r="A1213" s="20">
        <v>202603329515790</v>
      </c>
      <c r="B1213" s="19" t="s">
        <v>20</v>
      </c>
      <c r="C1213" s="19" t="s">
        <v>21</v>
      </c>
      <c r="D1213" s="19" t="s">
        <v>20</v>
      </c>
      <c r="E1213" s="21">
        <v>46204</v>
      </c>
      <c r="F1213" s="21">
        <v>46568</v>
      </c>
      <c r="G1213" s="21"/>
      <c r="H1213" s="21">
        <v>46204</v>
      </c>
      <c r="I1213" s="21">
        <v>46568</v>
      </c>
      <c r="J1213" s="19" t="s">
        <v>2064</v>
      </c>
      <c r="L1213" s="19">
        <v>33.130630250000003</v>
      </c>
      <c r="M1213" s="19">
        <v>33.130630250000003</v>
      </c>
      <c r="N1213" s="19" t="s">
        <v>1475</v>
      </c>
      <c r="O1213" s="20">
        <v>1</v>
      </c>
      <c r="S1213" s="19" t="s">
        <v>20</v>
      </c>
      <c r="T1213" s="19" t="s">
        <v>1471</v>
      </c>
    </row>
    <row r="1214" spans="1:20">
      <c r="A1214" s="20">
        <v>202603329515845</v>
      </c>
      <c r="B1214" s="19" t="s">
        <v>20</v>
      </c>
      <c r="C1214" s="19" t="s">
        <v>21</v>
      </c>
      <c r="D1214" s="19" t="s">
        <v>20</v>
      </c>
      <c r="E1214" s="21">
        <v>46204</v>
      </c>
      <c r="F1214" s="21">
        <v>46568</v>
      </c>
      <c r="G1214" s="21"/>
      <c r="H1214" s="21">
        <v>46204</v>
      </c>
      <c r="I1214" s="21">
        <v>46568</v>
      </c>
      <c r="J1214" s="19" t="s">
        <v>2064</v>
      </c>
      <c r="L1214" s="19">
        <v>0</v>
      </c>
      <c r="M1214" s="19">
        <v>0</v>
      </c>
      <c r="N1214" s="19" t="s">
        <v>2394</v>
      </c>
      <c r="O1214" s="20">
        <v>2</v>
      </c>
      <c r="S1214" s="19" t="s">
        <v>20</v>
      </c>
      <c r="T1214" s="19" t="s">
        <v>1471</v>
      </c>
    </row>
    <row r="1215" spans="1:20">
      <c r="A1215" s="20">
        <v>202603329515845</v>
      </c>
      <c r="B1215" s="19" t="s">
        <v>20</v>
      </c>
      <c r="C1215" s="19" t="s">
        <v>21</v>
      </c>
      <c r="D1215" s="19" t="s">
        <v>20</v>
      </c>
      <c r="E1215" s="21">
        <v>46204</v>
      </c>
      <c r="F1215" s="21">
        <v>46568</v>
      </c>
      <c r="G1215" s="21"/>
      <c r="H1215" s="21">
        <v>46204</v>
      </c>
      <c r="I1215" s="21">
        <v>46568</v>
      </c>
      <c r="J1215" s="19" t="s">
        <v>2064</v>
      </c>
      <c r="L1215" s="19">
        <v>66.261260500000006</v>
      </c>
      <c r="M1215" s="19">
        <v>66.261260500000006</v>
      </c>
      <c r="N1215" s="19" t="s">
        <v>1475</v>
      </c>
      <c r="O1215" s="20">
        <v>2</v>
      </c>
      <c r="S1215" s="19" t="s">
        <v>20</v>
      </c>
      <c r="T1215" s="19" t="s">
        <v>1471</v>
      </c>
    </row>
    <row r="1216" spans="1:20">
      <c r="A1216" s="20">
        <v>202603329519161</v>
      </c>
      <c r="B1216" s="19" t="s">
        <v>20</v>
      </c>
      <c r="C1216" s="19" t="s">
        <v>21</v>
      </c>
      <c r="D1216" s="19" t="s">
        <v>20</v>
      </c>
      <c r="E1216" s="21">
        <v>46204</v>
      </c>
      <c r="F1216" s="21">
        <v>46568</v>
      </c>
      <c r="G1216" s="21"/>
      <c r="H1216" s="21">
        <v>46204</v>
      </c>
      <c r="I1216" s="21">
        <v>46568</v>
      </c>
      <c r="J1216" s="19" t="s">
        <v>2064</v>
      </c>
      <c r="L1216" s="19">
        <v>66.261260500000006</v>
      </c>
      <c r="M1216" s="19">
        <v>66.261260500000006</v>
      </c>
      <c r="N1216" s="19" t="s">
        <v>1475</v>
      </c>
      <c r="O1216" s="20">
        <v>2</v>
      </c>
      <c r="S1216" s="19" t="s">
        <v>20</v>
      </c>
      <c r="T1216" s="19" t="s">
        <v>1471</v>
      </c>
    </row>
    <row r="1217" spans="1:20">
      <c r="A1217" s="20">
        <v>202603329519254</v>
      </c>
      <c r="B1217" s="19" t="s">
        <v>20</v>
      </c>
      <c r="C1217" s="19" t="s">
        <v>21</v>
      </c>
      <c r="D1217" s="19" t="s">
        <v>20</v>
      </c>
      <c r="E1217" s="21">
        <v>46204</v>
      </c>
      <c r="F1217" s="21">
        <v>46568</v>
      </c>
      <c r="G1217" s="21"/>
      <c r="H1217" s="21">
        <v>46204</v>
      </c>
      <c r="I1217" s="21">
        <v>46568</v>
      </c>
      <c r="J1217" s="19" t="s">
        <v>2064</v>
      </c>
      <c r="L1217" s="19">
        <v>66.261260500000006</v>
      </c>
      <c r="M1217" s="19">
        <v>66.261260500000006</v>
      </c>
      <c r="N1217" s="19" t="s">
        <v>1475</v>
      </c>
      <c r="O1217" s="20">
        <v>2</v>
      </c>
      <c r="S1217" s="19" t="s">
        <v>20</v>
      </c>
      <c r="T1217" s="19" t="s">
        <v>1471</v>
      </c>
    </row>
    <row r="1218" spans="1:20">
      <c r="A1218" s="20">
        <v>202603329519485</v>
      </c>
      <c r="B1218" s="19" t="s">
        <v>20</v>
      </c>
      <c r="C1218" s="19" t="s">
        <v>21</v>
      </c>
      <c r="D1218" s="19" t="s">
        <v>2288</v>
      </c>
      <c r="E1218" s="21">
        <v>46204</v>
      </c>
      <c r="F1218" s="21">
        <v>46568</v>
      </c>
      <c r="G1218" s="21"/>
      <c r="H1218" s="21">
        <v>46204</v>
      </c>
      <c r="I1218" s="21">
        <v>46568</v>
      </c>
      <c r="J1218" s="19" t="s">
        <v>2272</v>
      </c>
      <c r="L1218" s="19">
        <v>99.391890750000002</v>
      </c>
      <c r="M1218" s="19">
        <v>99.391890750000002</v>
      </c>
      <c r="N1218" s="19" t="s">
        <v>1467</v>
      </c>
      <c r="O1218" s="20">
        <v>3</v>
      </c>
      <c r="S1218" s="19" t="s">
        <v>20</v>
      </c>
      <c r="T1218" s="19" t="s">
        <v>1471</v>
      </c>
    </row>
    <row r="1219" spans="1:20">
      <c r="A1219" s="20">
        <v>202603329519992</v>
      </c>
      <c r="B1219" s="19" t="s">
        <v>20</v>
      </c>
      <c r="C1219" s="19" t="s">
        <v>21</v>
      </c>
      <c r="D1219" s="19" t="s">
        <v>20</v>
      </c>
      <c r="E1219" s="21">
        <v>46204</v>
      </c>
      <c r="F1219" s="21">
        <v>46568</v>
      </c>
      <c r="G1219" s="21"/>
      <c r="H1219" s="21">
        <v>46204</v>
      </c>
      <c r="I1219" s="21">
        <v>46568</v>
      </c>
      <c r="J1219" s="19" t="s">
        <v>2099</v>
      </c>
      <c r="L1219" s="19">
        <v>0</v>
      </c>
      <c r="M1219" s="19">
        <v>0</v>
      </c>
      <c r="N1219" s="19" t="s">
        <v>2394</v>
      </c>
      <c r="O1219" s="20">
        <v>4</v>
      </c>
      <c r="S1219" s="19" t="s">
        <v>20</v>
      </c>
      <c r="T1219" s="19" t="s">
        <v>1471</v>
      </c>
    </row>
    <row r="1220" spans="1:20">
      <c r="A1220" s="20">
        <v>202603329519992</v>
      </c>
      <c r="B1220" s="19" t="s">
        <v>20</v>
      </c>
      <c r="C1220" s="19" t="s">
        <v>21</v>
      </c>
      <c r="D1220" s="19" t="s">
        <v>2289</v>
      </c>
      <c r="E1220" s="21">
        <v>46204</v>
      </c>
      <c r="F1220" s="21">
        <v>46568</v>
      </c>
      <c r="G1220" s="21"/>
      <c r="H1220" s="21">
        <v>46204</v>
      </c>
      <c r="I1220" s="21">
        <v>46568</v>
      </c>
      <c r="J1220" s="19" t="s">
        <v>2099</v>
      </c>
      <c r="L1220" s="19">
        <v>39.798285999999997</v>
      </c>
      <c r="M1220" s="19">
        <v>39.798285999999997</v>
      </c>
      <c r="N1220" s="19" t="s">
        <v>1467</v>
      </c>
      <c r="O1220" s="20">
        <v>4</v>
      </c>
      <c r="S1220" s="19" t="s">
        <v>20</v>
      </c>
      <c r="T1220" s="19" t="s">
        <v>1471</v>
      </c>
    </row>
    <row r="1221" spans="1:20">
      <c r="A1221" s="20">
        <v>202603329520675</v>
      </c>
      <c r="B1221" s="19" t="s">
        <v>20</v>
      </c>
      <c r="C1221" s="19" t="s">
        <v>21</v>
      </c>
      <c r="D1221" s="19" t="s">
        <v>20</v>
      </c>
      <c r="E1221" s="21">
        <v>46204</v>
      </c>
      <c r="F1221" s="21">
        <v>46568</v>
      </c>
      <c r="G1221" s="21"/>
      <c r="H1221" s="21">
        <v>46204</v>
      </c>
      <c r="I1221" s="21">
        <v>46568</v>
      </c>
      <c r="J1221" s="19" t="s">
        <v>2086</v>
      </c>
      <c r="L1221" s="19">
        <v>0</v>
      </c>
      <c r="M1221" s="19">
        <v>0</v>
      </c>
      <c r="N1221" s="19" t="s">
        <v>2394</v>
      </c>
      <c r="O1221" s="20">
        <v>4</v>
      </c>
      <c r="S1221" s="19" t="s">
        <v>20</v>
      </c>
      <c r="T1221" s="19" t="s">
        <v>1471</v>
      </c>
    </row>
    <row r="1222" spans="1:20">
      <c r="A1222" s="20">
        <v>202603329520675</v>
      </c>
      <c r="B1222" s="19" t="s">
        <v>20</v>
      </c>
      <c r="C1222" s="19" t="s">
        <v>21</v>
      </c>
      <c r="D1222" s="19" t="s">
        <v>20</v>
      </c>
      <c r="E1222" s="21">
        <v>46204</v>
      </c>
      <c r="F1222" s="21">
        <v>46568</v>
      </c>
      <c r="G1222" s="21"/>
      <c r="H1222" s="21">
        <v>46204</v>
      </c>
      <c r="I1222" s="21">
        <v>46568</v>
      </c>
      <c r="J1222" s="19" t="s">
        <v>2086</v>
      </c>
      <c r="L1222" s="19">
        <v>132.52252100000001</v>
      </c>
      <c r="M1222" s="19">
        <v>132.52252100000001</v>
      </c>
      <c r="N1222" s="19" t="s">
        <v>1475</v>
      </c>
      <c r="O1222" s="20">
        <v>4</v>
      </c>
      <c r="S1222" s="19" t="s">
        <v>20</v>
      </c>
      <c r="T1222" s="19" t="s">
        <v>1471</v>
      </c>
    </row>
    <row r="1223" spans="1:20">
      <c r="A1223" s="20">
        <v>202603329520941</v>
      </c>
      <c r="B1223" s="19" t="s">
        <v>20</v>
      </c>
      <c r="C1223" s="19" t="s">
        <v>21</v>
      </c>
      <c r="D1223" s="19" t="s">
        <v>20</v>
      </c>
      <c r="E1223" s="21">
        <v>46204</v>
      </c>
      <c r="F1223" s="21">
        <v>46568</v>
      </c>
      <c r="G1223" s="21"/>
      <c r="H1223" s="21">
        <v>46204</v>
      </c>
      <c r="I1223" s="21">
        <v>46568</v>
      </c>
      <c r="J1223" s="19" t="s">
        <v>2068</v>
      </c>
      <c r="L1223" s="19">
        <v>52.517367999999998</v>
      </c>
      <c r="M1223" s="19">
        <v>52.517367999999998</v>
      </c>
      <c r="N1223" s="19" t="s">
        <v>1475</v>
      </c>
      <c r="O1223" s="20">
        <v>2</v>
      </c>
      <c r="S1223" s="19" t="s">
        <v>20</v>
      </c>
      <c r="T1223" s="19" t="s">
        <v>1471</v>
      </c>
    </row>
    <row r="1224" spans="1:20">
      <c r="A1224" s="20">
        <v>202603329521879</v>
      </c>
      <c r="B1224" s="19" t="s">
        <v>20</v>
      </c>
      <c r="C1224" s="19" t="s">
        <v>21</v>
      </c>
      <c r="D1224" s="19" t="s">
        <v>20</v>
      </c>
      <c r="E1224" s="21">
        <v>46204</v>
      </c>
      <c r="F1224" s="21">
        <v>46568</v>
      </c>
      <c r="G1224" s="21"/>
      <c r="H1224" s="21">
        <v>46204</v>
      </c>
      <c r="I1224" s="21">
        <v>46568</v>
      </c>
      <c r="J1224" s="19" t="s">
        <v>2117</v>
      </c>
      <c r="L1224" s="19">
        <v>29.93177025</v>
      </c>
      <c r="M1224" s="19">
        <v>29.93177025</v>
      </c>
      <c r="N1224" s="19" t="s">
        <v>1475</v>
      </c>
      <c r="O1224" s="20">
        <v>1</v>
      </c>
      <c r="S1224" s="19" t="s">
        <v>20</v>
      </c>
      <c r="T1224" s="19" t="s">
        <v>1471</v>
      </c>
    </row>
    <row r="1225" spans="1:20">
      <c r="A1225" s="20">
        <v>202603329523368</v>
      </c>
      <c r="B1225" s="19" t="s">
        <v>20</v>
      </c>
      <c r="C1225" s="19" t="s">
        <v>21</v>
      </c>
      <c r="D1225" s="19" t="s">
        <v>20</v>
      </c>
      <c r="E1225" s="21">
        <v>46204</v>
      </c>
      <c r="F1225" s="21">
        <v>46568</v>
      </c>
      <c r="G1225" s="21"/>
      <c r="H1225" s="21">
        <v>46204</v>
      </c>
      <c r="I1225" s="21">
        <v>46568</v>
      </c>
      <c r="J1225" s="19" t="s">
        <v>2064</v>
      </c>
      <c r="L1225" s="19">
        <v>0</v>
      </c>
      <c r="M1225" s="19">
        <v>0</v>
      </c>
      <c r="N1225" s="19" t="s">
        <v>2394</v>
      </c>
      <c r="O1225" s="20">
        <v>4</v>
      </c>
      <c r="S1225" s="19" t="s">
        <v>20</v>
      </c>
      <c r="T1225" s="19" t="s">
        <v>1471</v>
      </c>
    </row>
    <row r="1226" spans="1:20">
      <c r="A1226" s="20">
        <v>202603329523368</v>
      </c>
      <c r="B1226" s="19" t="s">
        <v>20</v>
      </c>
      <c r="C1226" s="19" t="s">
        <v>21</v>
      </c>
      <c r="D1226" s="19" t="s">
        <v>20</v>
      </c>
      <c r="E1226" s="21">
        <v>46204</v>
      </c>
      <c r="F1226" s="21">
        <v>46568</v>
      </c>
      <c r="G1226" s="21"/>
      <c r="H1226" s="21">
        <v>46204</v>
      </c>
      <c r="I1226" s="21">
        <v>46568</v>
      </c>
      <c r="J1226" s="19" t="s">
        <v>2064</v>
      </c>
      <c r="L1226" s="19">
        <v>132.52252100000001</v>
      </c>
      <c r="M1226" s="19">
        <v>132.52252100000001</v>
      </c>
      <c r="N1226" s="19" t="s">
        <v>1475</v>
      </c>
      <c r="O1226" s="20">
        <v>4</v>
      </c>
      <c r="S1226" s="19" t="s">
        <v>20</v>
      </c>
      <c r="T1226" s="19" t="s">
        <v>1471</v>
      </c>
    </row>
    <row r="1227" spans="1:20">
      <c r="A1227" s="20">
        <v>202603329526631</v>
      </c>
      <c r="B1227" s="19" t="s">
        <v>20</v>
      </c>
      <c r="C1227" s="19" t="s">
        <v>21</v>
      </c>
      <c r="D1227" s="19" t="s">
        <v>20</v>
      </c>
      <c r="E1227" s="21">
        <v>46204</v>
      </c>
      <c r="F1227" s="21">
        <v>46568</v>
      </c>
      <c r="G1227" s="21"/>
      <c r="H1227" s="21">
        <v>46204</v>
      </c>
      <c r="I1227" s="21">
        <v>46568</v>
      </c>
      <c r="J1227" s="19" t="s">
        <v>2290</v>
      </c>
      <c r="L1227" s="19">
        <v>13.29120125</v>
      </c>
      <c r="M1227" s="19">
        <v>13.29120125</v>
      </c>
      <c r="N1227" s="19" t="s">
        <v>1475</v>
      </c>
      <c r="O1227" s="20">
        <v>1</v>
      </c>
      <c r="S1227" s="19" t="s">
        <v>20</v>
      </c>
      <c r="T1227" s="19" t="s">
        <v>1471</v>
      </c>
    </row>
    <row r="1228" spans="1:20">
      <c r="A1228" s="20">
        <v>202603329527839</v>
      </c>
      <c r="B1228" s="19" t="s">
        <v>20</v>
      </c>
      <c r="C1228" s="19" t="s">
        <v>21</v>
      </c>
      <c r="D1228" s="19" t="s">
        <v>20</v>
      </c>
      <c r="E1228" s="21">
        <v>46204</v>
      </c>
      <c r="F1228" s="21">
        <v>46568</v>
      </c>
      <c r="G1228" s="21"/>
      <c r="H1228" s="21">
        <v>46204</v>
      </c>
      <c r="I1228" s="21">
        <v>46568</v>
      </c>
      <c r="J1228" s="19" t="s">
        <v>2089</v>
      </c>
      <c r="L1228" s="19">
        <v>0</v>
      </c>
      <c r="M1228" s="19">
        <v>0</v>
      </c>
      <c r="N1228" s="19" t="s">
        <v>2394</v>
      </c>
      <c r="O1228" s="20">
        <v>5</v>
      </c>
      <c r="S1228" s="19" t="s">
        <v>20</v>
      </c>
      <c r="T1228" s="19" t="s">
        <v>1471</v>
      </c>
    </row>
    <row r="1229" spans="1:20">
      <c r="A1229" s="20">
        <v>202603329527839</v>
      </c>
      <c r="B1229" s="19" t="s">
        <v>20</v>
      </c>
      <c r="C1229" s="19" t="s">
        <v>21</v>
      </c>
      <c r="D1229" s="19" t="s">
        <v>20</v>
      </c>
      <c r="E1229" s="21">
        <v>46204</v>
      </c>
      <c r="F1229" s="21">
        <v>46568</v>
      </c>
      <c r="G1229" s="21"/>
      <c r="H1229" s="21">
        <v>46204</v>
      </c>
      <c r="I1229" s="21">
        <v>46568</v>
      </c>
      <c r="J1229" s="19" t="s">
        <v>2089</v>
      </c>
      <c r="L1229" s="19">
        <v>119.84145375</v>
      </c>
      <c r="M1229" s="19">
        <v>119.84145375</v>
      </c>
      <c r="N1229" s="19" t="s">
        <v>1475</v>
      </c>
      <c r="O1229" s="20">
        <v>5</v>
      </c>
      <c r="S1229" s="19" t="s">
        <v>20</v>
      </c>
      <c r="T1229" s="19" t="s">
        <v>1471</v>
      </c>
    </row>
    <row r="1230" spans="1:20">
      <c r="A1230" s="20">
        <v>202603329528703</v>
      </c>
      <c r="B1230" s="19" t="s">
        <v>20</v>
      </c>
      <c r="C1230" s="19" t="s">
        <v>21</v>
      </c>
      <c r="D1230" s="19" t="s">
        <v>20</v>
      </c>
      <c r="E1230" s="21">
        <v>46204</v>
      </c>
      <c r="F1230" s="21">
        <v>46568</v>
      </c>
      <c r="G1230" s="21"/>
      <c r="H1230" s="21">
        <v>46204</v>
      </c>
      <c r="I1230" s="21">
        <v>46568</v>
      </c>
      <c r="J1230" s="19" t="s">
        <v>2111</v>
      </c>
      <c r="L1230" s="19">
        <v>33.130630250000003</v>
      </c>
      <c r="M1230" s="19">
        <v>33.130630250000003</v>
      </c>
      <c r="N1230" s="19" t="s">
        <v>1475</v>
      </c>
      <c r="O1230" s="20">
        <v>1</v>
      </c>
      <c r="S1230" s="19" t="s">
        <v>20</v>
      </c>
      <c r="T1230" s="19" t="s">
        <v>1471</v>
      </c>
    </row>
    <row r="1231" spans="1:20">
      <c r="A1231" s="20">
        <v>202603329528846</v>
      </c>
      <c r="B1231" s="19" t="s">
        <v>20</v>
      </c>
      <c r="C1231" s="19" t="s">
        <v>21</v>
      </c>
      <c r="D1231" s="19" t="s">
        <v>20</v>
      </c>
      <c r="E1231" s="21">
        <v>46204</v>
      </c>
      <c r="F1231" s="21">
        <v>46568</v>
      </c>
      <c r="G1231" s="21"/>
      <c r="H1231" s="21">
        <v>46204</v>
      </c>
      <c r="I1231" s="21">
        <v>46568</v>
      </c>
      <c r="J1231" s="19" t="s">
        <v>2120</v>
      </c>
      <c r="L1231" s="19">
        <v>0</v>
      </c>
      <c r="M1231" s="19">
        <v>0</v>
      </c>
      <c r="N1231" s="19" t="s">
        <v>2394</v>
      </c>
      <c r="O1231" s="20">
        <v>3</v>
      </c>
      <c r="S1231" s="19" t="s">
        <v>20</v>
      </c>
      <c r="T1231" s="19" t="s">
        <v>1471</v>
      </c>
    </row>
    <row r="1232" spans="1:20">
      <c r="A1232" s="20">
        <v>202603329528846</v>
      </c>
      <c r="B1232" s="19" t="s">
        <v>20</v>
      </c>
      <c r="C1232" s="19" t="s">
        <v>21</v>
      </c>
      <c r="D1232" s="19" t="s">
        <v>20</v>
      </c>
      <c r="E1232" s="21">
        <v>46204</v>
      </c>
      <c r="F1232" s="21">
        <v>46568</v>
      </c>
      <c r="G1232" s="21"/>
      <c r="H1232" s="21">
        <v>46204</v>
      </c>
      <c r="I1232" s="21">
        <v>46568</v>
      </c>
      <c r="J1232" s="19" t="s">
        <v>2120</v>
      </c>
      <c r="L1232" s="19">
        <v>113.84386499999999</v>
      </c>
      <c r="M1232" s="19">
        <v>113.84386499999999</v>
      </c>
      <c r="N1232" s="19" t="s">
        <v>1475</v>
      </c>
      <c r="O1232" s="20">
        <v>3</v>
      </c>
      <c r="S1232" s="19" t="s">
        <v>20</v>
      </c>
      <c r="T1232" s="19" t="s">
        <v>1471</v>
      </c>
    </row>
    <row r="1233" spans="1:20">
      <c r="A1233" s="20">
        <v>202603329529582</v>
      </c>
      <c r="B1233" s="19" t="s">
        <v>20</v>
      </c>
      <c r="C1233" s="19" t="s">
        <v>21</v>
      </c>
      <c r="D1233" s="19" t="s">
        <v>20</v>
      </c>
      <c r="E1233" s="21">
        <v>46204</v>
      </c>
      <c r="F1233" s="21">
        <v>46568</v>
      </c>
      <c r="G1233" s="21"/>
      <c r="H1233" s="21">
        <v>46204</v>
      </c>
      <c r="I1233" s="21">
        <v>46568</v>
      </c>
      <c r="J1233" s="19" t="s">
        <v>2131</v>
      </c>
      <c r="L1233" s="19">
        <v>77.319118000000003</v>
      </c>
      <c r="M1233" s="19">
        <v>77.319118000000003</v>
      </c>
      <c r="N1233" s="19" t="s">
        <v>1475</v>
      </c>
      <c r="O1233" s="20">
        <v>2</v>
      </c>
      <c r="S1233" s="19" t="s">
        <v>20</v>
      </c>
      <c r="T1233" s="19" t="s">
        <v>1471</v>
      </c>
    </row>
    <row r="1234" spans="1:20">
      <c r="A1234" s="20">
        <v>202603329529612</v>
      </c>
      <c r="B1234" s="19" t="s">
        <v>20</v>
      </c>
      <c r="C1234" s="19" t="s">
        <v>21</v>
      </c>
      <c r="D1234" s="19" t="s">
        <v>20</v>
      </c>
      <c r="E1234" s="21">
        <v>46204</v>
      </c>
      <c r="F1234" s="21">
        <v>46568</v>
      </c>
      <c r="G1234" s="21"/>
      <c r="H1234" s="21">
        <v>46204</v>
      </c>
      <c r="I1234" s="21">
        <v>46568</v>
      </c>
      <c r="J1234" s="19" t="s">
        <v>2089</v>
      </c>
      <c r="L1234" s="19">
        <v>0</v>
      </c>
      <c r="M1234" s="19">
        <v>0</v>
      </c>
      <c r="N1234" s="19" t="s">
        <v>2394</v>
      </c>
      <c r="O1234" s="20">
        <v>3</v>
      </c>
      <c r="S1234" s="19" t="s">
        <v>20</v>
      </c>
      <c r="T1234" s="19" t="s">
        <v>1471</v>
      </c>
    </row>
    <row r="1235" spans="1:20">
      <c r="A1235" s="20">
        <v>202603329529612</v>
      </c>
      <c r="B1235" s="19" t="s">
        <v>20</v>
      </c>
      <c r="C1235" s="19" t="s">
        <v>21</v>
      </c>
      <c r="D1235" s="19" t="s">
        <v>20</v>
      </c>
      <c r="E1235" s="21">
        <v>46204</v>
      </c>
      <c r="F1235" s="21">
        <v>46568</v>
      </c>
      <c r="G1235" s="21"/>
      <c r="H1235" s="21">
        <v>46204</v>
      </c>
      <c r="I1235" s="21">
        <v>46568</v>
      </c>
      <c r="J1235" s="19" t="s">
        <v>2089</v>
      </c>
      <c r="L1235" s="19">
        <v>71.904872249999997</v>
      </c>
      <c r="M1235" s="19">
        <v>71.904872249999997</v>
      </c>
      <c r="N1235" s="19" t="s">
        <v>1475</v>
      </c>
      <c r="O1235" s="20">
        <v>3</v>
      </c>
      <c r="S1235" s="19" t="s">
        <v>20</v>
      </c>
      <c r="T1235" s="19" t="s">
        <v>1471</v>
      </c>
    </row>
    <row r="1236" spans="1:20">
      <c r="A1236" s="20">
        <v>202603329529831</v>
      </c>
      <c r="B1236" s="19" t="s">
        <v>20</v>
      </c>
      <c r="C1236" s="19" t="s">
        <v>21</v>
      </c>
      <c r="D1236" s="19" t="s">
        <v>20</v>
      </c>
      <c r="E1236" s="21">
        <v>46204</v>
      </c>
      <c r="F1236" s="21">
        <v>46568</v>
      </c>
      <c r="G1236" s="21"/>
      <c r="H1236" s="21">
        <v>46204</v>
      </c>
      <c r="I1236" s="21">
        <v>46568</v>
      </c>
      <c r="J1236" s="19" t="s">
        <v>2128</v>
      </c>
      <c r="L1236" s="19">
        <v>0</v>
      </c>
      <c r="M1236" s="19">
        <v>0</v>
      </c>
      <c r="N1236" s="19" t="s">
        <v>2394</v>
      </c>
      <c r="O1236" s="20">
        <v>2</v>
      </c>
      <c r="S1236" s="19" t="s">
        <v>20</v>
      </c>
      <c r="T1236" s="19" t="s">
        <v>1471</v>
      </c>
    </row>
    <row r="1237" spans="1:20">
      <c r="A1237" s="20">
        <v>202603329529831</v>
      </c>
      <c r="B1237" s="19" t="s">
        <v>20</v>
      </c>
      <c r="C1237" s="19" t="s">
        <v>21</v>
      </c>
      <c r="D1237" s="19" t="s">
        <v>2291</v>
      </c>
      <c r="E1237" s="21">
        <v>46204</v>
      </c>
      <c r="F1237" s="21">
        <v>46568</v>
      </c>
      <c r="G1237" s="21"/>
      <c r="H1237" s="21">
        <v>46204</v>
      </c>
      <c r="I1237" s="21">
        <v>46568</v>
      </c>
      <c r="J1237" s="19" t="s">
        <v>2128</v>
      </c>
      <c r="L1237" s="19">
        <v>30.108959500000001</v>
      </c>
      <c r="M1237" s="19">
        <v>30.108959500000001</v>
      </c>
      <c r="N1237" s="19" t="s">
        <v>1467</v>
      </c>
      <c r="O1237" s="20">
        <v>2</v>
      </c>
      <c r="S1237" s="19" t="s">
        <v>20</v>
      </c>
      <c r="T1237" s="19" t="s">
        <v>1471</v>
      </c>
    </row>
    <row r="1238" spans="1:20">
      <c r="A1238" s="20">
        <v>202603329530202</v>
      </c>
      <c r="B1238" s="19" t="s">
        <v>20</v>
      </c>
      <c r="C1238" s="19" t="s">
        <v>21</v>
      </c>
      <c r="D1238" s="19" t="s">
        <v>20</v>
      </c>
      <c r="E1238" s="21">
        <v>46204</v>
      </c>
      <c r="F1238" s="21">
        <v>46568</v>
      </c>
      <c r="G1238" s="21"/>
      <c r="H1238" s="21">
        <v>46204</v>
      </c>
      <c r="I1238" s="21">
        <v>46568</v>
      </c>
      <c r="J1238" s="19" t="s">
        <v>2088</v>
      </c>
      <c r="L1238" s="19">
        <v>132.52252100000001</v>
      </c>
      <c r="M1238" s="19">
        <v>132.52252100000001</v>
      </c>
      <c r="N1238" s="19" t="s">
        <v>1475</v>
      </c>
      <c r="O1238" s="20">
        <v>4</v>
      </c>
      <c r="S1238" s="19" t="s">
        <v>20</v>
      </c>
      <c r="T1238" s="19" t="s">
        <v>1471</v>
      </c>
    </row>
    <row r="1239" spans="1:20">
      <c r="A1239" s="20">
        <v>202603329530771</v>
      </c>
      <c r="B1239" s="19" t="s">
        <v>20</v>
      </c>
      <c r="C1239" s="19" t="s">
        <v>21</v>
      </c>
      <c r="D1239" s="19" t="s">
        <v>2292</v>
      </c>
      <c r="E1239" s="21">
        <v>46204</v>
      </c>
      <c r="F1239" s="21">
        <v>46568</v>
      </c>
      <c r="G1239" s="21"/>
      <c r="H1239" s="21">
        <v>46204</v>
      </c>
      <c r="I1239" s="21">
        <v>46568</v>
      </c>
      <c r="J1239" s="19" t="s">
        <v>2293</v>
      </c>
      <c r="L1239" s="19">
        <v>39.831646999999997</v>
      </c>
      <c r="M1239" s="19">
        <v>39.831646999999997</v>
      </c>
      <c r="N1239" s="19" t="s">
        <v>1467</v>
      </c>
      <c r="O1239" s="20">
        <v>2</v>
      </c>
      <c r="S1239" s="19" t="s">
        <v>20</v>
      </c>
      <c r="T1239" s="19" t="s">
        <v>1471</v>
      </c>
    </row>
    <row r="1240" spans="1:20">
      <c r="A1240" s="20">
        <v>202603329532114</v>
      </c>
      <c r="B1240" s="19" t="s">
        <v>20</v>
      </c>
      <c r="C1240" s="19" t="s">
        <v>21</v>
      </c>
      <c r="D1240" s="19" t="s">
        <v>20</v>
      </c>
      <c r="E1240" s="21">
        <v>46204</v>
      </c>
      <c r="F1240" s="21">
        <v>46568</v>
      </c>
      <c r="G1240" s="21"/>
      <c r="H1240" s="21">
        <v>46204</v>
      </c>
      <c r="I1240" s="21">
        <v>46568</v>
      </c>
      <c r="J1240" s="19" t="s">
        <v>2067</v>
      </c>
      <c r="L1240" s="19">
        <v>0</v>
      </c>
      <c r="M1240" s="19">
        <v>0</v>
      </c>
      <c r="N1240" s="19" t="s">
        <v>2394</v>
      </c>
      <c r="O1240" s="20">
        <v>4</v>
      </c>
      <c r="S1240" s="19" t="s">
        <v>20</v>
      </c>
      <c r="T1240" s="19" t="s">
        <v>1471</v>
      </c>
    </row>
    <row r="1241" spans="1:20">
      <c r="A1241" s="20">
        <v>202603329532114</v>
      </c>
      <c r="B1241" s="19" t="s">
        <v>20</v>
      </c>
      <c r="C1241" s="19" t="s">
        <v>21</v>
      </c>
      <c r="D1241" s="19" t="s">
        <v>2294</v>
      </c>
      <c r="E1241" s="21">
        <v>46204</v>
      </c>
      <c r="F1241" s="21">
        <v>46568</v>
      </c>
      <c r="G1241" s="21"/>
      <c r="H1241" s="21">
        <v>46204</v>
      </c>
      <c r="I1241" s="21">
        <v>46568</v>
      </c>
      <c r="J1241" s="19" t="s">
        <v>2067</v>
      </c>
      <c r="L1241" s="19">
        <v>140.44375099999999</v>
      </c>
      <c r="M1241" s="19">
        <v>140.44375099999999</v>
      </c>
      <c r="N1241" s="19" t="s">
        <v>1467</v>
      </c>
      <c r="O1241" s="20">
        <v>4</v>
      </c>
      <c r="S1241" s="19" t="s">
        <v>20</v>
      </c>
      <c r="T1241" s="19" t="s">
        <v>1471</v>
      </c>
    </row>
    <row r="1242" spans="1:20">
      <c r="A1242" s="20">
        <v>202603329532312</v>
      </c>
      <c r="B1242" s="19" t="s">
        <v>20</v>
      </c>
      <c r="C1242" s="19" t="s">
        <v>21</v>
      </c>
      <c r="D1242" s="19" t="s">
        <v>20</v>
      </c>
      <c r="E1242" s="21">
        <v>46204</v>
      </c>
      <c r="F1242" s="21">
        <v>46568</v>
      </c>
      <c r="G1242" s="21"/>
      <c r="H1242" s="21">
        <v>46204</v>
      </c>
      <c r="I1242" s="21">
        <v>46568</v>
      </c>
      <c r="J1242" s="19" t="s">
        <v>2135</v>
      </c>
      <c r="L1242" s="19">
        <v>0</v>
      </c>
      <c r="M1242" s="19">
        <v>0</v>
      </c>
      <c r="N1242" s="19" t="s">
        <v>2394</v>
      </c>
      <c r="O1242" s="20">
        <v>5</v>
      </c>
      <c r="S1242" s="19" t="s">
        <v>20</v>
      </c>
      <c r="T1242" s="19" t="s">
        <v>1471</v>
      </c>
    </row>
    <row r="1243" spans="1:20">
      <c r="A1243" s="20">
        <v>202603329532312</v>
      </c>
      <c r="B1243" s="19" t="s">
        <v>20</v>
      </c>
      <c r="C1243" s="19" t="s">
        <v>21</v>
      </c>
      <c r="D1243" s="19" t="s">
        <v>20</v>
      </c>
      <c r="E1243" s="21">
        <v>46204</v>
      </c>
      <c r="F1243" s="21">
        <v>46568</v>
      </c>
      <c r="G1243" s="21"/>
      <c r="H1243" s="21">
        <v>46204</v>
      </c>
      <c r="I1243" s="21">
        <v>46568</v>
      </c>
      <c r="J1243" s="19" t="s">
        <v>2135</v>
      </c>
      <c r="L1243" s="19">
        <v>165.65315125000001</v>
      </c>
      <c r="M1243" s="19">
        <v>165.65315125000001</v>
      </c>
      <c r="N1243" s="19" t="s">
        <v>1475</v>
      </c>
      <c r="O1243" s="20">
        <v>5</v>
      </c>
      <c r="S1243" s="19" t="s">
        <v>20</v>
      </c>
      <c r="T1243" s="19" t="s">
        <v>1471</v>
      </c>
    </row>
    <row r="1244" spans="1:20">
      <c r="A1244" s="20">
        <v>202603329532896</v>
      </c>
      <c r="B1244" s="19" t="s">
        <v>20</v>
      </c>
      <c r="C1244" s="19" t="s">
        <v>21</v>
      </c>
      <c r="D1244" s="19" t="s">
        <v>20</v>
      </c>
      <c r="E1244" s="21">
        <v>46204</v>
      </c>
      <c r="F1244" s="21">
        <v>46568</v>
      </c>
      <c r="G1244" s="21"/>
      <c r="H1244" s="21">
        <v>46204</v>
      </c>
      <c r="I1244" s="21">
        <v>46568</v>
      </c>
      <c r="J1244" s="19" t="s">
        <v>2064</v>
      </c>
      <c r="L1244" s="19">
        <v>0</v>
      </c>
      <c r="M1244" s="19">
        <v>0</v>
      </c>
      <c r="N1244" s="19" t="s">
        <v>2394</v>
      </c>
      <c r="O1244" s="20">
        <v>3</v>
      </c>
      <c r="S1244" s="19" t="s">
        <v>20</v>
      </c>
      <c r="T1244" s="19" t="s">
        <v>1471</v>
      </c>
    </row>
    <row r="1245" spans="1:20">
      <c r="A1245" s="20">
        <v>202603329532896</v>
      </c>
      <c r="B1245" s="19" t="s">
        <v>20</v>
      </c>
      <c r="C1245" s="19" t="s">
        <v>21</v>
      </c>
      <c r="D1245" s="19" t="s">
        <v>20</v>
      </c>
      <c r="E1245" s="21">
        <v>46204</v>
      </c>
      <c r="F1245" s="21">
        <v>46568</v>
      </c>
      <c r="G1245" s="21"/>
      <c r="H1245" s="21">
        <v>46204</v>
      </c>
      <c r="I1245" s="21">
        <v>46568</v>
      </c>
      <c r="J1245" s="19" t="s">
        <v>2064</v>
      </c>
      <c r="L1245" s="19">
        <v>99.391890750000002</v>
      </c>
      <c r="M1245" s="19">
        <v>99.391890750000002</v>
      </c>
      <c r="N1245" s="19" t="s">
        <v>1475</v>
      </c>
      <c r="O1245" s="20">
        <v>3</v>
      </c>
      <c r="S1245" s="19" t="s">
        <v>20</v>
      </c>
      <c r="T1245" s="19" t="s">
        <v>1471</v>
      </c>
    </row>
    <row r="1246" spans="1:20">
      <c r="A1246" s="20">
        <v>202603329533296</v>
      </c>
      <c r="B1246" s="19" t="s">
        <v>20</v>
      </c>
      <c r="C1246" s="19" t="s">
        <v>21</v>
      </c>
      <c r="D1246" s="19" t="s">
        <v>20</v>
      </c>
      <c r="E1246" s="21">
        <v>46204</v>
      </c>
      <c r="F1246" s="21">
        <v>46568</v>
      </c>
      <c r="G1246" s="21"/>
      <c r="H1246" s="21">
        <v>46204</v>
      </c>
      <c r="I1246" s="21">
        <v>46568</v>
      </c>
      <c r="J1246" s="19" t="s">
        <v>2064</v>
      </c>
      <c r="L1246" s="19">
        <v>33.130630250000003</v>
      </c>
      <c r="M1246" s="19">
        <v>33.130630250000003</v>
      </c>
      <c r="N1246" s="19" t="s">
        <v>1475</v>
      </c>
      <c r="O1246" s="20">
        <v>1</v>
      </c>
      <c r="S1246" s="19" t="s">
        <v>20</v>
      </c>
      <c r="T1246" s="19" t="s">
        <v>1471</v>
      </c>
    </row>
    <row r="1247" spans="1:20">
      <c r="A1247" s="20">
        <v>202603329533864</v>
      </c>
      <c r="B1247" s="19" t="s">
        <v>20</v>
      </c>
      <c r="C1247" s="19" t="s">
        <v>21</v>
      </c>
      <c r="D1247" s="19" t="s">
        <v>20</v>
      </c>
      <c r="E1247" s="21">
        <v>46204</v>
      </c>
      <c r="F1247" s="21">
        <v>46568</v>
      </c>
      <c r="G1247" s="21"/>
      <c r="H1247" s="21">
        <v>46204</v>
      </c>
      <c r="I1247" s="21">
        <v>46568</v>
      </c>
      <c r="J1247" s="19" t="s">
        <v>2064</v>
      </c>
      <c r="L1247" s="19">
        <v>0</v>
      </c>
      <c r="M1247" s="19">
        <v>0</v>
      </c>
      <c r="N1247" s="19" t="s">
        <v>2394</v>
      </c>
      <c r="O1247" s="20">
        <v>4</v>
      </c>
      <c r="S1247" s="19" t="s">
        <v>20</v>
      </c>
      <c r="T1247" s="19" t="s">
        <v>1471</v>
      </c>
    </row>
    <row r="1248" spans="1:20">
      <c r="A1248" s="20">
        <v>202603329533864</v>
      </c>
      <c r="B1248" s="19" t="s">
        <v>20</v>
      </c>
      <c r="C1248" s="19" t="s">
        <v>21</v>
      </c>
      <c r="D1248" s="19" t="s">
        <v>20</v>
      </c>
      <c r="E1248" s="21">
        <v>46204</v>
      </c>
      <c r="F1248" s="21">
        <v>46568</v>
      </c>
      <c r="G1248" s="21"/>
      <c r="H1248" s="21">
        <v>46204</v>
      </c>
      <c r="I1248" s="21">
        <v>46568</v>
      </c>
      <c r="J1248" s="19" t="s">
        <v>2064</v>
      </c>
      <c r="L1248" s="19">
        <v>132.52252100000001</v>
      </c>
      <c r="M1248" s="19">
        <v>132.52252100000001</v>
      </c>
      <c r="N1248" s="19" t="s">
        <v>1475</v>
      </c>
      <c r="O1248" s="20">
        <v>4</v>
      </c>
      <c r="S1248" s="19" t="s">
        <v>20</v>
      </c>
      <c r="T1248" s="19" t="s">
        <v>1471</v>
      </c>
    </row>
    <row r="1249" spans="1:20">
      <c r="A1249" s="20">
        <v>202603329536892</v>
      </c>
      <c r="B1249" s="19" t="s">
        <v>20</v>
      </c>
      <c r="C1249" s="19" t="s">
        <v>21</v>
      </c>
      <c r="D1249" s="19" t="s">
        <v>20</v>
      </c>
      <c r="E1249" s="21">
        <v>46204</v>
      </c>
      <c r="F1249" s="21">
        <v>46568</v>
      </c>
      <c r="G1249" s="21"/>
      <c r="H1249" s="21">
        <v>46204</v>
      </c>
      <c r="I1249" s="21">
        <v>46568</v>
      </c>
      <c r="J1249" s="19" t="s">
        <v>2087</v>
      </c>
      <c r="L1249" s="19">
        <v>0</v>
      </c>
      <c r="M1249" s="19">
        <v>0</v>
      </c>
      <c r="N1249" s="19" t="s">
        <v>2394</v>
      </c>
      <c r="O1249" s="20">
        <v>3</v>
      </c>
      <c r="S1249" s="19" t="s">
        <v>20</v>
      </c>
      <c r="T1249" s="19" t="s">
        <v>1471</v>
      </c>
    </row>
    <row r="1250" spans="1:20">
      <c r="A1250" s="20">
        <v>202603329536892</v>
      </c>
      <c r="B1250" s="19" t="s">
        <v>20</v>
      </c>
      <c r="C1250" s="19" t="s">
        <v>21</v>
      </c>
      <c r="D1250" s="19" t="s">
        <v>20</v>
      </c>
      <c r="E1250" s="21">
        <v>46204</v>
      </c>
      <c r="F1250" s="21">
        <v>46568</v>
      </c>
      <c r="G1250" s="21"/>
      <c r="H1250" s="21">
        <v>46204</v>
      </c>
      <c r="I1250" s="21">
        <v>46568</v>
      </c>
      <c r="J1250" s="19" t="s">
        <v>2087</v>
      </c>
      <c r="L1250" s="19">
        <v>99.391890750000002</v>
      </c>
      <c r="M1250" s="19">
        <v>99.391890750000002</v>
      </c>
      <c r="N1250" s="19" t="s">
        <v>1475</v>
      </c>
      <c r="O1250" s="20">
        <v>3</v>
      </c>
      <c r="S1250" s="19" t="s">
        <v>20</v>
      </c>
      <c r="T1250" s="19" t="s">
        <v>1471</v>
      </c>
    </row>
    <row r="1251" spans="1:20">
      <c r="A1251" s="20">
        <v>202603329537505</v>
      </c>
      <c r="B1251" s="19" t="s">
        <v>20</v>
      </c>
      <c r="C1251" s="19" t="s">
        <v>21</v>
      </c>
      <c r="D1251" s="19" t="s">
        <v>20</v>
      </c>
      <c r="E1251" s="21">
        <v>46204</v>
      </c>
      <c r="F1251" s="21">
        <v>46568</v>
      </c>
      <c r="G1251" s="21"/>
      <c r="H1251" s="21">
        <v>46204</v>
      </c>
      <c r="I1251" s="21">
        <v>46568</v>
      </c>
      <c r="J1251" s="19" t="s">
        <v>2135</v>
      </c>
      <c r="L1251" s="19">
        <v>66.261260500000006</v>
      </c>
      <c r="M1251" s="19">
        <v>66.261260500000006</v>
      </c>
      <c r="N1251" s="19" t="s">
        <v>1475</v>
      </c>
      <c r="O1251" s="20">
        <v>2</v>
      </c>
      <c r="S1251" s="19" t="s">
        <v>20</v>
      </c>
      <c r="T1251" s="19" t="s">
        <v>1471</v>
      </c>
    </row>
    <row r="1252" spans="1:20">
      <c r="A1252" s="20">
        <v>202603329537769</v>
      </c>
      <c r="B1252" s="19" t="s">
        <v>20</v>
      </c>
      <c r="C1252" s="19" t="s">
        <v>21</v>
      </c>
      <c r="D1252" s="19" t="s">
        <v>20</v>
      </c>
      <c r="E1252" s="21">
        <v>46204</v>
      </c>
      <c r="F1252" s="21">
        <v>46568</v>
      </c>
      <c r="G1252" s="21"/>
      <c r="H1252" s="21">
        <v>46204</v>
      </c>
      <c r="I1252" s="21">
        <v>46568</v>
      </c>
      <c r="J1252" s="19" t="s">
        <v>2064</v>
      </c>
      <c r="L1252" s="19">
        <v>0</v>
      </c>
      <c r="M1252" s="19">
        <v>0</v>
      </c>
      <c r="N1252" s="19" t="s">
        <v>2394</v>
      </c>
      <c r="O1252" s="20">
        <v>2</v>
      </c>
      <c r="S1252" s="19" t="s">
        <v>20</v>
      </c>
      <c r="T1252" s="19" t="s">
        <v>1471</v>
      </c>
    </row>
    <row r="1253" spans="1:20">
      <c r="A1253" s="20">
        <v>202603329537769</v>
      </c>
      <c r="B1253" s="19" t="s">
        <v>20</v>
      </c>
      <c r="C1253" s="19" t="s">
        <v>21</v>
      </c>
      <c r="D1253" s="19" t="s">
        <v>20</v>
      </c>
      <c r="E1253" s="21">
        <v>46204</v>
      </c>
      <c r="F1253" s="21">
        <v>46568</v>
      </c>
      <c r="G1253" s="21"/>
      <c r="H1253" s="21">
        <v>46204</v>
      </c>
      <c r="I1253" s="21">
        <v>46568</v>
      </c>
      <c r="J1253" s="19" t="s">
        <v>2064</v>
      </c>
      <c r="L1253" s="19">
        <v>66.261260500000006</v>
      </c>
      <c r="M1253" s="19">
        <v>66.261260500000006</v>
      </c>
      <c r="N1253" s="19" t="s">
        <v>1475</v>
      </c>
      <c r="O1253" s="20">
        <v>2</v>
      </c>
      <c r="S1253" s="19" t="s">
        <v>20</v>
      </c>
      <c r="T1253" s="19" t="s">
        <v>1471</v>
      </c>
    </row>
    <row r="1254" spans="1:20">
      <c r="A1254" s="20">
        <v>202603329538682</v>
      </c>
      <c r="B1254" s="19" t="s">
        <v>20</v>
      </c>
      <c r="C1254" s="19" t="s">
        <v>21</v>
      </c>
      <c r="D1254" s="19" t="s">
        <v>20</v>
      </c>
      <c r="E1254" s="21">
        <v>46204</v>
      </c>
      <c r="F1254" s="21">
        <v>46568</v>
      </c>
      <c r="G1254" s="21"/>
      <c r="H1254" s="21">
        <v>46204</v>
      </c>
      <c r="I1254" s="21">
        <v>46568</v>
      </c>
      <c r="J1254" s="19" t="s">
        <v>2069</v>
      </c>
      <c r="L1254" s="19">
        <v>33.130630250000003</v>
      </c>
      <c r="M1254" s="19">
        <v>33.130630250000003</v>
      </c>
      <c r="N1254" s="19" t="s">
        <v>1475</v>
      </c>
      <c r="O1254" s="20">
        <v>1</v>
      </c>
      <c r="S1254" s="19" t="s">
        <v>20</v>
      </c>
      <c r="T1254" s="19" t="s">
        <v>1471</v>
      </c>
    </row>
    <row r="1255" spans="1:20">
      <c r="A1255" s="20">
        <v>202603329539890</v>
      </c>
      <c r="B1255" s="19" t="s">
        <v>20</v>
      </c>
      <c r="C1255" s="19" t="s">
        <v>21</v>
      </c>
      <c r="D1255" s="19" t="s">
        <v>20</v>
      </c>
      <c r="E1255" s="21">
        <v>46204</v>
      </c>
      <c r="F1255" s="21">
        <v>46568</v>
      </c>
      <c r="G1255" s="21"/>
      <c r="H1255" s="21">
        <v>46204</v>
      </c>
      <c r="I1255" s="21">
        <v>46568</v>
      </c>
      <c r="J1255" s="19" t="s">
        <v>2093</v>
      </c>
      <c r="L1255" s="19">
        <v>0</v>
      </c>
      <c r="M1255" s="19">
        <v>0</v>
      </c>
      <c r="N1255" s="19" t="s">
        <v>2394</v>
      </c>
      <c r="O1255" s="20">
        <v>6</v>
      </c>
      <c r="S1255" s="19" t="s">
        <v>20</v>
      </c>
      <c r="T1255" s="19" t="s">
        <v>1471</v>
      </c>
    </row>
    <row r="1256" spans="1:20">
      <c r="A1256" s="20">
        <v>202603329539890</v>
      </c>
      <c r="B1256" s="19" t="s">
        <v>20</v>
      </c>
      <c r="C1256" s="19" t="s">
        <v>21</v>
      </c>
      <c r="D1256" s="19" t="s">
        <v>20</v>
      </c>
      <c r="E1256" s="21">
        <v>46204</v>
      </c>
      <c r="F1256" s="21">
        <v>46568</v>
      </c>
      <c r="G1256" s="21"/>
      <c r="H1256" s="21">
        <v>46204</v>
      </c>
      <c r="I1256" s="21">
        <v>46568</v>
      </c>
      <c r="J1256" s="19" t="s">
        <v>2093</v>
      </c>
      <c r="L1256" s="19">
        <v>172.6562055</v>
      </c>
      <c r="M1256" s="19">
        <v>172.6562055</v>
      </c>
      <c r="N1256" s="19" t="s">
        <v>1475</v>
      </c>
      <c r="O1256" s="20">
        <v>6</v>
      </c>
      <c r="S1256" s="19" t="s">
        <v>20</v>
      </c>
      <c r="T1256" s="19" t="s">
        <v>1471</v>
      </c>
    </row>
    <row r="1257" spans="1:20">
      <c r="A1257" s="20">
        <v>202603329542146</v>
      </c>
      <c r="B1257" s="19" t="s">
        <v>20</v>
      </c>
      <c r="C1257" s="19" t="s">
        <v>21</v>
      </c>
      <c r="D1257" s="19" t="s">
        <v>20</v>
      </c>
      <c r="E1257" s="21">
        <v>46204</v>
      </c>
      <c r="F1257" s="21">
        <v>46568</v>
      </c>
      <c r="G1257" s="21"/>
      <c r="H1257" s="21">
        <v>46204</v>
      </c>
      <c r="I1257" s="21">
        <v>46568</v>
      </c>
      <c r="J1257" s="19" t="s">
        <v>2064</v>
      </c>
      <c r="L1257" s="19">
        <v>33.130630250000003</v>
      </c>
      <c r="M1257" s="19">
        <v>33.130630250000003</v>
      </c>
      <c r="N1257" s="19" t="s">
        <v>1475</v>
      </c>
      <c r="O1257" s="20">
        <v>1</v>
      </c>
      <c r="S1257" s="19" t="s">
        <v>20</v>
      </c>
      <c r="T1257" s="19" t="s">
        <v>1471</v>
      </c>
    </row>
    <row r="1258" spans="1:20">
      <c r="A1258" s="20">
        <v>202603329544090</v>
      </c>
      <c r="B1258" s="19" t="s">
        <v>20</v>
      </c>
      <c r="C1258" s="19" t="s">
        <v>21</v>
      </c>
      <c r="D1258" s="19" t="s">
        <v>20</v>
      </c>
      <c r="E1258" s="21">
        <v>46204</v>
      </c>
      <c r="F1258" s="21">
        <v>46568</v>
      </c>
      <c r="G1258" s="21"/>
      <c r="H1258" s="21">
        <v>46204</v>
      </c>
      <c r="I1258" s="21">
        <v>46568</v>
      </c>
      <c r="J1258" s="19" t="s">
        <v>2085</v>
      </c>
      <c r="L1258" s="19">
        <v>0</v>
      </c>
      <c r="M1258" s="19">
        <v>0</v>
      </c>
      <c r="N1258" s="19" t="s">
        <v>2394</v>
      </c>
      <c r="O1258" s="20">
        <v>7</v>
      </c>
      <c r="S1258" s="19" t="s">
        <v>20</v>
      </c>
      <c r="T1258" s="19" t="s">
        <v>1471</v>
      </c>
    </row>
    <row r="1259" spans="1:20">
      <c r="A1259" s="20">
        <v>202603329544090</v>
      </c>
      <c r="B1259" s="19" t="s">
        <v>20</v>
      </c>
      <c r="C1259" s="19" t="s">
        <v>21</v>
      </c>
      <c r="D1259" s="19" t="s">
        <v>20</v>
      </c>
      <c r="E1259" s="21">
        <v>46204</v>
      </c>
      <c r="F1259" s="21">
        <v>46568</v>
      </c>
      <c r="G1259" s="21"/>
      <c r="H1259" s="21">
        <v>46204</v>
      </c>
      <c r="I1259" s="21">
        <v>46568</v>
      </c>
      <c r="J1259" s="19" t="s">
        <v>2085</v>
      </c>
      <c r="L1259" s="19">
        <v>172.34471450000001</v>
      </c>
      <c r="M1259" s="19">
        <v>172.34471450000001</v>
      </c>
      <c r="N1259" s="19" t="s">
        <v>1475</v>
      </c>
      <c r="O1259" s="20">
        <v>7</v>
      </c>
      <c r="S1259" s="19" t="s">
        <v>20</v>
      </c>
      <c r="T1259" s="19" t="s">
        <v>1471</v>
      </c>
    </row>
    <row r="1260" spans="1:20">
      <c r="A1260" s="20">
        <v>202603329545117</v>
      </c>
      <c r="B1260" s="19" t="s">
        <v>20</v>
      </c>
      <c r="C1260" s="19" t="s">
        <v>21</v>
      </c>
      <c r="D1260" s="19" t="s">
        <v>20</v>
      </c>
      <c r="E1260" s="21">
        <v>46204</v>
      </c>
      <c r="F1260" s="21">
        <v>46568</v>
      </c>
      <c r="G1260" s="21"/>
      <c r="H1260" s="21">
        <v>46204</v>
      </c>
      <c r="I1260" s="21">
        <v>46568</v>
      </c>
      <c r="J1260" s="19" t="s">
        <v>2064</v>
      </c>
      <c r="L1260" s="19">
        <v>33.130630250000003</v>
      </c>
      <c r="M1260" s="19">
        <v>33.130630250000003</v>
      </c>
      <c r="N1260" s="19" t="s">
        <v>1475</v>
      </c>
      <c r="O1260" s="20">
        <v>1</v>
      </c>
      <c r="S1260" s="19" t="s">
        <v>20</v>
      </c>
      <c r="T1260" s="19" t="s">
        <v>1471</v>
      </c>
    </row>
    <row r="1261" spans="1:20">
      <c r="A1261" s="20">
        <v>202603329545303</v>
      </c>
      <c r="B1261" s="19" t="s">
        <v>20</v>
      </c>
      <c r="C1261" s="19" t="s">
        <v>21</v>
      </c>
      <c r="D1261" s="19" t="s">
        <v>20</v>
      </c>
      <c r="E1261" s="21">
        <v>46204</v>
      </c>
      <c r="F1261" s="21">
        <v>46568</v>
      </c>
      <c r="G1261" s="21"/>
      <c r="H1261" s="21">
        <v>46204</v>
      </c>
      <c r="I1261" s="21">
        <v>46568</v>
      </c>
      <c r="J1261" s="19" t="s">
        <v>2064</v>
      </c>
      <c r="L1261" s="19">
        <v>0</v>
      </c>
      <c r="M1261" s="19">
        <v>0</v>
      </c>
      <c r="N1261" s="19" t="s">
        <v>2394</v>
      </c>
      <c r="O1261" s="20">
        <v>8</v>
      </c>
      <c r="S1261" s="19" t="s">
        <v>20</v>
      </c>
      <c r="T1261" s="19" t="s">
        <v>1471</v>
      </c>
    </row>
    <row r="1262" spans="1:20">
      <c r="A1262" s="20">
        <v>202603329545303</v>
      </c>
      <c r="B1262" s="19" t="s">
        <v>20</v>
      </c>
      <c r="C1262" s="19" t="s">
        <v>21</v>
      </c>
      <c r="D1262" s="19" t="s">
        <v>20</v>
      </c>
      <c r="E1262" s="21">
        <v>46204</v>
      </c>
      <c r="F1262" s="21">
        <v>46568</v>
      </c>
      <c r="G1262" s="21"/>
      <c r="H1262" s="21">
        <v>46204</v>
      </c>
      <c r="I1262" s="21">
        <v>46568</v>
      </c>
      <c r="J1262" s="19" t="s">
        <v>2064</v>
      </c>
      <c r="L1262" s="19">
        <v>265.04504200000002</v>
      </c>
      <c r="M1262" s="19">
        <v>265.04504200000002</v>
      </c>
      <c r="N1262" s="19" t="s">
        <v>1475</v>
      </c>
      <c r="O1262" s="20">
        <v>8</v>
      </c>
      <c r="S1262" s="19" t="s">
        <v>20</v>
      </c>
      <c r="T1262" s="19" t="s">
        <v>1471</v>
      </c>
    </row>
    <row r="1263" spans="1:20">
      <c r="A1263" s="20">
        <v>202603329547872</v>
      </c>
      <c r="B1263" s="19" t="s">
        <v>20</v>
      </c>
      <c r="C1263" s="19" t="s">
        <v>21</v>
      </c>
      <c r="D1263" s="19" t="s">
        <v>20</v>
      </c>
      <c r="E1263" s="21">
        <v>46204</v>
      </c>
      <c r="F1263" s="21">
        <v>46568</v>
      </c>
      <c r="G1263" s="21"/>
      <c r="H1263" s="21">
        <v>46204</v>
      </c>
      <c r="I1263" s="21">
        <v>46568</v>
      </c>
      <c r="J1263" s="19" t="s">
        <v>2135</v>
      </c>
      <c r="L1263" s="19">
        <v>0</v>
      </c>
      <c r="M1263" s="19">
        <v>0</v>
      </c>
      <c r="N1263" s="19" t="s">
        <v>2394</v>
      </c>
      <c r="O1263" s="20">
        <v>6</v>
      </c>
      <c r="S1263" s="19" t="s">
        <v>20</v>
      </c>
      <c r="T1263" s="19" t="s">
        <v>1471</v>
      </c>
    </row>
    <row r="1264" spans="1:20">
      <c r="A1264" s="20">
        <v>202603329547872</v>
      </c>
      <c r="B1264" s="19" t="s">
        <v>20</v>
      </c>
      <c r="C1264" s="19" t="s">
        <v>21</v>
      </c>
      <c r="D1264" s="19" t="s">
        <v>20</v>
      </c>
      <c r="E1264" s="21">
        <v>46204</v>
      </c>
      <c r="F1264" s="21">
        <v>46568</v>
      </c>
      <c r="G1264" s="21"/>
      <c r="H1264" s="21">
        <v>46204</v>
      </c>
      <c r="I1264" s="21">
        <v>46568</v>
      </c>
      <c r="J1264" s="19" t="s">
        <v>2135</v>
      </c>
      <c r="L1264" s="19">
        <v>198.7837815</v>
      </c>
      <c r="M1264" s="19">
        <v>198.7837815</v>
      </c>
      <c r="N1264" s="19" t="s">
        <v>1475</v>
      </c>
      <c r="O1264" s="20">
        <v>6</v>
      </c>
      <c r="S1264" s="19" t="s">
        <v>20</v>
      </c>
      <c r="T1264" s="19" t="s">
        <v>1471</v>
      </c>
    </row>
    <row r="1265" spans="1:20">
      <c r="A1265" s="20">
        <v>202603329549269</v>
      </c>
      <c r="B1265" s="19" t="s">
        <v>20</v>
      </c>
      <c r="C1265" s="19" t="s">
        <v>21</v>
      </c>
      <c r="D1265" s="19" t="s">
        <v>2295</v>
      </c>
      <c r="E1265" s="21">
        <v>46204</v>
      </c>
      <c r="F1265" s="21">
        <v>46568</v>
      </c>
      <c r="G1265" s="21"/>
      <c r="H1265" s="21">
        <v>46204</v>
      </c>
      <c r="I1265" s="21">
        <v>46568</v>
      </c>
      <c r="J1265" s="19" t="s">
        <v>2120</v>
      </c>
      <c r="L1265" s="19">
        <v>19.915823499999998</v>
      </c>
      <c r="M1265" s="19">
        <v>19.915823499999998</v>
      </c>
      <c r="N1265" s="19" t="s">
        <v>1467</v>
      </c>
      <c r="O1265" s="20">
        <v>1</v>
      </c>
      <c r="S1265" s="19" t="s">
        <v>20</v>
      </c>
      <c r="T1265" s="19" t="s">
        <v>1471</v>
      </c>
    </row>
    <row r="1266" spans="1:20">
      <c r="A1266" s="20">
        <v>202603329550235</v>
      </c>
      <c r="B1266" s="19" t="s">
        <v>20</v>
      </c>
      <c r="C1266" s="19" t="s">
        <v>21</v>
      </c>
      <c r="D1266" s="19" t="s">
        <v>20</v>
      </c>
      <c r="E1266" s="21">
        <v>46204</v>
      </c>
      <c r="F1266" s="21">
        <v>46568</v>
      </c>
      <c r="G1266" s="21"/>
      <c r="H1266" s="21">
        <v>46204</v>
      </c>
      <c r="I1266" s="21">
        <v>46568</v>
      </c>
      <c r="J1266" s="19" t="s">
        <v>2086</v>
      </c>
      <c r="L1266" s="19">
        <v>66.261260500000006</v>
      </c>
      <c r="M1266" s="19">
        <v>66.261260500000006</v>
      </c>
      <c r="N1266" s="19" t="s">
        <v>1475</v>
      </c>
      <c r="O1266" s="20">
        <v>2</v>
      </c>
      <c r="S1266" s="19" t="s">
        <v>20</v>
      </c>
      <c r="T1266" s="19" t="s">
        <v>1471</v>
      </c>
    </row>
    <row r="1267" spans="1:20">
      <c r="A1267" s="20">
        <v>202603329550236</v>
      </c>
      <c r="B1267" s="19" t="s">
        <v>20</v>
      </c>
      <c r="C1267" s="19" t="s">
        <v>21</v>
      </c>
      <c r="D1267" s="19" t="s">
        <v>2296</v>
      </c>
      <c r="E1267" s="21">
        <v>46204</v>
      </c>
      <c r="F1267" s="21">
        <v>46568</v>
      </c>
      <c r="G1267" s="21"/>
      <c r="H1267" s="21">
        <v>46204</v>
      </c>
      <c r="I1267" s="21">
        <v>46568</v>
      </c>
      <c r="J1267" s="19" t="s">
        <v>2078</v>
      </c>
      <c r="L1267" s="19">
        <v>21.36587725</v>
      </c>
      <c r="M1267" s="19">
        <v>21.36587725</v>
      </c>
      <c r="N1267" s="19" t="s">
        <v>1467</v>
      </c>
      <c r="O1267" s="20">
        <v>1</v>
      </c>
      <c r="S1267" s="19" t="s">
        <v>20</v>
      </c>
      <c r="T1267" s="19" t="s">
        <v>1471</v>
      </c>
    </row>
    <row r="1268" spans="1:20">
      <c r="A1268" s="20">
        <v>202603329550364</v>
      </c>
      <c r="B1268" s="19" t="s">
        <v>20</v>
      </c>
      <c r="C1268" s="19" t="s">
        <v>21</v>
      </c>
      <c r="D1268" s="19" t="s">
        <v>20</v>
      </c>
      <c r="E1268" s="21">
        <v>46204</v>
      </c>
      <c r="F1268" s="21">
        <v>46568</v>
      </c>
      <c r="G1268" s="21"/>
      <c r="H1268" s="21">
        <v>46204</v>
      </c>
      <c r="I1268" s="21">
        <v>46568</v>
      </c>
      <c r="J1268" s="19" t="s">
        <v>2104</v>
      </c>
      <c r="L1268" s="19">
        <v>0</v>
      </c>
      <c r="M1268" s="19">
        <v>0</v>
      </c>
      <c r="N1268" s="19" t="s">
        <v>2394</v>
      </c>
      <c r="O1268" s="20">
        <v>2</v>
      </c>
      <c r="S1268" s="19" t="s">
        <v>20</v>
      </c>
      <c r="T1268" s="19" t="s">
        <v>1471</v>
      </c>
    </row>
    <row r="1269" spans="1:20">
      <c r="A1269" s="20">
        <v>202603329550364</v>
      </c>
      <c r="B1269" s="19" t="s">
        <v>20</v>
      </c>
      <c r="C1269" s="19" t="s">
        <v>21</v>
      </c>
      <c r="D1269" s="19" t="s">
        <v>20</v>
      </c>
      <c r="E1269" s="21">
        <v>46204</v>
      </c>
      <c r="F1269" s="21">
        <v>46568</v>
      </c>
      <c r="G1269" s="21"/>
      <c r="H1269" s="21">
        <v>46204</v>
      </c>
      <c r="I1269" s="21">
        <v>46568</v>
      </c>
      <c r="J1269" s="19" t="s">
        <v>2104</v>
      </c>
      <c r="L1269" s="19">
        <v>66.261260500000006</v>
      </c>
      <c r="M1269" s="19">
        <v>66.261260500000006</v>
      </c>
      <c r="N1269" s="19" t="s">
        <v>1475</v>
      </c>
      <c r="O1269" s="20">
        <v>2</v>
      </c>
      <c r="S1269" s="19" t="s">
        <v>20</v>
      </c>
      <c r="T1269" s="19" t="s">
        <v>1471</v>
      </c>
    </row>
    <row r="1270" spans="1:20">
      <c r="A1270" s="20">
        <v>202603329550546</v>
      </c>
      <c r="B1270" s="19" t="s">
        <v>20</v>
      </c>
      <c r="C1270" s="19" t="s">
        <v>21</v>
      </c>
      <c r="D1270" s="19" t="s">
        <v>20</v>
      </c>
      <c r="E1270" s="21">
        <v>46204</v>
      </c>
      <c r="F1270" s="21">
        <v>46568</v>
      </c>
      <c r="G1270" s="21"/>
      <c r="H1270" s="21">
        <v>46204</v>
      </c>
      <c r="I1270" s="21">
        <v>46568</v>
      </c>
      <c r="J1270" s="19" t="s">
        <v>2062</v>
      </c>
      <c r="L1270" s="19">
        <v>33.130630250000003</v>
      </c>
      <c r="M1270" s="19">
        <v>33.130630250000003</v>
      </c>
      <c r="N1270" s="19" t="s">
        <v>1475</v>
      </c>
      <c r="O1270" s="20">
        <v>1</v>
      </c>
      <c r="S1270" s="19" t="s">
        <v>20</v>
      </c>
      <c r="T1270" s="19" t="s">
        <v>1471</v>
      </c>
    </row>
    <row r="1271" spans="1:20">
      <c r="A1271" s="20">
        <v>202603329551465</v>
      </c>
      <c r="B1271" s="19" t="s">
        <v>20</v>
      </c>
      <c r="C1271" s="19" t="s">
        <v>21</v>
      </c>
      <c r="D1271" s="19" t="s">
        <v>20</v>
      </c>
      <c r="E1271" s="21">
        <v>46204</v>
      </c>
      <c r="F1271" s="21">
        <v>46568</v>
      </c>
      <c r="G1271" s="21"/>
      <c r="H1271" s="21">
        <v>46204</v>
      </c>
      <c r="I1271" s="21">
        <v>46568</v>
      </c>
      <c r="J1271" s="19" t="s">
        <v>2129</v>
      </c>
      <c r="L1271" s="19">
        <v>33.130630250000003</v>
      </c>
      <c r="M1271" s="19">
        <v>33.130630250000003</v>
      </c>
      <c r="N1271" s="19" t="s">
        <v>1475</v>
      </c>
      <c r="O1271" s="20">
        <v>1</v>
      </c>
      <c r="S1271" s="19" t="s">
        <v>20</v>
      </c>
      <c r="T1271" s="19" t="s">
        <v>1471</v>
      </c>
    </row>
    <row r="1272" spans="1:20">
      <c r="A1272" s="20">
        <v>202603329551823</v>
      </c>
      <c r="B1272" s="19" t="s">
        <v>20</v>
      </c>
      <c r="C1272" s="19" t="s">
        <v>21</v>
      </c>
      <c r="D1272" s="19" t="s">
        <v>20</v>
      </c>
      <c r="E1272" s="21">
        <v>46204</v>
      </c>
      <c r="F1272" s="21">
        <v>46568</v>
      </c>
      <c r="G1272" s="21"/>
      <c r="H1272" s="21">
        <v>46204</v>
      </c>
      <c r="I1272" s="21">
        <v>46568</v>
      </c>
      <c r="J1272" s="19" t="s">
        <v>2155</v>
      </c>
      <c r="L1272" s="19">
        <v>0</v>
      </c>
      <c r="M1272" s="19">
        <v>0</v>
      </c>
      <c r="N1272" s="19" t="s">
        <v>2394</v>
      </c>
      <c r="O1272" s="20">
        <v>6</v>
      </c>
      <c r="S1272" s="19" t="s">
        <v>20</v>
      </c>
      <c r="T1272" s="19" t="s">
        <v>1471</v>
      </c>
    </row>
    <row r="1273" spans="1:20">
      <c r="A1273" s="20">
        <v>202603329551823</v>
      </c>
      <c r="B1273" s="19" t="s">
        <v>20</v>
      </c>
      <c r="C1273" s="19" t="s">
        <v>21</v>
      </c>
      <c r="D1273" s="19" t="s">
        <v>2297</v>
      </c>
      <c r="E1273" s="21">
        <v>46204</v>
      </c>
      <c r="F1273" s="21">
        <v>46568</v>
      </c>
      <c r="G1273" s="21"/>
      <c r="H1273" s="21">
        <v>46204</v>
      </c>
      <c r="I1273" s="21">
        <v>46568</v>
      </c>
      <c r="J1273" s="19" t="s">
        <v>2155</v>
      </c>
      <c r="L1273" s="19">
        <v>198.7837815</v>
      </c>
      <c r="M1273" s="19">
        <v>198.7837815</v>
      </c>
      <c r="N1273" s="19" t="s">
        <v>1467</v>
      </c>
      <c r="O1273" s="20">
        <v>6</v>
      </c>
      <c r="S1273" s="19" t="s">
        <v>20</v>
      </c>
      <c r="T1273" s="19" t="s">
        <v>1471</v>
      </c>
    </row>
    <row r="1274" spans="1:20">
      <c r="A1274" s="20">
        <v>202603329552882</v>
      </c>
      <c r="B1274" s="19" t="s">
        <v>20</v>
      </c>
      <c r="C1274" s="19" t="s">
        <v>21</v>
      </c>
      <c r="D1274" s="19" t="s">
        <v>20</v>
      </c>
      <c r="E1274" s="21">
        <v>46204</v>
      </c>
      <c r="F1274" s="21">
        <v>46568</v>
      </c>
      <c r="G1274" s="21"/>
      <c r="H1274" s="21">
        <v>46204</v>
      </c>
      <c r="I1274" s="21">
        <v>46568</v>
      </c>
      <c r="J1274" s="19" t="s">
        <v>2104</v>
      </c>
      <c r="L1274" s="19">
        <v>33.130630250000003</v>
      </c>
      <c r="M1274" s="19">
        <v>33.130630250000003</v>
      </c>
      <c r="N1274" s="19" t="s">
        <v>1475</v>
      </c>
      <c r="O1274" s="20">
        <v>1</v>
      </c>
      <c r="S1274" s="19" t="s">
        <v>20</v>
      </c>
      <c r="T1274" s="19" t="s">
        <v>1471</v>
      </c>
    </row>
    <row r="1275" spans="1:20">
      <c r="A1275" s="20">
        <v>202603329554986</v>
      </c>
      <c r="B1275" s="19" t="s">
        <v>20</v>
      </c>
      <c r="C1275" s="19" t="s">
        <v>21</v>
      </c>
      <c r="D1275" s="19" t="s">
        <v>20</v>
      </c>
      <c r="E1275" s="21">
        <v>46204</v>
      </c>
      <c r="F1275" s="21">
        <v>46568</v>
      </c>
      <c r="G1275" s="21"/>
      <c r="H1275" s="21">
        <v>46204</v>
      </c>
      <c r="I1275" s="21">
        <v>46568</v>
      </c>
      <c r="J1275" s="19" t="s">
        <v>2064</v>
      </c>
      <c r="L1275" s="19">
        <v>0</v>
      </c>
      <c r="M1275" s="19">
        <v>0</v>
      </c>
      <c r="N1275" s="19" t="s">
        <v>2394</v>
      </c>
      <c r="O1275" s="20">
        <v>2</v>
      </c>
      <c r="S1275" s="19" t="s">
        <v>20</v>
      </c>
      <c r="T1275" s="19" t="s">
        <v>1471</v>
      </c>
    </row>
    <row r="1276" spans="1:20">
      <c r="A1276" s="20">
        <v>202603329554986</v>
      </c>
      <c r="B1276" s="19" t="s">
        <v>20</v>
      </c>
      <c r="C1276" s="19" t="s">
        <v>21</v>
      </c>
      <c r="D1276" s="19" t="s">
        <v>20</v>
      </c>
      <c r="E1276" s="21">
        <v>46204</v>
      </c>
      <c r="F1276" s="21">
        <v>46568</v>
      </c>
      <c r="G1276" s="21"/>
      <c r="H1276" s="21">
        <v>46204</v>
      </c>
      <c r="I1276" s="21">
        <v>46568</v>
      </c>
      <c r="J1276" s="19" t="s">
        <v>2064</v>
      </c>
      <c r="L1276" s="19">
        <v>66.261260500000006</v>
      </c>
      <c r="M1276" s="19">
        <v>66.261260500000006</v>
      </c>
      <c r="N1276" s="19" t="s">
        <v>1475</v>
      </c>
      <c r="O1276" s="20">
        <v>2</v>
      </c>
      <c r="S1276" s="19" t="s">
        <v>20</v>
      </c>
      <c r="T1276" s="19" t="s">
        <v>1471</v>
      </c>
    </row>
    <row r="1277" spans="1:20">
      <c r="A1277" s="20">
        <v>202603329556940</v>
      </c>
      <c r="B1277" s="19" t="s">
        <v>20</v>
      </c>
      <c r="C1277" s="19" t="s">
        <v>21</v>
      </c>
      <c r="D1277" s="19" t="s">
        <v>20</v>
      </c>
      <c r="E1277" s="21">
        <v>46204</v>
      </c>
      <c r="F1277" s="21">
        <v>46568</v>
      </c>
      <c r="G1277" s="21"/>
      <c r="H1277" s="21">
        <v>46204</v>
      </c>
      <c r="I1277" s="21">
        <v>46568</v>
      </c>
      <c r="J1277" s="19" t="s">
        <v>2064</v>
      </c>
      <c r="L1277" s="19">
        <v>0</v>
      </c>
      <c r="M1277" s="19">
        <v>0</v>
      </c>
      <c r="N1277" s="19" t="s">
        <v>2394</v>
      </c>
      <c r="O1277" s="20">
        <v>6</v>
      </c>
      <c r="S1277" s="19" t="s">
        <v>20</v>
      </c>
      <c r="T1277" s="19" t="s">
        <v>1471</v>
      </c>
    </row>
    <row r="1278" spans="1:20">
      <c r="A1278" s="20">
        <v>202603329556940</v>
      </c>
      <c r="B1278" s="19" t="s">
        <v>20</v>
      </c>
      <c r="C1278" s="19" t="s">
        <v>21</v>
      </c>
      <c r="D1278" s="19" t="s">
        <v>20</v>
      </c>
      <c r="E1278" s="21">
        <v>46204</v>
      </c>
      <c r="F1278" s="21">
        <v>46568</v>
      </c>
      <c r="G1278" s="21"/>
      <c r="H1278" s="21">
        <v>46204</v>
      </c>
      <c r="I1278" s="21">
        <v>46568</v>
      </c>
      <c r="J1278" s="19" t="s">
        <v>2064</v>
      </c>
      <c r="L1278" s="19">
        <v>198.7837815</v>
      </c>
      <c r="M1278" s="19">
        <v>198.7837815</v>
      </c>
      <c r="N1278" s="19" t="s">
        <v>1475</v>
      </c>
      <c r="O1278" s="20">
        <v>6</v>
      </c>
      <c r="S1278" s="19" t="s">
        <v>20</v>
      </c>
      <c r="T1278" s="19" t="s">
        <v>1471</v>
      </c>
    </row>
    <row r="1279" spans="1:20">
      <c r="A1279" s="20">
        <v>202603329557208</v>
      </c>
      <c r="B1279" s="19" t="s">
        <v>20</v>
      </c>
      <c r="C1279" s="19" t="s">
        <v>21</v>
      </c>
      <c r="D1279" s="19" t="s">
        <v>20</v>
      </c>
      <c r="E1279" s="21">
        <v>46204</v>
      </c>
      <c r="F1279" s="21">
        <v>46568</v>
      </c>
      <c r="G1279" s="21"/>
      <c r="H1279" s="21">
        <v>46204</v>
      </c>
      <c r="I1279" s="21">
        <v>46568</v>
      </c>
      <c r="J1279" s="19" t="s">
        <v>2064</v>
      </c>
      <c r="L1279" s="19">
        <v>33.130630250000003</v>
      </c>
      <c r="M1279" s="19">
        <v>33.130630250000003</v>
      </c>
      <c r="N1279" s="19" t="s">
        <v>1475</v>
      </c>
      <c r="O1279" s="20">
        <v>1</v>
      </c>
      <c r="S1279" s="19" t="s">
        <v>20</v>
      </c>
      <c r="T1279" s="19" t="s">
        <v>1471</v>
      </c>
    </row>
    <row r="1280" spans="1:20">
      <c r="A1280" s="20">
        <v>202603329557675</v>
      </c>
      <c r="B1280" s="19" t="s">
        <v>20</v>
      </c>
      <c r="C1280" s="19" t="s">
        <v>21</v>
      </c>
      <c r="D1280" s="19" t="s">
        <v>20</v>
      </c>
      <c r="E1280" s="21">
        <v>46204</v>
      </c>
      <c r="F1280" s="21">
        <v>46568</v>
      </c>
      <c r="G1280" s="21"/>
      <c r="H1280" s="21">
        <v>46204</v>
      </c>
      <c r="I1280" s="21">
        <v>46568</v>
      </c>
      <c r="J1280" s="19" t="s">
        <v>2114</v>
      </c>
      <c r="L1280" s="19">
        <v>0</v>
      </c>
      <c r="M1280" s="19">
        <v>0</v>
      </c>
      <c r="N1280" s="19" t="s">
        <v>2394</v>
      </c>
      <c r="O1280" s="20">
        <v>4</v>
      </c>
      <c r="S1280" s="19" t="s">
        <v>20</v>
      </c>
      <c r="T1280" s="19" t="s">
        <v>1471</v>
      </c>
    </row>
    <row r="1281" spans="1:20">
      <c r="A1281" s="20">
        <v>202603329557675</v>
      </c>
      <c r="B1281" s="19" t="s">
        <v>20</v>
      </c>
      <c r="C1281" s="19" t="s">
        <v>21</v>
      </c>
      <c r="D1281" s="19" t="s">
        <v>2298</v>
      </c>
      <c r="E1281" s="21">
        <v>46204</v>
      </c>
      <c r="F1281" s="21">
        <v>46568</v>
      </c>
      <c r="G1281" s="21"/>
      <c r="H1281" s="21">
        <v>46204</v>
      </c>
      <c r="I1281" s="21">
        <v>46568</v>
      </c>
      <c r="J1281" s="19" t="s">
        <v>2114</v>
      </c>
      <c r="L1281" s="19">
        <v>66.908733999999995</v>
      </c>
      <c r="M1281" s="19">
        <v>66.908733999999995</v>
      </c>
      <c r="N1281" s="19" t="s">
        <v>1467</v>
      </c>
      <c r="O1281" s="20">
        <v>4</v>
      </c>
      <c r="S1281" s="19" t="s">
        <v>20</v>
      </c>
      <c r="T1281" s="19" t="s">
        <v>1471</v>
      </c>
    </row>
    <row r="1282" spans="1:20">
      <c r="A1282" s="20">
        <v>202603329558166</v>
      </c>
      <c r="B1282" s="19" t="s">
        <v>20</v>
      </c>
      <c r="C1282" s="19" t="s">
        <v>21</v>
      </c>
      <c r="D1282" s="19" t="s">
        <v>20</v>
      </c>
      <c r="E1282" s="21">
        <v>46204</v>
      </c>
      <c r="F1282" s="21">
        <v>46568</v>
      </c>
      <c r="G1282" s="21"/>
      <c r="H1282" s="21">
        <v>46204</v>
      </c>
      <c r="I1282" s="21">
        <v>46568</v>
      </c>
      <c r="J1282" s="19" t="s">
        <v>2077</v>
      </c>
      <c r="L1282" s="19">
        <v>29.817561749999999</v>
      </c>
      <c r="M1282" s="19">
        <v>29.817561749999999</v>
      </c>
      <c r="N1282" s="19" t="s">
        <v>1475</v>
      </c>
      <c r="O1282" s="20">
        <v>1</v>
      </c>
      <c r="S1282" s="19" t="s">
        <v>20</v>
      </c>
      <c r="T1282" s="19" t="s">
        <v>1471</v>
      </c>
    </row>
    <row r="1283" spans="1:20">
      <c r="A1283" s="20">
        <v>202603329558302</v>
      </c>
      <c r="B1283" s="19" t="s">
        <v>20</v>
      </c>
      <c r="C1283" s="19" t="s">
        <v>21</v>
      </c>
      <c r="D1283" s="19" t="s">
        <v>20</v>
      </c>
      <c r="E1283" s="21">
        <v>46204</v>
      </c>
      <c r="F1283" s="21">
        <v>46568</v>
      </c>
      <c r="G1283" s="21"/>
      <c r="H1283" s="21">
        <v>46204</v>
      </c>
      <c r="I1283" s="21">
        <v>46568</v>
      </c>
      <c r="J1283" s="19" t="s">
        <v>2093</v>
      </c>
      <c r="L1283" s="19">
        <v>0</v>
      </c>
      <c r="M1283" s="19">
        <v>0</v>
      </c>
      <c r="N1283" s="19" t="s">
        <v>2394</v>
      </c>
      <c r="O1283" s="20">
        <v>2</v>
      </c>
      <c r="S1283" s="19" t="s">
        <v>20</v>
      </c>
      <c r="T1283" s="19" t="s">
        <v>1471</v>
      </c>
    </row>
    <row r="1284" spans="1:20">
      <c r="A1284" s="20">
        <v>202603329558302</v>
      </c>
      <c r="B1284" s="19" t="s">
        <v>20</v>
      </c>
      <c r="C1284" s="19" t="s">
        <v>21</v>
      </c>
      <c r="D1284" s="19" t="s">
        <v>20</v>
      </c>
      <c r="E1284" s="21">
        <v>46204</v>
      </c>
      <c r="F1284" s="21">
        <v>46568</v>
      </c>
      <c r="G1284" s="21"/>
      <c r="H1284" s="21">
        <v>46204</v>
      </c>
      <c r="I1284" s="21">
        <v>46568</v>
      </c>
      <c r="J1284" s="19" t="s">
        <v>2093</v>
      </c>
      <c r="L1284" s="19">
        <v>57.552068499999997</v>
      </c>
      <c r="M1284" s="19">
        <v>57.552068499999997</v>
      </c>
      <c r="N1284" s="19" t="s">
        <v>1475</v>
      </c>
      <c r="O1284" s="20">
        <v>2</v>
      </c>
      <c r="S1284" s="19" t="s">
        <v>20</v>
      </c>
      <c r="T1284" s="19" t="s">
        <v>1471</v>
      </c>
    </row>
    <row r="1285" spans="1:20">
      <c r="A1285" s="20">
        <v>202603329558688</v>
      </c>
      <c r="B1285" s="19" t="s">
        <v>20</v>
      </c>
      <c r="C1285" s="19" t="s">
        <v>21</v>
      </c>
      <c r="D1285" s="19" t="s">
        <v>20</v>
      </c>
      <c r="E1285" s="21">
        <v>46204</v>
      </c>
      <c r="F1285" s="21">
        <v>46568</v>
      </c>
      <c r="G1285" s="21"/>
      <c r="H1285" s="21">
        <v>46204</v>
      </c>
      <c r="I1285" s="21">
        <v>46568</v>
      </c>
      <c r="J1285" s="19" t="s">
        <v>2135</v>
      </c>
      <c r="L1285" s="19">
        <v>99.391890750000002</v>
      </c>
      <c r="M1285" s="19">
        <v>99.391890750000002</v>
      </c>
      <c r="N1285" s="19" t="s">
        <v>1475</v>
      </c>
      <c r="O1285" s="20">
        <v>3</v>
      </c>
      <c r="S1285" s="19" t="s">
        <v>20</v>
      </c>
      <c r="T1285" s="19" t="s">
        <v>1471</v>
      </c>
    </row>
    <row r="1286" spans="1:20">
      <c r="A1286" s="20">
        <v>202603329559046</v>
      </c>
      <c r="B1286" s="19" t="s">
        <v>20</v>
      </c>
      <c r="C1286" s="19" t="s">
        <v>21</v>
      </c>
      <c r="D1286" s="19" t="s">
        <v>20</v>
      </c>
      <c r="E1286" s="21">
        <v>46204</v>
      </c>
      <c r="F1286" s="21">
        <v>46568</v>
      </c>
      <c r="G1286" s="21"/>
      <c r="H1286" s="21">
        <v>46204</v>
      </c>
      <c r="I1286" s="21">
        <v>46568</v>
      </c>
      <c r="J1286" s="19" t="s">
        <v>2093</v>
      </c>
      <c r="L1286" s="19">
        <v>28.776034249999999</v>
      </c>
      <c r="M1286" s="19">
        <v>28.776034249999999</v>
      </c>
      <c r="N1286" s="19" t="s">
        <v>1475</v>
      </c>
      <c r="O1286" s="20">
        <v>1</v>
      </c>
      <c r="S1286" s="19" t="s">
        <v>20</v>
      </c>
      <c r="T1286" s="19" t="s">
        <v>1471</v>
      </c>
    </row>
    <row r="1287" spans="1:20">
      <c r="A1287" s="20">
        <v>202603329559941</v>
      </c>
      <c r="B1287" s="19" t="s">
        <v>20</v>
      </c>
      <c r="C1287" s="19" t="s">
        <v>21</v>
      </c>
      <c r="D1287" s="19" t="s">
        <v>20</v>
      </c>
      <c r="E1287" s="21">
        <v>46204</v>
      </c>
      <c r="F1287" s="21">
        <v>46568</v>
      </c>
      <c r="G1287" s="21"/>
      <c r="H1287" s="21">
        <v>46204</v>
      </c>
      <c r="I1287" s="21">
        <v>46568</v>
      </c>
      <c r="J1287" s="19" t="s">
        <v>2085</v>
      </c>
      <c r="L1287" s="19">
        <v>0</v>
      </c>
      <c r="M1287" s="19">
        <v>0</v>
      </c>
      <c r="N1287" s="19" t="s">
        <v>2394</v>
      </c>
      <c r="O1287" s="20">
        <v>6</v>
      </c>
      <c r="S1287" s="19" t="s">
        <v>20</v>
      </c>
      <c r="T1287" s="19" t="s">
        <v>1471</v>
      </c>
    </row>
    <row r="1288" spans="1:20">
      <c r="A1288" s="20">
        <v>202603329559941</v>
      </c>
      <c r="B1288" s="19" t="s">
        <v>20</v>
      </c>
      <c r="C1288" s="19" t="s">
        <v>21</v>
      </c>
      <c r="D1288" s="19" t="s">
        <v>20</v>
      </c>
      <c r="E1288" s="21">
        <v>46204</v>
      </c>
      <c r="F1288" s="21">
        <v>46568</v>
      </c>
      <c r="G1288" s="21"/>
      <c r="H1288" s="21">
        <v>46204</v>
      </c>
      <c r="I1288" s="21">
        <v>46568</v>
      </c>
      <c r="J1288" s="19" t="s">
        <v>2085</v>
      </c>
      <c r="L1288" s="19">
        <v>147.724041</v>
      </c>
      <c r="M1288" s="19">
        <v>147.724041</v>
      </c>
      <c r="N1288" s="19" t="s">
        <v>1475</v>
      </c>
      <c r="O1288" s="20">
        <v>6</v>
      </c>
      <c r="S1288" s="19" t="s">
        <v>20</v>
      </c>
      <c r="T1288" s="19" t="s">
        <v>1471</v>
      </c>
    </row>
    <row r="1289" spans="1:20">
      <c r="A1289" s="20">
        <v>202603329560891</v>
      </c>
      <c r="B1289" s="19" t="s">
        <v>20</v>
      </c>
      <c r="C1289" s="19" t="s">
        <v>21</v>
      </c>
      <c r="D1289" s="19" t="s">
        <v>20</v>
      </c>
      <c r="E1289" s="21">
        <v>46204</v>
      </c>
      <c r="F1289" s="21">
        <v>46568</v>
      </c>
      <c r="G1289" s="21"/>
      <c r="H1289" s="21">
        <v>46204</v>
      </c>
      <c r="I1289" s="21">
        <v>46568</v>
      </c>
      <c r="J1289" s="19" t="s">
        <v>2255</v>
      </c>
      <c r="L1289" s="19">
        <v>26.504493249999999</v>
      </c>
      <c r="M1289" s="19">
        <v>26.504493249999999</v>
      </c>
      <c r="N1289" s="19" t="s">
        <v>1475</v>
      </c>
      <c r="O1289" s="20">
        <v>1</v>
      </c>
      <c r="S1289" s="19" t="s">
        <v>20</v>
      </c>
      <c r="T1289" s="19" t="s">
        <v>1471</v>
      </c>
    </row>
    <row r="1290" spans="1:20">
      <c r="A1290" s="20">
        <v>202603329562682</v>
      </c>
      <c r="B1290" s="19" t="s">
        <v>20</v>
      </c>
      <c r="C1290" s="19" t="s">
        <v>21</v>
      </c>
      <c r="D1290" s="19" t="s">
        <v>20</v>
      </c>
      <c r="E1290" s="21">
        <v>46204</v>
      </c>
      <c r="F1290" s="21">
        <v>46568</v>
      </c>
      <c r="G1290" s="21"/>
      <c r="H1290" s="21">
        <v>46204</v>
      </c>
      <c r="I1290" s="21">
        <v>46568</v>
      </c>
      <c r="J1290" s="19" t="s">
        <v>2066</v>
      </c>
      <c r="L1290" s="19">
        <v>132.52252100000001</v>
      </c>
      <c r="M1290" s="19">
        <v>132.52252100000001</v>
      </c>
      <c r="N1290" s="19" t="s">
        <v>1475</v>
      </c>
      <c r="O1290" s="20">
        <v>4</v>
      </c>
      <c r="S1290" s="19" t="s">
        <v>20</v>
      </c>
      <c r="T1290" s="19" t="s">
        <v>1471</v>
      </c>
    </row>
    <row r="1291" spans="1:20">
      <c r="A1291" s="20">
        <v>202603329563328</v>
      </c>
      <c r="B1291" s="19" t="s">
        <v>20</v>
      </c>
      <c r="C1291" s="19" t="s">
        <v>21</v>
      </c>
      <c r="D1291" s="19" t="s">
        <v>20</v>
      </c>
      <c r="E1291" s="21">
        <v>46204</v>
      </c>
      <c r="F1291" s="21">
        <v>46568</v>
      </c>
      <c r="G1291" s="21"/>
      <c r="H1291" s="21">
        <v>46204</v>
      </c>
      <c r="I1291" s="21">
        <v>46568</v>
      </c>
      <c r="J1291" s="19" t="s">
        <v>2064</v>
      </c>
      <c r="L1291" s="19">
        <v>0</v>
      </c>
      <c r="M1291" s="19">
        <v>0</v>
      </c>
      <c r="N1291" s="19" t="s">
        <v>2394</v>
      </c>
      <c r="O1291" s="20">
        <v>5</v>
      </c>
      <c r="S1291" s="19" t="s">
        <v>20</v>
      </c>
      <c r="T1291" s="19" t="s">
        <v>1471</v>
      </c>
    </row>
    <row r="1292" spans="1:20">
      <c r="A1292" s="20">
        <v>202603329563328</v>
      </c>
      <c r="B1292" s="19" t="s">
        <v>20</v>
      </c>
      <c r="C1292" s="19" t="s">
        <v>21</v>
      </c>
      <c r="D1292" s="19" t="s">
        <v>20</v>
      </c>
      <c r="E1292" s="21">
        <v>46204</v>
      </c>
      <c r="F1292" s="21">
        <v>46568</v>
      </c>
      <c r="G1292" s="21"/>
      <c r="H1292" s="21">
        <v>46204</v>
      </c>
      <c r="I1292" s="21">
        <v>46568</v>
      </c>
      <c r="J1292" s="19" t="s">
        <v>2064</v>
      </c>
      <c r="L1292" s="19">
        <v>165.65315125000001</v>
      </c>
      <c r="M1292" s="19">
        <v>165.65315125000001</v>
      </c>
      <c r="N1292" s="19" t="s">
        <v>1475</v>
      </c>
      <c r="O1292" s="20">
        <v>5</v>
      </c>
      <c r="S1292" s="19" t="s">
        <v>20</v>
      </c>
      <c r="T1292" s="19" t="s">
        <v>1471</v>
      </c>
    </row>
    <row r="1293" spans="1:20">
      <c r="A1293" s="20">
        <v>202603329564599</v>
      </c>
      <c r="B1293" s="19" t="s">
        <v>20</v>
      </c>
      <c r="C1293" s="19" t="s">
        <v>21</v>
      </c>
      <c r="D1293" s="19" t="s">
        <v>20</v>
      </c>
      <c r="E1293" s="21">
        <v>46204</v>
      </c>
      <c r="F1293" s="21">
        <v>46568</v>
      </c>
      <c r="G1293" s="21"/>
      <c r="H1293" s="21">
        <v>46204</v>
      </c>
      <c r="I1293" s="21">
        <v>46568</v>
      </c>
      <c r="J1293" s="19" t="s">
        <v>2064</v>
      </c>
      <c r="L1293" s="19">
        <v>66.261260500000006</v>
      </c>
      <c r="M1293" s="19">
        <v>66.261260500000006</v>
      </c>
      <c r="N1293" s="19" t="s">
        <v>1475</v>
      </c>
      <c r="O1293" s="20">
        <v>2</v>
      </c>
      <c r="S1293" s="19" t="s">
        <v>20</v>
      </c>
      <c r="T1293" s="19" t="s">
        <v>1471</v>
      </c>
    </row>
    <row r="1294" spans="1:20">
      <c r="A1294" s="20">
        <v>202603329565136</v>
      </c>
      <c r="B1294" s="19" t="s">
        <v>20</v>
      </c>
      <c r="C1294" s="19" t="s">
        <v>21</v>
      </c>
      <c r="D1294" s="19" t="s">
        <v>20</v>
      </c>
      <c r="E1294" s="21">
        <v>46204</v>
      </c>
      <c r="F1294" s="21">
        <v>46568</v>
      </c>
      <c r="G1294" s="21"/>
      <c r="H1294" s="21">
        <v>46204</v>
      </c>
      <c r="I1294" s="21">
        <v>46568</v>
      </c>
      <c r="J1294" s="19" t="s">
        <v>1473</v>
      </c>
      <c r="L1294" s="19">
        <v>0</v>
      </c>
      <c r="M1294" s="19">
        <v>0</v>
      </c>
      <c r="N1294" s="19" t="s">
        <v>2394</v>
      </c>
      <c r="O1294" s="20">
        <v>6</v>
      </c>
      <c r="S1294" s="19" t="s">
        <v>20</v>
      </c>
      <c r="T1294" s="19" t="s">
        <v>1471</v>
      </c>
    </row>
    <row r="1295" spans="1:20">
      <c r="A1295" s="20">
        <v>202603329565136</v>
      </c>
      <c r="B1295" s="19" t="s">
        <v>20</v>
      </c>
      <c r="C1295" s="19" t="s">
        <v>21</v>
      </c>
      <c r="D1295" s="19" t="s">
        <v>20</v>
      </c>
      <c r="E1295" s="21">
        <v>46204</v>
      </c>
      <c r="F1295" s="21">
        <v>46568</v>
      </c>
      <c r="G1295" s="21"/>
      <c r="H1295" s="21">
        <v>46204</v>
      </c>
      <c r="I1295" s="21">
        <v>46568</v>
      </c>
      <c r="J1295" s="19" t="s">
        <v>1473</v>
      </c>
      <c r="L1295" s="19">
        <v>147.724041</v>
      </c>
      <c r="M1295" s="19">
        <v>147.724041</v>
      </c>
      <c r="N1295" s="19" t="s">
        <v>1475</v>
      </c>
      <c r="O1295" s="20">
        <v>6</v>
      </c>
      <c r="S1295" s="19" t="s">
        <v>20</v>
      </c>
      <c r="T1295" s="19" t="s">
        <v>1471</v>
      </c>
    </row>
    <row r="1296" spans="1:20">
      <c r="A1296" s="20">
        <v>202603329565524</v>
      </c>
      <c r="B1296" s="19" t="s">
        <v>20</v>
      </c>
      <c r="C1296" s="19" t="s">
        <v>21</v>
      </c>
      <c r="D1296" s="19" t="s">
        <v>2299</v>
      </c>
      <c r="E1296" s="21">
        <v>46204</v>
      </c>
      <c r="F1296" s="21">
        <v>46568</v>
      </c>
      <c r="G1296" s="21"/>
      <c r="H1296" s="21">
        <v>46204</v>
      </c>
      <c r="I1296" s="21">
        <v>46568</v>
      </c>
      <c r="J1296" s="19" t="s">
        <v>2135</v>
      </c>
      <c r="L1296" s="19">
        <v>33.130630250000003</v>
      </c>
      <c r="M1296" s="19">
        <v>33.130630250000003</v>
      </c>
      <c r="N1296" s="19" t="s">
        <v>1467</v>
      </c>
      <c r="O1296" s="20">
        <v>1</v>
      </c>
      <c r="S1296" s="19" t="s">
        <v>20</v>
      </c>
      <c r="T1296" s="19" t="s">
        <v>1471</v>
      </c>
    </row>
    <row r="1297" spans="1:20">
      <c r="A1297" s="20">
        <v>202603329567591</v>
      </c>
      <c r="B1297" s="19" t="s">
        <v>20</v>
      </c>
      <c r="C1297" s="19" t="s">
        <v>21</v>
      </c>
      <c r="D1297" s="19" t="s">
        <v>2300</v>
      </c>
      <c r="E1297" s="21">
        <v>46204</v>
      </c>
      <c r="F1297" s="21">
        <v>46568</v>
      </c>
      <c r="G1297" s="21"/>
      <c r="H1297" s="21">
        <v>46204</v>
      </c>
      <c r="I1297" s="21">
        <v>46568</v>
      </c>
      <c r="J1297" s="19" t="s">
        <v>2166</v>
      </c>
      <c r="L1297" s="19">
        <v>26.504493249999999</v>
      </c>
      <c r="M1297" s="19">
        <v>26.504493249999999</v>
      </c>
      <c r="N1297" s="19" t="s">
        <v>1467</v>
      </c>
      <c r="O1297" s="20">
        <v>1</v>
      </c>
      <c r="S1297" s="19" t="s">
        <v>20</v>
      </c>
      <c r="T1297" s="19" t="s">
        <v>1471</v>
      </c>
    </row>
    <row r="1298" spans="1:20">
      <c r="A1298" s="20">
        <v>202603329569049</v>
      </c>
      <c r="B1298" s="19" t="s">
        <v>20</v>
      </c>
      <c r="C1298" s="19" t="s">
        <v>21</v>
      </c>
      <c r="D1298" s="19" t="s">
        <v>20</v>
      </c>
      <c r="E1298" s="21">
        <v>46204</v>
      </c>
      <c r="F1298" s="21">
        <v>46568</v>
      </c>
      <c r="G1298" s="21"/>
      <c r="H1298" s="21">
        <v>46204</v>
      </c>
      <c r="I1298" s="21">
        <v>46568</v>
      </c>
      <c r="J1298" s="19" t="s">
        <v>2064</v>
      </c>
      <c r="L1298" s="19">
        <v>33.130630250000003</v>
      </c>
      <c r="M1298" s="19">
        <v>33.130630250000003</v>
      </c>
      <c r="N1298" s="19" t="s">
        <v>1475</v>
      </c>
      <c r="O1298" s="20">
        <v>1</v>
      </c>
      <c r="S1298" s="19" t="s">
        <v>20</v>
      </c>
      <c r="T1298" s="19" t="s">
        <v>1471</v>
      </c>
    </row>
    <row r="1299" spans="1:20">
      <c r="A1299" s="20">
        <v>202603329569099</v>
      </c>
      <c r="B1299" s="19" t="s">
        <v>20</v>
      </c>
      <c r="C1299" s="19" t="s">
        <v>21</v>
      </c>
      <c r="D1299" s="19" t="s">
        <v>20</v>
      </c>
      <c r="E1299" s="21">
        <v>46204</v>
      </c>
      <c r="F1299" s="21">
        <v>46568</v>
      </c>
      <c r="G1299" s="21"/>
      <c r="H1299" s="21">
        <v>46204</v>
      </c>
      <c r="I1299" s="21">
        <v>46568</v>
      </c>
      <c r="J1299" s="19" t="s">
        <v>1473</v>
      </c>
      <c r="L1299" s="19">
        <v>24.620673499999999</v>
      </c>
      <c r="M1299" s="19">
        <v>24.620673499999999</v>
      </c>
      <c r="N1299" s="19" t="s">
        <v>1475</v>
      </c>
      <c r="O1299" s="20">
        <v>1</v>
      </c>
      <c r="S1299" s="19" t="s">
        <v>20</v>
      </c>
      <c r="T1299" s="19" t="s">
        <v>1471</v>
      </c>
    </row>
    <row r="1300" spans="1:20">
      <c r="A1300" s="20">
        <v>202603329569415</v>
      </c>
      <c r="B1300" s="19" t="s">
        <v>20</v>
      </c>
      <c r="C1300" s="19" t="s">
        <v>21</v>
      </c>
      <c r="D1300" s="19" t="s">
        <v>20</v>
      </c>
      <c r="E1300" s="21">
        <v>46204</v>
      </c>
      <c r="F1300" s="21">
        <v>46568</v>
      </c>
      <c r="G1300" s="21"/>
      <c r="H1300" s="21">
        <v>46204</v>
      </c>
      <c r="I1300" s="21">
        <v>46568</v>
      </c>
      <c r="J1300" s="19" t="s">
        <v>2102</v>
      </c>
      <c r="L1300" s="19">
        <v>0</v>
      </c>
      <c r="M1300" s="19">
        <v>0</v>
      </c>
      <c r="N1300" s="19" t="s">
        <v>2394</v>
      </c>
      <c r="O1300" s="20">
        <v>2</v>
      </c>
      <c r="S1300" s="19" t="s">
        <v>20</v>
      </c>
      <c r="T1300" s="19" t="s">
        <v>1471</v>
      </c>
    </row>
    <row r="1301" spans="1:20">
      <c r="A1301" s="20">
        <v>202603329569415</v>
      </c>
      <c r="B1301" s="19" t="s">
        <v>20</v>
      </c>
      <c r="C1301" s="19" t="s">
        <v>21</v>
      </c>
      <c r="D1301" s="19" t="s">
        <v>20</v>
      </c>
      <c r="E1301" s="21">
        <v>46204</v>
      </c>
      <c r="F1301" s="21">
        <v>46568</v>
      </c>
      <c r="G1301" s="21"/>
      <c r="H1301" s="21">
        <v>46204</v>
      </c>
      <c r="I1301" s="21">
        <v>46568</v>
      </c>
      <c r="J1301" s="19" t="s">
        <v>2102</v>
      </c>
      <c r="L1301" s="19">
        <v>52.517367999999998</v>
      </c>
      <c r="M1301" s="19">
        <v>52.517367999999998</v>
      </c>
      <c r="N1301" s="19" t="s">
        <v>1475</v>
      </c>
      <c r="O1301" s="20">
        <v>2</v>
      </c>
      <c r="S1301" s="19" t="s">
        <v>20</v>
      </c>
      <c r="T1301" s="19" t="s">
        <v>1471</v>
      </c>
    </row>
    <row r="1302" spans="1:20">
      <c r="A1302" s="20">
        <v>202603329570951</v>
      </c>
      <c r="B1302" s="19" t="s">
        <v>20</v>
      </c>
      <c r="C1302" s="19" t="s">
        <v>21</v>
      </c>
      <c r="D1302" s="19" t="s">
        <v>20</v>
      </c>
      <c r="E1302" s="21">
        <v>46204</v>
      </c>
      <c r="F1302" s="21">
        <v>46568</v>
      </c>
      <c r="G1302" s="21"/>
      <c r="H1302" s="21">
        <v>46204</v>
      </c>
      <c r="I1302" s="21">
        <v>46568</v>
      </c>
      <c r="J1302" s="19" t="s">
        <v>2064</v>
      </c>
      <c r="L1302" s="19">
        <v>33.130630250000003</v>
      </c>
      <c r="M1302" s="19">
        <v>33.130630250000003</v>
      </c>
      <c r="N1302" s="19" t="s">
        <v>1475</v>
      </c>
      <c r="O1302" s="20">
        <v>1</v>
      </c>
      <c r="S1302" s="19" t="s">
        <v>20</v>
      </c>
      <c r="T1302" s="19" t="s">
        <v>1471</v>
      </c>
    </row>
    <row r="1303" spans="1:20">
      <c r="A1303" s="20">
        <v>202603329571003</v>
      </c>
      <c r="B1303" s="19" t="s">
        <v>20</v>
      </c>
      <c r="C1303" s="19" t="s">
        <v>21</v>
      </c>
      <c r="D1303" s="19" t="s">
        <v>20</v>
      </c>
      <c r="E1303" s="21">
        <v>46204</v>
      </c>
      <c r="F1303" s="21">
        <v>46568</v>
      </c>
      <c r="G1303" s="21"/>
      <c r="H1303" s="21">
        <v>46204</v>
      </c>
      <c r="I1303" s="21">
        <v>46568</v>
      </c>
      <c r="J1303" s="19" t="s">
        <v>2184</v>
      </c>
      <c r="L1303" s="19">
        <v>29.817561749999999</v>
      </c>
      <c r="M1303" s="19">
        <v>29.817561749999999</v>
      </c>
      <c r="N1303" s="19" t="s">
        <v>1475</v>
      </c>
      <c r="O1303" s="20">
        <v>1</v>
      </c>
      <c r="S1303" s="19" t="s">
        <v>20</v>
      </c>
      <c r="T1303" s="19" t="s">
        <v>1471</v>
      </c>
    </row>
    <row r="1304" spans="1:20">
      <c r="A1304" s="20">
        <v>202603329571030</v>
      </c>
      <c r="B1304" s="19" t="s">
        <v>20</v>
      </c>
      <c r="C1304" s="19" t="s">
        <v>21</v>
      </c>
      <c r="D1304" s="19" t="s">
        <v>20</v>
      </c>
      <c r="E1304" s="21">
        <v>46204</v>
      </c>
      <c r="F1304" s="21">
        <v>46568</v>
      </c>
      <c r="G1304" s="21"/>
      <c r="H1304" s="21">
        <v>46204</v>
      </c>
      <c r="I1304" s="21">
        <v>46568</v>
      </c>
      <c r="J1304" s="19" t="s">
        <v>2068</v>
      </c>
      <c r="L1304" s="19">
        <v>0</v>
      </c>
      <c r="M1304" s="19">
        <v>0</v>
      </c>
      <c r="N1304" s="19" t="s">
        <v>2394</v>
      </c>
      <c r="O1304" s="20">
        <v>2</v>
      </c>
      <c r="S1304" s="19" t="s">
        <v>20</v>
      </c>
      <c r="T1304" s="19" t="s">
        <v>1471</v>
      </c>
    </row>
    <row r="1305" spans="1:20">
      <c r="A1305" s="20">
        <v>202603329571030</v>
      </c>
      <c r="B1305" s="19" t="s">
        <v>20</v>
      </c>
      <c r="C1305" s="19" t="s">
        <v>21</v>
      </c>
      <c r="D1305" s="19" t="s">
        <v>20</v>
      </c>
      <c r="E1305" s="21">
        <v>46204</v>
      </c>
      <c r="F1305" s="21">
        <v>46568</v>
      </c>
      <c r="G1305" s="21"/>
      <c r="H1305" s="21">
        <v>46204</v>
      </c>
      <c r="I1305" s="21">
        <v>46568</v>
      </c>
      <c r="J1305" s="19" t="s">
        <v>2068</v>
      </c>
      <c r="L1305" s="19">
        <v>52.517367999999998</v>
      </c>
      <c r="M1305" s="19">
        <v>52.517367999999998</v>
      </c>
      <c r="N1305" s="19" t="s">
        <v>1475</v>
      </c>
      <c r="O1305" s="20">
        <v>2</v>
      </c>
      <c r="S1305" s="19" t="s">
        <v>20</v>
      </c>
      <c r="T1305" s="19" t="s">
        <v>1471</v>
      </c>
    </row>
    <row r="1306" spans="1:20">
      <c r="A1306" s="20">
        <v>202603329571335</v>
      </c>
      <c r="B1306" s="19" t="s">
        <v>20</v>
      </c>
      <c r="C1306" s="19" t="s">
        <v>21</v>
      </c>
      <c r="D1306" s="19" t="s">
        <v>20</v>
      </c>
      <c r="E1306" s="21">
        <v>46204</v>
      </c>
      <c r="F1306" s="21">
        <v>46568</v>
      </c>
      <c r="G1306" s="21"/>
      <c r="H1306" s="21">
        <v>46204</v>
      </c>
      <c r="I1306" s="21">
        <v>46568</v>
      </c>
      <c r="J1306" s="19" t="s">
        <v>2064</v>
      </c>
      <c r="L1306" s="19">
        <v>0</v>
      </c>
      <c r="M1306" s="19">
        <v>0</v>
      </c>
      <c r="N1306" s="19" t="s">
        <v>2394</v>
      </c>
      <c r="O1306" s="20">
        <v>2</v>
      </c>
      <c r="S1306" s="19" t="s">
        <v>20</v>
      </c>
      <c r="T1306" s="19" t="s">
        <v>1471</v>
      </c>
    </row>
    <row r="1307" spans="1:20">
      <c r="A1307" s="20">
        <v>202603329571335</v>
      </c>
      <c r="B1307" s="19" t="s">
        <v>20</v>
      </c>
      <c r="C1307" s="19" t="s">
        <v>21</v>
      </c>
      <c r="D1307" s="19" t="s">
        <v>20</v>
      </c>
      <c r="E1307" s="21">
        <v>46204</v>
      </c>
      <c r="F1307" s="21">
        <v>46568</v>
      </c>
      <c r="G1307" s="21"/>
      <c r="H1307" s="21">
        <v>46204</v>
      </c>
      <c r="I1307" s="21">
        <v>46568</v>
      </c>
      <c r="J1307" s="19" t="s">
        <v>2064</v>
      </c>
      <c r="L1307" s="19">
        <v>66.261260500000006</v>
      </c>
      <c r="M1307" s="19">
        <v>66.261260500000006</v>
      </c>
      <c r="N1307" s="19" t="s">
        <v>1475</v>
      </c>
      <c r="O1307" s="20">
        <v>2</v>
      </c>
      <c r="S1307" s="19" t="s">
        <v>20</v>
      </c>
      <c r="T1307" s="19" t="s">
        <v>1471</v>
      </c>
    </row>
    <row r="1308" spans="1:20">
      <c r="A1308" s="20">
        <v>202603329571857</v>
      </c>
      <c r="B1308" s="19" t="s">
        <v>20</v>
      </c>
      <c r="C1308" s="19" t="s">
        <v>21</v>
      </c>
      <c r="D1308" s="19" t="s">
        <v>20</v>
      </c>
      <c r="E1308" s="21">
        <v>46204</v>
      </c>
      <c r="F1308" s="21">
        <v>46568</v>
      </c>
      <c r="G1308" s="21"/>
      <c r="H1308" s="21">
        <v>46204</v>
      </c>
      <c r="I1308" s="21">
        <v>46568</v>
      </c>
      <c r="J1308" s="19" t="s">
        <v>2093</v>
      </c>
      <c r="L1308" s="19">
        <v>0</v>
      </c>
      <c r="M1308" s="19">
        <v>0</v>
      </c>
      <c r="N1308" s="19" t="s">
        <v>2394</v>
      </c>
      <c r="O1308" s="20">
        <v>7</v>
      </c>
      <c r="S1308" s="19" t="s">
        <v>20</v>
      </c>
      <c r="T1308" s="19" t="s">
        <v>1471</v>
      </c>
    </row>
    <row r="1309" spans="1:20">
      <c r="A1309" s="20">
        <v>202603329571857</v>
      </c>
      <c r="B1309" s="19" t="s">
        <v>20</v>
      </c>
      <c r="C1309" s="19" t="s">
        <v>21</v>
      </c>
      <c r="D1309" s="19" t="s">
        <v>20</v>
      </c>
      <c r="E1309" s="21">
        <v>46204</v>
      </c>
      <c r="F1309" s="21">
        <v>46568</v>
      </c>
      <c r="G1309" s="21"/>
      <c r="H1309" s="21">
        <v>46204</v>
      </c>
      <c r="I1309" s="21">
        <v>46568</v>
      </c>
      <c r="J1309" s="19" t="s">
        <v>2093</v>
      </c>
      <c r="L1309" s="19">
        <v>201.43223975000001</v>
      </c>
      <c r="M1309" s="19">
        <v>201.43223975000001</v>
      </c>
      <c r="N1309" s="19" t="s">
        <v>1475</v>
      </c>
      <c r="O1309" s="20">
        <v>7</v>
      </c>
      <c r="S1309" s="19" t="s">
        <v>20</v>
      </c>
      <c r="T1309" s="19" t="s">
        <v>1471</v>
      </c>
    </row>
    <row r="1310" spans="1:20">
      <c r="A1310" s="20">
        <v>202603329572069</v>
      </c>
      <c r="B1310" s="19" t="s">
        <v>20</v>
      </c>
      <c r="C1310" s="19" t="s">
        <v>21</v>
      </c>
      <c r="D1310" s="19" t="s">
        <v>20</v>
      </c>
      <c r="E1310" s="21">
        <v>46204</v>
      </c>
      <c r="F1310" s="21">
        <v>46568</v>
      </c>
      <c r="G1310" s="21"/>
      <c r="H1310" s="21">
        <v>46204</v>
      </c>
      <c r="I1310" s="21">
        <v>46568</v>
      </c>
      <c r="J1310" s="19" t="s">
        <v>2064</v>
      </c>
      <c r="L1310" s="19">
        <v>33.130630250000003</v>
      </c>
      <c r="M1310" s="19">
        <v>33.130630250000003</v>
      </c>
      <c r="N1310" s="19" t="s">
        <v>1475</v>
      </c>
      <c r="O1310" s="20">
        <v>1</v>
      </c>
      <c r="S1310" s="19" t="s">
        <v>20</v>
      </c>
      <c r="T1310" s="19" t="s">
        <v>1471</v>
      </c>
    </row>
    <row r="1311" spans="1:20">
      <c r="A1311" s="20">
        <v>202603329572203</v>
      </c>
      <c r="B1311" s="19" t="s">
        <v>20</v>
      </c>
      <c r="C1311" s="19" t="s">
        <v>21</v>
      </c>
      <c r="D1311" s="19" t="s">
        <v>20</v>
      </c>
      <c r="E1311" s="21">
        <v>46204</v>
      </c>
      <c r="F1311" s="21">
        <v>46568</v>
      </c>
      <c r="G1311" s="21"/>
      <c r="H1311" s="21">
        <v>46204</v>
      </c>
      <c r="I1311" s="21">
        <v>46568</v>
      </c>
      <c r="J1311" s="19" t="s">
        <v>2068</v>
      </c>
      <c r="L1311" s="19">
        <v>26.258683999999999</v>
      </c>
      <c r="M1311" s="19">
        <v>26.258683999999999</v>
      </c>
      <c r="N1311" s="19" t="s">
        <v>1475</v>
      </c>
      <c r="O1311" s="20">
        <v>1</v>
      </c>
      <c r="S1311" s="19" t="s">
        <v>20</v>
      </c>
      <c r="T1311" s="19" t="s">
        <v>1471</v>
      </c>
    </row>
    <row r="1312" spans="1:20">
      <c r="A1312" s="20">
        <v>202603329573231</v>
      </c>
      <c r="B1312" s="19" t="s">
        <v>20</v>
      </c>
      <c r="C1312" s="19" t="s">
        <v>21</v>
      </c>
      <c r="D1312" s="19" t="s">
        <v>20</v>
      </c>
      <c r="E1312" s="21">
        <v>46204</v>
      </c>
      <c r="F1312" s="21">
        <v>46568</v>
      </c>
      <c r="G1312" s="21"/>
      <c r="H1312" s="21">
        <v>46204</v>
      </c>
      <c r="I1312" s="21">
        <v>46568</v>
      </c>
      <c r="J1312" s="19" t="s">
        <v>2068</v>
      </c>
      <c r="L1312" s="19">
        <v>0</v>
      </c>
      <c r="M1312" s="19">
        <v>0</v>
      </c>
      <c r="N1312" s="19" t="s">
        <v>2394</v>
      </c>
      <c r="O1312" s="20">
        <v>3</v>
      </c>
      <c r="S1312" s="19" t="s">
        <v>20</v>
      </c>
      <c r="T1312" s="19" t="s">
        <v>1471</v>
      </c>
    </row>
    <row r="1313" spans="1:20">
      <c r="A1313" s="20">
        <v>202603329573231</v>
      </c>
      <c r="B1313" s="19" t="s">
        <v>20</v>
      </c>
      <c r="C1313" s="19" t="s">
        <v>21</v>
      </c>
      <c r="D1313" s="19" t="s">
        <v>20</v>
      </c>
      <c r="E1313" s="21">
        <v>46204</v>
      </c>
      <c r="F1313" s="21">
        <v>46568</v>
      </c>
      <c r="G1313" s="21"/>
      <c r="H1313" s="21">
        <v>46204</v>
      </c>
      <c r="I1313" s="21">
        <v>46568</v>
      </c>
      <c r="J1313" s="19" t="s">
        <v>2068</v>
      </c>
      <c r="L1313" s="19">
        <v>78.776052000000007</v>
      </c>
      <c r="M1313" s="19">
        <v>78.776052000000007</v>
      </c>
      <c r="N1313" s="19" t="s">
        <v>1475</v>
      </c>
      <c r="O1313" s="20">
        <v>3</v>
      </c>
      <c r="S1313" s="19" t="s">
        <v>20</v>
      </c>
      <c r="T1313" s="19" t="s">
        <v>1471</v>
      </c>
    </row>
    <row r="1314" spans="1:20">
      <c r="A1314" s="20">
        <v>202603329573780</v>
      </c>
      <c r="B1314" s="19" t="s">
        <v>20</v>
      </c>
      <c r="C1314" s="19" t="s">
        <v>21</v>
      </c>
      <c r="D1314" s="19" t="s">
        <v>20</v>
      </c>
      <c r="E1314" s="21">
        <v>46204</v>
      </c>
      <c r="F1314" s="21">
        <v>46568</v>
      </c>
      <c r="G1314" s="21"/>
      <c r="H1314" s="21">
        <v>46204</v>
      </c>
      <c r="I1314" s="21">
        <v>46568</v>
      </c>
      <c r="J1314" s="19" t="s">
        <v>2065</v>
      </c>
      <c r="L1314" s="19">
        <v>0</v>
      </c>
      <c r="M1314" s="19">
        <v>0</v>
      </c>
      <c r="N1314" s="19" t="s">
        <v>2394</v>
      </c>
      <c r="O1314" s="20">
        <v>4</v>
      </c>
      <c r="S1314" s="19" t="s">
        <v>20</v>
      </c>
      <c r="T1314" s="19" t="s">
        <v>1471</v>
      </c>
    </row>
    <row r="1315" spans="1:20">
      <c r="A1315" s="20">
        <v>202603329573780</v>
      </c>
      <c r="B1315" s="19" t="s">
        <v>20</v>
      </c>
      <c r="C1315" s="19" t="s">
        <v>21</v>
      </c>
      <c r="D1315" s="19" t="s">
        <v>20</v>
      </c>
      <c r="E1315" s="21">
        <v>46204</v>
      </c>
      <c r="F1315" s="21">
        <v>46568</v>
      </c>
      <c r="G1315" s="21"/>
      <c r="H1315" s="21">
        <v>46204</v>
      </c>
      <c r="I1315" s="21">
        <v>46568</v>
      </c>
      <c r="J1315" s="19" t="s">
        <v>2065</v>
      </c>
      <c r="L1315" s="19">
        <v>105.034736</v>
      </c>
      <c r="M1315" s="19">
        <v>105.034736</v>
      </c>
      <c r="N1315" s="19" t="s">
        <v>1475</v>
      </c>
      <c r="O1315" s="20">
        <v>4</v>
      </c>
      <c r="S1315" s="19" t="s">
        <v>20</v>
      </c>
      <c r="T1315" s="19" t="s">
        <v>1471</v>
      </c>
    </row>
    <row r="1316" spans="1:20">
      <c r="A1316" s="20">
        <v>202603329575555</v>
      </c>
      <c r="B1316" s="19" t="s">
        <v>20</v>
      </c>
      <c r="C1316" s="19" t="s">
        <v>21</v>
      </c>
      <c r="D1316" s="19" t="s">
        <v>20</v>
      </c>
      <c r="E1316" s="21">
        <v>46204</v>
      </c>
      <c r="F1316" s="21">
        <v>46568</v>
      </c>
      <c r="G1316" s="21"/>
      <c r="H1316" s="21">
        <v>46204</v>
      </c>
      <c r="I1316" s="21">
        <v>46568</v>
      </c>
      <c r="J1316" s="19" t="s">
        <v>2128</v>
      </c>
      <c r="L1316" s="19">
        <v>29.817561749999999</v>
      </c>
      <c r="M1316" s="19">
        <v>29.817561749999999</v>
      </c>
      <c r="N1316" s="19" t="s">
        <v>1475</v>
      </c>
      <c r="O1316" s="20">
        <v>1</v>
      </c>
      <c r="S1316" s="19" t="s">
        <v>20</v>
      </c>
      <c r="T1316" s="19" t="s">
        <v>1471</v>
      </c>
    </row>
    <row r="1317" spans="1:20">
      <c r="A1317" s="20">
        <v>202603329575692</v>
      </c>
      <c r="B1317" s="19" t="s">
        <v>20</v>
      </c>
      <c r="C1317" s="19" t="s">
        <v>21</v>
      </c>
      <c r="D1317" s="19" t="s">
        <v>20</v>
      </c>
      <c r="E1317" s="21">
        <v>46204</v>
      </c>
      <c r="F1317" s="21">
        <v>46568</v>
      </c>
      <c r="G1317" s="21"/>
      <c r="H1317" s="21">
        <v>46204</v>
      </c>
      <c r="I1317" s="21">
        <v>46568</v>
      </c>
      <c r="J1317" s="19" t="s">
        <v>2064</v>
      </c>
      <c r="L1317" s="19">
        <v>33.130630250000003</v>
      </c>
      <c r="M1317" s="19">
        <v>33.130630250000003</v>
      </c>
      <c r="N1317" s="19" t="s">
        <v>1475</v>
      </c>
      <c r="O1317" s="20">
        <v>1</v>
      </c>
      <c r="S1317" s="19" t="s">
        <v>20</v>
      </c>
      <c r="T1317" s="19" t="s">
        <v>1471</v>
      </c>
    </row>
    <row r="1318" spans="1:20">
      <c r="A1318" s="20">
        <v>202603329577408</v>
      </c>
      <c r="B1318" s="19" t="s">
        <v>20</v>
      </c>
      <c r="C1318" s="19" t="s">
        <v>21</v>
      </c>
      <c r="D1318" s="19" t="s">
        <v>20</v>
      </c>
      <c r="E1318" s="21">
        <v>46204</v>
      </c>
      <c r="F1318" s="21">
        <v>46568</v>
      </c>
      <c r="G1318" s="21"/>
      <c r="H1318" s="21">
        <v>46204</v>
      </c>
      <c r="I1318" s="21">
        <v>46568</v>
      </c>
      <c r="J1318" s="19" t="s">
        <v>2064</v>
      </c>
      <c r="L1318" s="19">
        <v>0</v>
      </c>
      <c r="M1318" s="19">
        <v>0</v>
      </c>
      <c r="N1318" s="19" t="s">
        <v>2394</v>
      </c>
      <c r="O1318" s="20">
        <v>2</v>
      </c>
      <c r="S1318" s="19" t="s">
        <v>20</v>
      </c>
      <c r="T1318" s="19" t="s">
        <v>1471</v>
      </c>
    </row>
    <row r="1319" spans="1:20">
      <c r="A1319" s="20">
        <v>202603329577408</v>
      </c>
      <c r="B1319" s="19" t="s">
        <v>20</v>
      </c>
      <c r="C1319" s="19" t="s">
        <v>21</v>
      </c>
      <c r="D1319" s="19" t="s">
        <v>20</v>
      </c>
      <c r="E1319" s="21">
        <v>46204</v>
      </c>
      <c r="F1319" s="21">
        <v>46568</v>
      </c>
      <c r="G1319" s="21"/>
      <c r="H1319" s="21">
        <v>46204</v>
      </c>
      <c r="I1319" s="21">
        <v>46568</v>
      </c>
      <c r="J1319" s="19" t="s">
        <v>2064</v>
      </c>
      <c r="L1319" s="19">
        <v>66.261260500000006</v>
      </c>
      <c r="M1319" s="19">
        <v>66.261260500000006</v>
      </c>
      <c r="N1319" s="19" t="s">
        <v>1475</v>
      </c>
      <c r="O1319" s="20">
        <v>2</v>
      </c>
      <c r="S1319" s="19" t="s">
        <v>20</v>
      </c>
      <c r="T1319" s="19" t="s">
        <v>1471</v>
      </c>
    </row>
    <row r="1320" spans="1:20">
      <c r="A1320" s="20">
        <v>202603329579800</v>
      </c>
      <c r="B1320" s="19" t="s">
        <v>20</v>
      </c>
      <c r="C1320" s="19" t="s">
        <v>21</v>
      </c>
      <c r="D1320" s="19" t="s">
        <v>20</v>
      </c>
      <c r="E1320" s="21">
        <v>46204</v>
      </c>
      <c r="F1320" s="21">
        <v>46568</v>
      </c>
      <c r="G1320" s="21"/>
      <c r="H1320" s="21">
        <v>46204</v>
      </c>
      <c r="I1320" s="21">
        <v>46568</v>
      </c>
      <c r="J1320" s="19" t="s">
        <v>2064</v>
      </c>
      <c r="L1320" s="19">
        <v>33.130630250000003</v>
      </c>
      <c r="M1320" s="19">
        <v>33.130630250000003</v>
      </c>
      <c r="N1320" s="19" t="s">
        <v>1475</v>
      </c>
      <c r="O1320" s="20">
        <v>1</v>
      </c>
      <c r="S1320" s="19" t="s">
        <v>20</v>
      </c>
      <c r="T1320" s="19" t="s">
        <v>1471</v>
      </c>
    </row>
    <row r="1321" spans="1:20">
      <c r="A1321" s="20">
        <v>202603329580168</v>
      </c>
      <c r="B1321" s="19" t="s">
        <v>20</v>
      </c>
      <c r="C1321" s="19" t="s">
        <v>21</v>
      </c>
      <c r="D1321" s="19" t="s">
        <v>20</v>
      </c>
      <c r="E1321" s="21">
        <v>46204</v>
      </c>
      <c r="F1321" s="21">
        <v>46568</v>
      </c>
      <c r="G1321" s="21"/>
      <c r="H1321" s="21">
        <v>46204</v>
      </c>
      <c r="I1321" s="21">
        <v>46568</v>
      </c>
      <c r="J1321" s="19" t="s">
        <v>2064</v>
      </c>
      <c r="L1321" s="19">
        <v>33.130630250000003</v>
      </c>
      <c r="M1321" s="19">
        <v>33.130630250000003</v>
      </c>
      <c r="N1321" s="19" t="s">
        <v>1475</v>
      </c>
      <c r="O1321" s="20">
        <v>1</v>
      </c>
      <c r="S1321" s="19" t="s">
        <v>20</v>
      </c>
      <c r="T1321" s="19" t="s">
        <v>1471</v>
      </c>
    </row>
    <row r="1322" spans="1:20">
      <c r="A1322" s="20">
        <v>202603329581792</v>
      </c>
      <c r="B1322" s="19" t="s">
        <v>20</v>
      </c>
      <c r="C1322" s="19" t="s">
        <v>21</v>
      </c>
      <c r="D1322" s="19" t="s">
        <v>20</v>
      </c>
      <c r="E1322" s="21">
        <v>46204</v>
      </c>
      <c r="F1322" s="21">
        <v>46568</v>
      </c>
      <c r="G1322" s="21"/>
      <c r="H1322" s="21">
        <v>46204</v>
      </c>
      <c r="I1322" s="21">
        <v>46568</v>
      </c>
      <c r="J1322" s="19" t="s">
        <v>2184</v>
      </c>
      <c r="L1322" s="19">
        <v>29.817561749999999</v>
      </c>
      <c r="M1322" s="19">
        <v>29.817561749999999</v>
      </c>
      <c r="N1322" s="19" t="s">
        <v>1475</v>
      </c>
      <c r="O1322" s="20">
        <v>1</v>
      </c>
      <c r="S1322" s="19" t="s">
        <v>20</v>
      </c>
      <c r="T1322" s="19" t="s">
        <v>1471</v>
      </c>
    </row>
    <row r="1323" spans="1:20">
      <c r="A1323" s="20">
        <v>202603329581947</v>
      </c>
      <c r="B1323" s="19" t="s">
        <v>20</v>
      </c>
      <c r="C1323" s="19" t="s">
        <v>21</v>
      </c>
      <c r="D1323" s="19" t="s">
        <v>20</v>
      </c>
      <c r="E1323" s="21">
        <v>46204</v>
      </c>
      <c r="F1323" s="21">
        <v>46568</v>
      </c>
      <c r="G1323" s="21"/>
      <c r="H1323" s="21">
        <v>46204</v>
      </c>
      <c r="I1323" s="21">
        <v>46568</v>
      </c>
      <c r="J1323" s="19" t="s">
        <v>2087</v>
      </c>
      <c r="L1323" s="19">
        <v>0</v>
      </c>
      <c r="M1323" s="19">
        <v>0</v>
      </c>
      <c r="N1323" s="19" t="s">
        <v>2394</v>
      </c>
      <c r="O1323" s="20">
        <v>2</v>
      </c>
      <c r="S1323" s="19" t="s">
        <v>20</v>
      </c>
      <c r="T1323" s="19" t="s">
        <v>1471</v>
      </c>
    </row>
    <row r="1324" spans="1:20">
      <c r="A1324" s="20">
        <v>202603329581947</v>
      </c>
      <c r="B1324" s="19" t="s">
        <v>20</v>
      </c>
      <c r="C1324" s="19" t="s">
        <v>21</v>
      </c>
      <c r="D1324" s="19" t="s">
        <v>20</v>
      </c>
      <c r="E1324" s="21">
        <v>46204</v>
      </c>
      <c r="F1324" s="21">
        <v>46568</v>
      </c>
      <c r="G1324" s="21"/>
      <c r="H1324" s="21">
        <v>46204</v>
      </c>
      <c r="I1324" s="21">
        <v>46568</v>
      </c>
      <c r="J1324" s="19" t="s">
        <v>2087</v>
      </c>
      <c r="L1324" s="19">
        <v>66.261260500000006</v>
      </c>
      <c r="M1324" s="19">
        <v>66.261260500000006</v>
      </c>
      <c r="N1324" s="19" t="s">
        <v>1475</v>
      </c>
      <c r="O1324" s="20">
        <v>2</v>
      </c>
      <c r="S1324" s="19" t="s">
        <v>20</v>
      </c>
      <c r="T1324" s="19" t="s">
        <v>1471</v>
      </c>
    </row>
    <row r="1325" spans="1:20">
      <c r="A1325" s="20">
        <v>202603329583669</v>
      </c>
      <c r="B1325" s="19" t="s">
        <v>20</v>
      </c>
      <c r="C1325" s="19" t="s">
        <v>21</v>
      </c>
      <c r="D1325" s="19" t="s">
        <v>20</v>
      </c>
      <c r="E1325" s="21">
        <v>46204</v>
      </c>
      <c r="F1325" s="21">
        <v>46568</v>
      </c>
      <c r="G1325" s="21"/>
      <c r="H1325" s="21">
        <v>46204</v>
      </c>
      <c r="I1325" s="21">
        <v>46568</v>
      </c>
      <c r="J1325" s="19" t="s">
        <v>2087</v>
      </c>
      <c r="L1325" s="19">
        <v>33.130630250000003</v>
      </c>
      <c r="M1325" s="19">
        <v>33.130630250000003</v>
      </c>
      <c r="N1325" s="19" t="s">
        <v>1475</v>
      </c>
      <c r="O1325" s="20">
        <v>1</v>
      </c>
      <c r="S1325" s="19" t="s">
        <v>20</v>
      </c>
      <c r="T1325" s="19" t="s">
        <v>1471</v>
      </c>
    </row>
    <row r="1326" spans="1:20">
      <c r="A1326" s="20">
        <v>202603329583800</v>
      </c>
      <c r="B1326" s="19" t="s">
        <v>20</v>
      </c>
      <c r="C1326" s="19" t="s">
        <v>21</v>
      </c>
      <c r="D1326" s="19" t="s">
        <v>20</v>
      </c>
      <c r="E1326" s="21">
        <v>46204</v>
      </c>
      <c r="F1326" s="21">
        <v>46568</v>
      </c>
      <c r="G1326" s="21"/>
      <c r="H1326" s="21">
        <v>46204</v>
      </c>
      <c r="I1326" s="21">
        <v>46568</v>
      </c>
      <c r="J1326" s="19" t="s">
        <v>2068</v>
      </c>
      <c r="L1326" s="19">
        <v>26.258683999999999</v>
      </c>
      <c r="M1326" s="19">
        <v>26.258683999999999</v>
      </c>
      <c r="N1326" s="19" t="s">
        <v>1475</v>
      </c>
      <c r="O1326" s="20">
        <v>1</v>
      </c>
      <c r="S1326" s="19" t="s">
        <v>20</v>
      </c>
      <c r="T1326" s="19" t="s">
        <v>1471</v>
      </c>
    </row>
    <row r="1327" spans="1:20">
      <c r="A1327" s="20">
        <v>202603329583968</v>
      </c>
      <c r="B1327" s="19" t="s">
        <v>20</v>
      </c>
      <c r="C1327" s="19" t="s">
        <v>21</v>
      </c>
      <c r="D1327" s="19" t="s">
        <v>20</v>
      </c>
      <c r="E1327" s="21">
        <v>46204</v>
      </c>
      <c r="F1327" s="21">
        <v>46568</v>
      </c>
      <c r="G1327" s="21"/>
      <c r="H1327" s="21">
        <v>46204</v>
      </c>
      <c r="I1327" s="21">
        <v>46568</v>
      </c>
      <c r="J1327" s="19" t="s">
        <v>2093</v>
      </c>
      <c r="L1327" s="19">
        <v>0</v>
      </c>
      <c r="M1327" s="19">
        <v>0</v>
      </c>
      <c r="N1327" s="19" t="s">
        <v>2394</v>
      </c>
      <c r="O1327" s="20">
        <v>2</v>
      </c>
      <c r="S1327" s="19" t="s">
        <v>20</v>
      </c>
      <c r="T1327" s="19" t="s">
        <v>1471</v>
      </c>
    </row>
    <row r="1328" spans="1:20">
      <c r="A1328" s="20">
        <v>202603329583968</v>
      </c>
      <c r="B1328" s="19" t="s">
        <v>20</v>
      </c>
      <c r="C1328" s="19" t="s">
        <v>21</v>
      </c>
      <c r="D1328" s="19" t="s">
        <v>20</v>
      </c>
      <c r="E1328" s="21">
        <v>46204</v>
      </c>
      <c r="F1328" s="21">
        <v>46568</v>
      </c>
      <c r="G1328" s="21"/>
      <c r="H1328" s="21">
        <v>46204</v>
      </c>
      <c r="I1328" s="21">
        <v>46568</v>
      </c>
      <c r="J1328" s="19" t="s">
        <v>2093</v>
      </c>
      <c r="L1328" s="19">
        <v>57.552068499999997</v>
      </c>
      <c r="M1328" s="19">
        <v>57.552068499999997</v>
      </c>
      <c r="N1328" s="19" t="s">
        <v>1475</v>
      </c>
      <c r="O1328" s="20">
        <v>2</v>
      </c>
      <c r="S1328" s="19" t="s">
        <v>20</v>
      </c>
      <c r="T1328" s="19" t="s">
        <v>1471</v>
      </c>
    </row>
    <row r="1329" spans="1:20">
      <c r="A1329" s="20">
        <v>202603329583969</v>
      </c>
      <c r="B1329" s="19" t="s">
        <v>20</v>
      </c>
      <c r="C1329" s="19" t="s">
        <v>21</v>
      </c>
      <c r="D1329" s="19" t="s">
        <v>20</v>
      </c>
      <c r="E1329" s="21">
        <v>46204</v>
      </c>
      <c r="F1329" s="21">
        <v>46568</v>
      </c>
      <c r="G1329" s="21"/>
      <c r="H1329" s="21">
        <v>46204</v>
      </c>
      <c r="I1329" s="21">
        <v>46568</v>
      </c>
      <c r="J1329" s="19" t="s">
        <v>2128</v>
      </c>
      <c r="L1329" s="19">
        <v>0</v>
      </c>
      <c r="M1329" s="19">
        <v>0</v>
      </c>
      <c r="N1329" s="19" t="s">
        <v>2394</v>
      </c>
      <c r="O1329" s="20">
        <v>2</v>
      </c>
      <c r="S1329" s="19" t="s">
        <v>20</v>
      </c>
      <c r="T1329" s="19" t="s">
        <v>1471</v>
      </c>
    </row>
    <row r="1330" spans="1:20">
      <c r="A1330" s="20">
        <v>202603329583969</v>
      </c>
      <c r="B1330" s="19" t="s">
        <v>20</v>
      </c>
      <c r="C1330" s="19" t="s">
        <v>21</v>
      </c>
      <c r="D1330" s="19" t="s">
        <v>20</v>
      </c>
      <c r="E1330" s="21">
        <v>46204</v>
      </c>
      <c r="F1330" s="21">
        <v>46568</v>
      </c>
      <c r="G1330" s="21"/>
      <c r="H1330" s="21">
        <v>46204</v>
      </c>
      <c r="I1330" s="21">
        <v>46568</v>
      </c>
      <c r="J1330" s="19" t="s">
        <v>2128</v>
      </c>
      <c r="L1330" s="19">
        <v>59.635123499999999</v>
      </c>
      <c r="M1330" s="19">
        <v>59.635123499999999</v>
      </c>
      <c r="N1330" s="19" t="s">
        <v>1475</v>
      </c>
      <c r="O1330" s="20">
        <v>2</v>
      </c>
      <c r="S1330" s="19" t="s">
        <v>20</v>
      </c>
      <c r="T1330" s="19" t="s">
        <v>1471</v>
      </c>
    </row>
    <row r="1331" spans="1:20">
      <c r="A1331" s="20">
        <v>202603329584219</v>
      </c>
      <c r="B1331" s="19" t="s">
        <v>20</v>
      </c>
      <c r="C1331" s="19" t="s">
        <v>21</v>
      </c>
      <c r="D1331" s="19" t="s">
        <v>20</v>
      </c>
      <c r="E1331" s="21">
        <v>46204</v>
      </c>
      <c r="F1331" s="21">
        <v>46568</v>
      </c>
      <c r="G1331" s="21"/>
      <c r="H1331" s="21">
        <v>46204</v>
      </c>
      <c r="I1331" s="21">
        <v>46568</v>
      </c>
      <c r="J1331" s="19" t="s">
        <v>2080</v>
      </c>
      <c r="L1331" s="19">
        <v>0</v>
      </c>
      <c r="M1331" s="19">
        <v>0</v>
      </c>
      <c r="N1331" s="19" t="s">
        <v>2394</v>
      </c>
      <c r="O1331" s="20">
        <v>4</v>
      </c>
      <c r="S1331" s="19" t="s">
        <v>20</v>
      </c>
      <c r="T1331" s="19" t="s">
        <v>1471</v>
      </c>
    </row>
    <row r="1332" spans="1:20">
      <c r="A1332" s="20">
        <v>202603329584219</v>
      </c>
      <c r="B1332" s="19" t="s">
        <v>20</v>
      </c>
      <c r="C1332" s="19" t="s">
        <v>21</v>
      </c>
      <c r="D1332" s="19" t="s">
        <v>20</v>
      </c>
      <c r="E1332" s="21">
        <v>46204</v>
      </c>
      <c r="F1332" s="21">
        <v>46568</v>
      </c>
      <c r="G1332" s="21"/>
      <c r="H1332" s="21">
        <v>46204</v>
      </c>
      <c r="I1332" s="21">
        <v>46568</v>
      </c>
      <c r="J1332" s="19" t="s">
        <v>2080</v>
      </c>
      <c r="L1332" s="19">
        <v>132.52252100000001</v>
      </c>
      <c r="M1332" s="19">
        <v>132.52252100000001</v>
      </c>
      <c r="N1332" s="19" t="s">
        <v>1475</v>
      </c>
      <c r="O1332" s="20">
        <v>4</v>
      </c>
      <c r="S1332" s="19" t="s">
        <v>20</v>
      </c>
      <c r="T1332" s="19" t="s">
        <v>1471</v>
      </c>
    </row>
    <row r="1333" spans="1:20">
      <c r="A1333" s="20">
        <v>202603329584260</v>
      </c>
      <c r="B1333" s="19" t="s">
        <v>20</v>
      </c>
      <c r="C1333" s="19" t="s">
        <v>21</v>
      </c>
      <c r="D1333" s="19" t="s">
        <v>20</v>
      </c>
      <c r="E1333" s="21">
        <v>46204</v>
      </c>
      <c r="F1333" s="21">
        <v>46568</v>
      </c>
      <c r="G1333" s="21"/>
      <c r="H1333" s="21">
        <v>46204</v>
      </c>
      <c r="I1333" s="21">
        <v>46568</v>
      </c>
      <c r="J1333" s="19" t="s">
        <v>2065</v>
      </c>
      <c r="L1333" s="19">
        <v>0</v>
      </c>
      <c r="M1333" s="19">
        <v>0</v>
      </c>
      <c r="N1333" s="19" t="s">
        <v>2394</v>
      </c>
      <c r="O1333" s="20">
        <v>4</v>
      </c>
      <c r="S1333" s="19" t="s">
        <v>20</v>
      </c>
      <c r="T1333" s="19" t="s">
        <v>1471</v>
      </c>
    </row>
    <row r="1334" spans="1:20">
      <c r="A1334" s="20">
        <v>202603329584260</v>
      </c>
      <c r="B1334" s="19" t="s">
        <v>20</v>
      </c>
      <c r="C1334" s="19" t="s">
        <v>21</v>
      </c>
      <c r="D1334" s="19" t="s">
        <v>20</v>
      </c>
      <c r="E1334" s="21">
        <v>46204</v>
      </c>
      <c r="F1334" s="21">
        <v>46568</v>
      </c>
      <c r="G1334" s="21"/>
      <c r="H1334" s="21">
        <v>46204</v>
      </c>
      <c r="I1334" s="21">
        <v>46568</v>
      </c>
      <c r="J1334" s="19" t="s">
        <v>2065</v>
      </c>
      <c r="L1334" s="19">
        <v>105.034736</v>
      </c>
      <c r="M1334" s="19">
        <v>105.034736</v>
      </c>
      <c r="N1334" s="19" t="s">
        <v>1475</v>
      </c>
      <c r="O1334" s="20">
        <v>4</v>
      </c>
      <c r="S1334" s="19" t="s">
        <v>20</v>
      </c>
      <c r="T1334" s="19" t="s">
        <v>1471</v>
      </c>
    </row>
    <row r="1335" spans="1:20">
      <c r="A1335" s="20">
        <v>202603329584441</v>
      </c>
      <c r="B1335" s="19" t="s">
        <v>20</v>
      </c>
      <c r="C1335" s="19" t="s">
        <v>21</v>
      </c>
      <c r="D1335" s="19" t="s">
        <v>20</v>
      </c>
      <c r="E1335" s="21">
        <v>46204</v>
      </c>
      <c r="F1335" s="21">
        <v>46568</v>
      </c>
      <c r="G1335" s="21"/>
      <c r="H1335" s="21">
        <v>46204</v>
      </c>
      <c r="I1335" s="21">
        <v>46568</v>
      </c>
      <c r="J1335" s="19" t="s">
        <v>2062</v>
      </c>
      <c r="L1335" s="19">
        <v>0</v>
      </c>
      <c r="M1335" s="19">
        <v>0</v>
      </c>
      <c r="N1335" s="19" t="s">
        <v>2394</v>
      </c>
      <c r="O1335" s="20">
        <v>7</v>
      </c>
      <c r="S1335" s="19" t="s">
        <v>20</v>
      </c>
      <c r="T1335" s="19" t="s">
        <v>1471</v>
      </c>
    </row>
    <row r="1336" spans="1:20">
      <c r="A1336" s="20">
        <v>202603329584441</v>
      </c>
      <c r="B1336" s="19" t="s">
        <v>20</v>
      </c>
      <c r="C1336" s="19" t="s">
        <v>21</v>
      </c>
      <c r="D1336" s="19" t="s">
        <v>20</v>
      </c>
      <c r="E1336" s="21">
        <v>46204</v>
      </c>
      <c r="F1336" s="21">
        <v>46568</v>
      </c>
      <c r="G1336" s="21"/>
      <c r="H1336" s="21">
        <v>46204</v>
      </c>
      <c r="I1336" s="21">
        <v>46568</v>
      </c>
      <c r="J1336" s="19" t="s">
        <v>2062</v>
      </c>
      <c r="L1336" s="19">
        <v>231.91441175</v>
      </c>
      <c r="M1336" s="19">
        <v>231.91441175</v>
      </c>
      <c r="N1336" s="19" t="s">
        <v>1475</v>
      </c>
      <c r="O1336" s="20">
        <v>7</v>
      </c>
      <c r="S1336" s="19" t="s">
        <v>20</v>
      </c>
      <c r="T1336" s="19" t="s">
        <v>1471</v>
      </c>
    </row>
    <row r="1337" spans="1:20">
      <c r="A1337" s="20">
        <v>202603329584565</v>
      </c>
      <c r="B1337" s="19" t="s">
        <v>20</v>
      </c>
      <c r="C1337" s="19" t="s">
        <v>21</v>
      </c>
      <c r="D1337" s="19" t="s">
        <v>20</v>
      </c>
      <c r="E1337" s="21">
        <v>46204</v>
      </c>
      <c r="F1337" s="21">
        <v>46568</v>
      </c>
      <c r="G1337" s="21"/>
      <c r="H1337" s="21">
        <v>46204</v>
      </c>
      <c r="I1337" s="21">
        <v>46568</v>
      </c>
      <c r="J1337" s="19" t="s">
        <v>2087</v>
      </c>
      <c r="L1337" s="19">
        <v>0</v>
      </c>
      <c r="M1337" s="19">
        <v>0</v>
      </c>
      <c r="N1337" s="19" t="s">
        <v>2394</v>
      </c>
      <c r="O1337" s="20">
        <v>3</v>
      </c>
      <c r="S1337" s="19" t="s">
        <v>20</v>
      </c>
      <c r="T1337" s="19" t="s">
        <v>1471</v>
      </c>
    </row>
    <row r="1338" spans="1:20">
      <c r="A1338" s="20">
        <v>202603329584565</v>
      </c>
      <c r="B1338" s="19" t="s">
        <v>20</v>
      </c>
      <c r="C1338" s="19" t="s">
        <v>21</v>
      </c>
      <c r="D1338" s="19" t="s">
        <v>20</v>
      </c>
      <c r="E1338" s="21">
        <v>46204</v>
      </c>
      <c r="F1338" s="21">
        <v>46568</v>
      </c>
      <c r="G1338" s="21"/>
      <c r="H1338" s="21">
        <v>46204</v>
      </c>
      <c r="I1338" s="21">
        <v>46568</v>
      </c>
      <c r="J1338" s="19" t="s">
        <v>2087</v>
      </c>
      <c r="L1338" s="19">
        <v>99.391890750000002</v>
      </c>
      <c r="M1338" s="19">
        <v>99.391890750000002</v>
      </c>
      <c r="N1338" s="19" t="s">
        <v>1475</v>
      </c>
      <c r="O1338" s="20">
        <v>3</v>
      </c>
      <c r="S1338" s="19" t="s">
        <v>20</v>
      </c>
      <c r="T1338" s="19" t="s">
        <v>1471</v>
      </c>
    </row>
    <row r="1339" spans="1:20">
      <c r="A1339" s="20">
        <v>202603329586328</v>
      </c>
      <c r="B1339" s="19" t="s">
        <v>20</v>
      </c>
      <c r="C1339" s="19" t="s">
        <v>21</v>
      </c>
      <c r="D1339" s="19" t="s">
        <v>20</v>
      </c>
      <c r="E1339" s="21">
        <v>46204</v>
      </c>
      <c r="F1339" s="21">
        <v>46568</v>
      </c>
      <c r="G1339" s="21"/>
      <c r="H1339" s="21">
        <v>46204</v>
      </c>
      <c r="I1339" s="21">
        <v>46568</v>
      </c>
      <c r="J1339" s="19" t="s">
        <v>2068</v>
      </c>
      <c r="L1339" s="19">
        <v>26.258683999999999</v>
      </c>
      <c r="M1339" s="19">
        <v>26.258683999999999</v>
      </c>
      <c r="N1339" s="19" t="s">
        <v>1475</v>
      </c>
      <c r="O1339" s="20">
        <v>1</v>
      </c>
      <c r="S1339" s="19" t="s">
        <v>20</v>
      </c>
      <c r="T1339" s="19" t="s">
        <v>1471</v>
      </c>
    </row>
    <row r="1340" spans="1:20">
      <c r="A1340" s="20">
        <v>202603329586681</v>
      </c>
      <c r="B1340" s="19" t="s">
        <v>20</v>
      </c>
      <c r="C1340" s="19" t="s">
        <v>21</v>
      </c>
      <c r="D1340" s="19" t="s">
        <v>20</v>
      </c>
      <c r="E1340" s="21">
        <v>46204</v>
      </c>
      <c r="F1340" s="21">
        <v>46568</v>
      </c>
      <c r="G1340" s="21"/>
      <c r="H1340" s="21">
        <v>46204</v>
      </c>
      <c r="I1340" s="21">
        <v>46568</v>
      </c>
      <c r="J1340" s="19" t="s">
        <v>2064</v>
      </c>
      <c r="L1340" s="19">
        <v>33.130630250000003</v>
      </c>
      <c r="M1340" s="19">
        <v>33.130630250000003</v>
      </c>
      <c r="N1340" s="19" t="s">
        <v>1475</v>
      </c>
      <c r="O1340" s="20">
        <v>1</v>
      </c>
      <c r="S1340" s="19" t="s">
        <v>20</v>
      </c>
      <c r="T1340" s="19" t="s">
        <v>1471</v>
      </c>
    </row>
    <row r="1341" spans="1:20">
      <c r="A1341" s="20">
        <v>202603329587910</v>
      </c>
      <c r="B1341" s="19" t="s">
        <v>20</v>
      </c>
      <c r="C1341" s="19" t="s">
        <v>21</v>
      </c>
      <c r="D1341" s="19" t="s">
        <v>20</v>
      </c>
      <c r="E1341" s="21">
        <v>46204</v>
      </c>
      <c r="F1341" s="21">
        <v>46568</v>
      </c>
      <c r="G1341" s="21"/>
      <c r="H1341" s="21">
        <v>46204</v>
      </c>
      <c r="I1341" s="21">
        <v>46568</v>
      </c>
      <c r="J1341" s="19" t="s">
        <v>2301</v>
      </c>
      <c r="L1341" s="19">
        <v>0</v>
      </c>
      <c r="M1341" s="19">
        <v>0</v>
      </c>
      <c r="N1341" s="19" t="s">
        <v>2394</v>
      </c>
      <c r="O1341" s="20">
        <v>6</v>
      </c>
      <c r="S1341" s="19" t="s">
        <v>20</v>
      </c>
      <c r="T1341" s="19" t="s">
        <v>1471</v>
      </c>
    </row>
    <row r="1342" spans="1:20">
      <c r="A1342" s="20">
        <v>202603329587910</v>
      </c>
      <c r="B1342" s="19" t="s">
        <v>20</v>
      </c>
      <c r="C1342" s="19" t="s">
        <v>21</v>
      </c>
      <c r="D1342" s="19" t="s">
        <v>20</v>
      </c>
      <c r="E1342" s="21">
        <v>46204</v>
      </c>
      <c r="F1342" s="21">
        <v>46568</v>
      </c>
      <c r="G1342" s="21"/>
      <c r="H1342" s="21">
        <v>46204</v>
      </c>
      <c r="I1342" s="21">
        <v>46568</v>
      </c>
      <c r="J1342" s="19" t="s">
        <v>2301</v>
      </c>
      <c r="L1342" s="19">
        <v>157.55210400000001</v>
      </c>
      <c r="M1342" s="19">
        <v>157.55210400000001</v>
      </c>
      <c r="N1342" s="19" t="s">
        <v>1475</v>
      </c>
      <c r="O1342" s="20">
        <v>6</v>
      </c>
      <c r="S1342" s="19" t="s">
        <v>20</v>
      </c>
      <c r="T1342" s="19" t="s">
        <v>1471</v>
      </c>
    </row>
    <row r="1343" spans="1:20">
      <c r="A1343" s="20">
        <v>202603329588900</v>
      </c>
      <c r="B1343" s="19" t="s">
        <v>20</v>
      </c>
      <c r="C1343" s="19" t="s">
        <v>21</v>
      </c>
      <c r="D1343" s="19" t="s">
        <v>20</v>
      </c>
      <c r="E1343" s="21">
        <v>46204</v>
      </c>
      <c r="F1343" s="21">
        <v>46568</v>
      </c>
      <c r="G1343" s="21"/>
      <c r="H1343" s="21">
        <v>46204</v>
      </c>
      <c r="I1343" s="21">
        <v>46568</v>
      </c>
      <c r="J1343" s="19" t="s">
        <v>2068</v>
      </c>
      <c r="L1343" s="19">
        <v>0</v>
      </c>
      <c r="M1343" s="19">
        <v>0</v>
      </c>
      <c r="N1343" s="19" t="s">
        <v>2394</v>
      </c>
      <c r="O1343" s="20">
        <v>5</v>
      </c>
      <c r="S1343" s="19" t="s">
        <v>20</v>
      </c>
      <c r="T1343" s="19" t="s">
        <v>1471</v>
      </c>
    </row>
    <row r="1344" spans="1:20">
      <c r="A1344" s="20">
        <v>202603329588900</v>
      </c>
      <c r="B1344" s="19" t="s">
        <v>20</v>
      </c>
      <c r="C1344" s="19" t="s">
        <v>21</v>
      </c>
      <c r="D1344" s="19" t="s">
        <v>20</v>
      </c>
      <c r="E1344" s="21">
        <v>46204</v>
      </c>
      <c r="F1344" s="21">
        <v>46568</v>
      </c>
      <c r="G1344" s="21"/>
      <c r="H1344" s="21">
        <v>46204</v>
      </c>
      <c r="I1344" s="21">
        <v>46568</v>
      </c>
      <c r="J1344" s="19" t="s">
        <v>2068</v>
      </c>
      <c r="L1344" s="19">
        <v>131.29342</v>
      </c>
      <c r="M1344" s="19">
        <v>131.29342</v>
      </c>
      <c r="N1344" s="19" t="s">
        <v>1475</v>
      </c>
      <c r="O1344" s="20">
        <v>5</v>
      </c>
      <c r="S1344" s="19" t="s">
        <v>20</v>
      </c>
      <c r="T1344" s="19" t="s">
        <v>1471</v>
      </c>
    </row>
    <row r="1345" spans="1:20">
      <c r="A1345" s="20">
        <v>202603329589795</v>
      </c>
      <c r="B1345" s="19" t="s">
        <v>20</v>
      </c>
      <c r="C1345" s="19" t="s">
        <v>21</v>
      </c>
      <c r="D1345" s="19" t="s">
        <v>20</v>
      </c>
      <c r="E1345" s="21">
        <v>46204</v>
      </c>
      <c r="F1345" s="21">
        <v>46568</v>
      </c>
      <c r="G1345" s="21"/>
      <c r="H1345" s="21">
        <v>46204</v>
      </c>
      <c r="I1345" s="21">
        <v>46568</v>
      </c>
      <c r="J1345" s="19" t="s">
        <v>2068</v>
      </c>
      <c r="L1345" s="19">
        <v>0</v>
      </c>
      <c r="M1345" s="19">
        <v>0</v>
      </c>
      <c r="N1345" s="19" t="s">
        <v>2394</v>
      </c>
      <c r="O1345" s="20">
        <v>7</v>
      </c>
      <c r="S1345" s="19" t="s">
        <v>20</v>
      </c>
      <c r="T1345" s="19" t="s">
        <v>1471</v>
      </c>
    </row>
    <row r="1346" spans="1:20">
      <c r="A1346" s="20">
        <v>202603329589795</v>
      </c>
      <c r="B1346" s="19" t="s">
        <v>20</v>
      </c>
      <c r="C1346" s="19" t="s">
        <v>21</v>
      </c>
      <c r="D1346" s="19" t="s">
        <v>20</v>
      </c>
      <c r="E1346" s="21">
        <v>46204</v>
      </c>
      <c r="F1346" s="21">
        <v>46568</v>
      </c>
      <c r="G1346" s="21"/>
      <c r="H1346" s="21">
        <v>46204</v>
      </c>
      <c r="I1346" s="21">
        <v>46568</v>
      </c>
      <c r="J1346" s="19" t="s">
        <v>2068</v>
      </c>
      <c r="L1346" s="19">
        <v>183.810788</v>
      </c>
      <c r="M1346" s="19">
        <v>183.810788</v>
      </c>
      <c r="N1346" s="19" t="s">
        <v>1475</v>
      </c>
      <c r="O1346" s="20">
        <v>7</v>
      </c>
      <c r="S1346" s="19" t="s">
        <v>20</v>
      </c>
      <c r="T1346" s="19" t="s">
        <v>1471</v>
      </c>
    </row>
    <row r="1347" spans="1:20">
      <c r="A1347" s="20">
        <v>202603329592391</v>
      </c>
      <c r="B1347" s="19" t="s">
        <v>20</v>
      </c>
      <c r="C1347" s="19" t="s">
        <v>21</v>
      </c>
      <c r="D1347" s="19" t="s">
        <v>20</v>
      </c>
      <c r="E1347" s="21">
        <v>46204</v>
      </c>
      <c r="F1347" s="21">
        <v>46568</v>
      </c>
      <c r="G1347" s="21"/>
      <c r="H1347" s="21">
        <v>46204</v>
      </c>
      <c r="I1347" s="21">
        <v>46568</v>
      </c>
      <c r="J1347" s="19" t="s">
        <v>2107</v>
      </c>
      <c r="L1347" s="19">
        <v>0</v>
      </c>
      <c r="M1347" s="19">
        <v>0</v>
      </c>
      <c r="N1347" s="19" t="s">
        <v>2394</v>
      </c>
      <c r="O1347" s="20">
        <v>4</v>
      </c>
      <c r="S1347" s="19" t="s">
        <v>20</v>
      </c>
      <c r="T1347" s="19" t="s">
        <v>1471</v>
      </c>
    </row>
    <row r="1348" spans="1:20">
      <c r="A1348" s="20">
        <v>202603329592391</v>
      </c>
      <c r="B1348" s="19" t="s">
        <v>20</v>
      </c>
      <c r="C1348" s="19" t="s">
        <v>21</v>
      </c>
      <c r="D1348" s="19" t="s">
        <v>20</v>
      </c>
      <c r="E1348" s="21">
        <v>46204</v>
      </c>
      <c r="F1348" s="21">
        <v>46568</v>
      </c>
      <c r="G1348" s="21"/>
      <c r="H1348" s="21">
        <v>46204</v>
      </c>
      <c r="I1348" s="21">
        <v>46568</v>
      </c>
      <c r="J1348" s="19" t="s">
        <v>2107</v>
      </c>
      <c r="L1348" s="19">
        <v>119.270247</v>
      </c>
      <c r="M1348" s="19">
        <v>119.270247</v>
      </c>
      <c r="N1348" s="19" t="s">
        <v>1475</v>
      </c>
      <c r="O1348" s="20">
        <v>4</v>
      </c>
      <c r="S1348" s="19" t="s">
        <v>20</v>
      </c>
      <c r="T1348" s="19" t="s">
        <v>1471</v>
      </c>
    </row>
    <row r="1349" spans="1:20">
      <c r="A1349" s="20">
        <v>202603329595220</v>
      </c>
      <c r="B1349" s="19" t="s">
        <v>20</v>
      </c>
      <c r="C1349" s="19" t="s">
        <v>21</v>
      </c>
      <c r="D1349" s="19" t="s">
        <v>20</v>
      </c>
      <c r="E1349" s="21">
        <v>46204</v>
      </c>
      <c r="F1349" s="21">
        <v>46568</v>
      </c>
      <c r="G1349" s="21"/>
      <c r="H1349" s="21">
        <v>46204</v>
      </c>
      <c r="I1349" s="21">
        <v>46568</v>
      </c>
      <c r="J1349" s="19" t="s">
        <v>2068</v>
      </c>
      <c r="L1349" s="19">
        <v>0</v>
      </c>
      <c r="M1349" s="19">
        <v>0</v>
      </c>
      <c r="N1349" s="19" t="s">
        <v>2394</v>
      </c>
      <c r="O1349" s="20">
        <v>5</v>
      </c>
      <c r="S1349" s="19" t="s">
        <v>20</v>
      </c>
      <c r="T1349" s="19" t="s">
        <v>1471</v>
      </c>
    </row>
    <row r="1350" spans="1:20">
      <c r="A1350" s="20">
        <v>202603329595220</v>
      </c>
      <c r="B1350" s="19" t="s">
        <v>20</v>
      </c>
      <c r="C1350" s="19" t="s">
        <v>21</v>
      </c>
      <c r="D1350" s="19" t="s">
        <v>20</v>
      </c>
      <c r="E1350" s="21">
        <v>46204</v>
      </c>
      <c r="F1350" s="21">
        <v>46568</v>
      </c>
      <c r="G1350" s="21"/>
      <c r="H1350" s="21">
        <v>46204</v>
      </c>
      <c r="I1350" s="21">
        <v>46568</v>
      </c>
      <c r="J1350" s="19" t="s">
        <v>2068</v>
      </c>
      <c r="L1350" s="19">
        <v>131.29342</v>
      </c>
      <c r="M1350" s="19">
        <v>131.29342</v>
      </c>
      <c r="N1350" s="19" t="s">
        <v>1475</v>
      </c>
      <c r="O1350" s="20">
        <v>5</v>
      </c>
      <c r="S1350" s="19" t="s">
        <v>20</v>
      </c>
      <c r="T1350" s="19" t="s">
        <v>1471</v>
      </c>
    </row>
    <row r="1351" spans="1:20">
      <c r="A1351" s="20">
        <v>202603329595241</v>
      </c>
      <c r="B1351" s="19" t="s">
        <v>20</v>
      </c>
      <c r="C1351" s="19" t="s">
        <v>21</v>
      </c>
      <c r="D1351" s="19" t="s">
        <v>20</v>
      </c>
      <c r="E1351" s="21">
        <v>46204</v>
      </c>
      <c r="F1351" s="21">
        <v>46568</v>
      </c>
      <c r="G1351" s="21"/>
      <c r="H1351" s="21">
        <v>46204</v>
      </c>
      <c r="I1351" s="21">
        <v>46568</v>
      </c>
      <c r="J1351" s="19" t="s">
        <v>2274</v>
      </c>
      <c r="L1351" s="19">
        <v>38.659559000000002</v>
      </c>
      <c r="M1351" s="19">
        <v>38.659559000000002</v>
      </c>
      <c r="N1351" s="19" t="s">
        <v>1475</v>
      </c>
      <c r="O1351" s="20">
        <v>1</v>
      </c>
      <c r="S1351" s="19" t="s">
        <v>20</v>
      </c>
      <c r="T1351" s="19" t="s">
        <v>1471</v>
      </c>
    </row>
    <row r="1352" spans="1:20">
      <c r="A1352" s="20">
        <v>202603329595481</v>
      </c>
      <c r="B1352" s="19" t="s">
        <v>20</v>
      </c>
      <c r="C1352" s="19" t="s">
        <v>21</v>
      </c>
      <c r="D1352" s="19" t="s">
        <v>20</v>
      </c>
      <c r="E1352" s="21">
        <v>46204</v>
      </c>
      <c r="F1352" s="21">
        <v>46568</v>
      </c>
      <c r="G1352" s="21"/>
      <c r="H1352" s="21">
        <v>46204</v>
      </c>
      <c r="I1352" s="21">
        <v>46568</v>
      </c>
      <c r="J1352" s="19" t="s">
        <v>2105</v>
      </c>
      <c r="L1352" s="19">
        <v>0</v>
      </c>
      <c r="M1352" s="19">
        <v>0</v>
      </c>
      <c r="N1352" s="19" t="s">
        <v>2394</v>
      </c>
      <c r="O1352" s="20">
        <v>2</v>
      </c>
      <c r="S1352" s="19" t="s">
        <v>20</v>
      </c>
      <c r="T1352" s="19" t="s">
        <v>1471</v>
      </c>
    </row>
    <row r="1353" spans="1:20">
      <c r="A1353" s="20">
        <v>202603329595481</v>
      </c>
      <c r="B1353" s="19" t="s">
        <v>20</v>
      </c>
      <c r="C1353" s="19" t="s">
        <v>21</v>
      </c>
      <c r="D1353" s="19" t="s">
        <v>20</v>
      </c>
      <c r="E1353" s="21">
        <v>46204</v>
      </c>
      <c r="F1353" s="21">
        <v>46568</v>
      </c>
      <c r="G1353" s="21"/>
      <c r="H1353" s="21">
        <v>46204</v>
      </c>
      <c r="I1353" s="21">
        <v>46568</v>
      </c>
      <c r="J1353" s="19" t="s">
        <v>2105</v>
      </c>
      <c r="L1353" s="19">
        <v>52.517367999999998</v>
      </c>
      <c r="M1353" s="19">
        <v>52.517367999999998</v>
      </c>
      <c r="N1353" s="19" t="s">
        <v>1475</v>
      </c>
      <c r="O1353" s="20">
        <v>2</v>
      </c>
      <c r="S1353" s="19" t="s">
        <v>20</v>
      </c>
      <c r="T1353" s="19" t="s">
        <v>1471</v>
      </c>
    </row>
    <row r="1354" spans="1:20">
      <c r="A1354" s="20">
        <v>202603329596491</v>
      </c>
      <c r="B1354" s="19" t="s">
        <v>20</v>
      </c>
      <c r="C1354" s="19" t="s">
        <v>21</v>
      </c>
      <c r="D1354" s="19" t="s">
        <v>20</v>
      </c>
      <c r="E1354" s="21">
        <v>46204</v>
      </c>
      <c r="F1354" s="21">
        <v>46568</v>
      </c>
      <c r="G1354" s="21"/>
      <c r="H1354" s="21">
        <v>46204</v>
      </c>
      <c r="I1354" s="21">
        <v>46568</v>
      </c>
      <c r="J1354" s="19" t="s">
        <v>2064</v>
      </c>
      <c r="L1354" s="19">
        <v>0</v>
      </c>
      <c r="M1354" s="19">
        <v>0</v>
      </c>
      <c r="N1354" s="19" t="s">
        <v>2394</v>
      </c>
      <c r="O1354" s="20">
        <v>3</v>
      </c>
      <c r="S1354" s="19" t="s">
        <v>20</v>
      </c>
      <c r="T1354" s="19" t="s">
        <v>1471</v>
      </c>
    </row>
    <row r="1355" spans="1:20">
      <c r="A1355" s="20">
        <v>202603329596491</v>
      </c>
      <c r="B1355" s="19" t="s">
        <v>20</v>
      </c>
      <c r="C1355" s="19" t="s">
        <v>21</v>
      </c>
      <c r="D1355" s="19" t="s">
        <v>20</v>
      </c>
      <c r="E1355" s="21">
        <v>46204</v>
      </c>
      <c r="F1355" s="21">
        <v>46568</v>
      </c>
      <c r="G1355" s="21"/>
      <c r="H1355" s="21">
        <v>46204</v>
      </c>
      <c r="I1355" s="21">
        <v>46568</v>
      </c>
      <c r="J1355" s="19" t="s">
        <v>2064</v>
      </c>
      <c r="L1355" s="19">
        <v>99.391890750000002</v>
      </c>
      <c r="M1355" s="19">
        <v>99.391890750000002</v>
      </c>
      <c r="N1355" s="19" t="s">
        <v>1475</v>
      </c>
      <c r="O1355" s="20">
        <v>3</v>
      </c>
      <c r="S1355" s="19" t="s">
        <v>20</v>
      </c>
      <c r="T1355" s="19" t="s">
        <v>1471</v>
      </c>
    </row>
    <row r="1356" spans="1:20">
      <c r="A1356" s="20">
        <v>202603329596616</v>
      </c>
      <c r="B1356" s="19" t="s">
        <v>20</v>
      </c>
      <c r="C1356" s="19" t="s">
        <v>21</v>
      </c>
      <c r="D1356" s="19" t="s">
        <v>20</v>
      </c>
      <c r="E1356" s="21">
        <v>46204</v>
      </c>
      <c r="F1356" s="21">
        <v>46568</v>
      </c>
      <c r="G1356" s="21"/>
      <c r="H1356" s="21">
        <v>46204</v>
      </c>
      <c r="I1356" s="21">
        <v>46568</v>
      </c>
      <c r="J1356" s="19" t="s">
        <v>2218</v>
      </c>
      <c r="L1356" s="19">
        <v>0</v>
      </c>
      <c r="M1356" s="19">
        <v>0</v>
      </c>
      <c r="N1356" s="19" t="s">
        <v>2394</v>
      </c>
      <c r="O1356" s="20">
        <v>3</v>
      </c>
      <c r="S1356" s="19" t="s">
        <v>20</v>
      </c>
      <c r="T1356" s="19" t="s">
        <v>1471</v>
      </c>
    </row>
    <row r="1357" spans="1:20">
      <c r="A1357" s="20">
        <v>202603329596616</v>
      </c>
      <c r="B1357" s="19" t="s">
        <v>20</v>
      </c>
      <c r="C1357" s="19" t="s">
        <v>21</v>
      </c>
      <c r="D1357" s="19" t="s">
        <v>20</v>
      </c>
      <c r="E1357" s="21">
        <v>46204</v>
      </c>
      <c r="F1357" s="21">
        <v>46568</v>
      </c>
      <c r="G1357" s="21"/>
      <c r="H1357" s="21">
        <v>46204</v>
      </c>
      <c r="I1357" s="21">
        <v>46568</v>
      </c>
      <c r="J1357" s="19" t="s">
        <v>2218</v>
      </c>
      <c r="L1357" s="19">
        <v>99.391890750000002</v>
      </c>
      <c r="M1357" s="19">
        <v>99.391890750000002</v>
      </c>
      <c r="N1357" s="19" t="s">
        <v>1475</v>
      </c>
      <c r="O1357" s="20">
        <v>3</v>
      </c>
      <c r="S1357" s="19" t="s">
        <v>20</v>
      </c>
      <c r="T1357" s="19" t="s">
        <v>1471</v>
      </c>
    </row>
    <row r="1358" spans="1:20">
      <c r="A1358" s="20">
        <v>202603329599178</v>
      </c>
      <c r="B1358" s="19" t="s">
        <v>20</v>
      </c>
      <c r="C1358" s="19" t="s">
        <v>21</v>
      </c>
      <c r="D1358" s="19" t="s">
        <v>20</v>
      </c>
      <c r="E1358" s="21">
        <v>46204</v>
      </c>
      <c r="F1358" s="21">
        <v>46568</v>
      </c>
      <c r="G1358" s="21"/>
      <c r="H1358" s="21">
        <v>46204</v>
      </c>
      <c r="I1358" s="21">
        <v>46568</v>
      </c>
      <c r="J1358" s="19" t="s">
        <v>2193</v>
      </c>
      <c r="L1358" s="19">
        <v>29.817561749999999</v>
      </c>
      <c r="M1358" s="19">
        <v>29.817561749999999</v>
      </c>
      <c r="N1358" s="19" t="s">
        <v>1475</v>
      </c>
      <c r="O1358" s="20">
        <v>1</v>
      </c>
      <c r="S1358" s="19" t="s">
        <v>20</v>
      </c>
      <c r="T1358" s="19" t="s">
        <v>1471</v>
      </c>
    </row>
    <row r="1359" spans="1:20">
      <c r="A1359" s="20">
        <v>202603329599268</v>
      </c>
      <c r="B1359" s="19" t="s">
        <v>20</v>
      </c>
      <c r="C1359" s="19" t="s">
        <v>21</v>
      </c>
      <c r="D1359" s="19" t="s">
        <v>2302</v>
      </c>
      <c r="E1359" s="21">
        <v>46204</v>
      </c>
      <c r="F1359" s="21">
        <v>46568</v>
      </c>
      <c r="G1359" s="21"/>
      <c r="H1359" s="21">
        <v>46204</v>
      </c>
      <c r="I1359" s="21">
        <v>46568</v>
      </c>
      <c r="J1359" s="19" t="s">
        <v>2115</v>
      </c>
      <c r="L1359" s="19">
        <v>12.743409249999999</v>
      </c>
      <c r="M1359" s="19">
        <v>12.743409249999999</v>
      </c>
      <c r="N1359" s="19" t="s">
        <v>1467</v>
      </c>
      <c r="O1359" s="20">
        <v>1</v>
      </c>
      <c r="S1359" s="19" t="s">
        <v>20</v>
      </c>
      <c r="T1359" s="19" t="s">
        <v>1471</v>
      </c>
    </row>
    <row r="1360" spans="1:20">
      <c r="A1360" s="20">
        <v>202603329600540</v>
      </c>
      <c r="B1360" s="19" t="s">
        <v>20</v>
      </c>
      <c r="C1360" s="19" t="s">
        <v>21</v>
      </c>
      <c r="D1360" s="19" t="s">
        <v>20</v>
      </c>
      <c r="E1360" s="21">
        <v>46204</v>
      </c>
      <c r="F1360" s="21">
        <v>46568</v>
      </c>
      <c r="G1360" s="21"/>
      <c r="H1360" s="21">
        <v>46204</v>
      </c>
      <c r="I1360" s="21">
        <v>46568</v>
      </c>
      <c r="J1360" s="19" t="s">
        <v>2065</v>
      </c>
      <c r="L1360" s="19">
        <v>26.258683999999999</v>
      </c>
      <c r="M1360" s="19">
        <v>26.258683999999999</v>
      </c>
      <c r="N1360" s="19" t="s">
        <v>1475</v>
      </c>
      <c r="O1360" s="20">
        <v>1</v>
      </c>
      <c r="S1360" s="19" t="s">
        <v>20</v>
      </c>
      <c r="T1360" s="19" t="s">
        <v>1471</v>
      </c>
    </row>
    <row r="1361" spans="1:20">
      <c r="A1361" s="20">
        <v>202603329603153</v>
      </c>
      <c r="B1361" s="19" t="s">
        <v>20</v>
      </c>
      <c r="C1361" s="19" t="s">
        <v>21</v>
      </c>
      <c r="D1361" s="19" t="s">
        <v>20</v>
      </c>
      <c r="E1361" s="21">
        <v>46204</v>
      </c>
      <c r="F1361" s="21">
        <v>46568</v>
      </c>
      <c r="G1361" s="21"/>
      <c r="H1361" s="21">
        <v>46204</v>
      </c>
      <c r="I1361" s="21">
        <v>46568</v>
      </c>
      <c r="J1361" s="19" t="s">
        <v>2064</v>
      </c>
      <c r="L1361" s="19">
        <v>0</v>
      </c>
      <c r="M1361" s="19">
        <v>0</v>
      </c>
      <c r="N1361" s="19" t="s">
        <v>2394</v>
      </c>
      <c r="O1361" s="20">
        <v>2</v>
      </c>
      <c r="S1361" s="19" t="s">
        <v>20</v>
      </c>
      <c r="T1361" s="19" t="s">
        <v>1471</v>
      </c>
    </row>
    <row r="1362" spans="1:20">
      <c r="A1362" s="20">
        <v>202603329603153</v>
      </c>
      <c r="B1362" s="19" t="s">
        <v>20</v>
      </c>
      <c r="C1362" s="19" t="s">
        <v>21</v>
      </c>
      <c r="D1362" s="19" t="s">
        <v>20</v>
      </c>
      <c r="E1362" s="21">
        <v>46204</v>
      </c>
      <c r="F1362" s="21">
        <v>46568</v>
      </c>
      <c r="G1362" s="21"/>
      <c r="H1362" s="21">
        <v>46204</v>
      </c>
      <c r="I1362" s="21">
        <v>46568</v>
      </c>
      <c r="J1362" s="19" t="s">
        <v>2064</v>
      </c>
      <c r="L1362" s="19">
        <v>66.261260500000006</v>
      </c>
      <c r="M1362" s="19">
        <v>66.261260500000006</v>
      </c>
      <c r="N1362" s="19" t="s">
        <v>1475</v>
      </c>
      <c r="O1362" s="20">
        <v>2</v>
      </c>
      <c r="S1362" s="19" t="s">
        <v>20</v>
      </c>
      <c r="T1362" s="19" t="s">
        <v>1471</v>
      </c>
    </row>
    <row r="1363" spans="1:20">
      <c r="A1363" s="20">
        <v>202603329603617</v>
      </c>
      <c r="B1363" s="19" t="s">
        <v>20</v>
      </c>
      <c r="C1363" s="19" t="s">
        <v>21</v>
      </c>
      <c r="D1363" s="19" t="s">
        <v>20</v>
      </c>
      <c r="E1363" s="21">
        <v>46204</v>
      </c>
      <c r="F1363" s="21">
        <v>46568</v>
      </c>
      <c r="G1363" s="21"/>
      <c r="H1363" s="21">
        <v>46204</v>
      </c>
      <c r="I1363" s="21">
        <v>46568</v>
      </c>
      <c r="J1363" s="19" t="s">
        <v>2073</v>
      </c>
      <c r="L1363" s="19">
        <v>0</v>
      </c>
      <c r="M1363" s="19">
        <v>0</v>
      </c>
      <c r="N1363" s="19" t="s">
        <v>2394</v>
      </c>
      <c r="O1363" s="20">
        <v>2</v>
      </c>
      <c r="S1363" s="19" t="s">
        <v>20</v>
      </c>
      <c r="T1363" s="19" t="s">
        <v>1471</v>
      </c>
    </row>
    <row r="1364" spans="1:20">
      <c r="A1364" s="20">
        <v>202603329603617</v>
      </c>
      <c r="B1364" s="19" t="s">
        <v>20</v>
      </c>
      <c r="C1364" s="19" t="s">
        <v>21</v>
      </c>
      <c r="D1364" s="19" t="s">
        <v>2303</v>
      </c>
      <c r="E1364" s="21">
        <v>46204</v>
      </c>
      <c r="F1364" s="21">
        <v>46568</v>
      </c>
      <c r="G1364" s="21"/>
      <c r="H1364" s="21">
        <v>46204</v>
      </c>
      <c r="I1364" s="21">
        <v>46568</v>
      </c>
      <c r="J1364" s="19" t="s">
        <v>2073</v>
      </c>
      <c r="L1364" s="19">
        <v>52.517367999999998</v>
      </c>
      <c r="M1364" s="19">
        <v>52.517367999999998</v>
      </c>
      <c r="N1364" s="19" t="s">
        <v>1467</v>
      </c>
      <c r="O1364" s="20">
        <v>2</v>
      </c>
      <c r="S1364" s="19" t="s">
        <v>20</v>
      </c>
      <c r="T1364" s="19" t="s">
        <v>1471</v>
      </c>
    </row>
    <row r="1365" spans="1:20">
      <c r="A1365" s="20">
        <v>202603329604074</v>
      </c>
      <c r="B1365" s="19" t="s">
        <v>20</v>
      </c>
      <c r="C1365" s="19" t="s">
        <v>21</v>
      </c>
      <c r="D1365" s="19" t="s">
        <v>20</v>
      </c>
      <c r="E1365" s="21">
        <v>46204</v>
      </c>
      <c r="F1365" s="21">
        <v>46568</v>
      </c>
      <c r="G1365" s="21"/>
      <c r="H1365" s="21">
        <v>46204</v>
      </c>
      <c r="I1365" s="21">
        <v>46568</v>
      </c>
      <c r="J1365" s="19" t="s">
        <v>2103</v>
      </c>
      <c r="L1365" s="19">
        <v>23.968290750000001</v>
      </c>
      <c r="M1365" s="19">
        <v>23.968290750000001</v>
      </c>
      <c r="N1365" s="19" t="s">
        <v>1475</v>
      </c>
      <c r="O1365" s="20">
        <v>1</v>
      </c>
      <c r="S1365" s="19" t="s">
        <v>20</v>
      </c>
      <c r="T1365" s="19" t="s">
        <v>1471</v>
      </c>
    </row>
    <row r="1366" spans="1:20">
      <c r="A1366" s="20">
        <v>202603329604520</v>
      </c>
      <c r="B1366" s="19" t="s">
        <v>20</v>
      </c>
      <c r="C1366" s="19" t="s">
        <v>21</v>
      </c>
      <c r="D1366" s="19" t="s">
        <v>20</v>
      </c>
      <c r="E1366" s="21">
        <v>46204</v>
      </c>
      <c r="F1366" s="21">
        <v>46568</v>
      </c>
      <c r="G1366" s="21"/>
      <c r="H1366" s="21">
        <v>46204</v>
      </c>
      <c r="I1366" s="21">
        <v>46568</v>
      </c>
      <c r="J1366" s="19" t="s">
        <v>2274</v>
      </c>
      <c r="L1366" s="19">
        <v>38.659559000000002</v>
      </c>
      <c r="M1366" s="19">
        <v>38.659559000000002</v>
      </c>
      <c r="N1366" s="19" t="s">
        <v>1475</v>
      </c>
      <c r="O1366" s="20">
        <v>1</v>
      </c>
      <c r="S1366" s="19" t="s">
        <v>20</v>
      </c>
      <c r="T1366" s="19" t="s">
        <v>1471</v>
      </c>
    </row>
    <row r="1367" spans="1:20">
      <c r="A1367" s="20">
        <v>202603329607242</v>
      </c>
      <c r="B1367" s="19" t="s">
        <v>20</v>
      </c>
      <c r="C1367" s="19" t="s">
        <v>21</v>
      </c>
      <c r="D1367" s="19" t="s">
        <v>20</v>
      </c>
      <c r="E1367" s="21">
        <v>46204</v>
      </c>
      <c r="F1367" s="21">
        <v>46568</v>
      </c>
      <c r="G1367" s="21"/>
      <c r="H1367" s="21">
        <v>46204</v>
      </c>
      <c r="I1367" s="21">
        <v>46568</v>
      </c>
      <c r="J1367" s="19" t="s">
        <v>2093</v>
      </c>
      <c r="L1367" s="19">
        <v>0</v>
      </c>
      <c r="M1367" s="19">
        <v>0</v>
      </c>
      <c r="N1367" s="19" t="s">
        <v>2394</v>
      </c>
      <c r="O1367" s="20">
        <v>3</v>
      </c>
      <c r="S1367" s="19" t="s">
        <v>20</v>
      </c>
      <c r="T1367" s="19" t="s">
        <v>1471</v>
      </c>
    </row>
    <row r="1368" spans="1:20">
      <c r="A1368" s="20">
        <v>202603329607242</v>
      </c>
      <c r="B1368" s="19" t="s">
        <v>20</v>
      </c>
      <c r="C1368" s="19" t="s">
        <v>21</v>
      </c>
      <c r="D1368" s="19" t="s">
        <v>20</v>
      </c>
      <c r="E1368" s="21">
        <v>46204</v>
      </c>
      <c r="F1368" s="21">
        <v>46568</v>
      </c>
      <c r="G1368" s="21"/>
      <c r="H1368" s="21">
        <v>46204</v>
      </c>
      <c r="I1368" s="21">
        <v>46568</v>
      </c>
      <c r="J1368" s="19" t="s">
        <v>2093</v>
      </c>
      <c r="L1368" s="19">
        <v>86.328102749999999</v>
      </c>
      <c r="M1368" s="19">
        <v>86.328102749999999</v>
      </c>
      <c r="N1368" s="19" t="s">
        <v>1475</v>
      </c>
      <c r="O1368" s="20">
        <v>3</v>
      </c>
      <c r="S1368" s="19" t="s">
        <v>20</v>
      </c>
      <c r="T1368" s="19" t="s">
        <v>1471</v>
      </c>
    </row>
    <row r="1369" spans="1:20">
      <c r="A1369" s="20">
        <v>202603329608093</v>
      </c>
      <c r="B1369" s="19" t="s">
        <v>20</v>
      </c>
      <c r="C1369" s="19" t="s">
        <v>21</v>
      </c>
      <c r="D1369" s="19" t="s">
        <v>20</v>
      </c>
      <c r="E1369" s="21">
        <v>46204</v>
      </c>
      <c r="F1369" s="21">
        <v>46568</v>
      </c>
      <c r="G1369" s="21"/>
      <c r="H1369" s="21">
        <v>46204</v>
      </c>
      <c r="I1369" s="21">
        <v>46568</v>
      </c>
      <c r="J1369" s="19" t="s">
        <v>2118</v>
      </c>
      <c r="L1369" s="19">
        <v>33.130630250000003</v>
      </c>
      <c r="M1369" s="19">
        <v>33.130630250000003</v>
      </c>
      <c r="N1369" s="19" t="s">
        <v>1475</v>
      </c>
      <c r="O1369" s="20">
        <v>1</v>
      </c>
      <c r="S1369" s="19" t="s">
        <v>20</v>
      </c>
      <c r="T1369" s="19" t="s">
        <v>1471</v>
      </c>
    </row>
    <row r="1370" spans="1:20">
      <c r="A1370" s="20">
        <v>202603329609238</v>
      </c>
      <c r="B1370" s="19" t="s">
        <v>20</v>
      </c>
      <c r="C1370" s="19" t="s">
        <v>21</v>
      </c>
      <c r="D1370" s="19" t="s">
        <v>20</v>
      </c>
      <c r="E1370" s="21">
        <v>46204</v>
      </c>
      <c r="F1370" s="21">
        <v>46568</v>
      </c>
      <c r="G1370" s="21"/>
      <c r="H1370" s="21">
        <v>46204</v>
      </c>
      <c r="I1370" s="21">
        <v>46568</v>
      </c>
      <c r="J1370" s="19" t="s">
        <v>2092</v>
      </c>
      <c r="L1370" s="19">
        <v>0</v>
      </c>
      <c r="M1370" s="19">
        <v>0</v>
      </c>
      <c r="N1370" s="19" t="s">
        <v>2394</v>
      </c>
      <c r="O1370" s="20">
        <v>2</v>
      </c>
      <c r="S1370" s="19" t="s">
        <v>20</v>
      </c>
      <c r="T1370" s="19" t="s">
        <v>1471</v>
      </c>
    </row>
    <row r="1371" spans="1:20">
      <c r="A1371" s="20">
        <v>202603329609238</v>
      </c>
      <c r="B1371" s="19" t="s">
        <v>20</v>
      </c>
      <c r="C1371" s="19" t="s">
        <v>21</v>
      </c>
      <c r="D1371" s="19" t="s">
        <v>2304</v>
      </c>
      <c r="E1371" s="21">
        <v>46204</v>
      </c>
      <c r="F1371" s="21">
        <v>46568</v>
      </c>
      <c r="G1371" s="21"/>
      <c r="H1371" s="21">
        <v>46204</v>
      </c>
      <c r="I1371" s="21">
        <v>46568</v>
      </c>
      <c r="J1371" s="19" t="s">
        <v>2092</v>
      </c>
      <c r="L1371" s="19">
        <v>77.319118000000003</v>
      </c>
      <c r="M1371" s="19">
        <v>77.319118000000003</v>
      </c>
      <c r="N1371" s="19" t="s">
        <v>1467</v>
      </c>
      <c r="O1371" s="20">
        <v>2</v>
      </c>
      <c r="S1371" s="19" t="s">
        <v>20</v>
      </c>
      <c r="T1371" s="19" t="s">
        <v>1471</v>
      </c>
    </row>
    <row r="1372" spans="1:20">
      <c r="A1372" s="20">
        <v>202603329609255</v>
      </c>
      <c r="B1372" s="19" t="s">
        <v>20</v>
      </c>
      <c r="C1372" s="19" t="s">
        <v>21</v>
      </c>
      <c r="D1372" s="19" t="s">
        <v>20</v>
      </c>
      <c r="E1372" s="21">
        <v>46204</v>
      </c>
      <c r="F1372" s="21">
        <v>46568</v>
      </c>
      <c r="G1372" s="21"/>
      <c r="H1372" s="21">
        <v>46204</v>
      </c>
      <c r="I1372" s="21">
        <v>46568</v>
      </c>
      <c r="J1372" s="19" t="s">
        <v>2065</v>
      </c>
      <c r="L1372" s="19">
        <v>0</v>
      </c>
      <c r="M1372" s="19">
        <v>0</v>
      </c>
      <c r="N1372" s="19" t="s">
        <v>2394</v>
      </c>
      <c r="O1372" s="20">
        <v>5</v>
      </c>
      <c r="S1372" s="19" t="s">
        <v>20</v>
      </c>
      <c r="T1372" s="19" t="s">
        <v>1471</v>
      </c>
    </row>
    <row r="1373" spans="1:20">
      <c r="A1373" s="20">
        <v>202603329609255</v>
      </c>
      <c r="B1373" s="19" t="s">
        <v>20</v>
      </c>
      <c r="C1373" s="19" t="s">
        <v>21</v>
      </c>
      <c r="D1373" s="19" t="s">
        <v>20</v>
      </c>
      <c r="E1373" s="21">
        <v>46204</v>
      </c>
      <c r="F1373" s="21">
        <v>46568</v>
      </c>
      <c r="G1373" s="21"/>
      <c r="H1373" s="21">
        <v>46204</v>
      </c>
      <c r="I1373" s="21">
        <v>46568</v>
      </c>
      <c r="J1373" s="19" t="s">
        <v>2065</v>
      </c>
      <c r="L1373" s="19">
        <v>131.29342</v>
      </c>
      <c r="M1373" s="19">
        <v>131.29342</v>
      </c>
      <c r="N1373" s="19" t="s">
        <v>1475</v>
      </c>
      <c r="O1373" s="20">
        <v>5</v>
      </c>
      <c r="S1373" s="19" t="s">
        <v>20</v>
      </c>
      <c r="T1373" s="19" t="s">
        <v>1471</v>
      </c>
    </row>
    <row r="1374" spans="1:20">
      <c r="A1374" s="20">
        <v>202603329609326</v>
      </c>
      <c r="B1374" s="19" t="s">
        <v>20</v>
      </c>
      <c r="C1374" s="19" t="s">
        <v>21</v>
      </c>
      <c r="D1374" s="19" t="s">
        <v>20</v>
      </c>
      <c r="E1374" s="21">
        <v>46204</v>
      </c>
      <c r="F1374" s="21">
        <v>46568</v>
      </c>
      <c r="G1374" s="21"/>
      <c r="H1374" s="21">
        <v>46204</v>
      </c>
      <c r="I1374" s="21">
        <v>46568</v>
      </c>
      <c r="J1374" s="19" t="s">
        <v>2064</v>
      </c>
      <c r="L1374" s="19">
        <v>33.130630250000003</v>
      </c>
      <c r="M1374" s="19">
        <v>33.130630250000003</v>
      </c>
      <c r="N1374" s="19" t="s">
        <v>1475</v>
      </c>
      <c r="O1374" s="20">
        <v>1</v>
      </c>
      <c r="S1374" s="19" t="s">
        <v>20</v>
      </c>
      <c r="T1374" s="19" t="s">
        <v>1471</v>
      </c>
    </row>
    <row r="1375" spans="1:20">
      <c r="A1375" s="20">
        <v>202603329609640</v>
      </c>
      <c r="B1375" s="19" t="s">
        <v>20</v>
      </c>
      <c r="C1375" s="19" t="s">
        <v>21</v>
      </c>
      <c r="D1375" s="19" t="s">
        <v>20</v>
      </c>
      <c r="E1375" s="21">
        <v>46204</v>
      </c>
      <c r="F1375" s="21">
        <v>46568</v>
      </c>
      <c r="G1375" s="21"/>
      <c r="H1375" s="21">
        <v>46204</v>
      </c>
      <c r="I1375" s="21">
        <v>46568</v>
      </c>
      <c r="J1375" s="19" t="s">
        <v>2155</v>
      </c>
      <c r="L1375" s="19">
        <v>0</v>
      </c>
      <c r="M1375" s="19">
        <v>0</v>
      </c>
      <c r="N1375" s="19" t="s">
        <v>2394</v>
      </c>
      <c r="O1375" s="20">
        <v>4</v>
      </c>
      <c r="S1375" s="19" t="s">
        <v>20</v>
      </c>
      <c r="T1375" s="19" t="s">
        <v>1471</v>
      </c>
    </row>
    <row r="1376" spans="1:20">
      <c r="A1376" s="20">
        <v>202603329609640</v>
      </c>
      <c r="B1376" s="19" t="s">
        <v>20</v>
      </c>
      <c r="C1376" s="19" t="s">
        <v>21</v>
      </c>
      <c r="D1376" s="19" t="s">
        <v>20</v>
      </c>
      <c r="E1376" s="21">
        <v>46204</v>
      </c>
      <c r="F1376" s="21">
        <v>46568</v>
      </c>
      <c r="G1376" s="21"/>
      <c r="H1376" s="21">
        <v>46204</v>
      </c>
      <c r="I1376" s="21">
        <v>46568</v>
      </c>
      <c r="J1376" s="19" t="s">
        <v>2155</v>
      </c>
      <c r="L1376" s="19">
        <v>132.52252100000001</v>
      </c>
      <c r="M1376" s="19">
        <v>132.52252100000001</v>
      </c>
      <c r="N1376" s="19" t="s">
        <v>1475</v>
      </c>
      <c r="O1376" s="20">
        <v>4</v>
      </c>
      <c r="S1376" s="19" t="s">
        <v>20</v>
      </c>
      <c r="T1376" s="19" t="s">
        <v>1471</v>
      </c>
    </row>
    <row r="1377" spans="1:20">
      <c r="A1377" s="20">
        <v>202603329610188</v>
      </c>
      <c r="B1377" s="19" t="s">
        <v>20</v>
      </c>
      <c r="C1377" s="19" t="s">
        <v>21</v>
      </c>
      <c r="D1377" s="19" t="s">
        <v>20</v>
      </c>
      <c r="E1377" s="21">
        <v>46204</v>
      </c>
      <c r="F1377" s="21">
        <v>46568</v>
      </c>
      <c r="G1377" s="21"/>
      <c r="H1377" s="21">
        <v>46204</v>
      </c>
      <c r="I1377" s="21">
        <v>46568</v>
      </c>
      <c r="J1377" s="19" t="s">
        <v>2114</v>
      </c>
      <c r="L1377" s="19">
        <v>0</v>
      </c>
      <c r="M1377" s="19">
        <v>0</v>
      </c>
      <c r="N1377" s="19" t="s">
        <v>2394</v>
      </c>
      <c r="O1377" s="20">
        <v>2</v>
      </c>
      <c r="S1377" s="19" t="s">
        <v>20</v>
      </c>
      <c r="T1377" s="19" t="s">
        <v>1471</v>
      </c>
    </row>
    <row r="1378" spans="1:20">
      <c r="A1378" s="20">
        <v>202603329610188</v>
      </c>
      <c r="B1378" s="19" t="s">
        <v>20</v>
      </c>
      <c r="C1378" s="19" t="s">
        <v>21</v>
      </c>
      <c r="D1378" s="19" t="s">
        <v>20</v>
      </c>
      <c r="E1378" s="21">
        <v>46204</v>
      </c>
      <c r="F1378" s="21">
        <v>46568</v>
      </c>
      <c r="G1378" s="21"/>
      <c r="H1378" s="21">
        <v>46204</v>
      </c>
      <c r="I1378" s="21">
        <v>46568</v>
      </c>
      <c r="J1378" s="19" t="s">
        <v>2114</v>
      </c>
      <c r="L1378" s="19">
        <v>66.261260500000006</v>
      </c>
      <c r="M1378" s="19">
        <v>66.261260500000006</v>
      </c>
      <c r="N1378" s="19" t="s">
        <v>1475</v>
      </c>
      <c r="O1378" s="20">
        <v>2</v>
      </c>
      <c r="S1378" s="19" t="s">
        <v>20</v>
      </c>
      <c r="T1378" s="19" t="s">
        <v>1471</v>
      </c>
    </row>
    <row r="1379" spans="1:20">
      <c r="A1379" s="20">
        <v>202603329611826</v>
      </c>
      <c r="B1379" s="19" t="s">
        <v>20</v>
      </c>
      <c r="C1379" s="19" t="s">
        <v>21</v>
      </c>
      <c r="D1379" s="19" t="s">
        <v>20</v>
      </c>
      <c r="E1379" s="21">
        <v>46204</v>
      </c>
      <c r="F1379" s="21">
        <v>46568</v>
      </c>
      <c r="G1379" s="21"/>
      <c r="H1379" s="21">
        <v>46204</v>
      </c>
      <c r="I1379" s="21">
        <v>46568</v>
      </c>
      <c r="J1379" s="19" t="s">
        <v>2087</v>
      </c>
      <c r="L1379" s="19">
        <v>66.261260500000006</v>
      </c>
      <c r="M1379" s="19">
        <v>66.261260500000006</v>
      </c>
      <c r="N1379" s="19" t="s">
        <v>1475</v>
      </c>
      <c r="O1379" s="20">
        <v>2</v>
      </c>
      <c r="S1379" s="19" t="s">
        <v>20</v>
      </c>
      <c r="T1379" s="19" t="s">
        <v>1471</v>
      </c>
    </row>
    <row r="1380" spans="1:20">
      <c r="A1380" s="20">
        <v>202603329611991</v>
      </c>
      <c r="B1380" s="19" t="s">
        <v>20</v>
      </c>
      <c r="C1380" s="19" t="s">
        <v>21</v>
      </c>
      <c r="D1380" s="19" t="s">
        <v>20</v>
      </c>
      <c r="E1380" s="21">
        <v>46204</v>
      </c>
      <c r="F1380" s="21">
        <v>46568</v>
      </c>
      <c r="G1380" s="21"/>
      <c r="H1380" s="21">
        <v>46204</v>
      </c>
      <c r="I1380" s="21">
        <v>46568</v>
      </c>
      <c r="J1380" s="19" t="s">
        <v>2305</v>
      </c>
      <c r="L1380" s="19">
        <v>23.968290750000001</v>
      </c>
      <c r="M1380" s="19">
        <v>23.968290750000001</v>
      </c>
      <c r="N1380" s="19" t="s">
        <v>1475</v>
      </c>
      <c r="O1380" s="20">
        <v>1</v>
      </c>
      <c r="S1380" s="19" t="s">
        <v>20</v>
      </c>
      <c r="T1380" s="19" t="s">
        <v>1471</v>
      </c>
    </row>
    <row r="1381" spans="1:20">
      <c r="A1381" s="20">
        <v>202603329612436</v>
      </c>
      <c r="B1381" s="19" t="s">
        <v>20</v>
      </c>
      <c r="C1381" s="19" t="s">
        <v>21</v>
      </c>
      <c r="D1381" s="19" t="s">
        <v>20</v>
      </c>
      <c r="E1381" s="21">
        <v>46204</v>
      </c>
      <c r="F1381" s="21">
        <v>46568</v>
      </c>
      <c r="G1381" s="21"/>
      <c r="H1381" s="21">
        <v>46204</v>
      </c>
      <c r="I1381" s="21">
        <v>46568</v>
      </c>
      <c r="J1381" s="19" t="s">
        <v>2089</v>
      </c>
      <c r="L1381" s="19">
        <v>23.968290750000001</v>
      </c>
      <c r="M1381" s="19">
        <v>23.968290750000001</v>
      </c>
      <c r="N1381" s="19" t="s">
        <v>1475</v>
      </c>
      <c r="O1381" s="20">
        <v>1</v>
      </c>
      <c r="S1381" s="19" t="s">
        <v>20</v>
      </c>
      <c r="T1381" s="19" t="s">
        <v>1471</v>
      </c>
    </row>
    <row r="1382" spans="1:20">
      <c r="A1382" s="20">
        <v>202603329612650</v>
      </c>
      <c r="B1382" s="19" t="s">
        <v>20</v>
      </c>
      <c r="C1382" s="19" t="s">
        <v>21</v>
      </c>
      <c r="D1382" s="19" t="s">
        <v>2306</v>
      </c>
      <c r="E1382" s="21">
        <v>46204</v>
      </c>
      <c r="F1382" s="21">
        <v>46568</v>
      </c>
      <c r="G1382" s="21"/>
      <c r="H1382" s="21">
        <v>46204</v>
      </c>
      <c r="I1382" s="21">
        <v>46568</v>
      </c>
      <c r="J1382" s="19" t="s">
        <v>2115</v>
      </c>
      <c r="L1382" s="19">
        <v>38.230227749999997</v>
      </c>
      <c r="M1382" s="19">
        <v>38.230227749999997</v>
      </c>
      <c r="N1382" s="19" t="s">
        <v>1467</v>
      </c>
      <c r="O1382" s="20">
        <v>3</v>
      </c>
      <c r="S1382" s="19" t="s">
        <v>20</v>
      </c>
      <c r="T1382" s="19" t="s">
        <v>1471</v>
      </c>
    </row>
    <row r="1383" spans="1:20">
      <c r="A1383" s="20">
        <v>202603329613971</v>
      </c>
      <c r="B1383" s="19" t="s">
        <v>20</v>
      </c>
      <c r="C1383" s="19" t="s">
        <v>21</v>
      </c>
      <c r="D1383" s="19" t="s">
        <v>20</v>
      </c>
      <c r="E1383" s="21">
        <v>46204</v>
      </c>
      <c r="F1383" s="21">
        <v>46568</v>
      </c>
      <c r="G1383" s="21"/>
      <c r="H1383" s="21">
        <v>46204</v>
      </c>
      <c r="I1383" s="21">
        <v>46568</v>
      </c>
      <c r="J1383" s="19" t="s">
        <v>2111</v>
      </c>
      <c r="L1383" s="19">
        <v>33.130630250000003</v>
      </c>
      <c r="M1383" s="19">
        <v>33.130630250000003</v>
      </c>
      <c r="N1383" s="19" t="s">
        <v>1475</v>
      </c>
      <c r="O1383" s="20">
        <v>1</v>
      </c>
      <c r="S1383" s="19" t="s">
        <v>20</v>
      </c>
      <c r="T1383" s="19" t="s">
        <v>1471</v>
      </c>
    </row>
    <row r="1384" spans="1:20">
      <c r="A1384" s="20">
        <v>202603329614025</v>
      </c>
      <c r="B1384" s="19" t="s">
        <v>20</v>
      </c>
      <c r="C1384" s="19" t="s">
        <v>21</v>
      </c>
      <c r="D1384" s="19" t="s">
        <v>20</v>
      </c>
      <c r="E1384" s="21">
        <v>46204</v>
      </c>
      <c r="F1384" s="21">
        <v>46568</v>
      </c>
      <c r="G1384" s="21"/>
      <c r="H1384" s="21">
        <v>46204</v>
      </c>
      <c r="I1384" s="21">
        <v>46568</v>
      </c>
      <c r="J1384" s="19" t="s">
        <v>1473</v>
      </c>
      <c r="L1384" s="19">
        <v>0</v>
      </c>
      <c r="M1384" s="19">
        <v>0</v>
      </c>
      <c r="N1384" s="19" t="s">
        <v>2394</v>
      </c>
      <c r="O1384" s="20">
        <v>3</v>
      </c>
      <c r="S1384" s="19" t="s">
        <v>20</v>
      </c>
      <c r="T1384" s="19" t="s">
        <v>1471</v>
      </c>
    </row>
    <row r="1385" spans="1:20">
      <c r="A1385" s="20">
        <v>202603329614025</v>
      </c>
      <c r="B1385" s="19" t="s">
        <v>20</v>
      </c>
      <c r="C1385" s="19" t="s">
        <v>21</v>
      </c>
      <c r="D1385" s="19" t="s">
        <v>20</v>
      </c>
      <c r="E1385" s="21">
        <v>46204</v>
      </c>
      <c r="F1385" s="21">
        <v>46568</v>
      </c>
      <c r="G1385" s="21"/>
      <c r="H1385" s="21">
        <v>46204</v>
      </c>
      <c r="I1385" s="21">
        <v>46568</v>
      </c>
      <c r="J1385" s="19" t="s">
        <v>1473</v>
      </c>
      <c r="L1385" s="19">
        <v>73.8620205</v>
      </c>
      <c r="M1385" s="19">
        <v>73.8620205</v>
      </c>
      <c r="N1385" s="19" t="s">
        <v>1475</v>
      </c>
      <c r="O1385" s="20">
        <v>3</v>
      </c>
      <c r="S1385" s="19" t="s">
        <v>20</v>
      </c>
      <c r="T1385" s="19" t="s">
        <v>1471</v>
      </c>
    </row>
    <row r="1386" spans="1:20">
      <c r="A1386" s="20">
        <v>202603329615245</v>
      </c>
      <c r="B1386" s="19" t="s">
        <v>20</v>
      </c>
      <c r="C1386" s="19" t="s">
        <v>21</v>
      </c>
      <c r="D1386" s="19" t="s">
        <v>20</v>
      </c>
      <c r="E1386" s="21">
        <v>46204</v>
      </c>
      <c r="F1386" s="21">
        <v>46568</v>
      </c>
      <c r="G1386" s="21"/>
      <c r="H1386" s="21">
        <v>46204</v>
      </c>
      <c r="I1386" s="21">
        <v>46568</v>
      </c>
      <c r="J1386" s="19" t="s">
        <v>2064</v>
      </c>
      <c r="L1386" s="19">
        <v>99.391890750000002</v>
      </c>
      <c r="M1386" s="19">
        <v>99.391890750000002</v>
      </c>
      <c r="N1386" s="19" t="s">
        <v>1475</v>
      </c>
      <c r="O1386" s="20">
        <v>3</v>
      </c>
      <c r="S1386" s="19" t="s">
        <v>20</v>
      </c>
      <c r="T1386" s="19" t="s">
        <v>1471</v>
      </c>
    </row>
    <row r="1387" spans="1:20">
      <c r="A1387" s="20">
        <v>202603329615318</v>
      </c>
      <c r="B1387" s="19" t="s">
        <v>20</v>
      </c>
      <c r="C1387" s="19" t="s">
        <v>21</v>
      </c>
      <c r="D1387" s="19" t="s">
        <v>20</v>
      </c>
      <c r="E1387" s="21">
        <v>46204</v>
      </c>
      <c r="F1387" s="21">
        <v>46568</v>
      </c>
      <c r="G1387" s="21"/>
      <c r="H1387" s="21">
        <v>46204</v>
      </c>
      <c r="I1387" s="21">
        <v>46568</v>
      </c>
      <c r="J1387" s="19" t="s">
        <v>2087</v>
      </c>
      <c r="L1387" s="19">
        <v>0</v>
      </c>
      <c r="M1387" s="19">
        <v>0</v>
      </c>
      <c r="N1387" s="19" t="s">
        <v>2394</v>
      </c>
      <c r="O1387" s="20">
        <v>2</v>
      </c>
      <c r="S1387" s="19" t="s">
        <v>20</v>
      </c>
      <c r="T1387" s="19" t="s">
        <v>1471</v>
      </c>
    </row>
    <row r="1388" spans="1:20">
      <c r="A1388" s="20">
        <v>202603329615318</v>
      </c>
      <c r="B1388" s="19" t="s">
        <v>20</v>
      </c>
      <c r="C1388" s="19" t="s">
        <v>21</v>
      </c>
      <c r="D1388" s="19" t="s">
        <v>20</v>
      </c>
      <c r="E1388" s="21">
        <v>46204</v>
      </c>
      <c r="F1388" s="21">
        <v>46568</v>
      </c>
      <c r="G1388" s="21"/>
      <c r="H1388" s="21">
        <v>46204</v>
      </c>
      <c r="I1388" s="21">
        <v>46568</v>
      </c>
      <c r="J1388" s="19" t="s">
        <v>2087</v>
      </c>
      <c r="L1388" s="19">
        <v>66.261260500000006</v>
      </c>
      <c r="M1388" s="19">
        <v>66.261260500000006</v>
      </c>
      <c r="N1388" s="19" t="s">
        <v>1475</v>
      </c>
      <c r="O1388" s="20">
        <v>2</v>
      </c>
      <c r="S1388" s="19" t="s">
        <v>20</v>
      </c>
      <c r="T1388" s="19" t="s">
        <v>1471</v>
      </c>
    </row>
    <row r="1389" spans="1:20">
      <c r="A1389" s="20">
        <v>202603329615771</v>
      </c>
      <c r="B1389" s="19" t="s">
        <v>20</v>
      </c>
      <c r="C1389" s="19" t="s">
        <v>21</v>
      </c>
      <c r="D1389" s="19" t="s">
        <v>20</v>
      </c>
      <c r="E1389" s="21">
        <v>46204</v>
      </c>
      <c r="F1389" s="21">
        <v>46568</v>
      </c>
      <c r="G1389" s="21"/>
      <c r="H1389" s="21">
        <v>46204</v>
      </c>
      <c r="I1389" s="21">
        <v>46568</v>
      </c>
      <c r="J1389" s="19" t="s">
        <v>2064</v>
      </c>
      <c r="L1389" s="19">
        <v>0</v>
      </c>
      <c r="M1389" s="19">
        <v>0</v>
      </c>
      <c r="N1389" s="19" t="s">
        <v>2394</v>
      </c>
      <c r="O1389" s="20">
        <v>3</v>
      </c>
      <c r="S1389" s="19" t="s">
        <v>20</v>
      </c>
      <c r="T1389" s="19" t="s">
        <v>1471</v>
      </c>
    </row>
    <row r="1390" spans="1:20">
      <c r="A1390" s="20">
        <v>202603329615771</v>
      </c>
      <c r="B1390" s="19" t="s">
        <v>20</v>
      </c>
      <c r="C1390" s="19" t="s">
        <v>21</v>
      </c>
      <c r="D1390" s="19" t="s">
        <v>20</v>
      </c>
      <c r="E1390" s="21">
        <v>46204</v>
      </c>
      <c r="F1390" s="21">
        <v>46568</v>
      </c>
      <c r="G1390" s="21"/>
      <c r="H1390" s="21">
        <v>46204</v>
      </c>
      <c r="I1390" s="21">
        <v>46568</v>
      </c>
      <c r="J1390" s="19" t="s">
        <v>2064</v>
      </c>
      <c r="L1390" s="19">
        <v>99.391890750000002</v>
      </c>
      <c r="M1390" s="19">
        <v>99.391890750000002</v>
      </c>
      <c r="N1390" s="19" t="s">
        <v>1475</v>
      </c>
      <c r="O1390" s="20">
        <v>3</v>
      </c>
      <c r="S1390" s="19" t="s">
        <v>20</v>
      </c>
      <c r="T1390" s="19" t="s">
        <v>1471</v>
      </c>
    </row>
    <row r="1391" spans="1:20">
      <c r="A1391" s="20">
        <v>202603329616180</v>
      </c>
      <c r="B1391" s="19" t="s">
        <v>20</v>
      </c>
      <c r="C1391" s="19" t="s">
        <v>21</v>
      </c>
      <c r="D1391" s="19" t="s">
        <v>20</v>
      </c>
      <c r="E1391" s="21">
        <v>46204</v>
      </c>
      <c r="F1391" s="21">
        <v>46568</v>
      </c>
      <c r="G1391" s="21"/>
      <c r="H1391" s="21">
        <v>46204</v>
      </c>
      <c r="I1391" s="21">
        <v>46568</v>
      </c>
      <c r="J1391" s="19" t="s">
        <v>2085</v>
      </c>
      <c r="L1391" s="19">
        <v>24.620673499999999</v>
      </c>
      <c r="M1391" s="19">
        <v>24.620673499999999</v>
      </c>
      <c r="N1391" s="19" t="s">
        <v>1475</v>
      </c>
      <c r="O1391" s="20">
        <v>1</v>
      </c>
      <c r="S1391" s="19" t="s">
        <v>20</v>
      </c>
      <c r="T1391" s="19" t="s">
        <v>1471</v>
      </c>
    </row>
    <row r="1392" spans="1:20">
      <c r="A1392" s="20">
        <v>202603329616428</v>
      </c>
      <c r="B1392" s="19" t="s">
        <v>20</v>
      </c>
      <c r="C1392" s="19" t="s">
        <v>21</v>
      </c>
      <c r="D1392" s="19" t="s">
        <v>20</v>
      </c>
      <c r="E1392" s="21">
        <v>46204</v>
      </c>
      <c r="F1392" s="21">
        <v>46568</v>
      </c>
      <c r="G1392" s="21"/>
      <c r="H1392" s="21">
        <v>46204</v>
      </c>
      <c r="I1392" s="21">
        <v>46568</v>
      </c>
      <c r="J1392" s="19" t="s">
        <v>2064</v>
      </c>
      <c r="L1392" s="19">
        <v>0</v>
      </c>
      <c r="M1392" s="19">
        <v>0</v>
      </c>
      <c r="N1392" s="19" t="s">
        <v>2394</v>
      </c>
      <c r="O1392" s="20">
        <v>4</v>
      </c>
      <c r="S1392" s="19" t="s">
        <v>20</v>
      </c>
      <c r="T1392" s="19" t="s">
        <v>1471</v>
      </c>
    </row>
    <row r="1393" spans="1:20">
      <c r="A1393" s="20">
        <v>202603329616428</v>
      </c>
      <c r="B1393" s="19" t="s">
        <v>20</v>
      </c>
      <c r="C1393" s="19" t="s">
        <v>21</v>
      </c>
      <c r="D1393" s="19" t="s">
        <v>20</v>
      </c>
      <c r="E1393" s="21">
        <v>46204</v>
      </c>
      <c r="F1393" s="21">
        <v>46568</v>
      </c>
      <c r="G1393" s="21"/>
      <c r="H1393" s="21">
        <v>46204</v>
      </c>
      <c r="I1393" s="21">
        <v>46568</v>
      </c>
      <c r="J1393" s="19" t="s">
        <v>2064</v>
      </c>
      <c r="L1393" s="19">
        <v>132.52252100000001</v>
      </c>
      <c r="M1393" s="19">
        <v>132.52252100000001</v>
      </c>
      <c r="N1393" s="19" t="s">
        <v>1475</v>
      </c>
      <c r="O1393" s="20">
        <v>4</v>
      </c>
      <c r="S1393" s="19" t="s">
        <v>20</v>
      </c>
      <c r="T1393" s="19" t="s">
        <v>1471</v>
      </c>
    </row>
    <row r="1394" spans="1:20">
      <c r="A1394" s="20">
        <v>202603329616554</v>
      </c>
      <c r="B1394" s="19" t="s">
        <v>20</v>
      </c>
      <c r="C1394" s="19" t="s">
        <v>21</v>
      </c>
      <c r="D1394" s="19" t="s">
        <v>20</v>
      </c>
      <c r="E1394" s="21">
        <v>46204</v>
      </c>
      <c r="F1394" s="21">
        <v>46568</v>
      </c>
      <c r="G1394" s="21"/>
      <c r="H1394" s="21">
        <v>46204</v>
      </c>
      <c r="I1394" s="21">
        <v>46568</v>
      </c>
      <c r="J1394" s="19" t="s">
        <v>2243</v>
      </c>
      <c r="L1394" s="19">
        <v>0</v>
      </c>
      <c r="M1394" s="19">
        <v>0</v>
      </c>
      <c r="N1394" s="19" t="s">
        <v>2394</v>
      </c>
      <c r="O1394" s="20">
        <v>2</v>
      </c>
      <c r="S1394" s="19" t="s">
        <v>20</v>
      </c>
      <c r="T1394" s="19" t="s">
        <v>1471</v>
      </c>
    </row>
    <row r="1395" spans="1:20">
      <c r="A1395" s="20">
        <v>202603329616554</v>
      </c>
      <c r="B1395" s="19" t="s">
        <v>20</v>
      </c>
      <c r="C1395" s="19" t="s">
        <v>21</v>
      </c>
      <c r="D1395" s="19" t="s">
        <v>20</v>
      </c>
      <c r="E1395" s="21">
        <v>46204</v>
      </c>
      <c r="F1395" s="21">
        <v>46568</v>
      </c>
      <c r="G1395" s="21"/>
      <c r="H1395" s="21">
        <v>46204</v>
      </c>
      <c r="I1395" s="21">
        <v>46568</v>
      </c>
      <c r="J1395" s="19" t="s">
        <v>2243</v>
      </c>
      <c r="L1395" s="19">
        <v>66.261260500000006</v>
      </c>
      <c r="M1395" s="19">
        <v>66.261260500000006</v>
      </c>
      <c r="N1395" s="19" t="s">
        <v>1475</v>
      </c>
      <c r="O1395" s="20">
        <v>2</v>
      </c>
      <c r="S1395" s="19" t="s">
        <v>20</v>
      </c>
      <c r="T1395" s="19" t="s">
        <v>1471</v>
      </c>
    </row>
    <row r="1396" spans="1:20">
      <c r="A1396" s="20">
        <v>202603329617759</v>
      </c>
      <c r="B1396" s="19" t="s">
        <v>20</v>
      </c>
      <c r="C1396" s="19" t="s">
        <v>21</v>
      </c>
      <c r="D1396" s="19" t="s">
        <v>20</v>
      </c>
      <c r="E1396" s="21">
        <v>46204</v>
      </c>
      <c r="F1396" s="21">
        <v>46568</v>
      </c>
      <c r="G1396" s="21"/>
      <c r="H1396" s="21">
        <v>46204</v>
      </c>
      <c r="I1396" s="21">
        <v>46568</v>
      </c>
      <c r="J1396" s="19" t="s">
        <v>2064</v>
      </c>
      <c r="L1396" s="19">
        <v>33.130630250000003</v>
      </c>
      <c r="M1396" s="19">
        <v>33.130630250000003</v>
      </c>
      <c r="N1396" s="19" t="s">
        <v>1475</v>
      </c>
      <c r="O1396" s="20">
        <v>1</v>
      </c>
      <c r="S1396" s="19" t="s">
        <v>20</v>
      </c>
      <c r="T1396" s="19" t="s">
        <v>1471</v>
      </c>
    </row>
    <row r="1397" spans="1:20">
      <c r="A1397" s="20">
        <v>202603329619357</v>
      </c>
      <c r="B1397" s="19" t="s">
        <v>20</v>
      </c>
      <c r="C1397" s="19" t="s">
        <v>21</v>
      </c>
      <c r="D1397" s="19" t="s">
        <v>20</v>
      </c>
      <c r="E1397" s="21">
        <v>46204</v>
      </c>
      <c r="F1397" s="21">
        <v>46568</v>
      </c>
      <c r="G1397" s="21"/>
      <c r="H1397" s="21">
        <v>46204</v>
      </c>
      <c r="I1397" s="21">
        <v>46568</v>
      </c>
      <c r="J1397" s="19" t="s">
        <v>2128</v>
      </c>
      <c r="L1397" s="19">
        <v>0</v>
      </c>
      <c r="M1397" s="19">
        <v>0</v>
      </c>
      <c r="N1397" s="19" t="s">
        <v>2394</v>
      </c>
      <c r="O1397" s="20">
        <v>3</v>
      </c>
      <c r="S1397" s="19" t="s">
        <v>20</v>
      </c>
      <c r="T1397" s="19" t="s">
        <v>1471</v>
      </c>
    </row>
    <row r="1398" spans="1:20">
      <c r="A1398" s="20">
        <v>202603329619357</v>
      </c>
      <c r="B1398" s="19" t="s">
        <v>20</v>
      </c>
      <c r="C1398" s="19" t="s">
        <v>21</v>
      </c>
      <c r="D1398" s="19" t="s">
        <v>2307</v>
      </c>
      <c r="E1398" s="21">
        <v>46204</v>
      </c>
      <c r="F1398" s="21">
        <v>46568</v>
      </c>
      <c r="G1398" s="21"/>
      <c r="H1398" s="21">
        <v>46204</v>
      </c>
      <c r="I1398" s="21">
        <v>46568</v>
      </c>
      <c r="J1398" s="19" t="s">
        <v>2128</v>
      </c>
      <c r="L1398" s="19">
        <v>89.452685250000002</v>
      </c>
      <c r="M1398" s="19">
        <v>89.452685250000002</v>
      </c>
      <c r="N1398" s="19" t="s">
        <v>1467</v>
      </c>
      <c r="O1398" s="20">
        <v>3</v>
      </c>
      <c r="S1398" s="19" t="s">
        <v>20</v>
      </c>
      <c r="T1398" s="19" t="s">
        <v>1471</v>
      </c>
    </row>
    <row r="1399" spans="1:20">
      <c r="A1399" s="20">
        <v>202603329619815</v>
      </c>
      <c r="B1399" s="19" t="s">
        <v>20</v>
      </c>
      <c r="C1399" s="19" t="s">
        <v>21</v>
      </c>
      <c r="D1399" s="19" t="s">
        <v>20</v>
      </c>
      <c r="E1399" s="21">
        <v>46204</v>
      </c>
      <c r="F1399" s="21">
        <v>46568</v>
      </c>
      <c r="G1399" s="21"/>
      <c r="H1399" s="21">
        <v>46204</v>
      </c>
      <c r="I1399" s="21">
        <v>46568</v>
      </c>
      <c r="J1399" s="19" t="s">
        <v>2092</v>
      </c>
      <c r="L1399" s="19">
        <v>0</v>
      </c>
      <c r="M1399" s="19">
        <v>0</v>
      </c>
      <c r="N1399" s="19" t="s">
        <v>2394</v>
      </c>
      <c r="O1399" s="20">
        <v>5</v>
      </c>
      <c r="S1399" s="19" t="s">
        <v>20</v>
      </c>
      <c r="T1399" s="19" t="s">
        <v>1471</v>
      </c>
    </row>
    <row r="1400" spans="1:20">
      <c r="A1400" s="20">
        <v>202603329619815</v>
      </c>
      <c r="B1400" s="19" t="s">
        <v>20</v>
      </c>
      <c r="C1400" s="19" t="s">
        <v>21</v>
      </c>
      <c r="D1400" s="19" t="s">
        <v>20</v>
      </c>
      <c r="E1400" s="21">
        <v>46204</v>
      </c>
      <c r="F1400" s="21">
        <v>46568</v>
      </c>
      <c r="G1400" s="21"/>
      <c r="H1400" s="21">
        <v>46204</v>
      </c>
      <c r="I1400" s="21">
        <v>46568</v>
      </c>
      <c r="J1400" s="19" t="s">
        <v>2092</v>
      </c>
      <c r="L1400" s="19">
        <v>193.29779500000001</v>
      </c>
      <c r="M1400" s="19">
        <v>193.29779500000001</v>
      </c>
      <c r="N1400" s="19" t="s">
        <v>1475</v>
      </c>
      <c r="O1400" s="20">
        <v>5</v>
      </c>
      <c r="S1400" s="19" t="s">
        <v>20</v>
      </c>
      <c r="T1400" s="19" t="s">
        <v>1471</v>
      </c>
    </row>
    <row r="1401" spans="1:20">
      <c r="A1401" s="20">
        <v>202603329620982</v>
      </c>
      <c r="B1401" s="19" t="s">
        <v>20</v>
      </c>
      <c r="C1401" s="19" t="s">
        <v>21</v>
      </c>
      <c r="D1401" s="19" t="s">
        <v>20</v>
      </c>
      <c r="E1401" s="21">
        <v>46204</v>
      </c>
      <c r="F1401" s="21">
        <v>46568</v>
      </c>
      <c r="G1401" s="21"/>
      <c r="H1401" s="21">
        <v>46204</v>
      </c>
      <c r="I1401" s="21">
        <v>46568</v>
      </c>
      <c r="J1401" s="19" t="s">
        <v>2068</v>
      </c>
      <c r="L1401" s="19">
        <v>26.258683999999999</v>
      </c>
      <c r="M1401" s="19">
        <v>26.258683999999999</v>
      </c>
      <c r="N1401" s="19" t="s">
        <v>1475</v>
      </c>
      <c r="O1401" s="20">
        <v>1</v>
      </c>
      <c r="S1401" s="19" t="s">
        <v>20</v>
      </c>
      <c r="T1401" s="19" t="s">
        <v>1471</v>
      </c>
    </row>
    <row r="1402" spans="1:20">
      <c r="A1402" s="20">
        <v>202603329621012</v>
      </c>
      <c r="B1402" s="19" t="s">
        <v>20</v>
      </c>
      <c r="C1402" s="19" t="s">
        <v>21</v>
      </c>
      <c r="D1402" s="19" t="s">
        <v>20</v>
      </c>
      <c r="E1402" s="21">
        <v>46204</v>
      </c>
      <c r="F1402" s="21">
        <v>46568</v>
      </c>
      <c r="G1402" s="21"/>
      <c r="H1402" s="21">
        <v>46204</v>
      </c>
      <c r="I1402" s="21">
        <v>46568</v>
      </c>
      <c r="J1402" s="19" t="s">
        <v>2139</v>
      </c>
      <c r="L1402" s="19">
        <v>0</v>
      </c>
      <c r="M1402" s="19">
        <v>0</v>
      </c>
      <c r="N1402" s="19" t="s">
        <v>2394</v>
      </c>
      <c r="O1402" s="20">
        <v>2</v>
      </c>
      <c r="S1402" s="19" t="s">
        <v>20</v>
      </c>
      <c r="T1402" s="19" t="s">
        <v>1471</v>
      </c>
    </row>
    <row r="1403" spans="1:20">
      <c r="A1403" s="20">
        <v>202603329621012</v>
      </c>
      <c r="B1403" s="19" t="s">
        <v>20</v>
      </c>
      <c r="C1403" s="19" t="s">
        <v>21</v>
      </c>
      <c r="D1403" s="19" t="s">
        <v>20</v>
      </c>
      <c r="E1403" s="21">
        <v>46204</v>
      </c>
      <c r="F1403" s="21">
        <v>46568</v>
      </c>
      <c r="G1403" s="21"/>
      <c r="H1403" s="21">
        <v>46204</v>
      </c>
      <c r="I1403" s="21">
        <v>46568</v>
      </c>
      <c r="J1403" s="19" t="s">
        <v>2139</v>
      </c>
      <c r="L1403" s="19">
        <v>77.319118000000003</v>
      </c>
      <c r="M1403" s="19">
        <v>77.319118000000003</v>
      </c>
      <c r="N1403" s="19" t="s">
        <v>1475</v>
      </c>
      <c r="O1403" s="20">
        <v>2</v>
      </c>
      <c r="S1403" s="19" t="s">
        <v>20</v>
      </c>
      <c r="T1403" s="19" t="s">
        <v>1471</v>
      </c>
    </row>
    <row r="1404" spans="1:20">
      <c r="A1404" s="20">
        <v>202603329623691</v>
      </c>
      <c r="B1404" s="19" t="s">
        <v>20</v>
      </c>
      <c r="C1404" s="19" t="s">
        <v>21</v>
      </c>
      <c r="D1404" s="19" t="s">
        <v>20</v>
      </c>
      <c r="E1404" s="21">
        <v>46204</v>
      </c>
      <c r="F1404" s="21">
        <v>46568</v>
      </c>
      <c r="G1404" s="21"/>
      <c r="H1404" s="21">
        <v>46204</v>
      </c>
      <c r="I1404" s="21">
        <v>46568</v>
      </c>
      <c r="J1404" s="19" t="s">
        <v>2069</v>
      </c>
      <c r="L1404" s="19">
        <v>0</v>
      </c>
      <c r="M1404" s="19">
        <v>0</v>
      </c>
      <c r="N1404" s="19" t="s">
        <v>2394</v>
      </c>
      <c r="O1404" s="20">
        <v>10</v>
      </c>
      <c r="S1404" s="19" t="s">
        <v>20</v>
      </c>
      <c r="T1404" s="19" t="s">
        <v>1471</v>
      </c>
    </row>
    <row r="1405" spans="1:20">
      <c r="A1405" s="20">
        <v>202603329623691</v>
      </c>
      <c r="B1405" s="19" t="s">
        <v>20</v>
      </c>
      <c r="C1405" s="19" t="s">
        <v>21</v>
      </c>
      <c r="D1405" s="19" t="s">
        <v>20</v>
      </c>
      <c r="E1405" s="21">
        <v>46204</v>
      </c>
      <c r="F1405" s="21">
        <v>46568</v>
      </c>
      <c r="G1405" s="21"/>
      <c r="H1405" s="21">
        <v>46204</v>
      </c>
      <c r="I1405" s="21">
        <v>46568</v>
      </c>
      <c r="J1405" s="19" t="s">
        <v>2069</v>
      </c>
      <c r="L1405" s="19">
        <v>331.30630250000002</v>
      </c>
      <c r="M1405" s="19">
        <v>331.30630250000002</v>
      </c>
      <c r="N1405" s="19" t="s">
        <v>1475</v>
      </c>
      <c r="O1405" s="20">
        <v>10</v>
      </c>
      <c r="S1405" s="19" t="s">
        <v>20</v>
      </c>
      <c r="T1405" s="19" t="s">
        <v>1471</v>
      </c>
    </row>
    <row r="1406" spans="1:20">
      <c r="A1406" s="20">
        <v>202603329626213</v>
      </c>
      <c r="B1406" s="19" t="s">
        <v>20</v>
      </c>
      <c r="C1406" s="19" t="s">
        <v>21</v>
      </c>
      <c r="D1406" s="19" t="s">
        <v>20</v>
      </c>
      <c r="E1406" s="21">
        <v>46204</v>
      </c>
      <c r="F1406" s="21">
        <v>46568</v>
      </c>
      <c r="G1406" s="21"/>
      <c r="H1406" s="21">
        <v>46204</v>
      </c>
      <c r="I1406" s="21">
        <v>46568</v>
      </c>
      <c r="J1406" s="19" t="s">
        <v>2088</v>
      </c>
      <c r="L1406" s="19">
        <v>33.130630250000003</v>
      </c>
      <c r="M1406" s="19">
        <v>33.130630250000003</v>
      </c>
      <c r="N1406" s="19" t="s">
        <v>1475</v>
      </c>
      <c r="O1406" s="20">
        <v>1</v>
      </c>
      <c r="S1406" s="19" t="s">
        <v>20</v>
      </c>
      <c r="T1406" s="19" t="s">
        <v>1471</v>
      </c>
    </row>
    <row r="1407" spans="1:20">
      <c r="A1407" s="20">
        <v>202603329627457</v>
      </c>
      <c r="B1407" s="19" t="s">
        <v>20</v>
      </c>
      <c r="C1407" s="19" t="s">
        <v>21</v>
      </c>
      <c r="D1407" s="19" t="s">
        <v>20</v>
      </c>
      <c r="E1407" s="21">
        <v>46204</v>
      </c>
      <c r="F1407" s="21">
        <v>46568</v>
      </c>
      <c r="G1407" s="21"/>
      <c r="H1407" s="21">
        <v>46204</v>
      </c>
      <c r="I1407" s="21">
        <v>46568</v>
      </c>
      <c r="J1407" s="19" t="s">
        <v>2122</v>
      </c>
      <c r="L1407" s="19">
        <v>47.936581500000003</v>
      </c>
      <c r="M1407" s="19">
        <v>47.936581500000003</v>
      </c>
      <c r="N1407" s="19" t="s">
        <v>1475</v>
      </c>
      <c r="O1407" s="20">
        <v>2</v>
      </c>
      <c r="S1407" s="19" t="s">
        <v>20</v>
      </c>
      <c r="T1407" s="19" t="s">
        <v>1471</v>
      </c>
    </row>
    <row r="1408" spans="1:20">
      <c r="A1408" s="20">
        <v>202603329627924</v>
      </c>
      <c r="B1408" s="19" t="s">
        <v>20</v>
      </c>
      <c r="C1408" s="19" t="s">
        <v>21</v>
      </c>
      <c r="D1408" s="19" t="s">
        <v>2308</v>
      </c>
      <c r="E1408" s="21">
        <v>46204</v>
      </c>
      <c r="F1408" s="21">
        <v>46568</v>
      </c>
      <c r="G1408" s="21"/>
      <c r="H1408" s="21">
        <v>46204</v>
      </c>
      <c r="I1408" s="21">
        <v>46568</v>
      </c>
      <c r="J1408" s="19" t="s">
        <v>2135</v>
      </c>
      <c r="L1408" s="19">
        <v>33.130630250000003</v>
      </c>
      <c r="M1408" s="19">
        <v>33.130630250000003</v>
      </c>
      <c r="N1408" s="19" t="s">
        <v>1467</v>
      </c>
      <c r="O1408" s="20">
        <v>1</v>
      </c>
      <c r="S1408" s="19" t="s">
        <v>20</v>
      </c>
      <c r="T1408" s="19" t="s">
        <v>1471</v>
      </c>
    </row>
    <row r="1409" spans="1:20">
      <c r="A1409" s="20">
        <v>202603329628103</v>
      </c>
      <c r="B1409" s="19" t="s">
        <v>20</v>
      </c>
      <c r="C1409" s="19" t="s">
        <v>21</v>
      </c>
      <c r="D1409" s="19" t="s">
        <v>20</v>
      </c>
      <c r="E1409" s="21">
        <v>46204</v>
      </c>
      <c r="F1409" s="21">
        <v>46568</v>
      </c>
      <c r="G1409" s="21"/>
      <c r="H1409" s="21">
        <v>46204</v>
      </c>
      <c r="I1409" s="21">
        <v>46568</v>
      </c>
      <c r="J1409" s="19" t="s">
        <v>2222</v>
      </c>
      <c r="L1409" s="19">
        <v>0</v>
      </c>
      <c r="M1409" s="19">
        <v>0</v>
      </c>
      <c r="N1409" s="19" t="s">
        <v>2394</v>
      </c>
      <c r="O1409" s="20">
        <v>5</v>
      </c>
      <c r="S1409" s="19" t="s">
        <v>20</v>
      </c>
      <c r="T1409" s="19" t="s">
        <v>1471</v>
      </c>
    </row>
    <row r="1410" spans="1:20">
      <c r="A1410" s="20">
        <v>202603329628103</v>
      </c>
      <c r="B1410" s="19" t="s">
        <v>20</v>
      </c>
      <c r="C1410" s="19" t="s">
        <v>21</v>
      </c>
      <c r="D1410" s="19" t="s">
        <v>20</v>
      </c>
      <c r="E1410" s="21">
        <v>46204</v>
      </c>
      <c r="F1410" s="21">
        <v>46568</v>
      </c>
      <c r="G1410" s="21"/>
      <c r="H1410" s="21">
        <v>46204</v>
      </c>
      <c r="I1410" s="21">
        <v>46568</v>
      </c>
      <c r="J1410" s="19" t="s">
        <v>2222</v>
      </c>
      <c r="L1410" s="19">
        <v>193.29779500000001</v>
      </c>
      <c r="M1410" s="19">
        <v>193.29779500000001</v>
      </c>
      <c r="N1410" s="19" t="s">
        <v>1475</v>
      </c>
      <c r="O1410" s="20">
        <v>5</v>
      </c>
      <c r="S1410" s="19" t="s">
        <v>20</v>
      </c>
      <c r="T1410" s="19" t="s">
        <v>1471</v>
      </c>
    </row>
    <row r="1411" spans="1:20">
      <c r="A1411" s="20">
        <v>202603329628668</v>
      </c>
      <c r="B1411" s="19" t="s">
        <v>20</v>
      </c>
      <c r="C1411" s="19" t="s">
        <v>21</v>
      </c>
      <c r="D1411" s="19" t="s">
        <v>20</v>
      </c>
      <c r="E1411" s="21">
        <v>46204</v>
      </c>
      <c r="F1411" s="21">
        <v>46568</v>
      </c>
      <c r="G1411" s="21"/>
      <c r="H1411" s="21">
        <v>46204</v>
      </c>
      <c r="I1411" s="21">
        <v>46568</v>
      </c>
      <c r="J1411" s="19" t="s">
        <v>2118</v>
      </c>
      <c r="L1411" s="19">
        <v>33.130630250000003</v>
      </c>
      <c r="M1411" s="19">
        <v>33.130630250000003</v>
      </c>
      <c r="N1411" s="19" t="s">
        <v>1475</v>
      </c>
      <c r="O1411" s="20">
        <v>1</v>
      </c>
      <c r="S1411" s="19" t="s">
        <v>20</v>
      </c>
      <c r="T1411" s="19" t="s">
        <v>1471</v>
      </c>
    </row>
    <row r="1412" spans="1:20">
      <c r="A1412" s="20">
        <v>202603329631978</v>
      </c>
      <c r="B1412" s="19" t="s">
        <v>20</v>
      </c>
      <c r="C1412" s="19" t="s">
        <v>21</v>
      </c>
      <c r="D1412" s="19" t="s">
        <v>20</v>
      </c>
      <c r="E1412" s="21">
        <v>46204</v>
      </c>
      <c r="F1412" s="21">
        <v>46568</v>
      </c>
      <c r="G1412" s="21"/>
      <c r="H1412" s="21">
        <v>46204</v>
      </c>
      <c r="I1412" s="21">
        <v>46568</v>
      </c>
      <c r="J1412" s="19" t="s">
        <v>2062</v>
      </c>
      <c r="L1412" s="19">
        <v>0</v>
      </c>
      <c r="M1412" s="19">
        <v>0</v>
      </c>
      <c r="N1412" s="19" t="s">
        <v>2394</v>
      </c>
      <c r="O1412" s="20">
        <v>5</v>
      </c>
      <c r="S1412" s="19" t="s">
        <v>20</v>
      </c>
      <c r="T1412" s="19" t="s">
        <v>1471</v>
      </c>
    </row>
    <row r="1413" spans="1:20">
      <c r="A1413" s="20">
        <v>202603329631978</v>
      </c>
      <c r="B1413" s="19" t="s">
        <v>20</v>
      </c>
      <c r="C1413" s="19" t="s">
        <v>21</v>
      </c>
      <c r="D1413" s="19" t="s">
        <v>20</v>
      </c>
      <c r="E1413" s="21">
        <v>46204</v>
      </c>
      <c r="F1413" s="21">
        <v>46568</v>
      </c>
      <c r="G1413" s="21"/>
      <c r="H1413" s="21">
        <v>46204</v>
      </c>
      <c r="I1413" s="21">
        <v>46568</v>
      </c>
      <c r="J1413" s="19" t="s">
        <v>2062</v>
      </c>
      <c r="L1413" s="19">
        <v>165.65315125000001</v>
      </c>
      <c r="M1413" s="19">
        <v>165.65315125000001</v>
      </c>
      <c r="N1413" s="19" t="s">
        <v>1475</v>
      </c>
      <c r="O1413" s="20">
        <v>5</v>
      </c>
      <c r="S1413" s="19" t="s">
        <v>20</v>
      </c>
      <c r="T1413" s="19" t="s">
        <v>1471</v>
      </c>
    </row>
    <row r="1414" spans="1:20">
      <c r="A1414" s="20">
        <v>202603329632765</v>
      </c>
      <c r="B1414" s="19" t="s">
        <v>20</v>
      </c>
      <c r="C1414" s="19" t="s">
        <v>21</v>
      </c>
      <c r="D1414" s="19" t="s">
        <v>20</v>
      </c>
      <c r="E1414" s="21">
        <v>46204</v>
      </c>
      <c r="F1414" s="21">
        <v>46568</v>
      </c>
      <c r="G1414" s="21"/>
      <c r="H1414" s="21">
        <v>46204</v>
      </c>
      <c r="I1414" s="21">
        <v>46568</v>
      </c>
      <c r="J1414" s="19" t="s">
        <v>2069</v>
      </c>
      <c r="L1414" s="19">
        <v>0</v>
      </c>
      <c r="M1414" s="19">
        <v>0</v>
      </c>
      <c r="N1414" s="19" t="s">
        <v>2394</v>
      </c>
      <c r="O1414" s="20">
        <v>3</v>
      </c>
      <c r="S1414" s="19" t="s">
        <v>20</v>
      </c>
      <c r="T1414" s="19" t="s">
        <v>1471</v>
      </c>
    </row>
    <row r="1415" spans="1:20">
      <c r="A1415" s="20">
        <v>202603329632765</v>
      </c>
      <c r="B1415" s="19" t="s">
        <v>20</v>
      </c>
      <c r="C1415" s="19" t="s">
        <v>21</v>
      </c>
      <c r="D1415" s="19" t="s">
        <v>20</v>
      </c>
      <c r="E1415" s="21">
        <v>46204</v>
      </c>
      <c r="F1415" s="21">
        <v>46568</v>
      </c>
      <c r="G1415" s="21"/>
      <c r="H1415" s="21">
        <v>46204</v>
      </c>
      <c r="I1415" s="21">
        <v>46568</v>
      </c>
      <c r="J1415" s="19" t="s">
        <v>2069</v>
      </c>
      <c r="L1415" s="19">
        <v>99.391890750000002</v>
      </c>
      <c r="M1415" s="19">
        <v>99.391890750000002</v>
      </c>
      <c r="N1415" s="19" t="s">
        <v>1475</v>
      </c>
      <c r="O1415" s="20">
        <v>3</v>
      </c>
      <c r="S1415" s="19" t="s">
        <v>20</v>
      </c>
      <c r="T1415" s="19" t="s">
        <v>1471</v>
      </c>
    </row>
    <row r="1416" spans="1:20">
      <c r="A1416" s="20">
        <v>202603329633093</v>
      </c>
      <c r="B1416" s="19" t="s">
        <v>20</v>
      </c>
      <c r="C1416" s="19" t="s">
        <v>21</v>
      </c>
      <c r="D1416" s="19" t="s">
        <v>20</v>
      </c>
      <c r="E1416" s="21">
        <v>46204</v>
      </c>
      <c r="F1416" s="21">
        <v>46568</v>
      </c>
      <c r="G1416" s="21"/>
      <c r="H1416" s="21">
        <v>46204</v>
      </c>
      <c r="I1416" s="21">
        <v>46568</v>
      </c>
      <c r="J1416" s="19" t="s">
        <v>2068</v>
      </c>
      <c r="L1416" s="19">
        <v>0</v>
      </c>
      <c r="M1416" s="19">
        <v>0</v>
      </c>
      <c r="N1416" s="19" t="s">
        <v>2394</v>
      </c>
      <c r="O1416" s="20">
        <v>4</v>
      </c>
      <c r="S1416" s="19" t="s">
        <v>20</v>
      </c>
      <c r="T1416" s="19" t="s">
        <v>1471</v>
      </c>
    </row>
    <row r="1417" spans="1:20">
      <c r="A1417" s="20">
        <v>202603329633093</v>
      </c>
      <c r="B1417" s="19" t="s">
        <v>20</v>
      </c>
      <c r="C1417" s="19" t="s">
        <v>21</v>
      </c>
      <c r="D1417" s="19" t="s">
        <v>20</v>
      </c>
      <c r="E1417" s="21">
        <v>46204</v>
      </c>
      <c r="F1417" s="21">
        <v>46568</v>
      </c>
      <c r="G1417" s="21"/>
      <c r="H1417" s="21">
        <v>46204</v>
      </c>
      <c r="I1417" s="21">
        <v>46568</v>
      </c>
      <c r="J1417" s="19" t="s">
        <v>2068</v>
      </c>
      <c r="L1417" s="19">
        <v>105.034736</v>
      </c>
      <c r="M1417" s="19">
        <v>105.034736</v>
      </c>
      <c r="N1417" s="19" t="s">
        <v>1475</v>
      </c>
      <c r="O1417" s="20">
        <v>4</v>
      </c>
      <c r="S1417" s="19" t="s">
        <v>20</v>
      </c>
      <c r="T1417" s="19" t="s">
        <v>1471</v>
      </c>
    </row>
    <row r="1418" spans="1:20">
      <c r="A1418" s="20">
        <v>202603329633266</v>
      </c>
      <c r="B1418" s="19" t="s">
        <v>20</v>
      </c>
      <c r="C1418" s="19" t="s">
        <v>21</v>
      </c>
      <c r="D1418" s="19" t="s">
        <v>20</v>
      </c>
      <c r="E1418" s="21">
        <v>46204</v>
      </c>
      <c r="F1418" s="21">
        <v>46568</v>
      </c>
      <c r="G1418" s="21"/>
      <c r="H1418" s="21">
        <v>46204</v>
      </c>
      <c r="I1418" s="21">
        <v>46568</v>
      </c>
      <c r="J1418" s="19" t="s">
        <v>2086</v>
      </c>
      <c r="L1418" s="19">
        <v>0</v>
      </c>
      <c r="M1418" s="19">
        <v>0</v>
      </c>
      <c r="N1418" s="19" t="s">
        <v>2394</v>
      </c>
      <c r="O1418" s="20">
        <v>2</v>
      </c>
      <c r="S1418" s="19" t="s">
        <v>20</v>
      </c>
      <c r="T1418" s="19" t="s">
        <v>1471</v>
      </c>
    </row>
    <row r="1419" spans="1:20">
      <c r="A1419" s="20">
        <v>202603329633266</v>
      </c>
      <c r="B1419" s="19" t="s">
        <v>20</v>
      </c>
      <c r="C1419" s="19" t="s">
        <v>21</v>
      </c>
      <c r="D1419" s="19" t="s">
        <v>20</v>
      </c>
      <c r="E1419" s="21">
        <v>46204</v>
      </c>
      <c r="F1419" s="21">
        <v>46568</v>
      </c>
      <c r="G1419" s="21"/>
      <c r="H1419" s="21">
        <v>46204</v>
      </c>
      <c r="I1419" s="21">
        <v>46568</v>
      </c>
      <c r="J1419" s="19" t="s">
        <v>2086</v>
      </c>
      <c r="L1419" s="19">
        <v>66.261260500000006</v>
      </c>
      <c r="M1419" s="19">
        <v>66.261260500000006</v>
      </c>
      <c r="N1419" s="19" t="s">
        <v>1475</v>
      </c>
      <c r="O1419" s="20">
        <v>2</v>
      </c>
      <c r="S1419" s="19" t="s">
        <v>20</v>
      </c>
      <c r="T1419" s="19" t="s">
        <v>1471</v>
      </c>
    </row>
    <row r="1420" spans="1:20">
      <c r="A1420" s="20">
        <v>202603329633669</v>
      </c>
      <c r="B1420" s="19" t="s">
        <v>20</v>
      </c>
      <c r="C1420" s="19" t="s">
        <v>21</v>
      </c>
      <c r="D1420" s="19" t="s">
        <v>20</v>
      </c>
      <c r="E1420" s="21">
        <v>46204</v>
      </c>
      <c r="F1420" s="21">
        <v>46568</v>
      </c>
      <c r="G1420" s="21"/>
      <c r="H1420" s="21">
        <v>46204</v>
      </c>
      <c r="I1420" s="21">
        <v>46568</v>
      </c>
      <c r="J1420" s="19" t="s">
        <v>2068</v>
      </c>
      <c r="L1420" s="19">
        <v>0</v>
      </c>
      <c r="M1420" s="19">
        <v>0</v>
      </c>
      <c r="N1420" s="19" t="s">
        <v>2394</v>
      </c>
      <c r="O1420" s="20">
        <v>4</v>
      </c>
      <c r="S1420" s="19" t="s">
        <v>20</v>
      </c>
      <c r="T1420" s="19" t="s">
        <v>1471</v>
      </c>
    </row>
    <row r="1421" spans="1:20">
      <c r="A1421" s="20">
        <v>202603329633669</v>
      </c>
      <c r="B1421" s="19" t="s">
        <v>20</v>
      </c>
      <c r="C1421" s="19" t="s">
        <v>21</v>
      </c>
      <c r="D1421" s="19" t="s">
        <v>20</v>
      </c>
      <c r="E1421" s="21">
        <v>46204</v>
      </c>
      <c r="F1421" s="21">
        <v>46568</v>
      </c>
      <c r="G1421" s="21"/>
      <c r="H1421" s="21">
        <v>46204</v>
      </c>
      <c r="I1421" s="21">
        <v>46568</v>
      </c>
      <c r="J1421" s="19" t="s">
        <v>2068</v>
      </c>
      <c r="L1421" s="19">
        <v>105.034736</v>
      </c>
      <c r="M1421" s="19">
        <v>105.034736</v>
      </c>
      <c r="N1421" s="19" t="s">
        <v>1475</v>
      </c>
      <c r="O1421" s="20">
        <v>4</v>
      </c>
      <c r="S1421" s="19" t="s">
        <v>20</v>
      </c>
      <c r="T1421" s="19" t="s">
        <v>1471</v>
      </c>
    </row>
    <row r="1422" spans="1:20">
      <c r="A1422" s="20">
        <v>202603329634719</v>
      </c>
      <c r="B1422" s="19" t="s">
        <v>20</v>
      </c>
      <c r="C1422" s="19" t="s">
        <v>21</v>
      </c>
      <c r="D1422" s="19" t="s">
        <v>20</v>
      </c>
      <c r="E1422" s="21">
        <v>46204</v>
      </c>
      <c r="F1422" s="21">
        <v>46568</v>
      </c>
      <c r="G1422" s="21"/>
      <c r="H1422" s="21">
        <v>46204</v>
      </c>
      <c r="I1422" s="21">
        <v>46568</v>
      </c>
      <c r="J1422" s="19" t="s">
        <v>2068</v>
      </c>
      <c r="L1422" s="19">
        <v>0</v>
      </c>
      <c r="M1422" s="19">
        <v>0</v>
      </c>
      <c r="N1422" s="19" t="s">
        <v>2394</v>
      </c>
      <c r="O1422" s="20">
        <v>3</v>
      </c>
      <c r="S1422" s="19" t="s">
        <v>20</v>
      </c>
      <c r="T1422" s="19" t="s">
        <v>1471</v>
      </c>
    </row>
    <row r="1423" spans="1:20">
      <c r="A1423" s="20">
        <v>202603329634719</v>
      </c>
      <c r="B1423" s="19" t="s">
        <v>20</v>
      </c>
      <c r="C1423" s="19" t="s">
        <v>21</v>
      </c>
      <c r="D1423" s="19" t="s">
        <v>20</v>
      </c>
      <c r="E1423" s="21">
        <v>46204</v>
      </c>
      <c r="F1423" s="21">
        <v>46568</v>
      </c>
      <c r="G1423" s="21"/>
      <c r="H1423" s="21">
        <v>46204</v>
      </c>
      <c r="I1423" s="21">
        <v>46568</v>
      </c>
      <c r="J1423" s="19" t="s">
        <v>2068</v>
      </c>
      <c r="L1423" s="19">
        <v>78.776052000000007</v>
      </c>
      <c r="M1423" s="19">
        <v>78.776052000000007</v>
      </c>
      <c r="N1423" s="19" t="s">
        <v>1475</v>
      </c>
      <c r="O1423" s="20">
        <v>3</v>
      </c>
      <c r="S1423" s="19" t="s">
        <v>20</v>
      </c>
      <c r="T1423" s="19" t="s">
        <v>1471</v>
      </c>
    </row>
    <row r="1424" spans="1:20">
      <c r="A1424" s="20">
        <v>202603329634963</v>
      </c>
      <c r="B1424" s="19" t="s">
        <v>20</v>
      </c>
      <c r="C1424" s="19" t="s">
        <v>21</v>
      </c>
      <c r="D1424" s="19" t="s">
        <v>20</v>
      </c>
      <c r="E1424" s="21">
        <v>46204</v>
      </c>
      <c r="F1424" s="21">
        <v>46568</v>
      </c>
      <c r="G1424" s="21"/>
      <c r="H1424" s="21">
        <v>46204</v>
      </c>
      <c r="I1424" s="21">
        <v>46568</v>
      </c>
      <c r="J1424" s="19" t="s">
        <v>2130</v>
      </c>
      <c r="L1424" s="19">
        <v>0</v>
      </c>
      <c r="M1424" s="19">
        <v>0</v>
      </c>
      <c r="N1424" s="19" t="s">
        <v>2394</v>
      </c>
      <c r="O1424" s="20">
        <v>5</v>
      </c>
      <c r="S1424" s="19" t="s">
        <v>20</v>
      </c>
      <c r="T1424" s="19" t="s">
        <v>1471</v>
      </c>
    </row>
    <row r="1425" spans="1:20">
      <c r="A1425" s="20">
        <v>202603329634963</v>
      </c>
      <c r="B1425" s="19" t="s">
        <v>20</v>
      </c>
      <c r="C1425" s="19" t="s">
        <v>21</v>
      </c>
      <c r="D1425" s="19" t="s">
        <v>20</v>
      </c>
      <c r="E1425" s="21">
        <v>46204</v>
      </c>
      <c r="F1425" s="21">
        <v>46568</v>
      </c>
      <c r="G1425" s="21"/>
      <c r="H1425" s="21">
        <v>46204</v>
      </c>
      <c r="I1425" s="21">
        <v>46568</v>
      </c>
      <c r="J1425" s="19" t="s">
        <v>2130</v>
      </c>
      <c r="L1425" s="19">
        <v>90.800411249999996</v>
      </c>
      <c r="M1425" s="19">
        <v>90.800411249999996</v>
      </c>
      <c r="N1425" s="19" t="s">
        <v>1475</v>
      </c>
      <c r="O1425" s="20">
        <v>5</v>
      </c>
      <c r="S1425" s="19" t="s">
        <v>20</v>
      </c>
      <c r="T1425" s="19" t="s">
        <v>1471</v>
      </c>
    </row>
    <row r="1426" spans="1:20">
      <c r="A1426" s="20">
        <v>202603329634995</v>
      </c>
      <c r="B1426" s="19" t="s">
        <v>20</v>
      </c>
      <c r="C1426" s="19" t="s">
        <v>21</v>
      </c>
      <c r="D1426" s="19" t="s">
        <v>20</v>
      </c>
      <c r="E1426" s="21">
        <v>46204</v>
      </c>
      <c r="F1426" s="21">
        <v>46568</v>
      </c>
      <c r="G1426" s="21"/>
      <c r="H1426" s="21">
        <v>46204</v>
      </c>
      <c r="I1426" s="21">
        <v>46568</v>
      </c>
      <c r="J1426" s="19" t="s">
        <v>2093</v>
      </c>
      <c r="L1426" s="19">
        <v>0</v>
      </c>
      <c r="M1426" s="19">
        <v>0</v>
      </c>
      <c r="N1426" s="19" t="s">
        <v>2394</v>
      </c>
      <c r="O1426" s="20">
        <v>3</v>
      </c>
      <c r="S1426" s="19" t="s">
        <v>20</v>
      </c>
      <c r="T1426" s="19" t="s">
        <v>1471</v>
      </c>
    </row>
    <row r="1427" spans="1:20">
      <c r="A1427" s="20">
        <v>202603329634995</v>
      </c>
      <c r="B1427" s="19" t="s">
        <v>20</v>
      </c>
      <c r="C1427" s="19" t="s">
        <v>21</v>
      </c>
      <c r="D1427" s="19" t="s">
        <v>20</v>
      </c>
      <c r="E1427" s="21">
        <v>46204</v>
      </c>
      <c r="F1427" s="21">
        <v>46568</v>
      </c>
      <c r="G1427" s="21"/>
      <c r="H1427" s="21">
        <v>46204</v>
      </c>
      <c r="I1427" s="21">
        <v>46568</v>
      </c>
      <c r="J1427" s="19" t="s">
        <v>2093</v>
      </c>
      <c r="L1427" s="19">
        <v>86.328102749999999</v>
      </c>
      <c r="M1427" s="19">
        <v>86.328102749999999</v>
      </c>
      <c r="N1427" s="19" t="s">
        <v>1475</v>
      </c>
      <c r="O1427" s="20">
        <v>3</v>
      </c>
      <c r="S1427" s="19" t="s">
        <v>20</v>
      </c>
      <c r="T1427" s="19" t="s">
        <v>1471</v>
      </c>
    </row>
    <row r="1428" spans="1:20">
      <c r="A1428" s="20">
        <v>202603329636502</v>
      </c>
      <c r="B1428" s="19" t="s">
        <v>20</v>
      </c>
      <c r="C1428" s="19" t="s">
        <v>21</v>
      </c>
      <c r="D1428" s="19" t="s">
        <v>20</v>
      </c>
      <c r="E1428" s="21">
        <v>46204</v>
      </c>
      <c r="F1428" s="21">
        <v>46568</v>
      </c>
      <c r="G1428" s="21"/>
      <c r="H1428" s="21">
        <v>46204</v>
      </c>
      <c r="I1428" s="21">
        <v>46568</v>
      </c>
      <c r="J1428" s="19" t="s">
        <v>2064</v>
      </c>
      <c r="L1428" s="19">
        <v>99.391890750000002</v>
      </c>
      <c r="M1428" s="19">
        <v>99.391890750000002</v>
      </c>
      <c r="N1428" s="19" t="s">
        <v>1475</v>
      </c>
      <c r="O1428" s="20">
        <v>3</v>
      </c>
      <c r="S1428" s="19" t="s">
        <v>20</v>
      </c>
      <c r="T1428" s="19" t="s">
        <v>1471</v>
      </c>
    </row>
    <row r="1429" spans="1:20">
      <c r="A1429" s="20">
        <v>202603329640863</v>
      </c>
      <c r="B1429" s="19" t="s">
        <v>20</v>
      </c>
      <c r="C1429" s="19" t="s">
        <v>21</v>
      </c>
      <c r="D1429" s="19" t="s">
        <v>20</v>
      </c>
      <c r="E1429" s="21">
        <v>46204</v>
      </c>
      <c r="F1429" s="21">
        <v>46568</v>
      </c>
      <c r="G1429" s="21"/>
      <c r="H1429" s="21">
        <v>46204</v>
      </c>
      <c r="I1429" s="21">
        <v>46568</v>
      </c>
      <c r="J1429" s="19" t="s">
        <v>2065</v>
      </c>
      <c r="L1429" s="19">
        <v>0</v>
      </c>
      <c r="M1429" s="19">
        <v>0</v>
      </c>
      <c r="N1429" s="19" t="s">
        <v>2394</v>
      </c>
      <c r="O1429" s="20">
        <v>4</v>
      </c>
      <c r="S1429" s="19" t="s">
        <v>20</v>
      </c>
      <c r="T1429" s="19" t="s">
        <v>1471</v>
      </c>
    </row>
    <row r="1430" spans="1:20">
      <c r="A1430" s="20">
        <v>202603329640863</v>
      </c>
      <c r="B1430" s="19" t="s">
        <v>20</v>
      </c>
      <c r="C1430" s="19" t="s">
        <v>21</v>
      </c>
      <c r="D1430" s="19" t="s">
        <v>20</v>
      </c>
      <c r="E1430" s="21">
        <v>46204</v>
      </c>
      <c r="F1430" s="21">
        <v>46568</v>
      </c>
      <c r="G1430" s="21"/>
      <c r="H1430" s="21">
        <v>46204</v>
      </c>
      <c r="I1430" s="21">
        <v>46568</v>
      </c>
      <c r="J1430" s="19" t="s">
        <v>2065</v>
      </c>
      <c r="L1430" s="19">
        <v>105.034736</v>
      </c>
      <c r="M1430" s="19">
        <v>105.034736</v>
      </c>
      <c r="N1430" s="19" t="s">
        <v>1475</v>
      </c>
      <c r="O1430" s="20">
        <v>4</v>
      </c>
      <c r="S1430" s="19" t="s">
        <v>20</v>
      </c>
      <c r="T1430" s="19" t="s">
        <v>1471</v>
      </c>
    </row>
    <row r="1431" spans="1:20">
      <c r="A1431" s="20">
        <v>202603329641012</v>
      </c>
      <c r="B1431" s="19" t="s">
        <v>20</v>
      </c>
      <c r="C1431" s="19" t="s">
        <v>21</v>
      </c>
      <c r="D1431" s="19" t="s">
        <v>20</v>
      </c>
      <c r="E1431" s="21">
        <v>46204</v>
      </c>
      <c r="F1431" s="21">
        <v>46568</v>
      </c>
      <c r="G1431" s="21"/>
      <c r="H1431" s="21">
        <v>46204</v>
      </c>
      <c r="I1431" s="21">
        <v>46568</v>
      </c>
      <c r="J1431" s="19" t="s">
        <v>2066</v>
      </c>
      <c r="L1431" s="19">
        <v>0</v>
      </c>
      <c r="M1431" s="19">
        <v>0</v>
      </c>
      <c r="N1431" s="19" t="s">
        <v>2394</v>
      </c>
      <c r="O1431" s="20">
        <v>4</v>
      </c>
      <c r="S1431" s="19" t="s">
        <v>20</v>
      </c>
      <c r="T1431" s="19" t="s">
        <v>1471</v>
      </c>
    </row>
    <row r="1432" spans="1:20">
      <c r="A1432" s="20">
        <v>202603329641012</v>
      </c>
      <c r="B1432" s="19" t="s">
        <v>20</v>
      </c>
      <c r="C1432" s="19" t="s">
        <v>21</v>
      </c>
      <c r="D1432" s="19" t="s">
        <v>20</v>
      </c>
      <c r="E1432" s="21">
        <v>46204</v>
      </c>
      <c r="F1432" s="21">
        <v>46568</v>
      </c>
      <c r="G1432" s="21"/>
      <c r="H1432" s="21">
        <v>46204</v>
      </c>
      <c r="I1432" s="21">
        <v>46568</v>
      </c>
      <c r="J1432" s="19" t="s">
        <v>2066</v>
      </c>
      <c r="L1432" s="19">
        <v>132.52252100000001</v>
      </c>
      <c r="M1432" s="19">
        <v>132.52252100000001</v>
      </c>
      <c r="N1432" s="19" t="s">
        <v>1475</v>
      </c>
      <c r="O1432" s="20">
        <v>4</v>
      </c>
      <c r="S1432" s="19" t="s">
        <v>20</v>
      </c>
      <c r="T1432" s="19" t="s">
        <v>1471</v>
      </c>
    </row>
    <row r="1433" spans="1:20">
      <c r="A1433" s="20">
        <v>202603329641439</v>
      </c>
      <c r="B1433" s="19" t="s">
        <v>20</v>
      </c>
      <c r="C1433" s="19" t="s">
        <v>21</v>
      </c>
      <c r="D1433" s="19" t="s">
        <v>20</v>
      </c>
      <c r="E1433" s="21">
        <v>46204</v>
      </c>
      <c r="F1433" s="21">
        <v>46568</v>
      </c>
      <c r="G1433" s="21"/>
      <c r="H1433" s="21">
        <v>46204</v>
      </c>
      <c r="I1433" s="21">
        <v>46568</v>
      </c>
      <c r="J1433" s="19" t="s">
        <v>2064</v>
      </c>
      <c r="L1433" s="19">
        <v>0</v>
      </c>
      <c r="M1433" s="19">
        <v>0</v>
      </c>
      <c r="N1433" s="19" t="s">
        <v>2394</v>
      </c>
      <c r="O1433" s="20">
        <v>2</v>
      </c>
      <c r="S1433" s="19" t="s">
        <v>20</v>
      </c>
      <c r="T1433" s="19" t="s">
        <v>1471</v>
      </c>
    </row>
    <row r="1434" spans="1:20">
      <c r="A1434" s="20">
        <v>202603329641439</v>
      </c>
      <c r="B1434" s="19" t="s">
        <v>20</v>
      </c>
      <c r="C1434" s="19" t="s">
        <v>21</v>
      </c>
      <c r="D1434" s="19" t="s">
        <v>20</v>
      </c>
      <c r="E1434" s="21">
        <v>46204</v>
      </c>
      <c r="F1434" s="21">
        <v>46568</v>
      </c>
      <c r="G1434" s="21"/>
      <c r="H1434" s="21">
        <v>46204</v>
      </c>
      <c r="I1434" s="21">
        <v>46568</v>
      </c>
      <c r="J1434" s="19" t="s">
        <v>2064</v>
      </c>
      <c r="L1434" s="19">
        <v>66.261260500000006</v>
      </c>
      <c r="M1434" s="19">
        <v>66.261260500000006</v>
      </c>
      <c r="N1434" s="19" t="s">
        <v>1475</v>
      </c>
      <c r="O1434" s="20">
        <v>2</v>
      </c>
      <c r="S1434" s="19" t="s">
        <v>20</v>
      </c>
      <c r="T1434" s="19" t="s">
        <v>1471</v>
      </c>
    </row>
    <row r="1435" spans="1:20">
      <c r="A1435" s="20">
        <v>202603329642822</v>
      </c>
      <c r="B1435" s="19" t="s">
        <v>20</v>
      </c>
      <c r="C1435" s="19" t="s">
        <v>21</v>
      </c>
      <c r="D1435" s="19" t="s">
        <v>20</v>
      </c>
      <c r="E1435" s="21">
        <v>46204</v>
      </c>
      <c r="F1435" s="21">
        <v>46568</v>
      </c>
      <c r="G1435" s="21"/>
      <c r="H1435" s="21">
        <v>46204</v>
      </c>
      <c r="I1435" s="21">
        <v>46568</v>
      </c>
      <c r="J1435" s="19" t="s">
        <v>2101</v>
      </c>
      <c r="L1435" s="19">
        <v>29.817561749999999</v>
      </c>
      <c r="M1435" s="19">
        <v>29.817561749999999</v>
      </c>
      <c r="N1435" s="19" t="s">
        <v>1475</v>
      </c>
      <c r="O1435" s="20">
        <v>1</v>
      </c>
      <c r="S1435" s="19" t="s">
        <v>20</v>
      </c>
      <c r="T1435" s="19" t="s">
        <v>1471</v>
      </c>
    </row>
    <row r="1436" spans="1:20">
      <c r="A1436" s="20">
        <v>202603329643549</v>
      </c>
      <c r="B1436" s="19" t="s">
        <v>20</v>
      </c>
      <c r="C1436" s="19" t="s">
        <v>21</v>
      </c>
      <c r="D1436" s="19" t="s">
        <v>20</v>
      </c>
      <c r="E1436" s="21">
        <v>46204</v>
      </c>
      <c r="F1436" s="21">
        <v>46568</v>
      </c>
      <c r="G1436" s="21"/>
      <c r="H1436" s="21">
        <v>46204</v>
      </c>
      <c r="I1436" s="21">
        <v>46568</v>
      </c>
      <c r="J1436" s="19" t="s">
        <v>2111</v>
      </c>
      <c r="L1436" s="19">
        <v>66.261260500000006</v>
      </c>
      <c r="M1436" s="19">
        <v>66.261260500000006</v>
      </c>
      <c r="N1436" s="19" t="s">
        <v>1475</v>
      </c>
      <c r="O1436" s="20">
        <v>2</v>
      </c>
      <c r="S1436" s="19" t="s">
        <v>20</v>
      </c>
      <c r="T1436" s="19" t="s">
        <v>1471</v>
      </c>
    </row>
    <row r="1437" spans="1:20">
      <c r="A1437" s="20">
        <v>202603329644787</v>
      </c>
      <c r="B1437" s="19" t="s">
        <v>20</v>
      </c>
      <c r="C1437" s="19" t="s">
        <v>21</v>
      </c>
      <c r="D1437" s="19" t="s">
        <v>20</v>
      </c>
      <c r="E1437" s="21">
        <v>46204</v>
      </c>
      <c r="F1437" s="21">
        <v>46568</v>
      </c>
      <c r="G1437" s="21"/>
      <c r="H1437" s="21">
        <v>46204</v>
      </c>
      <c r="I1437" s="21">
        <v>46568</v>
      </c>
      <c r="J1437" s="19" t="s">
        <v>2089</v>
      </c>
      <c r="L1437" s="19">
        <v>0</v>
      </c>
      <c r="M1437" s="19">
        <v>0</v>
      </c>
      <c r="N1437" s="19" t="s">
        <v>2394</v>
      </c>
      <c r="O1437" s="20">
        <v>4</v>
      </c>
      <c r="S1437" s="19" t="s">
        <v>20</v>
      </c>
      <c r="T1437" s="19" t="s">
        <v>1471</v>
      </c>
    </row>
    <row r="1438" spans="1:20">
      <c r="A1438" s="20">
        <v>202603329644787</v>
      </c>
      <c r="B1438" s="19" t="s">
        <v>20</v>
      </c>
      <c r="C1438" s="19" t="s">
        <v>21</v>
      </c>
      <c r="D1438" s="19" t="s">
        <v>20</v>
      </c>
      <c r="E1438" s="21">
        <v>46204</v>
      </c>
      <c r="F1438" s="21">
        <v>46568</v>
      </c>
      <c r="G1438" s="21"/>
      <c r="H1438" s="21">
        <v>46204</v>
      </c>
      <c r="I1438" s="21">
        <v>46568</v>
      </c>
      <c r="J1438" s="19" t="s">
        <v>2089</v>
      </c>
      <c r="L1438" s="19">
        <v>95.873163000000005</v>
      </c>
      <c r="M1438" s="19">
        <v>95.873163000000005</v>
      </c>
      <c r="N1438" s="19" t="s">
        <v>1475</v>
      </c>
      <c r="O1438" s="20">
        <v>4</v>
      </c>
      <c r="S1438" s="19" t="s">
        <v>20</v>
      </c>
      <c r="T1438" s="19" t="s">
        <v>1471</v>
      </c>
    </row>
    <row r="1439" spans="1:20">
      <c r="A1439" s="20">
        <v>202603329644831</v>
      </c>
      <c r="B1439" s="19" t="s">
        <v>20</v>
      </c>
      <c r="C1439" s="19" t="s">
        <v>21</v>
      </c>
      <c r="D1439" s="19" t="s">
        <v>20</v>
      </c>
      <c r="E1439" s="21">
        <v>46204</v>
      </c>
      <c r="F1439" s="21">
        <v>46568</v>
      </c>
      <c r="G1439" s="21"/>
      <c r="H1439" s="21">
        <v>46204</v>
      </c>
      <c r="I1439" s="21">
        <v>46568</v>
      </c>
      <c r="J1439" s="19" t="s">
        <v>2222</v>
      </c>
      <c r="L1439" s="19">
        <v>0</v>
      </c>
      <c r="M1439" s="19">
        <v>0</v>
      </c>
      <c r="N1439" s="19" t="s">
        <v>2394</v>
      </c>
      <c r="O1439" s="20">
        <v>5</v>
      </c>
      <c r="S1439" s="19" t="s">
        <v>20</v>
      </c>
      <c r="T1439" s="19" t="s">
        <v>1471</v>
      </c>
    </row>
    <row r="1440" spans="1:20">
      <c r="A1440" s="20">
        <v>202603329644831</v>
      </c>
      <c r="B1440" s="19" t="s">
        <v>20</v>
      </c>
      <c r="C1440" s="19" t="s">
        <v>21</v>
      </c>
      <c r="D1440" s="19" t="s">
        <v>2309</v>
      </c>
      <c r="E1440" s="21">
        <v>46204</v>
      </c>
      <c r="F1440" s="21">
        <v>46568</v>
      </c>
      <c r="G1440" s="21"/>
      <c r="H1440" s="21">
        <v>46204</v>
      </c>
      <c r="I1440" s="21">
        <v>46568</v>
      </c>
      <c r="J1440" s="19" t="s">
        <v>2222</v>
      </c>
      <c r="L1440" s="19">
        <v>99.579117499999995</v>
      </c>
      <c r="M1440" s="19">
        <v>99.579117499999995</v>
      </c>
      <c r="N1440" s="19" t="s">
        <v>1467</v>
      </c>
      <c r="O1440" s="20">
        <v>5</v>
      </c>
      <c r="S1440" s="19" t="s">
        <v>20</v>
      </c>
      <c r="T1440" s="19" t="s">
        <v>1471</v>
      </c>
    </row>
    <row r="1441" spans="1:20">
      <c r="A1441" s="20">
        <v>202603329645327</v>
      </c>
      <c r="B1441" s="19" t="s">
        <v>20</v>
      </c>
      <c r="C1441" s="19" t="s">
        <v>21</v>
      </c>
      <c r="D1441" s="19" t="s">
        <v>20</v>
      </c>
      <c r="E1441" s="21">
        <v>46204</v>
      </c>
      <c r="F1441" s="21">
        <v>46568</v>
      </c>
      <c r="G1441" s="21"/>
      <c r="H1441" s="21">
        <v>46204</v>
      </c>
      <c r="I1441" s="21">
        <v>46568</v>
      </c>
      <c r="J1441" s="19" t="s">
        <v>2131</v>
      </c>
      <c r="L1441" s="19">
        <v>0</v>
      </c>
      <c r="M1441" s="19">
        <v>0</v>
      </c>
      <c r="N1441" s="19" t="s">
        <v>2394</v>
      </c>
      <c r="O1441" s="20">
        <v>5</v>
      </c>
      <c r="S1441" s="19" t="s">
        <v>20</v>
      </c>
      <c r="T1441" s="19" t="s">
        <v>1471</v>
      </c>
    </row>
    <row r="1442" spans="1:20">
      <c r="A1442" s="20">
        <v>202603329645327</v>
      </c>
      <c r="B1442" s="19" t="s">
        <v>20</v>
      </c>
      <c r="C1442" s="19" t="s">
        <v>21</v>
      </c>
      <c r="D1442" s="19" t="s">
        <v>20</v>
      </c>
      <c r="E1442" s="21">
        <v>46204</v>
      </c>
      <c r="F1442" s="21">
        <v>46568</v>
      </c>
      <c r="G1442" s="21"/>
      <c r="H1442" s="21">
        <v>46204</v>
      </c>
      <c r="I1442" s="21">
        <v>46568</v>
      </c>
      <c r="J1442" s="19" t="s">
        <v>2131</v>
      </c>
      <c r="L1442" s="19">
        <v>193.29779500000001</v>
      </c>
      <c r="M1442" s="19">
        <v>193.29779500000001</v>
      </c>
      <c r="N1442" s="19" t="s">
        <v>1475</v>
      </c>
      <c r="O1442" s="20">
        <v>5</v>
      </c>
      <c r="S1442" s="19" t="s">
        <v>20</v>
      </c>
      <c r="T1442" s="19" t="s">
        <v>1471</v>
      </c>
    </row>
    <row r="1443" spans="1:20">
      <c r="A1443" s="20">
        <v>202603329645733</v>
      </c>
      <c r="B1443" s="19" t="s">
        <v>20</v>
      </c>
      <c r="C1443" s="19" t="s">
        <v>21</v>
      </c>
      <c r="D1443" s="19" t="s">
        <v>20</v>
      </c>
      <c r="E1443" s="21">
        <v>46204</v>
      </c>
      <c r="F1443" s="21">
        <v>46568</v>
      </c>
      <c r="G1443" s="21"/>
      <c r="H1443" s="21">
        <v>46204</v>
      </c>
      <c r="I1443" s="21">
        <v>46568</v>
      </c>
      <c r="J1443" s="19" t="s">
        <v>2310</v>
      </c>
      <c r="L1443" s="19">
        <v>38.659559000000002</v>
      </c>
      <c r="M1443" s="19">
        <v>38.659559000000002</v>
      </c>
      <c r="N1443" s="19" t="s">
        <v>1475</v>
      </c>
      <c r="O1443" s="20">
        <v>1</v>
      </c>
      <c r="S1443" s="19" t="s">
        <v>20</v>
      </c>
      <c r="T1443" s="19" t="s">
        <v>1471</v>
      </c>
    </row>
    <row r="1444" spans="1:20">
      <c r="A1444" s="20">
        <v>202603329645997</v>
      </c>
      <c r="B1444" s="19" t="s">
        <v>20</v>
      </c>
      <c r="C1444" s="19" t="s">
        <v>21</v>
      </c>
      <c r="D1444" s="19" t="s">
        <v>20</v>
      </c>
      <c r="E1444" s="21">
        <v>46204</v>
      </c>
      <c r="F1444" s="21">
        <v>46568</v>
      </c>
      <c r="G1444" s="21"/>
      <c r="H1444" s="21">
        <v>46204</v>
      </c>
      <c r="I1444" s="21">
        <v>46568</v>
      </c>
      <c r="J1444" s="19" t="s">
        <v>2062</v>
      </c>
      <c r="L1444" s="19">
        <v>0</v>
      </c>
      <c r="M1444" s="19">
        <v>0</v>
      </c>
      <c r="N1444" s="19" t="s">
        <v>2394</v>
      </c>
      <c r="O1444" s="20">
        <v>5</v>
      </c>
      <c r="S1444" s="19" t="s">
        <v>20</v>
      </c>
      <c r="T1444" s="19" t="s">
        <v>1471</v>
      </c>
    </row>
    <row r="1445" spans="1:20">
      <c r="A1445" s="20">
        <v>202603329645997</v>
      </c>
      <c r="B1445" s="19" t="s">
        <v>20</v>
      </c>
      <c r="C1445" s="19" t="s">
        <v>21</v>
      </c>
      <c r="D1445" s="19" t="s">
        <v>20</v>
      </c>
      <c r="E1445" s="21">
        <v>46204</v>
      </c>
      <c r="F1445" s="21">
        <v>46568</v>
      </c>
      <c r="G1445" s="21"/>
      <c r="H1445" s="21">
        <v>46204</v>
      </c>
      <c r="I1445" s="21">
        <v>46568</v>
      </c>
      <c r="J1445" s="19" t="s">
        <v>2062</v>
      </c>
      <c r="L1445" s="19">
        <v>165.65315125000001</v>
      </c>
      <c r="M1445" s="19">
        <v>165.65315125000001</v>
      </c>
      <c r="N1445" s="19" t="s">
        <v>1475</v>
      </c>
      <c r="O1445" s="20">
        <v>5</v>
      </c>
      <c r="S1445" s="19" t="s">
        <v>20</v>
      </c>
      <c r="T1445" s="19" t="s">
        <v>1471</v>
      </c>
    </row>
    <row r="1446" spans="1:20">
      <c r="A1446" s="20">
        <v>202603329646222</v>
      </c>
      <c r="B1446" s="19" t="s">
        <v>20</v>
      </c>
      <c r="C1446" s="19" t="s">
        <v>21</v>
      </c>
      <c r="D1446" s="19" t="s">
        <v>20</v>
      </c>
      <c r="E1446" s="21">
        <v>46204</v>
      </c>
      <c r="F1446" s="21">
        <v>46568</v>
      </c>
      <c r="G1446" s="21"/>
      <c r="H1446" s="21">
        <v>46204</v>
      </c>
      <c r="I1446" s="21">
        <v>46568</v>
      </c>
      <c r="J1446" s="19" t="s">
        <v>2105</v>
      </c>
      <c r="L1446" s="19">
        <v>26.258683999999999</v>
      </c>
      <c r="M1446" s="19">
        <v>26.258683999999999</v>
      </c>
      <c r="N1446" s="19" t="s">
        <v>1475</v>
      </c>
      <c r="O1446" s="20">
        <v>1</v>
      </c>
      <c r="S1446" s="19" t="s">
        <v>20</v>
      </c>
      <c r="T1446" s="19" t="s">
        <v>1471</v>
      </c>
    </row>
    <row r="1447" spans="1:20">
      <c r="A1447" s="20">
        <v>202603329646984</v>
      </c>
      <c r="B1447" s="19" t="s">
        <v>20</v>
      </c>
      <c r="C1447" s="19" t="s">
        <v>21</v>
      </c>
      <c r="D1447" s="19" t="s">
        <v>20</v>
      </c>
      <c r="E1447" s="21">
        <v>46204</v>
      </c>
      <c r="F1447" s="21">
        <v>46568</v>
      </c>
      <c r="G1447" s="21"/>
      <c r="H1447" s="21">
        <v>46204</v>
      </c>
      <c r="I1447" s="21">
        <v>46568</v>
      </c>
      <c r="J1447" s="19" t="s">
        <v>2064</v>
      </c>
      <c r="L1447" s="19">
        <v>0</v>
      </c>
      <c r="M1447" s="19">
        <v>0</v>
      </c>
      <c r="N1447" s="19" t="s">
        <v>2394</v>
      </c>
      <c r="O1447" s="20">
        <v>6</v>
      </c>
      <c r="S1447" s="19" t="s">
        <v>20</v>
      </c>
      <c r="T1447" s="19" t="s">
        <v>1471</v>
      </c>
    </row>
    <row r="1448" spans="1:20">
      <c r="A1448" s="20">
        <v>202603329646984</v>
      </c>
      <c r="B1448" s="19" t="s">
        <v>20</v>
      </c>
      <c r="C1448" s="19" t="s">
        <v>21</v>
      </c>
      <c r="D1448" s="19" t="s">
        <v>20</v>
      </c>
      <c r="E1448" s="21">
        <v>46204</v>
      </c>
      <c r="F1448" s="21">
        <v>46568</v>
      </c>
      <c r="G1448" s="21"/>
      <c r="H1448" s="21">
        <v>46204</v>
      </c>
      <c r="I1448" s="21">
        <v>46568</v>
      </c>
      <c r="J1448" s="19" t="s">
        <v>2064</v>
      </c>
      <c r="L1448" s="19">
        <v>198.7837815</v>
      </c>
      <c r="M1448" s="19">
        <v>198.7837815</v>
      </c>
      <c r="N1448" s="19" t="s">
        <v>1475</v>
      </c>
      <c r="O1448" s="20">
        <v>6</v>
      </c>
      <c r="S1448" s="19" t="s">
        <v>20</v>
      </c>
      <c r="T1448" s="19" t="s">
        <v>1471</v>
      </c>
    </row>
    <row r="1449" spans="1:20">
      <c r="A1449" s="20">
        <v>202603329646986</v>
      </c>
      <c r="B1449" s="19" t="s">
        <v>20</v>
      </c>
      <c r="C1449" s="19" t="s">
        <v>21</v>
      </c>
      <c r="D1449" s="19" t="s">
        <v>20</v>
      </c>
      <c r="E1449" s="21">
        <v>46204</v>
      </c>
      <c r="F1449" s="21">
        <v>46568</v>
      </c>
      <c r="G1449" s="21"/>
      <c r="H1449" s="21">
        <v>46204</v>
      </c>
      <c r="I1449" s="21">
        <v>46568</v>
      </c>
      <c r="J1449" s="19" t="s">
        <v>2065</v>
      </c>
      <c r="L1449" s="19">
        <v>0</v>
      </c>
      <c r="M1449" s="19">
        <v>0</v>
      </c>
      <c r="N1449" s="19" t="s">
        <v>2394</v>
      </c>
      <c r="O1449" s="20">
        <v>7</v>
      </c>
      <c r="S1449" s="19" t="s">
        <v>20</v>
      </c>
      <c r="T1449" s="19" t="s">
        <v>1471</v>
      </c>
    </row>
    <row r="1450" spans="1:20">
      <c r="A1450" s="20">
        <v>202603329646986</v>
      </c>
      <c r="B1450" s="19" t="s">
        <v>20</v>
      </c>
      <c r="C1450" s="19" t="s">
        <v>21</v>
      </c>
      <c r="D1450" s="19" t="s">
        <v>20</v>
      </c>
      <c r="E1450" s="21">
        <v>46204</v>
      </c>
      <c r="F1450" s="21">
        <v>46568</v>
      </c>
      <c r="G1450" s="21"/>
      <c r="H1450" s="21">
        <v>46204</v>
      </c>
      <c r="I1450" s="21">
        <v>46568</v>
      </c>
      <c r="J1450" s="19" t="s">
        <v>2065</v>
      </c>
      <c r="L1450" s="19">
        <v>183.810788</v>
      </c>
      <c r="M1450" s="19">
        <v>183.810788</v>
      </c>
      <c r="N1450" s="19" t="s">
        <v>1475</v>
      </c>
      <c r="O1450" s="20">
        <v>7</v>
      </c>
      <c r="S1450" s="19" t="s">
        <v>20</v>
      </c>
      <c r="T1450" s="19" t="s">
        <v>1471</v>
      </c>
    </row>
    <row r="1451" spans="1:20">
      <c r="A1451" s="20">
        <v>202603329647225</v>
      </c>
      <c r="B1451" s="19" t="s">
        <v>20</v>
      </c>
      <c r="C1451" s="19" t="s">
        <v>21</v>
      </c>
      <c r="D1451" s="19" t="s">
        <v>20</v>
      </c>
      <c r="E1451" s="21">
        <v>46204</v>
      </c>
      <c r="F1451" s="21">
        <v>46568</v>
      </c>
      <c r="G1451" s="21"/>
      <c r="H1451" s="21">
        <v>46204</v>
      </c>
      <c r="I1451" s="21">
        <v>46568</v>
      </c>
      <c r="J1451" s="19" t="s">
        <v>2153</v>
      </c>
      <c r="L1451" s="19">
        <v>0</v>
      </c>
      <c r="M1451" s="19">
        <v>0</v>
      </c>
      <c r="N1451" s="19" t="s">
        <v>2394</v>
      </c>
      <c r="O1451" s="20">
        <v>4</v>
      </c>
      <c r="S1451" s="19" t="s">
        <v>20</v>
      </c>
      <c r="T1451" s="19" t="s">
        <v>1471</v>
      </c>
    </row>
    <row r="1452" spans="1:20">
      <c r="A1452" s="20">
        <v>202603329647225</v>
      </c>
      <c r="B1452" s="19" t="s">
        <v>20</v>
      </c>
      <c r="C1452" s="19" t="s">
        <v>21</v>
      </c>
      <c r="D1452" s="19" t="s">
        <v>20</v>
      </c>
      <c r="E1452" s="21">
        <v>46204</v>
      </c>
      <c r="F1452" s="21">
        <v>46568</v>
      </c>
      <c r="G1452" s="21"/>
      <c r="H1452" s="21">
        <v>46204</v>
      </c>
      <c r="I1452" s="21">
        <v>46568</v>
      </c>
      <c r="J1452" s="19" t="s">
        <v>2153</v>
      </c>
      <c r="L1452" s="19">
        <v>95.873163000000005</v>
      </c>
      <c r="M1452" s="19">
        <v>95.873163000000005</v>
      </c>
      <c r="N1452" s="19" t="s">
        <v>1475</v>
      </c>
      <c r="O1452" s="20">
        <v>4</v>
      </c>
      <c r="S1452" s="19" t="s">
        <v>20</v>
      </c>
      <c r="T1452" s="19" t="s">
        <v>1471</v>
      </c>
    </row>
    <row r="1453" spans="1:20">
      <c r="A1453" s="20">
        <v>202603329647343</v>
      </c>
      <c r="B1453" s="19" t="s">
        <v>20</v>
      </c>
      <c r="C1453" s="19" t="s">
        <v>21</v>
      </c>
      <c r="D1453" s="19" t="s">
        <v>20</v>
      </c>
      <c r="E1453" s="21">
        <v>46204</v>
      </c>
      <c r="F1453" s="21">
        <v>46568</v>
      </c>
      <c r="G1453" s="21"/>
      <c r="H1453" s="21">
        <v>46204</v>
      </c>
      <c r="I1453" s="21">
        <v>46568</v>
      </c>
      <c r="J1453" s="19" t="s">
        <v>2069</v>
      </c>
      <c r="L1453" s="19">
        <v>33.130630250000003</v>
      </c>
      <c r="M1453" s="19">
        <v>33.130630250000003</v>
      </c>
      <c r="N1453" s="19" t="s">
        <v>1475</v>
      </c>
      <c r="O1453" s="20">
        <v>1</v>
      </c>
      <c r="S1453" s="19" t="s">
        <v>20</v>
      </c>
      <c r="T1453" s="19" t="s">
        <v>1471</v>
      </c>
    </row>
    <row r="1454" spans="1:20">
      <c r="A1454" s="20">
        <v>202603329647552</v>
      </c>
      <c r="B1454" s="19" t="s">
        <v>20</v>
      </c>
      <c r="C1454" s="19" t="s">
        <v>21</v>
      </c>
      <c r="D1454" s="19" t="s">
        <v>20</v>
      </c>
      <c r="E1454" s="21">
        <v>46204</v>
      </c>
      <c r="F1454" s="21">
        <v>46568</v>
      </c>
      <c r="G1454" s="21"/>
      <c r="H1454" s="21">
        <v>46204</v>
      </c>
      <c r="I1454" s="21">
        <v>46568</v>
      </c>
      <c r="J1454" s="19" t="s">
        <v>2085</v>
      </c>
      <c r="L1454" s="19">
        <v>0</v>
      </c>
      <c r="M1454" s="19">
        <v>0</v>
      </c>
      <c r="N1454" s="19" t="s">
        <v>2394</v>
      </c>
      <c r="O1454" s="20">
        <v>4</v>
      </c>
      <c r="S1454" s="19" t="s">
        <v>20</v>
      </c>
      <c r="T1454" s="19" t="s">
        <v>1471</v>
      </c>
    </row>
    <row r="1455" spans="1:20">
      <c r="A1455" s="20">
        <v>202603329647552</v>
      </c>
      <c r="B1455" s="19" t="s">
        <v>20</v>
      </c>
      <c r="C1455" s="19" t="s">
        <v>21</v>
      </c>
      <c r="D1455" s="19" t="s">
        <v>20</v>
      </c>
      <c r="E1455" s="21">
        <v>46204</v>
      </c>
      <c r="F1455" s="21">
        <v>46568</v>
      </c>
      <c r="G1455" s="21"/>
      <c r="H1455" s="21">
        <v>46204</v>
      </c>
      <c r="I1455" s="21">
        <v>46568</v>
      </c>
      <c r="J1455" s="19" t="s">
        <v>2085</v>
      </c>
      <c r="L1455" s="19">
        <v>98.482693999999995</v>
      </c>
      <c r="M1455" s="19">
        <v>98.482693999999995</v>
      </c>
      <c r="N1455" s="19" t="s">
        <v>1475</v>
      </c>
      <c r="O1455" s="20">
        <v>4</v>
      </c>
      <c r="S1455" s="19" t="s">
        <v>20</v>
      </c>
      <c r="T1455" s="19" t="s">
        <v>1471</v>
      </c>
    </row>
    <row r="1456" spans="1:20">
      <c r="A1456" s="20">
        <v>202603329647569</v>
      </c>
      <c r="B1456" s="19" t="s">
        <v>20</v>
      </c>
      <c r="C1456" s="19" t="s">
        <v>21</v>
      </c>
      <c r="D1456" s="19" t="s">
        <v>20</v>
      </c>
      <c r="E1456" s="21">
        <v>46204</v>
      </c>
      <c r="F1456" s="21">
        <v>46568</v>
      </c>
      <c r="G1456" s="21"/>
      <c r="H1456" s="21">
        <v>46204</v>
      </c>
      <c r="I1456" s="21">
        <v>46568</v>
      </c>
      <c r="J1456" s="19" t="s">
        <v>2093</v>
      </c>
      <c r="L1456" s="19">
        <v>0</v>
      </c>
      <c r="M1456" s="19">
        <v>0</v>
      </c>
      <c r="N1456" s="19" t="s">
        <v>2394</v>
      </c>
      <c r="O1456" s="20">
        <v>2</v>
      </c>
      <c r="S1456" s="19" t="s">
        <v>20</v>
      </c>
      <c r="T1456" s="19" t="s">
        <v>1471</v>
      </c>
    </row>
    <row r="1457" spans="1:20">
      <c r="A1457" s="20">
        <v>202603329647569</v>
      </c>
      <c r="B1457" s="19" t="s">
        <v>20</v>
      </c>
      <c r="C1457" s="19" t="s">
        <v>21</v>
      </c>
      <c r="D1457" s="19" t="s">
        <v>20</v>
      </c>
      <c r="E1457" s="21">
        <v>46204</v>
      </c>
      <c r="F1457" s="21">
        <v>46568</v>
      </c>
      <c r="G1457" s="21"/>
      <c r="H1457" s="21">
        <v>46204</v>
      </c>
      <c r="I1457" s="21">
        <v>46568</v>
      </c>
      <c r="J1457" s="19" t="s">
        <v>2093</v>
      </c>
      <c r="L1457" s="19">
        <v>57.552068499999997</v>
      </c>
      <c r="M1457" s="19">
        <v>57.552068499999997</v>
      </c>
      <c r="N1457" s="19" t="s">
        <v>1475</v>
      </c>
      <c r="O1457" s="20">
        <v>2</v>
      </c>
      <c r="S1457" s="19" t="s">
        <v>20</v>
      </c>
      <c r="T1457" s="19" t="s">
        <v>1471</v>
      </c>
    </row>
    <row r="1458" spans="1:20">
      <c r="A1458" s="20">
        <v>202603329649855</v>
      </c>
      <c r="B1458" s="19" t="s">
        <v>20</v>
      </c>
      <c r="C1458" s="19" t="s">
        <v>21</v>
      </c>
      <c r="D1458" s="19" t="s">
        <v>20</v>
      </c>
      <c r="E1458" s="21">
        <v>46204</v>
      </c>
      <c r="F1458" s="21">
        <v>46568</v>
      </c>
      <c r="G1458" s="21"/>
      <c r="H1458" s="21">
        <v>46204</v>
      </c>
      <c r="I1458" s="21">
        <v>46568</v>
      </c>
      <c r="J1458" s="19" t="s">
        <v>2272</v>
      </c>
      <c r="L1458" s="19">
        <v>0</v>
      </c>
      <c r="M1458" s="19">
        <v>0</v>
      </c>
      <c r="N1458" s="19" t="s">
        <v>2394</v>
      </c>
      <c r="O1458" s="20">
        <v>3</v>
      </c>
      <c r="S1458" s="19" t="s">
        <v>20</v>
      </c>
      <c r="T1458" s="19" t="s">
        <v>1471</v>
      </c>
    </row>
    <row r="1459" spans="1:20">
      <c r="A1459" s="20">
        <v>202603329649855</v>
      </c>
      <c r="B1459" s="19" t="s">
        <v>20</v>
      </c>
      <c r="C1459" s="19" t="s">
        <v>21</v>
      </c>
      <c r="D1459" s="19" t="s">
        <v>20</v>
      </c>
      <c r="E1459" s="21">
        <v>46204</v>
      </c>
      <c r="F1459" s="21">
        <v>46568</v>
      </c>
      <c r="G1459" s="21"/>
      <c r="H1459" s="21">
        <v>46204</v>
      </c>
      <c r="I1459" s="21">
        <v>46568</v>
      </c>
      <c r="J1459" s="19" t="s">
        <v>2272</v>
      </c>
      <c r="L1459" s="19">
        <v>99.391890750000002</v>
      </c>
      <c r="M1459" s="19">
        <v>99.391890750000002</v>
      </c>
      <c r="N1459" s="19" t="s">
        <v>1475</v>
      </c>
      <c r="O1459" s="20">
        <v>3</v>
      </c>
      <c r="S1459" s="19" t="s">
        <v>20</v>
      </c>
      <c r="T1459" s="19" t="s">
        <v>1471</v>
      </c>
    </row>
    <row r="1460" spans="1:20">
      <c r="A1460" s="20">
        <v>202603329652230</v>
      </c>
      <c r="B1460" s="19" t="s">
        <v>20</v>
      </c>
      <c r="C1460" s="19" t="s">
        <v>21</v>
      </c>
      <c r="D1460" s="19" t="s">
        <v>20</v>
      </c>
      <c r="E1460" s="21">
        <v>46204</v>
      </c>
      <c r="F1460" s="21">
        <v>46568</v>
      </c>
      <c r="G1460" s="21"/>
      <c r="H1460" s="21">
        <v>46204</v>
      </c>
      <c r="I1460" s="21">
        <v>46568</v>
      </c>
      <c r="J1460" s="19" t="s">
        <v>2064</v>
      </c>
      <c r="L1460" s="19">
        <v>33.130630250000003</v>
      </c>
      <c r="M1460" s="19">
        <v>33.130630250000003</v>
      </c>
      <c r="N1460" s="19" t="s">
        <v>1475</v>
      </c>
      <c r="O1460" s="20">
        <v>1</v>
      </c>
      <c r="S1460" s="19" t="s">
        <v>20</v>
      </c>
      <c r="T1460" s="19" t="s">
        <v>1471</v>
      </c>
    </row>
    <row r="1461" spans="1:20">
      <c r="A1461" s="20">
        <v>202603329654007</v>
      </c>
      <c r="B1461" s="19" t="s">
        <v>20</v>
      </c>
      <c r="C1461" s="19" t="s">
        <v>21</v>
      </c>
      <c r="D1461" s="19" t="s">
        <v>20</v>
      </c>
      <c r="E1461" s="21">
        <v>46204</v>
      </c>
      <c r="F1461" s="21">
        <v>46568</v>
      </c>
      <c r="G1461" s="21"/>
      <c r="H1461" s="21">
        <v>46204</v>
      </c>
      <c r="I1461" s="21">
        <v>46568</v>
      </c>
      <c r="J1461" s="19" t="s">
        <v>2064</v>
      </c>
      <c r="L1461" s="19">
        <v>0</v>
      </c>
      <c r="M1461" s="19">
        <v>0</v>
      </c>
      <c r="N1461" s="19" t="s">
        <v>2394</v>
      </c>
      <c r="O1461" s="20">
        <v>2</v>
      </c>
      <c r="S1461" s="19" t="s">
        <v>20</v>
      </c>
      <c r="T1461" s="19" t="s">
        <v>1471</v>
      </c>
    </row>
    <row r="1462" spans="1:20">
      <c r="A1462" s="20">
        <v>202603329654007</v>
      </c>
      <c r="B1462" s="19" t="s">
        <v>20</v>
      </c>
      <c r="C1462" s="19" t="s">
        <v>21</v>
      </c>
      <c r="D1462" s="19" t="s">
        <v>20</v>
      </c>
      <c r="E1462" s="21">
        <v>46204</v>
      </c>
      <c r="F1462" s="21">
        <v>46568</v>
      </c>
      <c r="G1462" s="21"/>
      <c r="H1462" s="21">
        <v>46204</v>
      </c>
      <c r="I1462" s="21">
        <v>46568</v>
      </c>
      <c r="J1462" s="19" t="s">
        <v>2064</v>
      </c>
      <c r="L1462" s="19">
        <v>66.261260500000006</v>
      </c>
      <c r="M1462" s="19">
        <v>66.261260500000006</v>
      </c>
      <c r="N1462" s="19" t="s">
        <v>1475</v>
      </c>
      <c r="O1462" s="20">
        <v>2</v>
      </c>
      <c r="S1462" s="19" t="s">
        <v>20</v>
      </c>
      <c r="T1462" s="19" t="s">
        <v>1471</v>
      </c>
    </row>
    <row r="1463" spans="1:20">
      <c r="A1463" s="20">
        <v>202603329656279</v>
      </c>
      <c r="B1463" s="19" t="s">
        <v>20</v>
      </c>
      <c r="C1463" s="19" t="s">
        <v>21</v>
      </c>
      <c r="D1463" s="19" t="s">
        <v>20</v>
      </c>
      <c r="E1463" s="21">
        <v>46204</v>
      </c>
      <c r="F1463" s="21">
        <v>46568</v>
      </c>
      <c r="G1463" s="21"/>
      <c r="H1463" s="21">
        <v>46204</v>
      </c>
      <c r="I1463" s="21">
        <v>46568</v>
      </c>
      <c r="J1463" s="19" t="s">
        <v>2114</v>
      </c>
      <c r="L1463" s="19">
        <v>66.261260500000006</v>
      </c>
      <c r="M1463" s="19">
        <v>66.261260500000006</v>
      </c>
      <c r="N1463" s="19" t="s">
        <v>1475</v>
      </c>
      <c r="O1463" s="20">
        <v>2</v>
      </c>
      <c r="S1463" s="19" t="s">
        <v>20</v>
      </c>
      <c r="T1463" s="19" t="s">
        <v>1471</v>
      </c>
    </row>
    <row r="1464" spans="1:20">
      <c r="A1464" s="20">
        <v>202603329657757</v>
      </c>
      <c r="B1464" s="19" t="s">
        <v>20</v>
      </c>
      <c r="C1464" s="19" t="s">
        <v>21</v>
      </c>
      <c r="D1464" s="19" t="s">
        <v>20</v>
      </c>
      <c r="E1464" s="21">
        <v>46204</v>
      </c>
      <c r="F1464" s="21">
        <v>46568</v>
      </c>
      <c r="G1464" s="21"/>
      <c r="H1464" s="21">
        <v>46204</v>
      </c>
      <c r="I1464" s="21">
        <v>46568</v>
      </c>
      <c r="J1464" s="19" t="s">
        <v>2193</v>
      </c>
      <c r="L1464" s="19">
        <v>0</v>
      </c>
      <c r="M1464" s="19">
        <v>0</v>
      </c>
      <c r="N1464" s="19" t="s">
        <v>2394</v>
      </c>
      <c r="O1464" s="20">
        <v>6</v>
      </c>
      <c r="S1464" s="19" t="s">
        <v>20</v>
      </c>
      <c r="T1464" s="19" t="s">
        <v>1471</v>
      </c>
    </row>
    <row r="1465" spans="1:20">
      <c r="A1465" s="20">
        <v>202603329657757</v>
      </c>
      <c r="B1465" s="19" t="s">
        <v>20</v>
      </c>
      <c r="C1465" s="19" t="s">
        <v>21</v>
      </c>
      <c r="D1465" s="19" t="s">
        <v>20</v>
      </c>
      <c r="E1465" s="21">
        <v>46204</v>
      </c>
      <c r="F1465" s="21">
        <v>46568</v>
      </c>
      <c r="G1465" s="21"/>
      <c r="H1465" s="21">
        <v>46204</v>
      </c>
      <c r="I1465" s="21">
        <v>46568</v>
      </c>
      <c r="J1465" s="19" t="s">
        <v>2193</v>
      </c>
      <c r="L1465" s="19">
        <v>178.9053705</v>
      </c>
      <c r="M1465" s="19">
        <v>178.9053705</v>
      </c>
      <c r="N1465" s="19" t="s">
        <v>1475</v>
      </c>
      <c r="O1465" s="20">
        <v>6</v>
      </c>
      <c r="S1465" s="19" t="s">
        <v>20</v>
      </c>
      <c r="T1465" s="19" t="s">
        <v>1471</v>
      </c>
    </row>
    <row r="1466" spans="1:20">
      <c r="A1466" s="20">
        <v>202603329658265</v>
      </c>
      <c r="B1466" s="19" t="s">
        <v>20</v>
      </c>
      <c r="C1466" s="19" t="s">
        <v>21</v>
      </c>
      <c r="D1466" s="19" t="s">
        <v>20</v>
      </c>
      <c r="E1466" s="21">
        <v>46204</v>
      </c>
      <c r="F1466" s="21">
        <v>46568</v>
      </c>
      <c r="G1466" s="21"/>
      <c r="H1466" s="21">
        <v>46204</v>
      </c>
      <c r="I1466" s="21">
        <v>46568</v>
      </c>
      <c r="J1466" s="19" t="s">
        <v>2101</v>
      </c>
      <c r="L1466" s="19">
        <v>0</v>
      </c>
      <c r="M1466" s="19">
        <v>0</v>
      </c>
      <c r="N1466" s="19" t="s">
        <v>2394</v>
      </c>
      <c r="O1466" s="20">
        <v>3</v>
      </c>
      <c r="S1466" s="19" t="s">
        <v>20</v>
      </c>
      <c r="T1466" s="19" t="s">
        <v>1471</v>
      </c>
    </row>
    <row r="1467" spans="1:20">
      <c r="A1467" s="20">
        <v>202603329658265</v>
      </c>
      <c r="B1467" s="19" t="s">
        <v>20</v>
      </c>
      <c r="C1467" s="19" t="s">
        <v>21</v>
      </c>
      <c r="D1467" s="19" t="s">
        <v>2311</v>
      </c>
      <c r="E1467" s="21">
        <v>46204</v>
      </c>
      <c r="F1467" s="21">
        <v>46568</v>
      </c>
      <c r="G1467" s="21"/>
      <c r="H1467" s="21">
        <v>46204</v>
      </c>
      <c r="I1467" s="21">
        <v>46568</v>
      </c>
      <c r="J1467" s="19" t="s">
        <v>2101</v>
      </c>
      <c r="L1467" s="19">
        <v>45.163439250000003</v>
      </c>
      <c r="M1467" s="19">
        <v>45.163439250000003</v>
      </c>
      <c r="N1467" s="19" t="s">
        <v>1467</v>
      </c>
      <c r="O1467" s="20">
        <v>3</v>
      </c>
      <c r="S1467" s="19" t="s">
        <v>20</v>
      </c>
      <c r="T1467" s="19" t="s">
        <v>1471</v>
      </c>
    </row>
    <row r="1468" spans="1:20">
      <c r="A1468" s="20">
        <v>202603329658506</v>
      </c>
      <c r="B1468" s="19" t="s">
        <v>20</v>
      </c>
      <c r="C1468" s="19" t="s">
        <v>21</v>
      </c>
      <c r="D1468" s="19" t="s">
        <v>20</v>
      </c>
      <c r="E1468" s="21">
        <v>46204</v>
      </c>
      <c r="F1468" s="21">
        <v>46568</v>
      </c>
      <c r="G1468" s="21"/>
      <c r="H1468" s="21">
        <v>46204</v>
      </c>
      <c r="I1468" s="21">
        <v>46568</v>
      </c>
      <c r="J1468" s="19" t="s">
        <v>1473</v>
      </c>
      <c r="L1468" s="19">
        <v>0</v>
      </c>
      <c r="M1468" s="19">
        <v>0</v>
      </c>
      <c r="N1468" s="19" t="s">
        <v>2394</v>
      </c>
      <c r="O1468" s="20">
        <v>3</v>
      </c>
      <c r="S1468" s="19" t="s">
        <v>20</v>
      </c>
      <c r="T1468" s="19" t="s">
        <v>1471</v>
      </c>
    </row>
    <row r="1469" spans="1:20">
      <c r="A1469" s="20">
        <v>202603329658506</v>
      </c>
      <c r="B1469" s="19" t="s">
        <v>20</v>
      </c>
      <c r="C1469" s="19" t="s">
        <v>21</v>
      </c>
      <c r="D1469" s="19" t="s">
        <v>20</v>
      </c>
      <c r="E1469" s="21">
        <v>46204</v>
      </c>
      <c r="F1469" s="21">
        <v>46568</v>
      </c>
      <c r="G1469" s="21"/>
      <c r="H1469" s="21">
        <v>46204</v>
      </c>
      <c r="I1469" s="21">
        <v>46568</v>
      </c>
      <c r="J1469" s="19" t="s">
        <v>1473</v>
      </c>
      <c r="L1469" s="19">
        <v>73.8620205</v>
      </c>
      <c r="M1469" s="19">
        <v>73.8620205</v>
      </c>
      <c r="N1469" s="19" t="s">
        <v>1475</v>
      </c>
      <c r="O1469" s="20">
        <v>3</v>
      </c>
      <c r="S1469" s="19" t="s">
        <v>20</v>
      </c>
      <c r="T1469" s="19" t="s">
        <v>1471</v>
      </c>
    </row>
    <row r="1470" spans="1:20">
      <c r="A1470" s="20">
        <v>202603329659497</v>
      </c>
      <c r="B1470" s="19" t="s">
        <v>20</v>
      </c>
      <c r="C1470" s="19" t="s">
        <v>21</v>
      </c>
      <c r="D1470" s="19" t="s">
        <v>20</v>
      </c>
      <c r="E1470" s="21">
        <v>46204</v>
      </c>
      <c r="F1470" s="21">
        <v>46568</v>
      </c>
      <c r="G1470" s="21"/>
      <c r="H1470" s="21">
        <v>46204</v>
      </c>
      <c r="I1470" s="21">
        <v>46568</v>
      </c>
      <c r="J1470" s="19" t="s">
        <v>2118</v>
      </c>
      <c r="L1470" s="19">
        <v>0</v>
      </c>
      <c r="M1470" s="19">
        <v>0</v>
      </c>
      <c r="N1470" s="19" t="s">
        <v>2394</v>
      </c>
      <c r="O1470" s="20">
        <v>3</v>
      </c>
      <c r="S1470" s="19" t="s">
        <v>20</v>
      </c>
      <c r="T1470" s="19" t="s">
        <v>1471</v>
      </c>
    </row>
    <row r="1471" spans="1:20">
      <c r="A1471" s="20">
        <v>202603329659497</v>
      </c>
      <c r="B1471" s="19" t="s">
        <v>20</v>
      </c>
      <c r="C1471" s="19" t="s">
        <v>21</v>
      </c>
      <c r="D1471" s="19" t="s">
        <v>20</v>
      </c>
      <c r="E1471" s="21">
        <v>46204</v>
      </c>
      <c r="F1471" s="21">
        <v>46568</v>
      </c>
      <c r="G1471" s="21"/>
      <c r="H1471" s="21">
        <v>46204</v>
      </c>
      <c r="I1471" s="21">
        <v>46568</v>
      </c>
      <c r="J1471" s="19" t="s">
        <v>2118</v>
      </c>
      <c r="L1471" s="19">
        <v>99.391890750000002</v>
      </c>
      <c r="M1471" s="19">
        <v>99.391890750000002</v>
      </c>
      <c r="N1471" s="19" t="s">
        <v>1475</v>
      </c>
      <c r="O1471" s="20">
        <v>3</v>
      </c>
      <c r="S1471" s="19" t="s">
        <v>20</v>
      </c>
      <c r="T1471" s="19" t="s">
        <v>1471</v>
      </c>
    </row>
    <row r="1472" spans="1:20">
      <c r="A1472" s="20">
        <v>202603329659655</v>
      </c>
      <c r="B1472" s="19" t="s">
        <v>20</v>
      </c>
      <c r="C1472" s="19" t="s">
        <v>21</v>
      </c>
      <c r="D1472" s="19" t="s">
        <v>20</v>
      </c>
      <c r="E1472" s="21">
        <v>46204</v>
      </c>
      <c r="F1472" s="21">
        <v>46568</v>
      </c>
      <c r="G1472" s="21"/>
      <c r="H1472" s="21">
        <v>46204</v>
      </c>
      <c r="I1472" s="21">
        <v>46568</v>
      </c>
      <c r="J1472" s="19" t="s">
        <v>2180</v>
      </c>
      <c r="L1472" s="19">
        <v>0</v>
      </c>
      <c r="M1472" s="19">
        <v>0</v>
      </c>
      <c r="N1472" s="19" t="s">
        <v>2394</v>
      </c>
      <c r="O1472" s="20">
        <v>5</v>
      </c>
      <c r="S1472" s="19" t="s">
        <v>20</v>
      </c>
      <c r="T1472" s="19" t="s">
        <v>1471</v>
      </c>
    </row>
    <row r="1473" spans="1:20">
      <c r="A1473" s="20">
        <v>202603329659655</v>
      </c>
      <c r="B1473" s="19" t="s">
        <v>20</v>
      </c>
      <c r="C1473" s="19" t="s">
        <v>21</v>
      </c>
      <c r="D1473" s="19" t="s">
        <v>20</v>
      </c>
      <c r="E1473" s="21">
        <v>46204</v>
      </c>
      <c r="F1473" s="21">
        <v>46568</v>
      </c>
      <c r="G1473" s="21"/>
      <c r="H1473" s="21">
        <v>46204</v>
      </c>
      <c r="I1473" s="21">
        <v>46568</v>
      </c>
      <c r="J1473" s="19" t="s">
        <v>2180</v>
      </c>
      <c r="L1473" s="19">
        <v>161.85003374999999</v>
      </c>
      <c r="M1473" s="19">
        <v>161.85003374999999</v>
      </c>
      <c r="N1473" s="19" t="s">
        <v>1475</v>
      </c>
      <c r="O1473" s="20">
        <v>5</v>
      </c>
      <c r="S1473" s="19" t="s">
        <v>20</v>
      </c>
      <c r="T1473" s="19" t="s">
        <v>1471</v>
      </c>
    </row>
    <row r="1474" spans="1:20">
      <c r="A1474" s="20">
        <v>202603329659668</v>
      </c>
      <c r="B1474" s="19" t="s">
        <v>20</v>
      </c>
      <c r="C1474" s="19" t="s">
        <v>21</v>
      </c>
      <c r="D1474" s="19" t="s">
        <v>20</v>
      </c>
      <c r="E1474" s="21">
        <v>46204</v>
      </c>
      <c r="F1474" s="21">
        <v>46568</v>
      </c>
      <c r="G1474" s="21"/>
      <c r="H1474" s="21">
        <v>46204</v>
      </c>
      <c r="I1474" s="21">
        <v>46568</v>
      </c>
      <c r="J1474" s="19" t="s">
        <v>2086</v>
      </c>
      <c r="L1474" s="19">
        <v>0</v>
      </c>
      <c r="M1474" s="19">
        <v>0</v>
      </c>
      <c r="N1474" s="19" t="s">
        <v>2394</v>
      </c>
      <c r="O1474" s="20">
        <v>6</v>
      </c>
      <c r="S1474" s="19" t="s">
        <v>20</v>
      </c>
      <c r="T1474" s="19" t="s">
        <v>1471</v>
      </c>
    </row>
    <row r="1475" spans="1:20">
      <c r="A1475" s="20">
        <v>202603329659668</v>
      </c>
      <c r="B1475" s="19" t="s">
        <v>20</v>
      </c>
      <c r="C1475" s="19" t="s">
        <v>21</v>
      </c>
      <c r="D1475" s="19" t="s">
        <v>20</v>
      </c>
      <c r="E1475" s="21">
        <v>46204</v>
      </c>
      <c r="F1475" s="21">
        <v>46568</v>
      </c>
      <c r="G1475" s="21"/>
      <c r="H1475" s="21">
        <v>46204</v>
      </c>
      <c r="I1475" s="21">
        <v>46568</v>
      </c>
      <c r="J1475" s="19" t="s">
        <v>2086</v>
      </c>
      <c r="L1475" s="19">
        <v>198.7837815</v>
      </c>
      <c r="M1475" s="19">
        <v>198.7837815</v>
      </c>
      <c r="N1475" s="19" t="s">
        <v>1475</v>
      </c>
      <c r="O1475" s="20">
        <v>6</v>
      </c>
      <c r="S1475" s="19" t="s">
        <v>20</v>
      </c>
      <c r="T1475" s="19" t="s">
        <v>1471</v>
      </c>
    </row>
    <row r="1476" spans="1:20">
      <c r="A1476" s="20">
        <v>202603329660104</v>
      </c>
      <c r="B1476" s="19" t="s">
        <v>20</v>
      </c>
      <c r="C1476" s="19" t="s">
        <v>21</v>
      </c>
      <c r="D1476" s="19" t="s">
        <v>20</v>
      </c>
      <c r="E1476" s="21">
        <v>46204</v>
      </c>
      <c r="F1476" s="21">
        <v>46568</v>
      </c>
      <c r="G1476" s="21"/>
      <c r="H1476" s="21">
        <v>46204</v>
      </c>
      <c r="I1476" s="21">
        <v>46568</v>
      </c>
      <c r="J1476" s="19" t="s">
        <v>2111</v>
      </c>
      <c r="L1476" s="19">
        <v>0</v>
      </c>
      <c r="M1476" s="19">
        <v>0</v>
      </c>
      <c r="N1476" s="19" t="s">
        <v>2394</v>
      </c>
      <c r="O1476" s="20">
        <v>3</v>
      </c>
      <c r="S1476" s="19" t="s">
        <v>20</v>
      </c>
      <c r="T1476" s="19" t="s">
        <v>1471</v>
      </c>
    </row>
    <row r="1477" spans="1:20">
      <c r="A1477" s="20">
        <v>202603329660104</v>
      </c>
      <c r="B1477" s="19" t="s">
        <v>20</v>
      </c>
      <c r="C1477" s="19" t="s">
        <v>21</v>
      </c>
      <c r="D1477" s="19" t="s">
        <v>20</v>
      </c>
      <c r="E1477" s="21">
        <v>46204</v>
      </c>
      <c r="F1477" s="21">
        <v>46568</v>
      </c>
      <c r="G1477" s="21"/>
      <c r="H1477" s="21">
        <v>46204</v>
      </c>
      <c r="I1477" s="21">
        <v>46568</v>
      </c>
      <c r="J1477" s="19" t="s">
        <v>2111</v>
      </c>
      <c r="L1477" s="19">
        <v>99.391890750000002</v>
      </c>
      <c r="M1477" s="19">
        <v>99.391890750000002</v>
      </c>
      <c r="N1477" s="19" t="s">
        <v>1475</v>
      </c>
      <c r="O1477" s="20">
        <v>3</v>
      </c>
      <c r="S1477" s="19" t="s">
        <v>20</v>
      </c>
      <c r="T1477" s="19" t="s">
        <v>1471</v>
      </c>
    </row>
    <row r="1478" spans="1:20">
      <c r="A1478" s="20">
        <v>202603329661322</v>
      </c>
      <c r="B1478" s="19" t="s">
        <v>20</v>
      </c>
      <c r="C1478" s="19" t="s">
        <v>21</v>
      </c>
      <c r="D1478" s="19" t="s">
        <v>20</v>
      </c>
      <c r="E1478" s="21">
        <v>46204</v>
      </c>
      <c r="F1478" s="21">
        <v>46568</v>
      </c>
      <c r="G1478" s="21"/>
      <c r="H1478" s="21">
        <v>46204</v>
      </c>
      <c r="I1478" s="21">
        <v>46568</v>
      </c>
      <c r="J1478" s="19" t="s">
        <v>2270</v>
      </c>
      <c r="L1478" s="19">
        <v>18.3002605</v>
      </c>
      <c r="M1478" s="19">
        <v>18.3002605</v>
      </c>
      <c r="N1478" s="19" t="s">
        <v>1475</v>
      </c>
      <c r="O1478" s="20">
        <v>1</v>
      </c>
      <c r="S1478" s="19" t="s">
        <v>20</v>
      </c>
      <c r="T1478" s="19" t="s">
        <v>1471</v>
      </c>
    </row>
    <row r="1479" spans="1:20">
      <c r="A1479" s="20">
        <v>202603329662029</v>
      </c>
      <c r="B1479" s="19" t="s">
        <v>20</v>
      </c>
      <c r="C1479" s="19" t="s">
        <v>21</v>
      </c>
      <c r="D1479" s="19" t="s">
        <v>20</v>
      </c>
      <c r="E1479" s="21">
        <v>46204</v>
      </c>
      <c r="F1479" s="21">
        <v>46568</v>
      </c>
      <c r="G1479" s="21"/>
      <c r="H1479" s="21">
        <v>46204</v>
      </c>
      <c r="I1479" s="21">
        <v>46568</v>
      </c>
      <c r="J1479" s="19" t="s">
        <v>2093</v>
      </c>
      <c r="L1479" s="19">
        <v>0</v>
      </c>
      <c r="M1479" s="19">
        <v>0</v>
      </c>
      <c r="N1479" s="19" t="s">
        <v>2394</v>
      </c>
      <c r="O1479" s="20">
        <v>5</v>
      </c>
      <c r="S1479" s="19" t="s">
        <v>20</v>
      </c>
      <c r="T1479" s="19" t="s">
        <v>1471</v>
      </c>
    </row>
    <row r="1480" spans="1:20">
      <c r="A1480" s="20">
        <v>202603329662029</v>
      </c>
      <c r="B1480" s="19" t="s">
        <v>20</v>
      </c>
      <c r="C1480" s="19" t="s">
        <v>21</v>
      </c>
      <c r="D1480" s="19" t="s">
        <v>20</v>
      </c>
      <c r="E1480" s="21">
        <v>46204</v>
      </c>
      <c r="F1480" s="21">
        <v>46568</v>
      </c>
      <c r="G1480" s="21"/>
      <c r="H1480" s="21">
        <v>46204</v>
      </c>
      <c r="I1480" s="21">
        <v>46568</v>
      </c>
      <c r="J1480" s="19" t="s">
        <v>2093</v>
      </c>
      <c r="L1480" s="19">
        <v>143.88017124999999</v>
      </c>
      <c r="M1480" s="19">
        <v>143.88017124999999</v>
      </c>
      <c r="N1480" s="19" t="s">
        <v>1475</v>
      </c>
      <c r="O1480" s="20">
        <v>5</v>
      </c>
      <c r="S1480" s="19" t="s">
        <v>20</v>
      </c>
      <c r="T1480" s="19" t="s">
        <v>1471</v>
      </c>
    </row>
    <row r="1481" spans="1:20">
      <c r="A1481" s="20">
        <v>202603329662753</v>
      </c>
      <c r="B1481" s="19" t="s">
        <v>20</v>
      </c>
      <c r="C1481" s="19" t="s">
        <v>21</v>
      </c>
      <c r="D1481" s="19" t="s">
        <v>20</v>
      </c>
      <c r="E1481" s="21">
        <v>46204</v>
      </c>
      <c r="F1481" s="21">
        <v>46568</v>
      </c>
      <c r="G1481" s="21"/>
      <c r="H1481" s="21">
        <v>46204</v>
      </c>
      <c r="I1481" s="21">
        <v>46568</v>
      </c>
      <c r="J1481" s="19" t="s">
        <v>2064</v>
      </c>
      <c r="L1481" s="19">
        <v>0</v>
      </c>
      <c r="M1481" s="19">
        <v>0</v>
      </c>
      <c r="N1481" s="19" t="s">
        <v>2394</v>
      </c>
      <c r="O1481" s="20">
        <v>5</v>
      </c>
      <c r="S1481" s="19" t="s">
        <v>20</v>
      </c>
      <c r="T1481" s="19" t="s">
        <v>1471</v>
      </c>
    </row>
    <row r="1482" spans="1:20">
      <c r="A1482" s="20">
        <v>202603329662753</v>
      </c>
      <c r="B1482" s="19" t="s">
        <v>20</v>
      </c>
      <c r="C1482" s="19" t="s">
        <v>21</v>
      </c>
      <c r="D1482" s="19" t="s">
        <v>20</v>
      </c>
      <c r="E1482" s="21">
        <v>46204</v>
      </c>
      <c r="F1482" s="21">
        <v>46568</v>
      </c>
      <c r="G1482" s="21"/>
      <c r="H1482" s="21">
        <v>46204</v>
      </c>
      <c r="I1482" s="21">
        <v>46568</v>
      </c>
      <c r="J1482" s="19" t="s">
        <v>2064</v>
      </c>
      <c r="L1482" s="19">
        <v>165.65315125000001</v>
      </c>
      <c r="M1482" s="19">
        <v>165.65315125000001</v>
      </c>
      <c r="N1482" s="19" t="s">
        <v>1475</v>
      </c>
      <c r="O1482" s="20">
        <v>5</v>
      </c>
      <c r="S1482" s="19" t="s">
        <v>20</v>
      </c>
      <c r="T1482" s="19" t="s">
        <v>1471</v>
      </c>
    </row>
    <row r="1483" spans="1:20">
      <c r="A1483" s="20">
        <v>202603329665561</v>
      </c>
      <c r="B1483" s="19" t="s">
        <v>20</v>
      </c>
      <c r="C1483" s="19" t="s">
        <v>21</v>
      </c>
      <c r="D1483" s="19" t="s">
        <v>20</v>
      </c>
      <c r="E1483" s="21">
        <v>46204</v>
      </c>
      <c r="F1483" s="21">
        <v>46568</v>
      </c>
      <c r="G1483" s="21"/>
      <c r="H1483" s="21">
        <v>46204</v>
      </c>
      <c r="I1483" s="21">
        <v>46568</v>
      </c>
      <c r="J1483" s="19" t="s">
        <v>2083</v>
      </c>
      <c r="L1483" s="19">
        <v>0</v>
      </c>
      <c r="M1483" s="19">
        <v>0</v>
      </c>
      <c r="N1483" s="19" t="s">
        <v>2394</v>
      </c>
      <c r="O1483" s="20">
        <v>2</v>
      </c>
      <c r="S1483" s="19" t="s">
        <v>20</v>
      </c>
      <c r="T1483" s="19" t="s">
        <v>1471</v>
      </c>
    </row>
    <row r="1484" spans="1:20">
      <c r="A1484" s="20">
        <v>202603329665561</v>
      </c>
      <c r="B1484" s="19" t="s">
        <v>20</v>
      </c>
      <c r="C1484" s="19" t="s">
        <v>21</v>
      </c>
      <c r="D1484" s="19" t="s">
        <v>2312</v>
      </c>
      <c r="E1484" s="21">
        <v>46204</v>
      </c>
      <c r="F1484" s="21">
        <v>46568</v>
      </c>
      <c r="G1484" s="21"/>
      <c r="H1484" s="21">
        <v>46204</v>
      </c>
      <c r="I1484" s="21">
        <v>46568</v>
      </c>
      <c r="J1484" s="19" t="s">
        <v>2083</v>
      </c>
      <c r="L1484" s="19">
        <v>66.261260500000006</v>
      </c>
      <c r="M1484" s="19">
        <v>66.261260500000006</v>
      </c>
      <c r="N1484" s="19" t="s">
        <v>1467</v>
      </c>
      <c r="O1484" s="20">
        <v>2</v>
      </c>
      <c r="S1484" s="19" t="s">
        <v>20</v>
      </c>
      <c r="T1484" s="19" t="s">
        <v>1471</v>
      </c>
    </row>
    <row r="1485" spans="1:20">
      <c r="A1485" s="20">
        <v>202603329665857</v>
      </c>
      <c r="B1485" s="19" t="s">
        <v>20</v>
      </c>
      <c r="C1485" s="19" t="s">
        <v>21</v>
      </c>
      <c r="D1485" s="19" t="s">
        <v>20</v>
      </c>
      <c r="E1485" s="21">
        <v>46204</v>
      </c>
      <c r="F1485" s="21">
        <v>46568</v>
      </c>
      <c r="G1485" s="21"/>
      <c r="H1485" s="21">
        <v>46204</v>
      </c>
      <c r="I1485" s="21">
        <v>46568</v>
      </c>
      <c r="J1485" s="19" t="s">
        <v>2085</v>
      </c>
      <c r="L1485" s="19">
        <v>0</v>
      </c>
      <c r="M1485" s="19">
        <v>0</v>
      </c>
      <c r="N1485" s="19" t="s">
        <v>2394</v>
      </c>
      <c r="O1485" s="20">
        <v>5</v>
      </c>
      <c r="S1485" s="19" t="s">
        <v>20</v>
      </c>
      <c r="T1485" s="19" t="s">
        <v>1471</v>
      </c>
    </row>
    <row r="1486" spans="1:20">
      <c r="A1486" s="20">
        <v>202603329665857</v>
      </c>
      <c r="B1486" s="19" t="s">
        <v>20</v>
      </c>
      <c r="C1486" s="19" t="s">
        <v>21</v>
      </c>
      <c r="D1486" s="19" t="s">
        <v>20</v>
      </c>
      <c r="E1486" s="21">
        <v>46204</v>
      </c>
      <c r="F1486" s="21">
        <v>46568</v>
      </c>
      <c r="G1486" s="21"/>
      <c r="H1486" s="21">
        <v>46204</v>
      </c>
      <c r="I1486" s="21">
        <v>46568</v>
      </c>
      <c r="J1486" s="19" t="s">
        <v>2085</v>
      </c>
      <c r="L1486" s="19">
        <v>123.1033675</v>
      </c>
      <c r="M1486" s="19">
        <v>123.1033675</v>
      </c>
      <c r="N1486" s="19" t="s">
        <v>1475</v>
      </c>
      <c r="O1486" s="20">
        <v>5</v>
      </c>
      <c r="S1486" s="19" t="s">
        <v>20</v>
      </c>
      <c r="T1486" s="19" t="s">
        <v>1471</v>
      </c>
    </row>
    <row r="1487" spans="1:20">
      <c r="A1487" s="20">
        <v>202603329668189</v>
      </c>
      <c r="B1487" s="19" t="s">
        <v>20</v>
      </c>
      <c r="C1487" s="19" t="s">
        <v>21</v>
      </c>
      <c r="D1487" s="19" t="s">
        <v>20</v>
      </c>
      <c r="E1487" s="21">
        <v>46204</v>
      </c>
      <c r="F1487" s="21">
        <v>46568</v>
      </c>
      <c r="G1487" s="21"/>
      <c r="H1487" s="21">
        <v>46204</v>
      </c>
      <c r="I1487" s="21">
        <v>46568</v>
      </c>
      <c r="J1487" s="19" t="s">
        <v>2066</v>
      </c>
      <c r="L1487" s="19">
        <v>0</v>
      </c>
      <c r="M1487" s="19">
        <v>0</v>
      </c>
      <c r="N1487" s="19" t="s">
        <v>2394</v>
      </c>
      <c r="O1487" s="20">
        <v>5</v>
      </c>
      <c r="S1487" s="19" t="s">
        <v>20</v>
      </c>
      <c r="T1487" s="19" t="s">
        <v>1471</v>
      </c>
    </row>
    <row r="1488" spans="1:20">
      <c r="A1488" s="20">
        <v>202603329668189</v>
      </c>
      <c r="B1488" s="19" t="s">
        <v>20</v>
      </c>
      <c r="C1488" s="19" t="s">
        <v>21</v>
      </c>
      <c r="D1488" s="19" t="s">
        <v>20</v>
      </c>
      <c r="E1488" s="21">
        <v>46204</v>
      </c>
      <c r="F1488" s="21">
        <v>46568</v>
      </c>
      <c r="G1488" s="21"/>
      <c r="H1488" s="21">
        <v>46204</v>
      </c>
      <c r="I1488" s="21">
        <v>46568</v>
      </c>
      <c r="J1488" s="19" t="s">
        <v>2066</v>
      </c>
      <c r="L1488" s="19">
        <v>165.65315125000001</v>
      </c>
      <c r="M1488" s="19">
        <v>165.65315125000001</v>
      </c>
      <c r="N1488" s="19" t="s">
        <v>1475</v>
      </c>
      <c r="O1488" s="20">
        <v>5</v>
      </c>
      <c r="S1488" s="19" t="s">
        <v>20</v>
      </c>
      <c r="T1488" s="19" t="s">
        <v>1471</v>
      </c>
    </row>
    <row r="1489" spans="1:20">
      <c r="A1489" s="20">
        <v>202603329670238</v>
      </c>
      <c r="B1489" s="19" t="s">
        <v>20</v>
      </c>
      <c r="C1489" s="19" t="s">
        <v>21</v>
      </c>
      <c r="D1489" s="19" t="s">
        <v>20</v>
      </c>
      <c r="E1489" s="21">
        <v>46204</v>
      </c>
      <c r="F1489" s="21">
        <v>46568</v>
      </c>
      <c r="G1489" s="21"/>
      <c r="H1489" s="21">
        <v>46204</v>
      </c>
      <c r="I1489" s="21">
        <v>46568</v>
      </c>
      <c r="J1489" s="19" t="s">
        <v>1473</v>
      </c>
      <c r="L1489" s="19">
        <v>0</v>
      </c>
      <c r="M1489" s="19">
        <v>0</v>
      </c>
      <c r="N1489" s="19" t="s">
        <v>2394</v>
      </c>
      <c r="O1489" s="20">
        <v>6</v>
      </c>
      <c r="S1489" s="19" t="s">
        <v>20</v>
      </c>
      <c r="T1489" s="19" t="s">
        <v>1471</v>
      </c>
    </row>
    <row r="1490" spans="1:20">
      <c r="A1490" s="20">
        <v>202603329670238</v>
      </c>
      <c r="B1490" s="19" t="s">
        <v>20</v>
      </c>
      <c r="C1490" s="19" t="s">
        <v>21</v>
      </c>
      <c r="D1490" s="19" t="s">
        <v>20</v>
      </c>
      <c r="E1490" s="21">
        <v>46204</v>
      </c>
      <c r="F1490" s="21">
        <v>46568</v>
      </c>
      <c r="G1490" s="21"/>
      <c r="H1490" s="21">
        <v>46204</v>
      </c>
      <c r="I1490" s="21">
        <v>46568</v>
      </c>
      <c r="J1490" s="19" t="s">
        <v>1473</v>
      </c>
      <c r="L1490" s="19">
        <v>147.724041</v>
      </c>
      <c r="M1490" s="19">
        <v>147.724041</v>
      </c>
      <c r="N1490" s="19" t="s">
        <v>1475</v>
      </c>
      <c r="O1490" s="20">
        <v>6</v>
      </c>
      <c r="S1490" s="19" t="s">
        <v>20</v>
      </c>
      <c r="T1490" s="19" t="s">
        <v>1471</v>
      </c>
    </row>
    <row r="1491" spans="1:20">
      <c r="A1491" s="20">
        <v>202603329670769</v>
      </c>
      <c r="B1491" s="19" t="s">
        <v>20</v>
      </c>
      <c r="C1491" s="19" t="s">
        <v>21</v>
      </c>
      <c r="D1491" s="19" t="s">
        <v>20</v>
      </c>
      <c r="E1491" s="21">
        <v>46204</v>
      </c>
      <c r="F1491" s="21">
        <v>46568</v>
      </c>
      <c r="G1491" s="21"/>
      <c r="H1491" s="21">
        <v>46204</v>
      </c>
      <c r="I1491" s="21">
        <v>46568</v>
      </c>
      <c r="J1491" s="19" t="s">
        <v>2114</v>
      </c>
      <c r="L1491" s="19">
        <v>0</v>
      </c>
      <c r="M1491" s="19">
        <v>0</v>
      </c>
      <c r="N1491" s="19" t="s">
        <v>2394</v>
      </c>
      <c r="O1491" s="20">
        <v>3</v>
      </c>
      <c r="S1491" s="19" t="s">
        <v>20</v>
      </c>
      <c r="T1491" s="19" t="s">
        <v>1471</v>
      </c>
    </row>
    <row r="1492" spans="1:20">
      <c r="A1492" s="20">
        <v>202603329670769</v>
      </c>
      <c r="B1492" s="19" t="s">
        <v>20</v>
      </c>
      <c r="C1492" s="19" t="s">
        <v>21</v>
      </c>
      <c r="D1492" s="19" t="s">
        <v>20</v>
      </c>
      <c r="E1492" s="21">
        <v>46204</v>
      </c>
      <c r="F1492" s="21">
        <v>46568</v>
      </c>
      <c r="G1492" s="21"/>
      <c r="H1492" s="21">
        <v>46204</v>
      </c>
      <c r="I1492" s="21">
        <v>46568</v>
      </c>
      <c r="J1492" s="19" t="s">
        <v>2114</v>
      </c>
      <c r="L1492" s="19">
        <v>99.391890750000002</v>
      </c>
      <c r="M1492" s="19">
        <v>99.391890750000002</v>
      </c>
      <c r="N1492" s="19" t="s">
        <v>1475</v>
      </c>
      <c r="O1492" s="20">
        <v>3</v>
      </c>
      <c r="S1492" s="19" t="s">
        <v>20</v>
      </c>
      <c r="T1492" s="19" t="s">
        <v>1471</v>
      </c>
    </row>
    <row r="1493" spans="1:20">
      <c r="A1493" s="20">
        <v>202603329672323</v>
      </c>
      <c r="B1493" s="19" t="s">
        <v>20</v>
      </c>
      <c r="C1493" s="19" t="s">
        <v>21</v>
      </c>
      <c r="D1493" s="19" t="s">
        <v>20</v>
      </c>
      <c r="E1493" s="21">
        <v>46204</v>
      </c>
      <c r="F1493" s="21">
        <v>46568</v>
      </c>
      <c r="G1493" s="21"/>
      <c r="H1493" s="21">
        <v>46204</v>
      </c>
      <c r="I1493" s="21">
        <v>46568</v>
      </c>
      <c r="J1493" s="19" t="s">
        <v>2135</v>
      </c>
      <c r="L1493" s="19">
        <v>0</v>
      </c>
      <c r="M1493" s="19">
        <v>0</v>
      </c>
      <c r="N1493" s="19" t="s">
        <v>2394</v>
      </c>
      <c r="O1493" s="20">
        <v>2</v>
      </c>
      <c r="S1493" s="19" t="s">
        <v>20</v>
      </c>
      <c r="T1493" s="19" t="s">
        <v>1471</v>
      </c>
    </row>
    <row r="1494" spans="1:20">
      <c r="A1494" s="20">
        <v>202603329672323</v>
      </c>
      <c r="B1494" s="19" t="s">
        <v>20</v>
      </c>
      <c r="C1494" s="19" t="s">
        <v>21</v>
      </c>
      <c r="D1494" s="19" t="s">
        <v>20</v>
      </c>
      <c r="E1494" s="21">
        <v>46204</v>
      </c>
      <c r="F1494" s="21">
        <v>46568</v>
      </c>
      <c r="G1494" s="21"/>
      <c r="H1494" s="21">
        <v>46204</v>
      </c>
      <c r="I1494" s="21">
        <v>46568</v>
      </c>
      <c r="J1494" s="19" t="s">
        <v>2135</v>
      </c>
      <c r="L1494" s="19">
        <v>66.261260500000006</v>
      </c>
      <c r="M1494" s="19">
        <v>66.261260500000006</v>
      </c>
      <c r="N1494" s="19" t="s">
        <v>1475</v>
      </c>
      <c r="O1494" s="20">
        <v>2</v>
      </c>
      <c r="S1494" s="19" t="s">
        <v>20</v>
      </c>
      <c r="T1494" s="19" t="s">
        <v>1471</v>
      </c>
    </row>
    <row r="1495" spans="1:20">
      <c r="A1495" s="20">
        <v>202603329672719</v>
      </c>
      <c r="B1495" s="19" t="s">
        <v>20</v>
      </c>
      <c r="C1495" s="19" t="s">
        <v>21</v>
      </c>
      <c r="D1495" s="19" t="s">
        <v>20</v>
      </c>
      <c r="E1495" s="21">
        <v>46204</v>
      </c>
      <c r="F1495" s="21">
        <v>46568</v>
      </c>
      <c r="G1495" s="21"/>
      <c r="H1495" s="21">
        <v>46204</v>
      </c>
      <c r="I1495" s="21">
        <v>46568</v>
      </c>
      <c r="J1495" s="19" t="s">
        <v>2087</v>
      </c>
      <c r="L1495" s="19">
        <v>33.130630250000003</v>
      </c>
      <c r="M1495" s="19">
        <v>33.130630250000003</v>
      </c>
      <c r="N1495" s="19" t="s">
        <v>1475</v>
      </c>
      <c r="O1495" s="20">
        <v>1</v>
      </c>
      <c r="S1495" s="19" t="s">
        <v>20</v>
      </c>
      <c r="T1495" s="19" t="s">
        <v>1471</v>
      </c>
    </row>
    <row r="1496" spans="1:20">
      <c r="A1496" s="20">
        <v>202603329672741</v>
      </c>
      <c r="B1496" s="19" t="s">
        <v>20</v>
      </c>
      <c r="C1496" s="19" t="s">
        <v>21</v>
      </c>
      <c r="D1496" s="19" t="s">
        <v>20</v>
      </c>
      <c r="E1496" s="21">
        <v>46204</v>
      </c>
      <c r="F1496" s="21">
        <v>46568</v>
      </c>
      <c r="G1496" s="21"/>
      <c r="H1496" s="21">
        <v>46204</v>
      </c>
      <c r="I1496" s="21">
        <v>46568</v>
      </c>
      <c r="J1496" s="19" t="s">
        <v>2068</v>
      </c>
      <c r="L1496" s="19">
        <v>0</v>
      </c>
      <c r="M1496" s="19">
        <v>0</v>
      </c>
      <c r="N1496" s="19" t="s">
        <v>2394</v>
      </c>
      <c r="O1496" s="20">
        <v>6</v>
      </c>
      <c r="S1496" s="19" t="s">
        <v>20</v>
      </c>
      <c r="T1496" s="19" t="s">
        <v>1471</v>
      </c>
    </row>
    <row r="1497" spans="1:20">
      <c r="A1497" s="20">
        <v>202603329672741</v>
      </c>
      <c r="B1497" s="19" t="s">
        <v>20</v>
      </c>
      <c r="C1497" s="19" t="s">
        <v>21</v>
      </c>
      <c r="D1497" s="19" t="s">
        <v>20</v>
      </c>
      <c r="E1497" s="21">
        <v>46204</v>
      </c>
      <c r="F1497" s="21">
        <v>46568</v>
      </c>
      <c r="G1497" s="21"/>
      <c r="H1497" s="21">
        <v>46204</v>
      </c>
      <c r="I1497" s="21">
        <v>46568</v>
      </c>
      <c r="J1497" s="19" t="s">
        <v>2068</v>
      </c>
      <c r="L1497" s="19">
        <v>157.55210400000001</v>
      </c>
      <c r="M1497" s="19">
        <v>157.55210400000001</v>
      </c>
      <c r="N1497" s="19" t="s">
        <v>1475</v>
      </c>
      <c r="O1497" s="20">
        <v>6</v>
      </c>
      <c r="S1497" s="19" t="s">
        <v>20</v>
      </c>
      <c r="T1497" s="19" t="s">
        <v>1471</v>
      </c>
    </row>
    <row r="1498" spans="1:20">
      <c r="A1498" s="20">
        <v>202603329674026</v>
      </c>
      <c r="B1498" s="19" t="s">
        <v>20</v>
      </c>
      <c r="C1498" s="19" t="s">
        <v>21</v>
      </c>
      <c r="D1498" s="19" t="s">
        <v>20</v>
      </c>
      <c r="E1498" s="21">
        <v>46204</v>
      </c>
      <c r="F1498" s="21">
        <v>46568</v>
      </c>
      <c r="G1498" s="21"/>
      <c r="H1498" s="21">
        <v>46204</v>
      </c>
      <c r="I1498" s="21">
        <v>46568</v>
      </c>
      <c r="J1498" s="19" t="s">
        <v>2104</v>
      </c>
      <c r="L1498" s="19">
        <v>0</v>
      </c>
      <c r="M1498" s="19">
        <v>0</v>
      </c>
      <c r="N1498" s="19" t="s">
        <v>2394</v>
      </c>
      <c r="O1498" s="20">
        <v>7</v>
      </c>
      <c r="S1498" s="19" t="s">
        <v>20</v>
      </c>
      <c r="T1498" s="19" t="s">
        <v>1471</v>
      </c>
    </row>
    <row r="1499" spans="1:20">
      <c r="A1499" s="20">
        <v>202603329674026</v>
      </c>
      <c r="B1499" s="19" t="s">
        <v>20</v>
      </c>
      <c r="C1499" s="19" t="s">
        <v>21</v>
      </c>
      <c r="D1499" s="19" t="s">
        <v>20</v>
      </c>
      <c r="E1499" s="21">
        <v>46204</v>
      </c>
      <c r="F1499" s="21">
        <v>46568</v>
      </c>
      <c r="G1499" s="21"/>
      <c r="H1499" s="21">
        <v>46204</v>
      </c>
      <c r="I1499" s="21">
        <v>46568</v>
      </c>
      <c r="J1499" s="19" t="s">
        <v>2104</v>
      </c>
      <c r="L1499" s="19">
        <v>231.91441175</v>
      </c>
      <c r="M1499" s="19">
        <v>231.91441175</v>
      </c>
      <c r="N1499" s="19" t="s">
        <v>1475</v>
      </c>
      <c r="O1499" s="20">
        <v>7</v>
      </c>
      <c r="S1499" s="19" t="s">
        <v>20</v>
      </c>
      <c r="T1499" s="19" t="s">
        <v>1471</v>
      </c>
    </row>
    <row r="1500" spans="1:20">
      <c r="A1500" s="20">
        <v>202603329674251</v>
      </c>
      <c r="B1500" s="19" t="s">
        <v>20</v>
      </c>
      <c r="C1500" s="19" t="s">
        <v>21</v>
      </c>
      <c r="D1500" s="19" t="s">
        <v>20</v>
      </c>
      <c r="E1500" s="21">
        <v>46204</v>
      </c>
      <c r="F1500" s="21">
        <v>46568</v>
      </c>
      <c r="G1500" s="21"/>
      <c r="H1500" s="21">
        <v>46204</v>
      </c>
      <c r="I1500" s="21">
        <v>46568</v>
      </c>
      <c r="J1500" s="19" t="s">
        <v>2103</v>
      </c>
      <c r="L1500" s="19">
        <v>0</v>
      </c>
      <c r="M1500" s="19">
        <v>0</v>
      </c>
      <c r="N1500" s="19" t="s">
        <v>2394</v>
      </c>
      <c r="O1500" s="20">
        <v>2</v>
      </c>
      <c r="S1500" s="19" t="s">
        <v>20</v>
      </c>
      <c r="T1500" s="19" t="s">
        <v>1471</v>
      </c>
    </row>
    <row r="1501" spans="1:20">
      <c r="A1501" s="20">
        <v>202603329674251</v>
      </c>
      <c r="B1501" s="19" t="s">
        <v>20</v>
      </c>
      <c r="C1501" s="19" t="s">
        <v>21</v>
      </c>
      <c r="D1501" s="19" t="s">
        <v>2313</v>
      </c>
      <c r="E1501" s="21">
        <v>46204</v>
      </c>
      <c r="F1501" s="21">
        <v>46568</v>
      </c>
      <c r="G1501" s="21"/>
      <c r="H1501" s="21">
        <v>46204</v>
      </c>
      <c r="I1501" s="21">
        <v>46568</v>
      </c>
      <c r="J1501" s="19" t="s">
        <v>2103</v>
      </c>
      <c r="L1501" s="19">
        <v>47.936581500000003</v>
      </c>
      <c r="M1501" s="19">
        <v>47.936581500000003</v>
      </c>
      <c r="N1501" s="19" t="s">
        <v>1467</v>
      </c>
      <c r="O1501" s="20">
        <v>2</v>
      </c>
      <c r="S1501" s="19" t="s">
        <v>20</v>
      </c>
      <c r="T1501" s="19" t="s">
        <v>1471</v>
      </c>
    </row>
    <row r="1502" spans="1:20">
      <c r="A1502" s="20">
        <v>202603329674546</v>
      </c>
      <c r="B1502" s="19" t="s">
        <v>20</v>
      </c>
      <c r="C1502" s="19" t="s">
        <v>21</v>
      </c>
      <c r="D1502" s="19" t="s">
        <v>20</v>
      </c>
      <c r="E1502" s="21">
        <v>46204</v>
      </c>
      <c r="F1502" s="21">
        <v>46568</v>
      </c>
      <c r="G1502" s="21"/>
      <c r="H1502" s="21">
        <v>46204</v>
      </c>
      <c r="I1502" s="21">
        <v>46568</v>
      </c>
      <c r="J1502" s="19" t="s">
        <v>2064</v>
      </c>
      <c r="L1502" s="19">
        <v>0</v>
      </c>
      <c r="M1502" s="19">
        <v>0</v>
      </c>
      <c r="N1502" s="19" t="s">
        <v>2394</v>
      </c>
      <c r="O1502" s="20">
        <v>4</v>
      </c>
      <c r="S1502" s="19" t="s">
        <v>20</v>
      </c>
      <c r="T1502" s="19" t="s">
        <v>1471</v>
      </c>
    </row>
    <row r="1503" spans="1:20">
      <c r="A1503" s="20">
        <v>202603329674546</v>
      </c>
      <c r="B1503" s="19" t="s">
        <v>20</v>
      </c>
      <c r="C1503" s="19" t="s">
        <v>21</v>
      </c>
      <c r="D1503" s="19" t="s">
        <v>20</v>
      </c>
      <c r="E1503" s="21">
        <v>46204</v>
      </c>
      <c r="F1503" s="21">
        <v>46568</v>
      </c>
      <c r="G1503" s="21"/>
      <c r="H1503" s="21">
        <v>46204</v>
      </c>
      <c r="I1503" s="21">
        <v>46568</v>
      </c>
      <c r="J1503" s="19" t="s">
        <v>2064</v>
      </c>
      <c r="L1503" s="19">
        <v>132.52252100000001</v>
      </c>
      <c r="M1503" s="19">
        <v>132.52252100000001</v>
      </c>
      <c r="N1503" s="19" t="s">
        <v>1475</v>
      </c>
      <c r="O1503" s="20">
        <v>4</v>
      </c>
      <c r="S1503" s="19" t="s">
        <v>20</v>
      </c>
      <c r="T1503" s="19" t="s">
        <v>1471</v>
      </c>
    </row>
    <row r="1504" spans="1:20">
      <c r="A1504" s="20">
        <v>202603329675099</v>
      </c>
      <c r="B1504" s="19" t="s">
        <v>20</v>
      </c>
      <c r="C1504" s="19" t="s">
        <v>21</v>
      </c>
      <c r="D1504" s="19" t="s">
        <v>20</v>
      </c>
      <c r="E1504" s="21">
        <v>46204</v>
      </c>
      <c r="F1504" s="21">
        <v>46568</v>
      </c>
      <c r="G1504" s="21"/>
      <c r="H1504" s="21">
        <v>46204</v>
      </c>
      <c r="I1504" s="21">
        <v>46568</v>
      </c>
      <c r="J1504" s="19" t="s">
        <v>2092</v>
      </c>
      <c r="L1504" s="19">
        <v>0</v>
      </c>
      <c r="M1504" s="19">
        <v>0</v>
      </c>
      <c r="N1504" s="19" t="s">
        <v>2394</v>
      </c>
      <c r="O1504" s="20">
        <v>2</v>
      </c>
      <c r="S1504" s="19" t="s">
        <v>20</v>
      </c>
      <c r="T1504" s="19" t="s">
        <v>1471</v>
      </c>
    </row>
    <row r="1505" spans="1:20">
      <c r="A1505" s="20">
        <v>202603329675099</v>
      </c>
      <c r="B1505" s="19" t="s">
        <v>20</v>
      </c>
      <c r="C1505" s="19" t="s">
        <v>21</v>
      </c>
      <c r="D1505" s="19" t="s">
        <v>2314</v>
      </c>
      <c r="E1505" s="21">
        <v>46204</v>
      </c>
      <c r="F1505" s="21">
        <v>46568</v>
      </c>
      <c r="G1505" s="21"/>
      <c r="H1505" s="21">
        <v>46204</v>
      </c>
      <c r="I1505" s="21">
        <v>46568</v>
      </c>
      <c r="J1505" s="19" t="s">
        <v>2092</v>
      </c>
      <c r="L1505" s="19">
        <v>77.319118000000003</v>
      </c>
      <c r="M1505" s="19">
        <v>77.319118000000003</v>
      </c>
      <c r="N1505" s="19" t="s">
        <v>1467</v>
      </c>
      <c r="O1505" s="20">
        <v>2</v>
      </c>
      <c r="S1505" s="19" t="s">
        <v>20</v>
      </c>
      <c r="T1505" s="19" t="s">
        <v>1471</v>
      </c>
    </row>
    <row r="1506" spans="1:20">
      <c r="A1506" s="20">
        <v>202603329675739</v>
      </c>
      <c r="B1506" s="19" t="s">
        <v>20</v>
      </c>
      <c r="C1506" s="19" t="s">
        <v>21</v>
      </c>
      <c r="D1506" s="19" t="s">
        <v>20</v>
      </c>
      <c r="E1506" s="21">
        <v>46204</v>
      </c>
      <c r="F1506" s="21">
        <v>46568</v>
      </c>
      <c r="G1506" s="21"/>
      <c r="H1506" s="21">
        <v>46204</v>
      </c>
      <c r="I1506" s="21">
        <v>46568</v>
      </c>
      <c r="J1506" s="19" t="s">
        <v>2315</v>
      </c>
      <c r="L1506" s="19">
        <v>0</v>
      </c>
      <c r="M1506" s="19">
        <v>0</v>
      </c>
      <c r="N1506" s="19" t="s">
        <v>2394</v>
      </c>
      <c r="O1506" s="20">
        <v>4</v>
      </c>
      <c r="S1506" s="19" t="s">
        <v>20</v>
      </c>
      <c r="T1506" s="19" t="s">
        <v>1471</v>
      </c>
    </row>
    <row r="1507" spans="1:20">
      <c r="A1507" s="20">
        <v>202603329675739</v>
      </c>
      <c r="B1507" s="19" t="s">
        <v>20</v>
      </c>
      <c r="C1507" s="19" t="s">
        <v>21</v>
      </c>
      <c r="D1507" s="19" t="s">
        <v>2316</v>
      </c>
      <c r="E1507" s="21">
        <v>46204</v>
      </c>
      <c r="F1507" s="21">
        <v>46568</v>
      </c>
      <c r="G1507" s="21"/>
      <c r="H1507" s="21">
        <v>46204</v>
      </c>
      <c r="I1507" s="21">
        <v>46568</v>
      </c>
      <c r="J1507" s="19" t="s">
        <v>2315</v>
      </c>
      <c r="L1507" s="19">
        <v>119.270247</v>
      </c>
      <c r="M1507" s="19">
        <v>119.270247</v>
      </c>
      <c r="N1507" s="19" t="s">
        <v>1467</v>
      </c>
      <c r="O1507" s="20">
        <v>4</v>
      </c>
      <c r="S1507" s="19" t="s">
        <v>20</v>
      </c>
      <c r="T1507" s="19" t="s">
        <v>1471</v>
      </c>
    </row>
    <row r="1508" spans="1:20">
      <c r="A1508" s="20">
        <v>202603329675777</v>
      </c>
      <c r="B1508" s="19" t="s">
        <v>20</v>
      </c>
      <c r="C1508" s="19" t="s">
        <v>21</v>
      </c>
      <c r="D1508" s="19" t="s">
        <v>20</v>
      </c>
      <c r="E1508" s="21">
        <v>46204</v>
      </c>
      <c r="F1508" s="21">
        <v>46568</v>
      </c>
      <c r="G1508" s="21"/>
      <c r="H1508" s="21">
        <v>46204</v>
      </c>
      <c r="I1508" s="21">
        <v>46568</v>
      </c>
      <c r="J1508" s="19" t="s">
        <v>2190</v>
      </c>
      <c r="L1508" s="19">
        <v>0</v>
      </c>
      <c r="M1508" s="19">
        <v>0</v>
      </c>
      <c r="N1508" s="19" t="s">
        <v>2394</v>
      </c>
      <c r="O1508" s="20">
        <v>11</v>
      </c>
      <c r="S1508" s="19" t="s">
        <v>20</v>
      </c>
      <c r="T1508" s="19" t="s">
        <v>1471</v>
      </c>
    </row>
    <row r="1509" spans="1:20">
      <c r="A1509" s="20">
        <v>202603329675777</v>
      </c>
      <c r="B1509" s="19" t="s">
        <v>20</v>
      </c>
      <c r="C1509" s="19" t="s">
        <v>21</v>
      </c>
      <c r="D1509" s="19" t="s">
        <v>2317</v>
      </c>
      <c r="E1509" s="21">
        <v>46204</v>
      </c>
      <c r="F1509" s="21">
        <v>46568</v>
      </c>
      <c r="G1509" s="21"/>
      <c r="H1509" s="21">
        <v>46204</v>
      </c>
      <c r="I1509" s="21">
        <v>46568</v>
      </c>
      <c r="J1509" s="19" t="s">
        <v>2190</v>
      </c>
      <c r="L1509" s="19">
        <v>183.99901850000001</v>
      </c>
      <c r="M1509" s="19">
        <v>183.99901850000001</v>
      </c>
      <c r="N1509" s="19" t="s">
        <v>1467</v>
      </c>
      <c r="O1509" s="20">
        <v>11</v>
      </c>
      <c r="S1509" s="19" t="s">
        <v>20</v>
      </c>
      <c r="T1509" s="19" t="s">
        <v>1471</v>
      </c>
    </row>
    <row r="1510" spans="1:20">
      <c r="A1510" s="20">
        <v>202603329676345</v>
      </c>
      <c r="B1510" s="19" t="s">
        <v>20</v>
      </c>
      <c r="C1510" s="19" t="s">
        <v>21</v>
      </c>
      <c r="D1510" s="19" t="s">
        <v>20</v>
      </c>
      <c r="E1510" s="21">
        <v>46204</v>
      </c>
      <c r="F1510" s="21">
        <v>46568</v>
      </c>
      <c r="G1510" s="21"/>
      <c r="H1510" s="21">
        <v>46204</v>
      </c>
      <c r="I1510" s="21">
        <v>46568</v>
      </c>
      <c r="J1510" s="19" t="s">
        <v>2064</v>
      </c>
      <c r="L1510" s="19">
        <v>0</v>
      </c>
      <c r="M1510" s="19">
        <v>0</v>
      </c>
      <c r="N1510" s="19" t="s">
        <v>2394</v>
      </c>
      <c r="O1510" s="20">
        <v>3</v>
      </c>
      <c r="S1510" s="19" t="s">
        <v>20</v>
      </c>
      <c r="T1510" s="19" t="s">
        <v>1471</v>
      </c>
    </row>
    <row r="1511" spans="1:20">
      <c r="A1511" s="20">
        <v>202603329676345</v>
      </c>
      <c r="B1511" s="19" t="s">
        <v>20</v>
      </c>
      <c r="C1511" s="19" t="s">
        <v>21</v>
      </c>
      <c r="D1511" s="19" t="s">
        <v>20</v>
      </c>
      <c r="E1511" s="21">
        <v>46204</v>
      </c>
      <c r="F1511" s="21">
        <v>46568</v>
      </c>
      <c r="G1511" s="21"/>
      <c r="H1511" s="21">
        <v>46204</v>
      </c>
      <c r="I1511" s="21">
        <v>46568</v>
      </c>
      <c r="J1511" s="19" t="s">
        <v>2064</v>
      </c>
      <c r="L1511" s="19">
        <v>99.391890750000002</v>
      </c>
      <c r="M1511" s="19">
        <v>99.391890750000002</v>
      </c>
      <c r="N1511" s="19" t="s">
        <v>1475</v>
      </c>
      <c r="O1511" s="20">
        <v>3</v>
      </c>
      <c r="S1511" s="19" t="s">
        <v>20</v>
      </c>
      <c r="T1511" s="19" t="s">
        <v>1471</v>
      </c>
    </row>
    <row r="1512" spans="1:20">
      <c r="A1512" s="20">
        <v>202603329676368</v>
      </c>
      <c r="B1512" s="19" t="s">
        <v>20</v>
      </c>
      <c r="C1512" s="19" t="s">
        <v>21</v>
      </c>
      <c r="D1512" s="19" t="s">
        <v>20</v>
      </c>
      <c r="E1512" s="21">
        <v>46204</v>
      </c>
      <c r="F1512" s="21">
        <v>46568</v>
      </c>
      <c r="G1512" s="21"/>
      <c r="H1512" s="21">
        <v>46204</v>
      </c>
      <c r="I1512" s="21">
        <v>46568</v>
      </c>
      <c r="J1512" s="19" t="s">
        <v>2318</v>
      </c>
      <c r="L1512" s="19">
        <v>29.817561749999999</v>
      </c>
      <c r="M1512" s="19">
        <v>29.817561749999999</v>
      </c>
      <c r="N1512" s="19" t="s">
        <v>1475</v>
      </c>
      <c r="O1512" s="20">
        <v>1</v>
      </c>
      <c r="S1512" s="19" t="s">
        <v>20</v>
      </c>
      <c r="T1512" s="19" t="s">
        <v>1471</v>
      </c>
    </row>
    <row r="1513" spans="1:20">
      <c r="A1513" s="20">
        <v>202603329677238</v>
      </c>
      <c r="B1513" s="19" t="s">
        <v>20</v>
      </c>
      <c r="C1513" s="19" t="s">
        <v>21</v>
      </c>
      <c r="D1513" s="19" t="s">
        <v>20</v>
      </c>
      <c r="E1513" s="21">
        <v>46204</v>
      </c>
      <c r="F1513" s="21">
        <v>46568</v>
      </c>
      <c r="G1513" s="21"/>
      <c r="H1513" s="21">
        <v>46204</v>
      </c>
      <c r="I1513" s="21">
        <v>46568</v>
      </c>
      <c r="J1513" s="19" t="s">
        <v>2068</v>
      </c>
      <c r="L1513" s="19">
        <v>0</v>
      </c>
      <c r="M1513" s="19">
        <v>0</v>
      </c>
      <c r="N1513" s="19" t="s">
        <v>2394</v>
      </c>
      <c r="O1513" s="20">
        <v>5</v>
      </c>
      <c r="S1513" s="19" t="s">
        <v>20</v>
      </c>
      <c r="T1513" s="19" t="s">
        <v>1471</v>
      </c>
    </row>
    <row r="1514" spans="1:20">
      <c r="A1514" s="20">
        <v>202603329677238</v>
      </c>
      <c r="B1514" s="19" t="s">
        <v>20</v>
      </c>
      <c r="C1514" s="19" t="s">
        <v>21</v>
      </c>
      <c r="D1514" s="19" t="s">
        <v>20</v>
      </c>
      <c r="E1514" s="21">
        <v>46204</v>
      </c>
      <c r="F1514" s="21">
        <v>46568</v>
      </c>
      <c r="G1514" s="21"/>
      <c r="H1514" s="21">
        <v>46204</v>
      </c>
      <c r="I1514" s="21">
        <v>46568</v>
      </c>
      <c r="J1514" s="19" t="s">
        <v>2068</v>
      </c>
      <c r="L1514" s="19">
        <v>131.29342</v>
      </c>
      <c r="M1514" s="19">
        <v>131.29342</v>
      </c>
      <c r="N1514" s="19" t="s">
        <v>1475</v>
      </c>
      <c r="O1514" s="20">
        <v>5</v>
      </c>
      <c r="S1514" s="19" t="s">
        <v>20</v>
      </c>
      <c r="T1514" s="19" t="s">
        <v>1471</v>
      </c>
    </row>
    <row r="1515" spans="1:20">
      <c r="A1515" s="20">
        <v>202603329682950</v>
      </c>
      <c r="B1515" s="19" t="s">
        <v>20</v>
      </c>
      <c r="C1515" s="19" t="s">
        <v>21</v>
      </c>
      <c r="D1515" s="19" t="s">
        <v>2319</v>
      </c>
      <c r="E1515" s="21">
        <v>46204</v>
      </c>
      <c r="F1515" s="21">
        <v>46568</v>
      </c>
      <c r="G1515" s="21"/>
      <c r="H1515" s="21">
        <v>46204</v>
      </c>
      <c r="I1515" s="21">
        <v>46568</v>
      </c>
      <c r="J1515" s="19" t="s">
        <v>2069</v>
      </c>
      <c r="L1515" s="19">
        <v>66.261260500000006</v>
      </c>
      <c r="M1515" s="19">
        <v>66.261260500000006</v>
      </c>
      <c r="N1515" s="19" t="s">
        <v>1467</v>
      </c>
      <c r="O1515" s="20">
        <v>2</v>
      </c>
      <c r="S1515" s="19" t="s">
        <v>20</v>
      </c>
      <c r="T1515" s="19" t="s">
        <v>1471</v>
      </c>
    </row>
    <row r="1516" spans="1:20">
      <c r="A1516" s="20">
        <v>202603329683102</v>
      </c>
      <c r="B1516" s="19" t="s">
        <v>20</v>
      </c>
      <c r="C1516" s="19" t="s">
        <v>21</v>
      </c>
      <c r="D1516" s="19" t="s">
        <v>20</v>
      </c>
      <c r="E1516" s="21">
        <v>46204</v>
      </c>
      <c r="F1516" s="21">
        <v>46568</v>
      </c>
      <c r="G1516" s="21"/>
      <c r="H1516" s="21">
        <v>46204</v>
      </c>
      <c r="I1516" s="21">
        <v>46568</v>
      </c>
      <c r="J1516" s="19" t="s">
        <v>2064</v>
      </c>
      <c r="L1516" s="19">
        <v>33.130630250000003</v>
      </c>
      <c r="M1516" s="19">
        <v>33.130630250000003</v>
      </c>
      <c r="N1516" s="19" t="s">
        <v>1475</v>
      </c>
      <c r="O1516" s="20">
        <v>1</v>
      </c>
      <c r="S1516" s="19" t="s">
        <v>20</v>
      </c>
      <c r="T1516" s="19" t="s">
        <v>1471</v>
      </c>
    </row>
    <row r="1517" spans="1:20">
      <c r="A1517" s="20">
        <v>202603329683450</v>
      </c>
      <c r="B1517" s="19" t="s">
        <v>20</v>
      </c>
      <c r="C1517" s="19" t="s">
        <v>21</v>
      </c>
      <c r="D1517" s="19" t="s">
        <v>20</v>
      </c>
      <c r="E1517" s="21">
        <v>46204</v>
      </c>
      <c r="F1517" s="21">
        <v>46568</v>
      </c>
      <c r="G1517" s="21"/>
      <c r="H1517" s="21">
        <v>46204</v>
      </c>
      <c r="I1517" s="21">
        <v>46568</v>
      </c>
      <c r="J1517" s="19" t="s">
        <v>2064</v>
      </c>
      <c r="L1517" s="19">
        <v>99.391890750000002</v>
      </c>
      <c r="M1517" s="19">
        <v>99.391890750000002</v>
      </c>
      <c r="N1517" s="19" t="s">
        <v>1475</v>
      </c>
      <c r="O1517" s="20">
        <v>3</v>
      </c>
      <c r="S1517" s="19" t="s">
        <v>20</v>
      </c>
      <c r="T1517" s="19" t="s">
        <v>1471</v>
      </c>
    </row>
    <row r="1518" spans="1:20">
      <c r="A1518" s="20">
        <v>202603329683662</v>
      </c>
      <c r="B1518" s="19" t="s">
        <v>20</v>
      </c>
      <c r="C1518" s="19" t="s">
        <v>21</v>
      </c>
      <c r="D1518" s="19" t="s">
        <v>20</v>
      </c>
      <c r="E1518" s="21">
        <v>46204</v>
      </c>
      <c r="F1518" s="21">
        <v>46568</v>
      </c>
      <c r="G1518" s="21"/>
      <c r="H1518" s="21">
        <v>46204</v>
      </c>
      <c r="I1518" s="21">
        <v>46568</v>
      </c>
      <c r="J1518" s="19" t="s">
        <v>2120</v>
      </c>
      <c r="L1518" s="19">
        <v>75.895910000000001</v>
      </c>
      <c r="M1518" s="19">
        <v>75.895910000000001</v>
      </c>
      <c r="N1518" s="19" t="s">
        <v>1475</v>
      </c>
      <c r="O1518" s="20">
        <v>2</v>
      </c>
      <c r="S1518" s="19" t="s">
        <v>20</v>
      </c>
      <c r="T1518" s="19" t="s">
        <v>1471</v>
      </c>
    </row>
    <row r="1519" spans="1:20">
      <c r="A1519" s="20">
        <v>202603329687151</v>
      </c>
      <c r="B1519" s="19" t="s">
        <v>20</v>
      </c>
      <c r="C1519" s="19" t="s">
        <v>21</v>
      </c>
      <c r="D1519" s="19" t="s">
        <v>2320</v>
      </c>
      <c r="E1519" s="21">
        <v>46204</v>
      </c>
      <c r="F1519" s="21">
        <v>46568</v>
      </c>
      <c r="G1519" s="21"/>
      <c r="H1519" s="21">
        <v>46204</v>
      </c>
      <c r="I1519" s="21">
        <v>46568</v>
      </c>
      <c r="J1519" s="19" t="s">
        <v>2069</v>
      </c>
      <c r="L1519" s="19">
        <v>16.727183499999999</v>
      </c>
      <c r="M1519" s="19">
        <v>16.727183499999999</v>
      </c>
      <c r="N1519" s="19" t="s">
        <v>1467</v>
      </c>
      <c r="O1519" s="20">
        <v>1</v>
      </c>
      <c r="S1519" s="19" t="s">
        <v>20</v>
      </c>
      <c r="T1519" s="19" t="s">
        <v>1471</v>
      </c>
    </row>
    <row r="1520" spans="1:20">
      <c r="A1520" s="20">
        <v>202603329687484</v>
      </c>
      <c r="B1520" s="19" t="s">
        <v>20</v>
      </c>
      <c r="C1520" s="19" t="s">
        <v>21</v>
      </c>
      <c r="D1520" s="19" t="s">
        <v>20</v>
      </c>
      <c r="E1520" s="21">
        <v>46204</v>
      </c>
      <c r="F1520" s="21">
        <v>46568</v>
      </c>
      <c r="G1520" s="21"/>
      <c r="H1520" s="21">
        <v>46204</v>
      </c>
      <c r="I1520" s="21">
        <v>46568</v>
      </c>
      <c r="J1520" s="19" t="s">
        <v>2105</v>
      </c>
      <c r="L1520" s="19">
        <v>0</v>
      </c>
      <c r="M1520" s="19">
        <v>0</v>
      </c>
      <c r="N1520" s="19" t="s">
        <v>2394</v>
      </c>
      <c r="O1520" s="20">
        <v>2</v>
      </c>
      <c r="S1520" s="19" t="s">
        <v>20</v>
      </c>
      <c r="T1520" s="19" t="s">
        <v>1471</v>
      </c>
    </row>
    <row r="1521" spans="1:20">
      <c r="A1521" s="20">
        <v>202603329687484</v>
      </c>
      <c r="B1521" s="19" t="s">
        <v>20</v>
      </c>
      <c r="C1521" s="19" t="s">
        <v>21</v>
      </c>
      <c r="D1521" s="19" t="s">
        <v>20</v>
      </c>
      <c r="E1521" s="21">
        <v>46204</v>
      </c>
      <c r="F1521" s="21">
        <v>46568</v>
      </c>
      <c r="G1521" s="21"/>
      <c r="H1521" s="21">
        <v>46204</v>
      </c>
      <c r="I1521" s="21">
        <v>46568</v>
      </c>
      <c r="J1521" s="19" t="s">
        <v>2105</v>
      </c>
      <c r="L1521" s="19">
        <v>52.517367999999998</v>
      </c>
      <c r="M1521" s="19">
        <v>52.517367999999998</v>
      </c>
      <c r="N1521" s="19" t="s">
        <v>1475</v>
      </c>
      <c r="O1521" s="20">
        <v>2</v>
      </c>
      <c r="S1521" s="19" t="s">
        <v>20</v>
      </c>
      <c r="T1521" s="19" t="s">
        <v>1471</v>
      </c>
    </row>
    <row r="1522" spans="1:20">
      <c r="A1522" s="20">
        <v>202603329688139</v>
      </c>
      <c r="B1522" s="19" t="s">
        <v>20</v>
      </c>
      <c r="C1522" s="19" t="s">
        <v>21</v>
      </c>
      <c r="D1522" s="19" t="s">
        <v>20</v>
      </c>
      <c r="E1522" s="21">
        <v>46204</v>
      </c>
      <c r="F1522" s="21">
        <v>46568</v>
      </c>
      <c r="G1522" s="21"/>
      <c r="H1522" s="21">
        <v>46204</v>
      </c>
      <c r="I1522" s="21">
        <v>46568</v>
      </c>
      <c r="J1522" s="19" t="s">
        <v>2135</v>
      </c>
      <c r="L1522" s="19">
        <v>0</v>
      </c>
      <c r="M1522" s="19">
        <v>0</v>
      </c>
      <c r="N1522" s="19" t="s">
        <v>2394</v>
      </c>
      <c r="O1522" s="20">
        <v>3</v>
      </c>
      <c r="S1522" s="19" t="s">
        <v>20</v>
      </c>
      <c r="T1522" s="19" t="s">
        <v>1471</v>
      </c>
    </row>
    <row r="1523" spans="1:20">
      <c r="A1523" s="20">
        <v>202603329688139</v>
      </c>
      <c r="B1523" s="19" t="s">
        <v>20</v>
      </c>
      <c r="C1523" s="19" t="s">
        <v>21</v>
      </c>
      <c r="D1523" s="19" t="s">
        <v>20</v>
      </c>
      <c r="E1523" s="21">
        <v>46204</v>
      </c>
      <c r="F1523" s="21">
        <v>46568</v>
      </c>
      <c r="G1523" s="21"/>
      <c r="H1523" s="21">
        <v>46204</v>
      </c>
      <c r="I1523" s="21">
        <v>46568</v>
      </c>
      <c r="J1523" s="19" t="s">
        <v>2135</v>
      </c>
      <c r="L1523" s="19">
        <v>99.391890750000002</v>
      </c>
      <c r="M1523" s="19">
        <v>99.391890750000002</v>
      </c>
      <c r="N1523" s="19" t="s">
        <v>1475</v>
      </c>
      <c r="O1523" s="20">
        <v>3</v>
      </c>
      <c r="S1523" s="19" t="s">
        <v>20</v>
      </c>
      <c r="T1523" s="19" t="s">
        <v>1471</v>
      </c>
    </row>
    <row r="1524" spans="1:20">
      <c r="A1524" s="20">
        <v>202603329688303</v>
      </c>
      <c r="B1524" s="19" t="s">
        <v>20</v>
      </c>
      <c r="C1524" s="19" t="s">
        <v>21</v>
      </c>
      <c r="D1524" s="19" t="s">
        <v>20</v>
      </c>
      <c r="E1524" s="21">
        <v>46204</v>
      </c>
      <c r="F1524" s="21">
        <v>46568</v>
      </c>
      <c r="G1524" s="21"/>
      <c r="H1524" s="21">
        <v>46204</v>
      </c>
      <c r="I1524" s="21">
        <v>46568</v>
      </c>
      <c r="J1524" s="19" t="s">
        <v>2086</v>
      </c>
      <c r="L1524" s="19">
        <v>33.130630250000003</v>
      </c>
      <c r="M1524" s="19">
        <v>33.130630250000003</v>
      </c>
      <c r="N1524" s="19" t="s">
        <v>1475</v>
      </c>
      <c r="O1524" s="20">
        <v>1</v>
      </c>
      <c r="S1524" s="19" t="s">
        <v>20</v>
      </c>
      <c r="T1524" s="19" t="s">
        <v>1471</v>
      </c>
    </row>
    <row r="1525" spans="1:20">
      <c r="A1525" s="20">
        <v>202603329689385</v>
      </c>
      <c r="B1525" s="19" t="s">
        <v>20</v>
      </c>
      <c r="C1525" s="19" t="s">
        <v>21</v>
      </c>
      <c r="D1525" s="19" t="s">
        <v>20</v>
      </c>
      <c r="E1525" s="21">
        <v>46204</v>
      </c>
      <c r="F1525" s="21">
        <v>46568</v>
      </c>
      <c r="G1525" s="21"/>
      <c r="H1525" s="21">
        <v>46204</v>
      </c>
      <c r="I1525" s="21">
        <v>46568</v>
      </c>
      <c r="J1525" s="19" t="s">
        <v>2064</v>
      </c>
      <c r="L1525" s="19">
        <v>0</v>
      </c>
      <c r="M1525" s="19">
        <v>0</v>
      </c>
      <c r="N1525" s="19" t="s">
        <v>2394</v>
      </c>
      <c r="O1525" s="20">
        <v>2</v>
      </c>
      <c r="S1525" s="19" t="s">
        <v>20</v>
      </c>
      <c r="T1525" s="19" t="s">
        <v>1471</v>
      </c>
    </row>
    <row r="1526" spans="1:20">
      <c r="A1526" s="20">
        <v>202603329689385</v>
      </c>
      <c r="B1526" s="19" t="s">
        <v>20</v>
      </c>
      <c r="C1526" s="19" t="s">
        <v>21</v>
      </c>
      <c r="D1526" s="19" t="s">
        <v>20</v>
      </c>
      <c r="E1526" s="21">
        <v>46204</v>
      </c>
      <c r="F1526" s="21">
        <v>46568</v>
      </c>
      <c r="G1526" s="21"/>
      <c r="H1526" s="21">
        <v>46204</v>
      </c>
      <c r="I1526" s="21">
        <v>46568</v>
      </c>
      <c r="J1526" s="19" t="s">
        <v>2064</v>
      </c>
      <c r="L1526" s="19">
        <v>66.261260500000006</v>
      </c>
      <c r="M1526" s="19">
        <v>66.261260500000006</v>
      </c>
      <c r="N1526" s="19" t="s">
        <v>1475</v>
      </c>
      <c r="O1526" s="20">
        <v>2</v>
      </c>
      <c r="S1526" s="19" t="s">
        <v>20</v>
      </c>
      <c r="T1526" s="19" t="s">
        <v>1471</v>
      </c>
    </row>
    <row r="1527" spans="1:20">
      <c r="A1527" s="20">
        <v>202603329689877</v>
      </c>
      <c r="B1527" s="19" t="s">
        <v>20</v>
      </c>
      <c r="C1527" s="19" t="s">
        <v>21</v>
      </c>
      <c r="D1527" s="19" t="s">
        <v>20</v>
      </c>
      <c r="E1527" s="21">
        <v>46204</v>
      </c>
      <c r="F1527" s="21">
        <v>46568</v>
      </c>
      <c r="G1527" s="21"/>
      <c r="H1527" s="21">
        <v>46204</v>
      </c>
      <c r="I1527" s="21">
        <v>46568</v>
      </c>
      <c r="J1527" s="19" t="s">
        <v>1473</v>
      </c>
      <c r="L1527" s="19">
        <v>0</v>
      </c>
      <c r="M1527" s="19">
        <v>0</v>
      </c>
      <c r="N1527" s="19" t="s">
        <v>2394</v>
      </c>
      <c r="O1527" s="20">
        <v>2</v>
      </c>
      <c r="S1527" s="19" t="s">
        <v>20</v>
      </c>
      <c r="T1527" s="19" t="s">
        <v>1471</v>
      </c>
    </row>
    <row r="1528" spans="1:20">
      <c r="A1528" s="20">
        <v>202603329689877</v>
      </c>
      <c r="B1528" s="19" t="s">
        <v>20</v>
      </c>
      <c r="C1528" s="19" t="s">
        <v>21</v>
      </c>
      <c r="D1528" s="19" t="s">
        <v>2321</v>
      </c>
      <c r="E1528" s="21">
        <v>46204</v>
      </c>
      <c r="F1528" s="21">
        <v>46568</v>
      </c>
      <c r="G1528" s="21"/>
      <c r="H1528" s="21">
        <v>46204</v>
      </c>
      <c r="I1528" s="21">
        <v>46568</v>
      </c>
      <c r="J1528" s="19" t="s">
        <v>1473</v>
      </c>
      <c r="L1528" s="19">
        <v>49.241346999999998</v>
      </c>
      <c r="M1528" s="19">
        <v>49.241346999999998</v>
      </c>
      <c r="N1528" s="19" t="s">
        <v>1467</v>
      </c>
      <c r="O1528" s="20">
        <v>2</v>
      </c>
      <c r="S1528" s="19" t="s">
        <v>20</v>
      </c>
      <c r="T1528" s="19" t="s">
        <v>1471</v>
      </c>
    </row>
    <row r="1529" spans="1:20">
      <c r="A1529" s="20">
        <v>202603329690168</v>
      </c>
      <c r="B1529" s="19" t="s">
        <v>20</v>
      </c>
      <c r="C1529" s="19" t="s">
        <v>21</v>
      </c>
      <c r="D1529" s="19" t="s">
        <v>2322</v>
      </c>
      <c r="E1529" s="21">
        <v>46204</v>
      </c>
      <c r="F1529" s="21">
        <v>46568</v>
      </c>
      <c r="G1529" s="21"/>
      <c r="H1529" s="21">
        <v>46204</v>
      </c>
      <c r="I1529" s="21">
        <v>46568</v>
      </c>
      <c r="J1529" s="19" t="s">
        <v>2109</v>
      </c>
      <c r="L1529" s="19">
        <v>29.817561749999999</v>
      </c>
      <c r="M1529" s="19">
        <v>29.817561749999999</v>
      </c>
      <c r="N1529" s="19" t="s">
        <v>1467</v>
      </c>
      <c r="O1529" s="20">
        <v>1</v>
      </c>
      <c r="S1529" s="19" t="s">
        <v>20</v>
      </c>
      <c r="T1529" s="19" t="s">
        <v>1471</v>
      </c>
    </row>
    <row r="1530" spans="1:20">
      <c r="A1530" s="20">
        <v>202603329690682</v>
      </c>
      <c r="B1530" s="19" t="s">
        <v>20</v>
      </c>
      <c r="C1530" s="19" t="s">
        <v>21</v>
      </c>
      <c r="D1530" s="19" t="s">
        <v>20</v>
      </c>
      <c r="E1530" s="21">
        <v>46204</v>
      </c>
      <c r="F1530" s="21">
        <v>46568</v>
      </c>
      <c r="G1530" s="21"/>
      <c r="H1530" s="21">
        <v>46204</v>
      </c>
      <c r="I1530" s="21">
        <v>46568</v>
      </c>
      <c r="J1530" s="19" t="s">
        <v>2118</v>
      </c>
      <c r="L1530" s="19">
        <v>0</v>
      </c>
      <c r="M1530" s="19">
        <v>0</v>
      </c>
      <c r="N1530" s="19" t="s">
        <v>2394</v>
      </c>
      <c r="O1530" s="20">
        <v>6</v>
      </c>
      <c r="S1530" s="19" t="s">
        <v>20</v>
      </c>
      <c r="T1530" s="19" t="s">
        <v>1471</v>
      </c>
    </row>
    <row r="1531" spans="1:20">
      <c r="A1531" s="20">
        <v>202603329690682</v>
      </c>
      <c r="B1531" s="19" t="s">
        <v>20</v>
      </c>
      <c r="C1531" s="19" t="s">
        <v>21</v>
      </c>
      <c r="D1531" s="19" t="s">
        <v>20</v>
      </c>
      <c r="E1531" s="21">
        <v>46204</v>
      </c>
      <c r="F1531" s="21">
        <v>46568</v>
      </c>
      <c r="G1531" s="21"/>
      <c r="H1531" s="21">
        <v>46204</v>
      </c>
      <c r="I1531" s="21">
        <v>46568</v>
      </c>
      <c r="J1531" s="19" t="s">
        <v>2118</v>
      </c>
      <c r="L1531" s="19">
        <v>198.7837815</v>
      </c>
      <c r="M1531" s="19">
        <v>198.7837815</v>
      </c>
      <c r="N1531" s="19" t="s">
        <v>1475</v>
      </c>
      <c r="O1531" s="20">
        <v>6</v>
      </c>
      <c r="S1531" s="19" t="s">
        <v>20</v>
      </c>
      <c r="T1531" s="19" t="s">
        <v>1471</v>
      </c>
    </row>
    <row r="1532" spans="1:20">
      <c r="A1532" s="20">
        <v>202603329691087</v>
      </c>
      <c r="B1532" s="19" t="s">
        <v>20</v>
      </c>
      <c r="C1532" s="19" t="s">
        <v>21</v>
      </c>
      <c r="D1532" s="19" t="s">
        <v>20</v>
      </c>
      <c r="E1532" s="21">
        <v>46204</v>
      </c>
      <c r="F1532" s="21">
        <v>46568</v>
      </c>
      <c r="G1532" s="21"/>
      <c r="H1532" s="21">
        <v>46204</v>
      </c>
      <c r="I1532" s="21">
        <v>46568</v>
      </c>
      <c r="J1532" s="19" t="s">
        <v>1465</v>
      </c>
      <c r="L1532" s="19">
        <v>0</v>
      </c>
      <c r="M1532" s="19">
        <v>0</v>
      </c>
      <c r="N1532" s="19" t="s">
        <v>2394</v>
      </c>
      <c r="O1532" s="20">
        <v>3</v>
      </c>
      <c r="S1532" s="19" t="s">
        <v>20</v>
      </c>
      <c r="T1532" s="19" t="s">
        <v>1471</v>
      </c>
    </row>
    <row r="1533" spans="1:20">
      <c r="A1533" s="20">
        <v>202603329691087</v>
      </c>
      <c r="B1533" s="19" t="s">
        <v>20</v>
      </c>
      <c r="C1533" s="19" t="s">
        <v>21</v>
      </c>
      <c r="D1533" s="19" t="s">
        <v>2323</v>
      </c>
      <c r="E1533" s="21">
        <v>46204</v>
      </c>
      <c r="F1533" s="21">
        <v>46568</v>
      </c>
      <c r="G1533" s="21"/>
      <c r="H1533" s="21">
        <v>46204</v>
      </c>
      <c r="I1533" s="21">
        <v>46568</v>
      </c>
      <c r="J1533" s="19" t="s">
        <v>1465</v>
      </c>
      <c r="L1533" s="19">
        <v>54.480246749999999</v>
      </c>
      <c r="M1533" s="19">
        <v>54.480246749999999</v>
      </c>
      <c r="N1533" s="19" t="s">
        <v>1467</v>
      </c>
      <c r="O1533" s="20">
        <v>3</v>
      </c>
      <c r="S1533" s="19" t="s">
        <v>20</v>
      </c>
      <c r="T1533" s="19" t="s">
        <v>1471</v>
      </c>
    </row>
    <row r="1534" spans="1:20">
      <c r="A1534" s="20">
        <v>202603329691199</v>
      </c>
      <c r="B1534" s="19" t="s">
        <v>20</v>
      </c>
      <c r="C1534" s="19" t="s">
        <v>21</v>
      </c>
      <c r="D1534" s="19" t="s">
        <v>20</v>
      </c>
      <c r="E1534" s="21">
        <v>46204</v>
      </c>
      <c r="F1534" s="21">
        <v>46568</v>
      </c>
      <c r="G1534" s="21"/>
      <c r="H1534" s="21">
        <v>46204</v>
      </c>
      <c r="I1534" s="21">
        <v>46568</v>
      </c>
      <c r="J1534" s="19" t="s">
        <v>2092</v>
      </c>
      <c r="L1534" s="19">
        <v>0</v>
      </c>
      <c r="M1534" s="19">
        <v>0</v>
      </c>
      <c r="N1534" s="19" t="s">
        <v>2394</v>
      </c>
      <c r="O1534" s="20">
        <v>7</v>
      </c>
      <c r="S1534" s="19" t="s">
        <v>20</v>
      </c>
      <c r="T1534" s="19" t="s">
        <v>1471</v>
      </c>
    </row>
    <row r="1535" spans="1:20">
      <c r="A1535" s="20">
        <v>202603329691199</v>
      </c>
      <c r="B1535" s="19" t="s">
        <v>20</v>
      </c>
      <c r="C1535" s="19" t="s">
        <v>21</v>
      </c>
      <c r="D1535" s="19" t="s">
        <v>20</v>
      </c>
      <c r="E1535" s="21">
        <v>46204</v>
      </c>
      <c r="F1535" s="21">
        <v>46568</v>
      </c>
      <c r="G1535" s="21"/>
      <c r="H1535" s="21">
        <v>46204</v>
      </c>
      <c r="I1535" s="21">
        <v>46568</v>
      </c>
      <c r="J1535" s="19" t="s">
        <v>2092</v>
      </c>
      <c r="L1535" s="19">
        <v>270.61691300000001</v>
      </c>
      <c r="M1535" s="19">
        <v>270.61691300000001</v>
      </c>
      <c r="N1535" s="19" t="s">
        <v>1475</v>
      </c>
      <c r="O1535" s="20">
        <v>7</v>
      </c>
      <c r="S1535" s="19" t="s">
        <v>20</v>
      </c>
      <c r="T1535" s="19" t="s">
        <v>1471</v>
      </c>
    </row>
    <row r="1536" spans="1:20">
      <c r="A1536" s="20">
        <v>202603329691202</v>
      </c>
      <c r="B1536" s="19" t="s">
        <v>20</v>
      </c>
      <c r="C1536" s="19" t="s">
        <v>21</v>
      </c>
      <c r="D1536" s="19" t="s">
        <v>20</v>
      </c>
      <c r="E1536" s="21">
        <v>46204</v>
      </c>
      <c r="F1536" s="21">
        <v>46568</v>
      </c>
      <c r="G1536" s="21"/>
      <c r="H1536" s="21">
        <v>46204</v>
      </c>
      <c r="I1536" s="21">
        <v>46568</v>
      </c>
      <c r="J1536" s="19" t="s">
        <v>2064</v>
      </c>
      <c r="L1536" s="19">
        <v>33.130630250000003</v>
      </c>
      <c r="M1536" s="19">
        <v>33.130630250000003</v>
      </c>
      <c r="N1536" s="19" t="s">
        <v>1475</v>
      </c>
      <c r="O1536" s="20">
        <v>1</v>
      </c>
      <c r="S1536" s="19" t="s">
        <v>20</v>
      </c>
      <c r="T1536" s="19" t="s">
        <v>1471</v>
      </c>
    </row>
    <row r="1537" spans="1:20">
      <c r="A1537" s="20">
        <v>202603329692877</v>
      </c>
      <c r="B1537" s="19" t="s">
        <v>20</v>
      </c>
      <c r="C1537" s="19" t="s">
        <v>21</v>
      </c>
      <c r="D1537" s="19" t="s">
        <v>20</v>
      </c>
      <c r="E1537" s="21">
        <v>46204</v>
      </c>
      <c r="F1537" s="21">
        <v>46568</v>
      </c>
      <c r="G1537" s="21"/>
      <c r="H1537" s="21">
        <v>46204</v>
      </c>
      <c r="I1537" s="21">
        <v>46568</v>
      </c>
      <c r="J1537" s="19" t="s">
        <v>2073</v>
      </c>
      <c r="L1537" s="19">
        <v>26.258683999999999</v>
      </c>
      <c r="M1537" s="19">
        <v>26.258683999999999</v>
      </c>
      <c r="N1537" s="19" t="s">
        <v>1475</v>
      </c>
      <c r="O1537" s="20">
        <v>1</v>
      </c>
      <c r="S1537" s="19" t="s">
        <v>20</v>
      </c>
      <c r="T1537" s="19" t="s">
        <v>1471</v>
      </c>
    </row>
    <row r="1538" spans="1:20">
      <c r="A1538" s="20">
        <v>202603329695122</v>
      </c>
      <c r="B1538" s="19" t="s">
        <v>20</v>
      </c>
      <c r="C1538" s="19" t="s">
        <v>21</v>
      </c>
      <c r="D1538" s="19" t="s">
        <v>20</v>
      </c>
      <c r="E1538" s="21">
        <v>46204</v>
      </c>
      <c r="F1538" s="21">
        <v>46568</v>
      </c>
      <c r="G1538" s="21"/>
      <c r="H1538" s="21">
        <v>46204</v>
      </c>
      <c r="I1538" s="21">
        <v>46568</v>
      </c>
      <c r="J1538" s="19" t="s">
        <v>2092</v>
      </c>
      <c r="L1538" s="19">
        <v>0</v>
      </c>
      <c r="M1538" s="19">
        <v>0</v>
      </c>
      <c r="N1538" s="19" t="s">
        <v>2394</v>
      </c>
      <c r="O1538" s="20">
        <v>4</v>
      </c>
      <c r="S1538" s="19" t="s">
        <v>20</v>
      </c>
      <c r="T1538" s="19" t="s">
        <v>1471</v>
      </c>
    </row>
    <row r="1539" spans="1:20">
      <c r="A1539" s="20">
        <v>202603329695122</v>
      </c>
      <c r="B1539" s="19" t="s">
        <v>20</v>
      </c>
      <c r="C1539" s="19" t="s">
        <v>21</v>
      </c>
      <c r="D1539" s="19" t="s">
        <v>20</v>
      </c>
      <c r="E1539" s="21">
        <v>46204</v>
      </c>
      <c r="F1539" s="21">
        <v>46568</v>
      </c>
      <c r="G1539" s="21"/>
      <c r="H1539" s="21">
        <v>46204</v>
      </c>
      <c r="I1539" s="21">
        <v>46568</v>
      </c>
      <c r="J1539" s="19" t="s">
        <v>2092</v>
      </c>
      <c r="L1539" s="19">
        <v>154.63823600000001</v>
      </c>
      <c r="M1539" s="19">
        <v>154.63823600000001</v>
      </c>
      <c r="N1539" s="19" t="s">
        <v>1475</v>
      </c>
      <c r="O1539" s="20">
        <v>4</v>
      </c>
      <c r="S1539" s="19" t="s">
        <v>20</v>
      </c>
      <c r="T1539" s="19" t="s">
        <v>1471</v>
      </c>
    </row>
    <row r="1540" spans="1:20">
      <c r="A1540" s="20">
        <v>202603329695160</v>
      </c>
      <c r="B1540" s="19" t="s">
        <v>20</v>
      </c>
      <c r="C1540" s="19" t="s">
        <v>21</v>
      </c>
      <c r="D1540" s="19" t="s">
        <v>20</v>
      </c>
      <c r="E1540" s="21">
        <v>46204</v>
      </c>
      <c r="F1540" s="21">
        <v>46568</v>
      </c>
      <c r="G1540" s="21"/>
      <c r="H1540" s="21">
        <v>46204</v>
      </c>
      <c r="I1540" s="21">
        <v>46568</v>
      </c>
      <c r="J1540" s="19" t="s">
        <v>2069</v>
      </c>
      <c r="L1540" s="19">
        <v>0</v>
      </c>
      <c r="M1540" s="19">
        <v>0</v>
      </c>
      <c r="N1540" s="19" t="s">
        <v>2394</v>
      </c>
      <c r="O1540" s="20">
        <v>6</v>
      </c>
      <c r="S1540" s="19" t="s">
        <v>20</v>
      </c>
      <c r="T1540" s="19" t="s">
        <v>1471</v>
      </c>
    </row>
    <row r="1541" spans="1:20">
      <c r="A1541" s="20">
        <v>202603329695160</v>
      </c>
      <c r="B1541" s="19" t="s">
        <v>20</v>
      </c>
      <c r="C1541" s="19" t="s">
        <v>21</v>
      </c>
      <c r="D1541" s="19" t="s">
        <v>20</v>
      </c>
      <c r="E1541" s="21">
        <v>46204</v>
      </c>
      <c r="F1541" s="21">
        <v>46568</v>
      </c>
      <c r="G1541" s="21"/>
      <c r="H1541" s="21">
        <v>46204</v>
      </c>
      <c r="I1541" s="21">
        <v>46568</v>
      </c>
      <c r="J1541" s="19" t="s">
        <v>2069</v>
      </c>
      <c r="L1541" s="19">
        <v>198.7837815</v>
      </c>
      <c r="M1541" s="19">
        <v>198.7837815</v>
      </c>
      <c r="N1541" s="19" t="s">
        <v>1475</v>
      </c>
      <c r="O1541" s="20">
        <v>6</v>
      </c>
      <c r="S1541" s="19" t="s">
        <v>20</v>
      </c>
      <c r="T1541" s="19" t="s">
        <v>1471</v>
      </c>
    </row>
    <row r="1542" spans="1:20">
      <c r="A1542" s="20">
        <v>202603329696101</v>
      </c>
      <c r="B1542" s="19" t="s">
        <v>20</v>
      </c>
      <c r="C1542" s="19" t="s">
        <v>21</v>
      </c>
      <c r="D1542" s="19" t="s">
        <v>20</v>
      </c>
      <c r="E1542" s="21">
        <v>46204</v>
      </c>
      <c r="F1542" s="21">
        <v>46568</v>
      </c>
      <c r="G1542" s="21"/>
      <c r="H1542" s="21">
        <v>46204</v>
      </c>
      <c r="I1542" s="21">
        <v>46568</v>
      </c>
      <c r="J1542" s="19" t="s">
        <v>2064</v>
      </c>
      <c r="L1542" s="19">
        <v>0</v>
      </c>
      <c r="M1542" s="19">
        <v>0</v>
      </c>
      <c r="N1542" s="19" t="s">
        <v>2394</v>
      </c>
      <c r="O1542" s="20">
        <v>4</v>
      </c>
      <c r="S1542" s="19" t="s">
        <v>20</v>
      </c>
      <c r="T1542" s="19" t="s">
        <v>1471</v>
      </c>
    </row>
    <row r="1543" spans="1:20">
      <c r="A1543" s="20">
        <v>202603329696101</v>
      </c>
      <c r="B1543" s="19" t="s">
        <v>20</v>
      </c>
      <c r="C1543" s="19" t="s">
        <v>21</v>
      </c>
      <c r="D1543" s="19" t="s">
        <v>20</v>
      </c>
      <c r="E1543" s="21">
        <v>46204</v>
      </c>
      <c r="F1543" s="21">
        <v>46568</v>
      </c>
      <c r="G1543" s="21"/>
      <c r="H1543" s="21">
        <v>46204</v>
      </c>
      <c r="I1543" s="21">
        <v>46568</v>
      </c>
      <c r="J1543" s="19" t="s">
        <v>2064</v>
      </c>
      <c r="L1543" s="19">
        <v>132.52252100000001</v>
      </c>
      <c r="M1543" s="19">
        <v>132.52252100000001</v>
      </c>
      <c r="N1543" s="19" t="s">
        <v>1475</v>
      </c>
      <c r="O1543" s="20">
        <v>4</v>
      </c>
      <c r="S1543" s="19" t="s">
        <v>20</v>
      </c>
      <c r="T1543" s="19" t="s">
        <v>1471</v>
      </c>
    </row>
    <row r="1544" spans="1:20">
      <c r="A1544" s="20">
        <v>202603329696381</v>
      </c>
      <c r="B1544" s="19" t="s">
        <v>20</v>
      </c>
      <c r="C1544" s="19" t="s">
        <v>21</v>
      </c>
      <c r="D1544" s="19" t="s">
        <v>20</v>
      </c>
      <c r="E1544" s="21">
        <v>46204</v>
      </c>
      <c r="F1544" s="21">
        <v>46568</v>
      </c>
      <c r="G1544" s="21"/>
      <c r="H1544" s="21">
        <v>46204</v>
      </c>
      <c r="I1544" s="21">
        <v>46568</v>
      </c>
      <c r="J1544" s="19" t="s">
        <v>2069</v>
      </c>
      <c r="L1544" s="19">
        <v>99.391890750000002</v>
      </c>
      <c r="M1544" s="19">
        <v>99.391890750000002</v>
      </c>
      <c r="N1544" s="19" t="s">
        <v>1475</v>
      </c>
      <c r="O1544" s="20">
        <v>3</v>
      </c>
      <c r="S1544" s="19" t="s">
        <v>20</v>
      </c>
      <c r="T1544" s="19" t="s">
        <v>1471</v>
      </c>
    </row>
    <row r="1545" spans="1:20">
      <c r="A1545" s="20">
        <v>202603329696426</v>
      </c>
      <c r="B1545" s="19" t="s">
        <v>20</v>
      </c>
      <c r="C1545" s="19" t="s">
        <v>21</v>
      </c>
      <c r="D1545" s="19" t="s">
        <v>20</v>
      </c>
      <c r="E1545" s="21">
        <v>46204</v>
      </c>
      <c r="F1545" s="21">
        <v>46568</v>
      </c>
      <c r="G1545" s="21"/>
      <c r="H1545" s="21">
        <v>46204</v>
      </c>
      <c r="I1545" s="21">
        <v>46568</v>
      </c>
      <c r="J1545" s="19" t="s">
        <v>2146</v>
      </c>
      <c r="L1545" s="19">
        <v>0</v>
      </c>
      <c r="M1545" s="19">
        <v>0</v>
      </c>
      <c r="N1545" s="19" t="s">
        <v>2394</v>
      </c>
      <c r="O1545" s="20">
        <v>6</v>
      </c>
      <c r="S1545" s="19" t="s">
        <v>20</v>
      </c>
      <c r="T1545" s="19" t="s">
        <v>1471</v>
      </c>
    </row>
    <row r="1546" spans="1:20">
      <c r="A1546" s="20">
        <v>202603329696426</v>
      </c>
      <c r="B1546" s="19" t="s">
        <v>20</v>
      </c>
      <c r="C1546" s="19" t="s">
        <v>21</v>
      </c>
      <c r="D1546" s="19" t="s">
        <v>2324</v>
      </c>
      <c r="E1546" s="21">
        <v>46204</v>
      </c>
      <c r="F1546" s="21">
        <v>46568</v>
      </c>
      <c r="G1546" s="21"/>
      <c r="H1546" s="21">
        <v>46204</v>
      </c>
      <c r="I1546" s="21">
        <v>46568</v>
      </c>
      <c r="J1546" s="19" t="s">
        <v>2146</v>
      </c>
      <c r="L1546" s="19">
        <v>143.80974449999999</v>
      </c>
      <c r="M1546" s="19">
        <v>143.80974449999999</v>
      </c>
      <c r="N1546" s="19" t="s">
        <v>1467</v>
      </c>
      <c r="O1546" s="20">
        <v>6</v>
      </c>
      <c r="S1546" s="19" t="s">
        <v>20</v>
      </c>
      <c r="T1546" s="19" t="s">
        <v>1471</v>
      </c>
    </row>
    <row r="1547" spans="1:20">
      <c r="A1547" s="20">
        <v>202603329696768</v>
      </c>
      <c r="B1547" s="19" t="s">
        <v>20</v>
      </c>
      <c r="C1547" s="19" t="s">
        <v>21</v>
      </c>
      <c r="D1547" s="19" t="s">
        <v>20</v>
      </c>
      <c r="E1547" s="21">
        <v>46204</v>
      </c>
      <c r="F1547" s="21">
        <v>46568</v>
      </c>
      <c r="G1547" s="21"/>
      <c r="H1547" s="21">
        <v>46204</v>
      </c>
      <c r="I1547" s="21">
        <v>46568</v>
      </c>
      <c r="J1547" s="19" t="s">
        <v>2093</v>
      </c>
      <c r="L1547" s="19">
        <v>0</v>
      </c>
      <c r="M1547" s="19">
        <v>0</v>
      </c>
      <c r="N1547" s="19" t="s">
        <v>2394</v>
      </c>
      <c r="O1547" s="20">
        <v>2</v>
      </c>
      <c r="S1547" s="19" t="s">
        <v>20</v>
      </c>
      <c r="T1547" s="19" t="s">
        <v>1471</v>
      </c>
    </row>
    <row r="1548" spans="1:20">
      <c r="A1548" s="20">
        <v>202603329696768</v>
      </c>
      <c r="B1548" s="19" t="s">
        <v>20</v>
      </c>
      <c r="C1548" s="19" t="s">
        <v>21</v>
      </c>
      <c r="D1548" s="19" t="s">
        <v>20</v>
      </c>
      <c r="E1548" s="21">
        <v>46204</v>
      </c>
      <c r="F1548" s="21">
        <v>46568</v>
      </c>
      <c r="G1548" s="21"/>
      <c r="H1548" s="21">
        <v>46204</v>
      </c>
      <c r="I1548" s="21">
        <v>46568</v>
      </c>
      <c r="J1548" s="19" t="s">
        <v>2093</v>
      </c>
      <c r="L1548" s="19">
        <v>57.552068499999997</v>
      </c>
      <c r="M1548" s="19">
        <v>57.552068499999997</v>
      </c>
      <c r="N1548" s="19" t="s">
        <v>1475</v>
      </c>
      <c r="O1548" s="20">
        <v>2</v>
      </c>
      <c r="S1548" s="19" t="s">
        <v>20</v>
      </c>
      <c r="T1548" s="19" t="s">
        <v>1471</v>
      </c>
    </row>
    <row r="1549" spans="1:20">
      <c r="A1549" s="20">
        <v>202603329696880</v>
      </c>
      <c r="B1549" s="19" t="s">
        <v>20</v>
      </c>
      <c r="C1549" s="19" t="s">
        <v>21</v>
      </c>
      <c r="D1549" s="19" t="s">
        <v>20</v>
      </c>
      <c r="E1549" s="21">
        <v>46204</v>
      </c>
      <c r="F1549" s="21">
        <v>46568</v>
      </c>
      <c r="G1549" s="21"/>
      <c r="H1549" s="21">
        <v>46204</v>
      </c>
      <c r="I1549" s="21">
        <v>46568</v>
      </c>
      <c r="J1549" s="19" t="s">
        <v>2085</v>
      </c>
      <c r="L1549" s="19">
        <v>0</v>
      </c>
      <c r="M1549" s="19">
        <v>0</v>
      </c>
      <c r="N1549" s="19" t="s">
        <v>2394</v>
      </c>
      <c r="O1549" s="20">
        <v>4</v>
      </c>
      <c r="S1549" s="19" t="s">
        <v>20</v>
      </c>
      <c r="T1549" s="19" t="s">
        <v>1471</v>
      </c>
    </row>
    <row r="1550" spans="1:20">
      <c r="A1550" s="20">
        <v>202603329696880</v>
      </c>
      <c r="B1550" s="19" t="s">
        <v>20</v>
      </c>
      <c r="C1550" s="19" t="s">
        <v>21</v>
      </c>
      <c r="D1550" s="19" t="s">
        <v>20</v>
      </c>
      <c r="E1550" s="21">
        <v>46204</v>
      </c>
      <c r="F1550" s="21">
        <v>46568</v>
      </c>
      <c r="G1550" s="21"/>
      <c r="H1550" s="21">
        <v>46204</v>
      </c>
      <c r="I1550" s="21">
        <v>46568</v>
      </c>
      <c r="J1550" s="19" t="s">
        <v>2085</v>
      </c>
      <c r="L1550" s="19">
        <v>98.482693999999995</v>
      </c>
      <c r="M1550" s="19">
        <v>98.482693999999995</v>
      </c>
      <c r="N1550" s="19" t="s">
        <v>1475</v>
      </c>
      <c r="O1550" s="20">
        <v>4</v>
      </c>
      <c r="S1550" s="19" t="s">
        <v>20</v>
      </c>
      <c r="T1550" s="19" t="s">
        <v>1471</v>
      </c>
    </row>
    <row r="1551" spans="1:20">
      <c r="A1551" s="20">
        <v>202603329697101</v>
      </c>
      <c r="B1551" s="19" t="s">
        <v>20</v>
      </c>
      <c r="C1551" s="19" t="s">
        <v>21</v>
      </c>
      <c r="D1551" s="19" t="s">
        <v>20</v>
      </c>
      <c r="E1551" s="21">
        <v>46204</v>
      </c>
      <c r="F1551" s="21">
        <v>46568</v>
      </c>
      <c r="G1551" s="21"/>
      <c r="H1551" s="21">
        <v>46204</v>
      </c>
      <c r="I1551" s="21">
        <v>46568</v>
      </c>
      <c r="J1551" s="19" t="s">
        <v>2087</v>
      </c>
      <c r="L1551" s="19">
        <v>99.391890750000002</v>
      </c>
      <c r="M1551" s="19">
        <v>99.391890750000002</v>
      </c>
      <c r="N1551" s="19" t="s">
        <v>1475</v>
      </c>
      <c r="O1551" s="20">
        <v>3</v>
      </c>
      <c r="S1551" s="19" t="s">
        <v>20</v>
      </c>
      <c r="T1551" s="19" t="s">
        <v>1471</v>
      </c>
    </row>
    <row r="1552" spans="1:20">
      <c r="A1552" s="20">
        <v>202603329697122</v>
      </c>
      <c r="B1552" s="19" t="s">
        <v>20</v>
      </c>
      <c r="C1552" s="19" t="s">
        <v>21</v>
      </c>
      <c r="D1552" s="19" t="s">
        <v>20</v>
      </c>
      <c r="E1552" s="21">
        <v>46204</v>
      </c>
      <c r="F1552" s="21">
        <v>46568</v>
      </c>
      <c r="G1552" s="21"/>
      <c r="H1552" s="21">
        <v>46204</v>
      </c>
      <c r="I1552" s="21">
        <v>46568</v>
      </c>
      <c r="J1552" s="19" t="s">
        <v>2066</v>
      </c>
      <c r="L1552" s="19">
        <v>0</v>
      </c>
      <c r="M1552" s="19">
        <v>0</v>
      </c>
      <c r="N1552" s="19" t="s">
        <v>2394</v>
      </c>
      <c r="O1552" s="20">
        <v>2</v>
      </c>
      <c r="S1552" s="19" t="s">
        <v>20</v>
      </c>
      <c r="T1552" s="19" t="s">
        <v>1471</v>
      </c>
    </row>
    <row r="1553" spans="1:20">
      <c r="A1553" s="20">
        <v>202603329697122</v>
      </c>
      <c r="B1553" s="19" t="s">
        <v>20</v>
      </c>
      <c r="C1553" s="19" t="s">
        <v>21</v>
      </c>
      <c r="D1553" s="19" t="s">
        <v>20</v>
      </c>
      <c r="E1553" s="21">
        <v>46204</v>
      </c>
      <c r="F1553" s="21">
        <v>46568</v>
      </c>
      <c r="G1553" s="21"/>
      <c r="H1553" s="21">
        <v>46204</v>
      </c>
      <c r="I1553" s="21">
        <v>46568</v>
      </c>
      <c r="J1553" s="19" t="s">
        <v>2066</v>
      </c>
      <c r="L1553" s="19">
        <v>66.261260500000006</v>
      </c>
      <c r="M1553" s="19">
        <v>66.261260500000006</v>
      </c>
      <c r="N1553" s="19" t="s">
        <v>1475</v>
      </c>
      <c r="O1553" s="20">
        <v>2</v>
      </c>
      <c r="S1553" s="19" t="s">
        <v>20</v>
      </c>
      <c r="T1553" s="19" t="s">
        <v>1471</v>
      </c>
    </row>
    <row r="1554" spans="1:20">
      <c r="A1554" s="20">
        <v>202603329697565</v>
      </c>
      <c r="B1554" s="19" t="s">
        <v>20</v>
      </c>
      <c r="C1554" s="19" t="s">
        <v>21</v>
      </c>
      <c r="D1554" s="19" t="s">
        <v>20</v>
      </c>
      <c r="E1554" s="21">
        <v>46204</v>
      </c>
      <c r="F1554" s="21">
        <v>46568</v>
      </c>
      <c r="G1554" s="21"/>
      <c r="H1554" s="21">
        <v>46204</v>
      </c>
      <c r="I1554" s="21">
        <v>46568</v>
      </c>
      <c r="J1554" s="19" t="s">
        <v>2135</v>
      </c>
      <c r="L1554" s="19">
        <v>0</v>
      </c>
      <c r="M1554" s="19">
        <v>0</v>
      </c>
      <c r="N1554" s="19" t="s">
        <v>2394</v>
      </c>
      <c r="O1554" s="20">
        <v>2</v>
      </c>
      <c r="S1554" s="19" t="s">
        <v>20</v>
      </c>
      <c r="T1554" s="19" t="s">
        <v>1471</v>
      </c>
    </row>
    <row r="1555" spans="1:20">
      <c r="A1555" s="20">
        <v>202603329697565</v>
      </c>
      <c r="B1555" s="19" t="s">
        <v>20</v>
      </c>
      <c r="C1555" s="19" t="s">
        <v>21</v>
      </c>
      <c r="D1555" s="19" t="s">
        <v>20</v>
      </c>
      <c r="E1555" s="21">
        <v>46204</v>
      </c>
      <c r="F1555" s="21">
        <v>46568</v>
      </c>
      <c r="G1555" s="21"/>
      <c r="H1555" s="21">
        <v>46204</v>
      </c>
      <c r="I1555" s="21">
        <v>46568</v>
      </c>
      <c r="J1555" s="19" t="s">
        <v>2135</v>
      </c>
      <c r="L1555" s="19">
        <v>66.261260500000006</v>
      </c>
      <c r="M1555" s="19">
        <v>66.261260500000006</v>
      </c>
      <c r="N1555" s="19" t="s">
        <v>1475</v>
      </c>
      <c r="O1555" s="20">
        <v>2</v>
      </c>
      <c r="S1555" s="19" t="s">
        <v>20</v>
      </c>
      <c r="T1555" s="19" t="s">
        <v>1471</v>
      </c>
    </row>
    <row r="1556" spans="1:20">
      <c r="A1556" s="20">
        <v>202603329699956</v>
      </c>
      <c r="B1556" s="19" t="s">
        <v>20</v>
      </c>
      <c r="C1556" s="19" t="s">
        <v>21</v>
      </c>
      <c r="D1556" s="19" t="s">
        <v>20</v>
      </c>
      <c r="E1556" s="21">
        <v>46204</v>
      </c>
      <c r="F1556" s="21">
        <v>46568</v>
      </c>
      <c r="G1556" s="21"/>
      <c r="H1556" s="21">
        <v>46204</v>
      </c>
      <c r="I1556" s="21">
        <v>46568</v>
      </c>
      <c r="J1556" s="19" t="s">
        <v>2235</v>
      </c>
      <c r="L1556" s="19">
        <v>0</v>
      </c>
      <c r="M1556" s="19">
        <v>0</v>
      </c>
      <c r="N1556" s="19" t="s">
        <v>2394</v>
      </c>
      <c r="O1556" s="20">
        <v>5</v>
      </c>
      <c r="S1556" s="19" t="s">
        <v>20</v>
      </c>
      <c r="T1556" s="19" t="s">
        <v>1471</v>
      </c>
    </row>
    <row r="1557" spans="1:20">
      <c r="A1557" s="20">
        <v>202603329699956</v>
      </c>
      <c r="B1557" s="19" t="s">
        <v>20</v>
      </c>
      <c r="C1557" s="19" t="s">
        <v>21</v>
      </c>
      <c r="D1557" s="19" t="s">
        <v>20</v>
      </c>
      <c r="E1557" s="21">
        <v>46204</v>
      </c>
      <c r="F1557" s="21">
        <v>46568</v>
      </c>
      <c r="G1557" s="21"/>
      <c r="H1557" s="21">
        <v>46204</v>
      </c>
      <c r="I1557" s="21">
        <v>46568</v>
      </c>
      <c r="J1557" s="19" t="s">
        <v>2235</v>
      </c>
      <c r="L1557" s="19">
        <v>165.65315125000001</v>
      </c>
      <c r="M1557" s="19">
        <v>165.65315125000001</v>
      </c>
      <c r="N1557" s="19" t="s">
        <v>1475</v>
      </c>
      <c r="O1557" s="20">
        <v>5</v>
      </c>
      <c r="S1557" s="19" t="s">
        <v>20</v>
      </c>
      <c r="T1557" s="19" t="s">
        <v>1471</v>
      </c>
    </row>
    <row r="1558" spans="1:20">
      <c r="A1558" s="20">
        <v>202603329701130</v>
      </c>
      <c r="B1558" s="19" t="s">
        <v>20</v>
      </c>
      <c r="C1558" s="19" t="s">
        <v>21</v>
      </c>
      <c r="D1558" s="19" t="s">
        <v>20</v>
      </c>
      <c r="E1558" s="21">
        <v>46204</v>
      </c>
      <c r="F1558" s="21">
        <v>46568</v>
      </c>
      <c r="G1558" s="21"/>
      <c r="H1558" s="21">
        <v>46204</v>
      </c>
      <c r="I1558" s="21">
        <v>46568</v>
      </c>
      <c r="J1558" s="19" t="s">
        <v>2118</v>
      </c>
      <c r="L1558" s="19">
        <v>33.130630250000003</v>
      </c>
      <c r="M1558" s="19">
        <v>33.130630250000003</v>
      </c>
      <c r="N1558" s="19" t="s">
        <v>1475</v>
      </c>
      <c r="O1558" s="20">
        <v>1</v>
      </c>
      <c r="S1558" s="19" t="s">
        <v>20</v>
      </c>
      <c r="T1558" s="19" t="s">
        <v>1471</v>
      </c>
    </row>
    <row r="1559" spans="1:20">
      <c r="A1559" s="20">
        <v>202603329703765</v>
      </c>
      <c r="B1559" s="19" t="s">
        <v>20</v>
      </c>
      <c r="C1559" s="19" t="s">
        <v>21</v>
      </c>
      <c r="D1559" s="19" t="s">
        <v>20</v>
      </c>
      <c r="E1559" s="21">
        <v>46204</v>
      </c>
      <c r="F1559" s="21">
        <v>46568</v>
      </c>
      <c r="G1559" s="21"/>
      <c r="H1559" s="21">
        <v>46204</v>
      </c>
      <c r="I1559" s="21">
        <v>46568</v>
      </c>
      <c r="J1559" s="19" t="s">
        <v>2285</v>
      </c>
      <c r="L1559" s="19">
        <v>0</v>
      </c>
      <c r="M1559" s="19">
        <v>0</v>
      </c>
      <c r="N1559" s="19" t="s">
        <v>2394</v>
      </c>
      <c r="O1559" s="20">
        <v>3</v>
      </c>
      <c r="S1559" s="19" t="s">
        <v>20</v>
      </c>
      <c r="T1559" s="19" t="s">
        <v>1471</v>
      </c>
    </row>
    <row r="1560" spans="1:20">
      <c r="A1560" s="20">
        <v>202603329703765</v>
      </c>
      <c r="B1560" s="19" t="s">
        <v>20</v>
      </c>
      <c r="C1560" s="19" t="s">
        <v>21</v>
      </c>
      <c r="D1560" s="19" t="s">
        <v>2325</v>
      </c>
      <c r="E1560" s="21">
        <v>46204</v>
      </c>
      <c r="F1560" s="21">
        <v>46568</v>
      </c>
      <c r="G1560" s="21"/>
      <c r="H1560" s="21">
        <v>46204</v>
      </c>
      <c r="I1560" s="21">
        <v>46568</v>
      </c>
      <c r="J1560" s="19" t="s">
        <v>2285</v>
      </c>
      <c r="L1560" s="19">
        <v>41.658727499999998</v>
      </c>
      <c r="M1560" s="19">
        <v>41.658727499999998</v>
      </c>
      <c r="N1560" s="19" t="s">
        <v>1467</v>
      </c>
      <c r="O1560" s="20">
        <v>3</v>
      </c>
      <c r="S1560" s="19" t="s">
        <v>20</v>
      </c>
      <c r="T1560" s="19" t="s">
        <v>1471</v>
      </c>
    </row>
    <row r="1561" spans="1:20">
      <c r="A1561" s="20">
        <v>202603329705325</v>
      </c>
      <c r="B1561" s="19" t="s">
        <v>20</v>
      </c>
      <c r="C1561" s="19" t="s">
        <v>21</v>
      </c>
      <c r="D1561" s="19" t="s">
        <v>20</v>
      </c>
      <c r="E1561" s="21">
        <v>46204</v>
      </c>
      <c r="F1561" s="21">
        <v>46568</v>
      </c>
      <c r="G1561" s="21"/>
      <c r="H1561" s="21">
        <v>46204</v>
      </c>
      <c r="I1561" s="21">
        <v>46568</v>
      </c>
      <c r="J1561" s="19" t="s">
        <v>2064</v>
      </c>
      <c r="L1561" s="19">
        <v>0</v>
      </c>
      <c r="M1561" s="19">
        <v>0</v>
      </c>
      <c r="N1561" s="19" t="s">
        <v>2394</v>
      </c>
      <c r="O1561" s="20">
        <v>3</v>
      </c>
      <c r="S1561" s="19" t="s">
        <v>20</v>
      </c>
      <c r="T1561" s="19" t="s">
        <v>1471</v>
      </c>
    </row>
    <row r="1562" spans="1:20">
      <c r="A1562" s="20">
        <v>202603329705325</v>
      </c>
      <c r="B1562" s="19" t="s">
        <v>20</v>
      </c>
      <c r="C1562" s="19" t="s">
        <v>21</v>
      </c>
      <c r="D1562" s="19" t="s">
        <v>20</v>
      </c>
      <c r="E1562" s="21">
        <v>46204</v>
      </c>
      <c r="F1562" s="21">
        <v>46568</v>
      </c>
      <c r="G1562" s="21"/>
      <c r="H1562" s="21">
        <v>46204</v>
      </c>
      <c r="I1562" s="21">
        <v>46568</v>
      </c>
      <c r="J1562" s="19" t="s">
        <v>2064</v>
      </c>
      <c r="L1562" s="19">
        <v>99.391890750000002</v>
      </c>
      <c r="M1562" s="19">
        <v>99.391890750000002</v>
      </c>
      <c r="N1562" s="19" t="s">
        <v>1475</v>
      </c>
      <c r="O1562" s="20">
        <v>3</v>
      </c>
      <c r="S1562" s="19" t="s">
        <v>20</v>
      </c>
      <c r="T1562" s="19" t="s">
        <v>1471</v>
      </c>
    </row>
    <row r="1563" spans="1:20">
      <c r="A1563" s="20">
        <v>202603329705457</v>
      </c>
      <c r="B1563" s="19" t="s">
        <v>20</v>
      </c>
      <c r="C1563" s="19" t="s">
        <v>21</v>
      </c>
      <c r="D1563" s="19" t="s">
        <v>20</v>
      </c>
      <c r="E1563" s="21">
        <v>46204</v>
      </c>
      <c r="F1563" s="21">
        <v>46568</v>
      </c>
      <c r="G1563" s="21"/>
      <c r="H1563" s="21">
        <v>46204</v>
      </c>
      <c r="I1563" s="21">
        <v>46568</v>
      </c>
      <c r="J1563" s="19" t="s">
        <v>2159</v>
      </c>
      <c r="L1563" s="19">
        <v>0</v>
      </c>
      <c r="M1563" s="19">
        <v>0</v>
      </c>
      <c r="N1563" s="19" t="s">
        <v>2394</v>
      </c>
      <c r="O1563" s="20">
        <v>4</v>
      </c>
      <c r="S1563" s="19" t="s">
        <v>20</v>
      </c>
      <c r="T1563" s="19" t="s">
        <v>1471</v>
      </c>
    </row>
    <row r="1564" spans="1:20">
      <c r="A1564" s="20">
        <v>202603329705457</v>
      </c>
      <c r="B1564" s="19" t="s">
        <v>20</v>
      </c>
      <c r="C1564" s="19" t="s">
        <v>21</v>
      </c>
      <c r="D1564" s="19" t="s">
        <v>20</v>
      </c>
      <c r="E1564" s="21">
        <v>46204</v>
      </c>
      <c r="F1564" s="21">
        <v>46568</v>
      </c>
      <c r="G1564" s="21"/>
      <c r="H1564" s="21">
        <v>46204</v>
      </c>
      <c r="I1564" s="21">
        <v>46568</v>
      </c>
      <c r="J1564" s="19" t="s">
        <v>2159</v>
      </c>
      <c r="L1564" s="19">
        <v>132.52252100000001</v>
      </c>
      <c r="M1564" s="19">
        <v>132.52252100000001</v>
      </c>
      <c r="N1564" s="19" t="s">
        <v>1475</v>
      </c>
      <c r="O1564" s="20">
        <v>4</v>
      </c>
      <c r="S1564" s="19" t="s">
        <v>20</v>
      </c>
      <c r="T1564" s="19" t="s">
        <v>1471</v>
      </c>
    </row>
    <row r="1565" spans="1:20">
      <c r="A1565" s="20">
        <v>202603329707309</v>
      </c>
      <c r="B1565" s="19" t="s">
        <v>20</v>
      </c>
      <c r="C1565" s="19" t="s">
        <v>21</v>
      </c>
      <c r="D1565" s="19" t="s">
        <v>20</v>
      </c>
      <c r="E1565" s="21">
        <v>46204</v>
      </c>
      <c r="F1565" s="21">
        <v>46568</v>
      </c>
      <c r="G1565" s="21"/>
      <c r="H1565" s="21">
        <v>46204</v>
      </c>
      <c r="I1565" s="21">
        <v>46568</v>
      </c>
      <c r="J1565" s="19" t="s">
        <v>2064</v>
      </c>
      <c r="L1565" s="19">
        <v>0</v>
      </c>
      <c r="M1565" s="19">
        <v>0</v>
      </c>
      <c r="N1565" s="19" t="s">
        <v>2394</v>
      </c>
      <c r="O1565" s="20">
        <v>3</v>
      </c>
      <c r="S1565" s="19" t="s">
        <v>20</v>
      </c>
      <c r="T1565" s="19" t="s">
        <v>1471</v>
      </c>
    </row>
    <row r="1566" spans="1:20">
      <c r="A1566" s="20">
        <v>202603329707309</v>
      </c>
      <c r="B1566" s="19" t="s">
        <v>20</v>
      </c>
      <c r="C1566" s="19" t="s">
        <v>21</v>
      </c>
      <c r="D1566" s="19" t="s">
        <v>20</v>
      </c>
      <c r="E1566" s="21">
        <v>46204</v>
      </c>
      <c r="F1566" s="21">
        <v>46568</v>
      </c>
      <c r="G1566" s="21"/>
      <c r="H1566" s="21">
        <v>46204</v>
      </c>
      <c r="I1566" s="21">
        <v>46568</v>
      </c>
      <c r="J1566" s="19" t="s">
        <v>2064</v>
      </c>
      <c r="L1566" s="19">
        <v>99.391890750000002</v>
      </c>
      <c r="M1566" s="19">
        <v>99.391890750000002</v>
      </c>
      <c r="N1566" s="19" t="s">
        <v>1475</v>
      </c>
      <c r="O1566" s="20">
        <v>3</v>
      </c>
      <c r="S1566" s="19" t="s">
        <v>20</v>
      </c>
      <c r="T1566" s="19" t="s">
        <v>1471</v>
      </c>
    </row>
    <row r="1567" spans="1:20">
      <c r="A1567" s="20">
        <v>202603329707976</v>
      </c>
      <c r="B1567" s="19" t="s">
        <v>20</v>
      </c>
      <c r="C1567" s="19" t="s">
        <v>21</v>
      </c>
      <c r="D1567" s="19" t="s">
        <v>20</v>
      </c>
      <c r="E1567" s="21">
        <v>46204</v>
      </c>
      <c r="F1567" s="21">
        <v>46568</v>
      </c>
      <c r="G1567" s="21"/>
      <c r="H1567" s="21">
        <v>46204</v>
      </c>
      <c r="I1567" s="21">
        <v>46568</v>
      </c>
      <c r="J1567" s="19" t="s">
        <v>2069</v>
      </c>
      <c r="L1567" s="19">
        <v>0</v>
      </c>
      <c r="M1567" s="19">
        <v>0</v>
      </c>
      <c r="N1567" s="19" t="s">
        <v>2394</v>
      </c>
      <c r="O1567" s="20">
        <v>5</v>
      </c>
      <c r="S1567" s="19" t="s">
        <v>20</v>
      </c>
      <c r="T1567" s="19" t="s">
        <v>1471</v>
      </c>
    </row>
    <row r="1568" spans="1:20">
      <c r="A1568" s="20">
        <v>202603329707976</v>
      </c>
      <c r="B1568" s="19" t="s">
        <v>20</v>
      </c>
      <c r="C1568" s="19" t="s">
        <v>21</v>
      </c>
      <c r="D1568" s="19" t="s">
        <v>20</v>
      </c>
      <c r="E1568" s="21">
        <v>46204</v>
      </c>
      <c r="F1568" s="21">
        <v>46568</v>
      </c>
      <c r="G1568" s="21"/>
      <c r="H1568" s="21">
        <v>46204</v>
      </c>
      <c r="I1568" s="21">
        <v>46568</v>
      </c>
      <c r="J1568" s="19" t="s">
        <v>2069</v>
      </c>
      <c r="L1568" s="19">
        <v>165.65315125000001</v>
      </c>
      <c r="M1568" s="19">
        <v>165.65315125000001</v>
      </c>
      <c r="N1568" s="19" t="s">
        <v>1475</v>
      </c>
      <c r="O1568" s="20">
        <v>5</v>
      </c>
      <c r="S1568" s="19" t="s">
        <v>20</v>
      </c>
      <c r="T1568" s="19" t="s">
        <v>1471</v>
      </c>
    </row>
    <row r="1569" spans="1:20">
      <c r="A1569" s="20">
        <v>202603329709748</v>
      </c>
      <c r="B1569" s="19" t="s">
        <v>20</v>
      </c>
      <c r="C1569" s="19" t="s">
        <v>21</v>
      </c>
      <c r="D1569" s="19" t="s">
        <v>20</v>
      </c>
      <c r="E1569" s="21">
        <v>46204</v>
      </c>
      <c r="F1569" s="21">
        <v>46568</v>
      </c>
      <c r="G1569" s="21"/>
      <c r="H1569" s="21">
        <v>46204</v>
      </c>
      <c r="I1569" s="21">
        <v>46568</v>
      </c>
      <c r="J1569" s="19" t="s">
        <v>2086</v>
      </c>
      <c r="L1569" s="19">
        <v>0</v>
      </c>
      <c r="M1569" s="19">
        <v>0</v>
      </c>
      <c r="N1569" s="19" t="s">
        <v>2394</v>
      </c>
      <c r="O1569" s="20">
        <v>5</v>
      </c>
      <c r="S1569" s="19" t="s">
        <v>20</v>
      </c>
      <c r="T1569" s="19" t="s">
        <v>1471</v>
      </c>
    </row>
    <row r="1570" spans="1:20">
      <c r="A1570" s="20">
        <v>202603329709748</v>
      </c>
      <c r="B1570" s="19" t="s">
        <v>20</v>
      </c>
      <c r="C1570" s="19" t="s">
        <v>21</v>
      </c>
      <c r="D1570" s="19" t="s">
        <v>20</v>
      </c>
      <c r="E1570" s="21">
        <v>46204</v>
      </c>
      <c r="F1570" s="21">
        <v>46568</v>
      </c>
      <c r="G1570" s="21"/>
      <c r="H1570" s="21">
        <v>46204</v>
      </c>
      <c r="I1570" s="21">
        <v>46568</v>
      </c>
      <c r="J1570" s="19" t="s">
        <v>2086</v>
      </c>
      <c r="L1570" s="19">
        <v>165.65315125000001</v>
      </c>
      <c r="M1570" s="19">
        <v>165.65315125000001</v>
      </c>
      <c r="N1570" s="19" t="s">
        <v>1475</v>
      </c>
      <c r="O1570" s="20">
        <v>5</v>
      </c>
      <c r="S1570" s="19" t="s">
        <v>20</v>
      </c>
      <c r="T1570" s="19" t="s">
        <v>1471</v>
      </c>
    </row>
    <row r="1571" spans="1:20">
      <c r="A1571" s="20">
        <v>202603329709953</v>
      </c>
      <c r="B1571" s="19" t="s">
        <v>20</v>
      </c>
      <c r="C1571" s="19" t="s">
        <v>21</v>
      </c>
      <c r="D1571" s="19" t="s">
        <v>20</v>
      </c>
      <c r="E1571" s="21">
        <v>46204</v>
      </c>
      <c r="F1571" s="21">
        <v>46568</v>
      </c>
      <c r="G1571" s="21"/>
      <c r="H1571" s="21">
        <v>46204</v>
      </c>
      <c r="I1571" s="21">
        <v>46568</v>
      </c>
      <c r="J1571" s="19" t="s">
        <v>2153</v>
      </c>
      <c r="L1571" s="19">
        <v>0</v>
      </c>
      <c r="M1571" s="19">
        <v>0</v>
      </c>
      <c r="N1571" s="19" t="s">
        <v>2394</v>
      </c>
      <c r="O1571" s="20">
        <v>6</v>
      </c>
      <c r="S1571" s="19" t="s">
        <v>20</v>
      </c>
      <c r="T1571" s="19" t="s">
        <v>1471</v>
      </c>
    </row>
    <row r="1572" spans="1:20">
      <c r="A1572" s="20">
        <v>202603329709953</v>
      </c>
      <c r="B1572" s="19" t="s">
        <v>20</v>
      </c>
      <c r="C1572" s="19" t="s">
        <v>21</v>
      </c>
      <c r="D1572" s="19" t="s">
        <v>20</v>
      </c>
      <c r="E1572" s="21">
        <v>46204</v>
      </c>
      <c r="F1572" s="21">
        <v>46568</v>
      </c>
      <c r="G1572" s="21"/>
      <c r="H1572" s="21">
        <v>46204</v>
      </c>
      <c r="I1572" s="21">
        <v>46568</v>
      </c>
      <c r="J1572" s="19" t="s">
        <v>2153</v>
      </c>
      <c r="L1572" s="19">
        <v>143.80974449999999</v>
      </c>
      <c r="M1572" s="19">
        <v>143.80974449999999</v>
      </c>
      <c r="N1572" s="19" t="s">
        <v>1475</v>
      </c>
      <c r="O1572" s="20">
        <v>6</v>
      </c>
      <c r="S1572" s="19" t="s">
        <v>20</v>
      </c>
      <c r="T1572" s="19" t="s">
        <v>1471</v>
      </c>
    </row>
    <row r="1573" spans="1:20">
      <c r="A1573" s="20">
        <v>202603329709962</v>
      </c>
      <c r="B1573" s="19" t="s">
        <v>20</v>
      </c>
      <c r="C1573" s="19" t="s">
        <v>21</v>
      </c>
      <c r="D1573" s="19" t="s">
        <v>20</v>
      </c>
      <c r="E1573" s="21">
        <v>46204</v>
      </c>
      <c r="F1573" s="21">
        <v>46568</v>
      </c>
      <c r="G1573" s="21"/>
      <c r="H1573" s="21">
        <v>46204</v>
      </c>
      <c r="I1573" s="21">
        <v>46568</v>
      </c>
      <c r="J1573" s="19" t="s">
        <v>2118</v>
      </c>
      <c r="L1573" s="19">
        <v>0</v>
      </c>
      <c r="M1573" s="19">
        <v>0</v>
      </c>
      <c r="N1573" s="19" t="s">
        <v>2394</v>
      </c>
      <c r="O1573" s="20">
        <v>6</v>
      </c>
      <c r="S1573" s="19" t="s">
        <v>20</v>
      </c>
      <c r="T1573" s="19" t="s">
        <v>1471</v>
      </c>
    </row>
    <row r="1574" spans="1:20">
      <c r="A1574" s="20">
        <v>202603329709962</v>
      </c>
      <c r="B1574" s="19" t="s">
        <v>20</v>
      </c>
      <c r="C1574" s="19" t="s">
        <v>21</v>
      </c>
      <c r="D1574" s="19" t="s">
        <v>20</v>
      </c>
      <c r="E1574" s="21">
        <v>46204</v>
      </c>
      <c r="F1574" s="21">
        <v>46568</v>
      </c>
      <c r="G1574" s="21"/>
      <c r="H1574" s="21">
        <v>46204</v>
      </c>
      <c r="I1574" s="21">
        <v>46568</v>
      </c>
      <c r="J1574" s="19" t="s">
        <v>2118</v>
      </c>
      <c r="L1574" s="19">
        <v>198.7837815</v>
      </c>
      <c r="M1574" s="19">
        <v>198.7837815</v>
      </c>
      <c r="N1574" s="19" t="s">
        <v>1475</v>
      </c>
      <c r="O1574" s="20">
        <v>6</v>
      </c>
      <c r="S1574" s="19" t="s">
        <v>20</v>
      </c>
      <c r="T1574" s="19" t="s">
        <v>1471</v>
      </c>
    </row>
    <row r="1575" spans="1:20">
      <c r="A1575" s="20">
        <v>202603329709979</v>
      </c>
      <c r="B1575" s="19" t="s">
        <v>20</v>
      </c>
      <c r="C1575" s="19" t="s">
        <v>21</v>
      </c>
      <c r="D1575" s="19" t="s">
        <v>20</v>
      </c>
      <c r="E1575" s="21">
        <v>46204</v>
      </c>
      <c r="F1575" s="21">
        <v>46568</v>
      </c>
      <c r="G1575" s="21"/>
      <c r="H1575" s="21">
        <v>46204</v>
      </c>
      <c r="I1575" s="21">
        <v>46568</v>
      </c>
      <c r="J1575" s="19" t="s">
        <v>2222</v>
      </c>
      <c r="L1575" s="19">
        <v>0</v>
      </c>
      <c r="M1575" s="19">
        <v>0</v>
      </c>
      <c r="N1575" s="19" t="s">
        <v>2394</v>
      </c>
      <c r="O1575" s="20">
        <v>6</v>
      </c>
      <c r="S1575" s="19" t="s">
        <v>20</v>
      </c>
      <c r="T1575" s="19" t="s">
        <v>1471</v>
      </c>
    </row>
    <row r="1576" spans="1:20">
      <c r="A1576" s="20">
        <v>202603329709979</v>
      </c>
      <c r="B1576" s="19" t="s">
        <v>20</v>
      </c>
      <c r="C1576" s="19" t="s">
        <v>21</v>
      </c>
      <c r="D1576" s="19" t="s">
        <v>2326</v>
      </c>
      <c r="E1576" s="21">
        <v>46204</v>
      </c>
      <c r="F1576" s="21">
        <v>46568</v>
      </c>
      <c r="G1576" s="21"/>
      <c r="H1576" s="21">
        <v>46204</v>
      </c>
      <c r="I1576" s="21">
        <v>46568</v>
      </c>
      <c r="J1576" s="19" t="s">
        <v>2222</v>
      </c>
      <c r="L1576" s="19">
        <v>119.494941</v>
      </c>
      <c r="M1576" s="19">
        <v>119.494941</v>
      </c>
      <c r="N1576" s="19" t="s">
        <v>1467</v>
      </c>
      <c r="O1576" s="20">
        <v>6</v>
      </c>
      <c r="S1576" s="19" t="s">
        <v>20</v>
      </c>
      <c r="T1576" s="19" t="s">
        <v>1471</v>
      </c>
    </row>
    <row r="1577" spans="1:20">
      <c r="A1577" s="20">
        <v>202603329710490</v>
      </c>
      <c r="B1577" s="19" t="s">
        <v>20</v>
      </c>
      <c r="C1577" s="19" t="s">
        <v>21</v>
      </c>
      <c r="D1577" s="19" t="s">
        <v>20</v>
      </c>
      <c r="E1577" s="21">
        <v>46204</v>
      </c>
      <c r="F1577" s="21">
        <v>46568</v>
      </c>
      <c r="G1577" s="21"/>
      <c r="H1577" s="21">
        <v>46204</v>
      </c>
      <c r="I1577" s="21">
        <v>46568</v>
      </c>
      <c r="J1577" s="19" t="s">
        <v>2101</v>
      </c>
      <c r="L1577" s="19">
        <v>0</v>
      </c>
      <c r="M1577" s="19">
        <v>0</v>
      </c>
      <c r="N1577" s="19" t="s">
        <v>2394</v>
      </c>
      <c r="O1577" s="20">
        <v>4</v>
      </c>
      <c r="S1577" s="19" t="s">
        <v>20</v>
      </c>
      <c r="T1577" s="19" t="s">
        <v>1471</v>
      </c>
    </row>
    <row r="1578" spans="1:20">
      <c r="A1578" s="20">
        <v>202603329710490</v>
      </c>
      <c r="B1578" s="19" t="s">
        <v>20</v>
      </c>
      <c r="C1578" s="19" t="s">
        <v>21</v>
      </c>
      <c r="D1578" s="19" t="s">
        <v>2327</v>
      </c>
      <c r="E1578" s="21">
        <v>46204</v>
      </c>
      <c r="F1578" s="21">
        <v>46568</v>
      </c>
      <c r="G1578" s="21"/>
      <c r="H1578" s="21">
        <v>46204</v>
      </c>
      <c r="I1578" s="21">
        <v>46568</v>
      </c>
      <c r="J1578" s="19" t="s">
        <v>2101</v>
      </c>
      <c r="L1578" s="19">
        <v>60.217919000000002</v>
      </c>
      <c r="M1578" s="19">
        <v>60.217919000000002</v>
      </c>
      <c r="N1578" s="19" t="s">
        <v>1467</v>
      </c>
      <c r="O1578" s="20">
        <v>4</v>
      </c>
      <c r="S1578" s="19" t="s">
        <v>20</v>
      </c>
      <c r="T1578" s="19" t="s">
        <v>1471</v>
      </c>
    </row>
    <row r="1579" spans="1:20">
      <c r="A1579" s="20">
        <v>202603329710968</v>
      </c>
      <c r="B1579" s="19" t="s">
        <v>20</v>
      </c>
      <c r="C1579" s="19" t="s">
        <v>21</v>
      </c>
      <c r="D1579" s="19" t="s">
        <v>20</v>
      </c>
      <c r="E1579" s="21">
        <v>46204</v>
      </c>
      <c r="F1579" s="21">
        <v>46568</v>
      </c>
      <c r="G1579" s="21"/>
      <c r="H1579" s="21">
        <v>46204</v>
      </c>
      <c r="I1579" s="21">
        <v>46568</v>
      </c>
      <c r="J1579" s="19" t="s">
        <v>2064</v>
      </c>
      <c r="L1579" s="19">
        <v>33.130630250000003</v>
      </c>
      <c r="M1579" s="19">
        <v>33.130630250000003</v>
      </c>
      <c r="N1579" s="19" t="s">
        <v>1475</v>
      </c>
      <c r="O1579" s="20">
        <v>1</v>
      </c>
      <c r="S1579" s="19" t="s">
        <v>20</v>
      </c>
      <c r="T1579" s="19" t="s">
        <v>1471</v>
      </c>
    </row>
    <row r="1580" spans="1:20">
      <c r="A1580" s="20">
        <v>202603329712034</v>
      </c>
      <c r="B1580" s="19" t="s">
        <v>20</v>
      </c>
      <c r="C1580" s="19" t="s">
        <v>21</v>
      </c>
      <c r="D1580" s="19" t="s">
        <v>20</v>
      </c>
      <c r="E1580" s="21">
        <v>46204</v>
      </c>
      <c r="F1580" s="21">
        <v>46568</v>
      </c>
      <c r="G1580" s="21"/>
      <c r="H1580" s="21">
        <v>46204</v>
      </c>
      <c r="I1580" s="21">
        <v>46568</v>
      </c>
      <c r="J1580" s="19" t="s">
        <v>2064</v>
      </c>
      <c r="L1580" s="19">
        <v>0</v>
      </c>
      <c r="M1580" s="19">
        <v>0</v>
      </c>
      <c r="N1580" s="19" t="s">
        <v>2394</v>
      </c>
      <c r="O1580" s="20">
        <v>4</v>
      </c>
      <c r="S1580" s="19" t="s">
        <v>20</v>
      </c>
      <c r="T1580" s="19" t="s">
        <v>1471</v>
      </c>
    </row>
    <row r="1581" spans="1:20">
      <c r="A1581" s="20">
        <v>202603329712034</v>
      </c>
      <c r="B1581" s="19" t="s">
        <v>20</v>
      </c>
      <c r="C1581" s="19" t="s">
        <v>21</v>
      </c>
      <c r="D1581" s="19" t="s">
        <v>20</v>
      </c>
      <c r="E1581" s="21">
        <v>46204</v>
      </c>
      <c r="F1581" s="21">
        <v>46568</v>
      </c>
      <c r="G1581" s="21"/>
      <c r="H1581" s="21">
        <v>46204</v>
      </c>
      <c r="I1581" s="21">
        <v>46568</v>
      </c>
      <c r="J1581" s="19" t="s">
        <v>2064</v>
      </c>
      <c r="L1581" s="19">
        <v>132.52252100000001</v>
      </c>
      <c r="M1581" s="19">
        <v>132.52252100000001</v>
      </c>
      <c r="N1581" s="19" t="s">
        <v>1475</v>
      </c>
      <c r="O1581" s="20">
        <v>4</v>
      </c>
      <c r="S1581" s="19" t="s">
        <v>20</v>
      </c>
      <c r="T1581" s="19" t="s">
        <v>1471</v>
      </c>
    </row>
    <row r="1582" spans="1:20">
      <c r="A1582" s="20">
        <v>202603329712727</v>
      </c>
      <c r="B1582" s="19" t="s">
        <v>20</v>
      </c>
      <c r="C1582" s="19" t="s">
        <v>21</v>
      </c>
      <c r="D1582" s="19" t="s">
        <v>20</v>
      </c>
      <c r="E1582" s="21">
        <v>46204</v>
      </c>
      <c r="F1582" s="21">
        <v>46568</v>
      </c>
      <c r="G1582" s="21"/>
      <c r="H1582" s="21">
        <v>46204</v>
      </c>
      <c r="I1582" s="21">
        <v>46568</v>
      </c>
      <c r="J1582" s="19" t="s">
        <v>2064</v>
      </c>
      <c r="L1582" s="19">
        <v>0</v>
      </c>
      <c r="M1582" s="19">
        <v>0</v>
      </c>
      <c r="N1582" s="19" t="s">
        <v>2394</v>
      </c>
      <c r="O1582" s="20">
        <v>5</v>
      </c>
      <c r="S1582" s="19" t="s">
        <v>20</v>
      </c>
      <c r="T1582" s="19" t="s">
        <v>1471</v>
      </c>
    </row>
    <row r="1583" spans="1:20">
      <c r="A1583" s="20">
        <v>202603329712727</v>
      </c>
      <c r="B1583" s="19" t="s">
        <v>20</v>
      </c>
      <c r="C1583" s="19" t="s">
        <v>21</v>
      </c>
      <c r="D1583" s="19" t="s">
        <v>20</v>
      </c>
      <c r="E1583" s="21">
        <v>46204</v>
      </c>
      <c r="F1583" s="21">
        <v>46568</v>
      </c>
      <c r="G1583" s="21"/>
      <c r="H1583" s="21">
        <v>46204</v>
      </c>
      <c r="I1583" s="21">
        <v>46568</v>
      </c>
      <c r="J1583" s="19" t="s">
        <v>2064</v>
      </c>
      <c r="L1583" s="19">
        <v>165.65315125000001</v>
      </c>
      <c r="M1583" s="19">
        <v>165.65315125000001</v>
      </c>
      <c r="N1583" s="19" t="s">
        <v>1475</v>
      </c>
      <c r="O1583" s="20">
        <v>5</v>
      </c>
      <c r="S1583" s="19" t="s">
        <v>20</v>
      </c>
      <c r="T1583" s="19" t="s">
        <v>1471</v>
      </c>
    </row>
    <row r="1584" spans="1:20">
      <c r="A1584" s="20">
        <v>202603329713646</v>
      </c>
      <c r="B1584" s="19" t="s">
        <v>20</v>
      </c>
      <c r="C1584" s="19" t="s">
        <v>21</v>
      </c>
      <c r="D1584" s="19" t="s">
        <v>20</v>
      </c>
      <c r="E1584" s="21">
        <v>46204</v>
      </c>
      <c r="F1584" s="21">
        <v>46568</v>
      </c>
      <c r="G1584" s="21"/>
      <c r="H1584" s="21">
        <v>46204</v>
      </c>
      <c r="I1584" s="21">
        <v>46568</v>
      </c>
      <c r="J1584" s="19" t="s">
        <v>2118</v>
      </c>
      <c r="L1584" s="19">
        <v>33.130630250000003</v>
      </c>
      <c r="M1584" s="19">
        <v>33.130630250000003</v>
      </c>
      <c r="N1584" s="19" t="s">
        <v>1475</v>
      </c>
      <c r="O1584" s="20">
        <v>1</v>
      </c>
      <c r="S1584" s="19" t="s">
        <v>20</v>
      </c>
      <c r="T1584" s="19" t="s">
        <v>1471</v>
      </c>
    </row>
    <row r="1585" spans="1:20">
      <c r="A1585" s="20">
        <v>202603329715757</v>
      </c>
      <c r="B1585" s="19" t="s">
        <v>20</v>
      </c>
      <c r="C1585" s="19" t="s">
        <v>21</v>
      </c>
      <c r="D1585" s="19" t="s">
        <v>20</v>
      </c>
      <c r="E1585" s="21">
        <v>46204</v>
      </c>
      <c r="F1585" s="21">
        <v>46568</v>
      </c>
      <c r="G1585" s="21"/>
      <c r="H1585" s="21">
        <v>46204</v>
      </c>
      <c r="I1585" s="21">
        <v>46568</v>
      </c>
      <c r="J1585" s="19" t="s">
        <v>2064</v>
      </c>
      <c r="L1585" s="19">
        <v>0</v>
      </c>
      <c r="M1585" s="19">
        <v>0</v>
      </c>
      <c r="N1585" s="19" t="s">
        <v>2394</v>
      </c>
      <c r="O1585" s="20">
        <v>6</v>
      </c>
      <c r="S1585" s="19" t="s">
        <v>20</v>
      </c>
      <c r="T1585" s="19" t="s">
        <v>1471</v>
      </c>
    </row>
    <row r="1586" spans="1:20">
      <c r="A1586" s="20">
        <v>202603329715757</v>
      </c>
      <c r="B1586" s="19" t="s">
        <v>20</v>
      </c>
      <c r="C1586" s="19" t="s">
        <v>21</v>
      </c>
      <c r="D1586" s="19" t="s">
        <v>20</v>
      </c>
      <c r="E1586" s="21">
        <v>46204</v>
      </c>
      <c r="F1586" s="21">
        <v>46568</v>
      </c>
      <c r="G1586" s="21"/>
      <c r="H1586" s="21">
        <v>46204</v>
      </c>
      <c r="I1586" s="21">
        <v>46568</v>
      </c>
      <c r="J1586" s="19" t="s">
        <v>2064</v>
      </c>
      <c r="L1586" s="19">
        <v>198.7837815</v>
      </c>
      <c r="M1586" s="19">
        <v>198.7837815</v>
      </c>
      <c r="N1586" s="19" t="s">
        <v>1475</v>
      </c>
      <c r="O1586" s="20">
        <v>6</v>
      </c>
      <c r="S1586" s="19" t="s">
        <v>20</v>
      </c>
      <c r="T1586" s="19" t="s">
        <v>1471</v>
      </c>
    </row>
    <row r="1587" spans="1:20">
      <c r="A1587" s="20">
        <v>202603329716180</v>
      </c>
      <c r="B1587" s="19" t="s">
        <v>20</v>
      </c>
      <c r="C1587" s="19" t="s">
        <v>21</v>
      </c>
      <c r="D1587" s="19" t="s">
        <v>2328</v>
      </c>
      <c r="E1587" s="21">
        <v>46204</v>
      </c>
      <c r="F1587" s="21">
        <v>46568</v>
      </c>
      <c r="G1587" s="21"/>
      <c r="H1587" s="21">
        <v>46204</v>
      </c>
      <c r="I1587" s="21">
        <v>46568</v>
      </c>
      <c r="J1587" s="19" t="s">
        <v>2135</v>
      </c>
      <c r="L1587" s="19">
        <v>16.727183499999999</v>
      </c>
      <c r="M1587" s="19">
        <v>16.727183499999999</v>
      </c>
      <c r="N1587" s="19" t="s">
        <v>1467</v>
      </c>
      <c r="O1587" s="20">
        <v>1</v>
      </c>
      <c r="S1587" s="19" t="s">
        <v>20</v>
      </c>
      <c r="T1587" s="19" t="s">
        <v>1471</v>
      </c>
    </row>
    <row r="1588" spans="1:20">
      <c r="A1588" s="20">
        <v>202603329717122</v>
      </c>
      <c r="B1588" s="19" t="s">
        <v>20</v>
      </c>
      <c r="C1588" s="19" t="s">
        <v>21</v>
      </c>
      <c r="D1588" s="19" t="s">
        <v>20</v>
      </c>
      <c r="E1588" s="21">
        <v>46204</v>
      </c>
      <c r="F1588" s="21">
        <v>46568</v>
      </c>
      <c r="G1588" s="21"/>
      <c r="H1588" s="21">
        <v>46204</v>
      </c>
      <c r="I1588" s="21">
        <v>46568</v>
      </c>
      <c r="J1588" s="19" t="s">
        <v>2064</v>
      </c>
      <c r="L1588" s="19">
        <v>33.130630250000003</v>
      </c>
      <c r="M1588" s="19">
        <v>33.130630250000003</v>
      </c>
      <c r="N1588" s="19" t="s">
        <v>1475</v>
      </c>
      <c r="O1588" s="20">
        <v>1</v>
      </c>
      <c r="S1588" s="19" t="s">
        <v>20</v>
      </c>
      <c r="T1588" s="19" t="s">
        <v>1471</v>
      </c>
    </row>
    <row r="1589" spans="1:20">
      <c r="A1589" s="20">
        <v>202603329717756</v>
      </c>
      <c r="B1589" s="19" t="s">
        <v>20</v>
      </c>
      <c r="C1589" s="19" t="s">
        <v>21</v>
      </c>
      <c r="D1589" s="19" t="s">
        <v>20</v>
      </c>
      <c r="E1589" s="21">
        <v>46204</v>
      </c>
      <c r="F1589" s="21">
        <v>46568</v>
      </c>
      <c r="G1589" s="21"/>
      <c r="H1589" s="21">
        <v>46204</v>
      </c>
      <c r="I1589" s="21">
        <v>46568</v>
      </c>
      <c r="J1589" s="19" t="s">
        <v>2161</v>
      </c>
      <c r="L1589" s="19">
        <v>38.659559000000002</v>
      </c>
      <c r="M1589" s="19">
        <v>38.659559000000002</v>
      </c>
      <c r="N1589" s="19" t="s">
        <v>1475</v>
      </c>
      <c r="O1589" s="20">
        <v>1</v>
      </c>
      <c r="S1589" s="19" t="s">
        <v>20</v>
      </c>
      <c r="T1589" s="19" t="s">
        <v>1471</v>
      </c>
    </row>
    <row r="1590" spans="1:20">
      <c r="A1590" s="20">
        <v>202603329718494</v>
      </c>
      <c r="B1590" s="19" t="s">
        <v>20</v>
      </c>
      <c r="C1590" s="19" t="s">
        <v>21</v>
      </c>
      <c r="D1590" s="19" t="s">
        <v>20</v>
      </c>
      <c r="E1590" s="21">
        <v>46204</v>
      </c>
      <c r="F1590" s="21">
        <v>46568</v>
      </c>
      <c r="G1590" s="21"/>
      <c r="H1590" s="21">
        <v>46204</v>
      </c>
      <c r="I1590" s="21">
        <v>46568</v>
      </c>
      <c r="J1590" s="19" t="s">
        <v>2135</v>
      </c>
      <c r="L1590" s="19">
        <v>0</v>
      </c>
      <c r="M1590" s="19">
        <v>0</v>
      </c>
      <c r="N1590" s="19" t="s">
        <v>2394</v>
      </c>
      <c r="O1590" s="20">
        <v>3</v>
      </c>
      <c r="S1590" s="19" t="s">
        <v>20</v>
      </c>
      <c r="T1590" s="19" t="s">
        <v>1471</v>
      </c>
    </row>
    <row r="1591" spans="1:20">
      <c r="A1591" s="20">
        <v>202603329718494</v>
      </c>
      <c r="B1591" s="19" t="s">
        <v>20</v>
      </c>
      <c r="C1591" s="19" t="s">
        <v>21</v>
      </c>
      <c r="D1591" s="19" t="s">
        <v>2329</v>
      </c>
      <c r="E1591" s="21">
        <v>46204</v>
      </c>
      <c r="F1591" s="21">
        <v>46568</v>
      </c>
      <c r="G1591" s="21"/>
      <c r="H1591" s="21">
        <v>46204</v>
      </c>
      <c r="I1591" s="21">
        <v>46568</v>
      </c>
      <c r="J1591" s="19" t="s">
        <v>2135</v>
      </c>
      <c r="L1591" s="19">
        <v>99.391890750000002</v>
      </c>
      <c r="M1591" s="19">
        <v>99.391890750000002</v>
      </c>
      <c r="N1591" s="19" t="s">
        <v>1467</v>
      </c>
      <c r="O1591" s="20">
        <v>3</v>
      </c>
      <c r="S1591" s="19" t="s">
        <v>20</v>
      </c>
      <c r="T1591" s="19" t="s">
        <v>1471</v>
      </c>
    </row>
    <row r="1592" spans="1:20">
      <c r="A1592" s="20">
        <v>202603329719051</v>
      </c>
      <c r="B1592" s="19" t="s">
        <v>20</v>
      </c>
      <c r="C1592" s="19" t="s">
        <v>21</v>
      </c>
      <c r="D1592" s="19" t="s">
        <v>20</v>
      </c>
      <c r="E1592" s="21">
        <v>46204</v>
      </c>
      <c r="F1592" s="21">
        <v>46568</v>
      </c>
      <c r="G1592" s="21"/>
      <c r="H1592" s="21">
        <v>46204</v>
      </c>
      <c r="I1592" s="21">
        <v>46568</v>
      </c>
      <c r="J1592" s="19" t="s">
        <v>2129</v>
      </c>
      <c r="L1592" s="19">
        <v>33.130630250000003</v>
      </c>
      <c r="M1592" s="19">
        <v>33.130630250000003</v>
      </c>
      <c r="N1592" s="19" t="s">
        <v>1475</v>
      </c>
      <c r="O1592" s="20">
        <v>1</v>
      </c>
      <c r="S1592" s="19" t="s">
        <v>20</v>
      </c>
      <c r="T1592" s="19" t="s">
        <v>1471</v>
      </c>
    </row>
    <row r="1593" spans="1:20">
      <c r="A1593" s="20">
        <v>202603329719067</v>
      </c>
      <c r="B1593" s="19" t="s">
        <v>20</v>
      </c>
      <c r="C1593" s="19" t="s">
        <v>21</v>
      </c>
      <c r="D1593" s="19" t="s">
        <v>20</v>
      </c>
      <c r="E1593" s="21">
        <v>46204</v>
      </c>
      <c r="F1593" s="21">
        <v>46568</v>
      </c>
      <c r="G1593" s="21"/>
      <c r="H1593" s="21">
        <v>46204</v>
      </c>
      <c r="I1593" s="21">
        <v>46568</v>
      </c>
      <c r="J1593" s="19" t="s">
        <v>2064</v>
      </c>
      <c r="L1593" s="19">
        <v>33.130630250000003</v>
      </c>
      <c r="M1593" s="19">
        <v>33.130630250000003</v>
      </c>
      <c r="N1593" s="19" t="s">
        <v>1475</v>
      </c>
      <c r="O1593" s="20">
        <v>1</v>
      </c>
      <c r="S1593" s="19" t="s">
        <v>20</v>
      </c>
      <c r="T1593" s="19" t="s">
        <v>1471</v>
      </c>
    </row>
    <row r="1594" spans="1:20">
      <c r="A1594" s="20">
        <v>202603329719579</v>
      </c>
      <c r="B1594" s="19" t="s">
        <v>20</v>
      </c>
      <c r="C1594" s="19" t="s">
        <v>21</v>
      </c>
      <c r="D1594" s="19" t="s">
        <v>20</v>
      </c>
      <c r="E1594" s="21">
        <v>46204</v>
      </c>
      <c r="F1594" s="21">
        <v>46568</v>
      </c>
      <c r="G1594" s="21"/>
      <c r="H1594" s="21">
        <v>46204</v>
      </c>
      <c r="I1594" s="21">
        <v>46568</v>
      </c>
      <c r="J1594" s="19" t="s">
        <v>2073</v>
      </c>
      <c r="L1594" s="19">
        <v>26.258683999999999</v>
      </c>
      <c r="M1594" s="19">
        <v>26.258683999999999</v>
      </c>
      <c r="N1594" s="19" t="s">
        <v>1475</v>
      </c>
      <c r="O1594" s="20">
        <v>1</v>
      </c>
      <c r="S1594" s="19" t="s">
        <v>20</v>
      </c>
      <c r="T1594" s="19" t="s">
        <v>1471</v>
      </c>
    </row>
    <row r="1595" spans="1:20">
      <c r="A1595" s="20">
        <v>202603329721730</v>
      </c>
      <c r="B1595" s="19" t="s">
        <v>20</v>
      </c>
      <c r="C1595" s="19" t="s">
        <v>21</v>
      </c>
      <c r="D1595" s="19" t="s">
        <v>20</v>
      </c>
      <c r="E1595" s="21">
        <v>46204</v>
      </c>
      <c r="F1595" s="21">
        <v>46568</v>
      </c>
      <c r="G1595" s="21"/>
      <c r="H1595" s="21">
        <v>46204</v>
      </c>
      <c r="I1595" s="21">
        <v>46568</v>
      </c>
      <c r="J1595" s="19" t="s">
        <v>2062</v>
      </c>
      <c r="L1595" s="19">
        <v>0</v>
      </c>
      <c r="M1595" s="19">
        <v>0</v>
      </c>
      <c r="N1595" s="19" t="s">
        <v>2394</v>
      </c>
      <c r="O1595" s="20">
        <v>3</v>
      </c>
      <c r="S1595" s="19" t="s">
        <v>20</v>
      </c>
      <c r="T1595" s="19" t="s">
        <v>1471</v>
      </c>
    </row>
    <row r="1596" spans="1:20">
      <c r="A1596" s="20">
        <v>202603329721730</v>
      </c>
      <c r="B1596" s="19" t="s">
        <v>20</v>
      </c>
      <c r="C1596" s="19" t="s">
        <v>21</v>
      </c>
      <c r="D1596" s="19" t="s">
        <v>20</v>
      </c>
      <c r="E1596" s="21">
        <v>46204</v>
      </c>
      <c r="F1596" s="21">
        <v>46568</v>
      </c>
      <c r="G1596" s="21"/>
      <c r="H1596" s="21">
        <v>46204</v>
      </c>
      <c r="I1596" s="21">
        <v>46568</v>
      </c>
      <c r="J1596" s="19" t="s">
        <v>2062</v>
      </c>
      <c r="L1596" s="19">
        <v>99.391890750000002</v>
      </c>
      <c r="M1596" s="19">
        <v>99.391890750000002</v>
      </c>
      <c r="N1596" s="19" t="s">
        <v>1475</v>
      </c>
      <c r="O1596" s="20">
        <v>3</v>
      </c>
      <c r="S1596" s="19" t="s">
        <v>20</v>
      </c>
      <c r="T1596" s="19" t="s">
        <v>1471</v>
      </c>
    </row>
    <row r="1597" spans="1:20">
      <c r="A1597" s="20">
        <v>202603329721761</v>
      </c>
      <c r="B1597" s="19" t="s">
        <v>20</v>
      </c>
      <c r="C1597" s="19" t="s">
        <v>21</v>
      </c>
      <c r="D1597" s="19" t="s">
        <v>20</v>
      </c>
      <c r="E1597" s="21">
        <v>46204</v>
      </c>
      <c r="F1597" s="21">
        <v>46568</v>
      </c>
      <c r="G1597" s="21"/>
      <c r="H1597" s="21">
        <v>46204</v>
      </c>
      <c r="I1597" s="21">
        <v>46568</v>
      </c>
      <c r="J1597" s="19" t="s">
        <v>2064</v>
      </c>
      <c r="L1597" s="19">
        <v>0</v>
      </c>
      <c r="M1597" s="19">
        <v>0</v>
      </c>
      <c r="N1597" s="19" t="s">
        <v>2394</v>
      </c>
      <c r="O1597" s="20">
        <v>5</v>
      </c>
      <c r="S1597" s="19" t="s">
        <v>20</v>
      </c>
      <c r="T1597" s="19" t="s">
        <v>1471</v>
      </c>
    </row>
    <row r="1598" spans="1:20">
      <c r="A1598" s="20">
        <v>202603329721761</v>
      </c>
      <c r="B1598" s="19" t="s">
        <v>20</v>
      </c>
      <c r="C1598" s="19" t="s">
        <v>21</v>
      </c>
      <c r="D1598" s="19" t="s">
        <v>20</v>
      </c>
      <c r="E1598" s="21">
        <v>46204</v>
      </c>
      <c r="F1598" s="21">
        <v>46568</v>
      </c>
      <c r="G1598" s="21"/>
      <c r="H1598" s="21">
        <v>46204</v>
      </c>
      <c r="I1598" s="21">
        <v>46568</v>
      </c>
      <c r="J1598" s="19" t="s">
        <v>2064</v>
      </c>
      <c r="L1598" s="19">
        <v>165.65315125000001</v>
      </c>
      <c r="M1598" s="19">
        <v>165.65315125000001</v>
      </c>
      <c r="N1598" s="19" t="s">
        <v>1475</v>
      </c>
      <c r="O1598" s="20">
        <v>5</v>
      </c>
      <c r="S1598" s="19" t="s">
        <v>20</v>
      </c>
      <c r="T1598" s="19" t="s">
        <v>1471</v>
      </c>
    </row>
    <row r="1599" spans="1:20">
      <c r="A1599" s="20">
        <v>202603329722173</v>
      </c>
      <c r="B1599" s="19" t="s">
        <v>20</v>
      </c>
      <c r="C1599" s="19" t="s">
        <v>21</v>
      </c>
      <c r="D1599" s="19" t="s">
        <v>20</v>
      </c>
      <c r="E1599" s="21">
        <v>46204</v>
      </c>
      <c r="F1599" s="21">
        <v>46568</v>
      </c>
      <c r="G1599" s="21"/>
      <c r="H1599" s="21">
        <v>46204</v>
      </c>
      <c r="I1599" s="21">
        <v>46568</v>
      </c>
      <c r="J1599" s="19" t="s">
        <v>2128</v>
      </c>
      <c r="L1599" s="19">
        <v>0</v>
      </c>
      <c r="M1599" s="19">
        <v>0</v>
      </c>
      <c r="N1599" s="19" t="s">
        <v>2394</v>
      </c>
      <c r="O1599" s="20">
        <v>4</v>
      </c>
      <c r="S1599" s="19" t="s">
        <v>20</v>
      </c>
      <c r="T1599" s="19" t="s">
        <v>1471</v>
      </c>
    </row>
    <row r="1600" spans="1:20">
      <c r="A1600" s="20">
        <v>202603329722173</v>
      </c>
      <c r="B1600" s="19" t="s">
        <v>20</v>
      </c>
      <c r="C1600" s="19" t="s">
        <v>21</v>
      </c>
      <c r="D1600" s="19" t="s">
        <v>20</v>
      </c>
      <c r="E1600" s="21">
        <v>46204</v>
      </c>
      <c r="F1600" s="21">
        <v>46568</v>
      </c>
      <c r="G1600" s="21"/>
      <c r="H1600" s="21">
        <v>46204</v>
      </c>
      <c r="I1600" s="21">
        <v>46568</v>
      </c>
      <c r="J1600" s="19" t="s">
        <v>2128</v>
      </c>
      <c r="L1600" s="19">
        <v>119.270247</v>
      </c>
      <c r="M1600" s="19">
        <v>119.270247</v>
      </c>
      <c r="N1600" s="19" t="s">
        <v>1475</v>
      </c>
      <c r="O1600" s="20">
        <v>4</v>
      </c>
      <c r="S1600" s="19" t="s">
        <v>20</v>
      </c>
      <c r="T1600" s="19" t="s">
        <v>1471</v>
      </c>
    </row>
    <row r="1601" spans="1:20">
      <c r="A1601" s="20">
        <v>202603329723069</v>
      </c>
      <c r="B1601" s="19" t="s">
        <v>20</v>
      </c>
      <c r="C1601" s="19" t="s">
        <v>21</v>
      </c>
      <c r="D1601" s="19" t="s">
        <v>20</v>
      </c>
      <c r="E1601" s="21">
        <v>46204</v>
      </c>
      <c r="F1601" s="21">
        <v>46568</v>
      </c>
      <c r="G1601" s="21"/>
      <c r="H1601" s="21">
        <v>46204</v>
      </c>
      <c r="I1601" s="21">
        <v>46568</v>
      </c>
      <c r="J1601" s="19" t="s">
        <v>2086</v>
      </c>
      <c r="L1601" s="19">
        <v>33.130630250000003</v>
      </c>
      <c r="M1601" s="19">
        <v>33.130630250000003</v>
      </c>
      <c r="N1601" s="19" t="s">
        <v>1475</v>
      </c>
      <c r="O1601" s="20">
        <v>1</v>
      </c>
      <c r="S1601" s="19" t="s">
        <v>20</v>
      </c>
      <c r="T1601" s="19" t="s">
        <v>1471</v>
      </c>
    </row>
    <row r="1602" spans="1:20">
      <c r="A1602" s="20">
        <v>202603329723277</v>
      </c>
      <c r="B1602" s="19" t="s">
        <v>20</v>
      </c>
      <c r="C1602" s="19" t="s">
        <v>21</v>
      </c>
      <c r="D1602" s="19" t="s">
        <v>20</v>
      </c>
      <c r="E1602" s="21">
        <v>46204</v>
      </c>
      <c r="F1602" s="21">
        <v>46568</v>
      </c>
      <c r="G1602" s="21"/>
      <c r="H1602" s="21">
        <v>46204</v>
      </c>
      <c r="I1602" s="21">
        <v>46568</v>
      </c>
      <c r="J1602" s="19" t="s">
        <v>2120</v>
      </c>
      <c r="L1602" s="19">
        <v>37.947955</v>
      </c>
      <c r="M1602" s="19">
        <v>37.947955</v>
      </c>
      <c r="N1602" s="19" t="s">
        <v>1475</v>
      </c>
      <c r="O1602" s="20">
        <v>1</v>
      </c>
      <c r="S1602" s="19" t="s">
        <v>20</v>
      </c>
      <c r="T1602" s="19" t="s">
        <v>1471</v>
      </c>
    </row>
    <row r="1603" spans="1:20">
      <c r="A1603" s="20">
        <v>202603329724600</v>
      </c>
      <c r="B1603" s="19" t="s">
        <v>20</v>
      </c>
      <c r="C1603" s="19" t="s">
        <v>21</v>
      </c>
      <c r="D1603" s="19" t="s">
        <v>20</v>
      </c>
      <c r="E1603" s="21">
        <v>46204</v>
      </c>
      <c r="F1603" s="21">
        <v>46568</v>
      </c>
      <c r="G1603" s="21"/>
      <c r="H1603" s="21">
        <v>46204</v>
      </c>
      <c r="I1603" s="21">
        <v>46568</v>
      </c>
      <c r="J1603" s="19" t="s">
        <v>2064</v>
      </c>
      <c r="L1603" s="19">
        <v>0</v>
      </c>
      <c r="M1603" s="19">
        <v>0</v>
      </c>
      <c r="N1603" s="19" t="s">
        <v>2394</v>
      </c>
      <c r="O1603" s="20">
        <v>6</v>
      </c>
      <c r="S1603" s="19" t="s">
        <v>20</v>
      </c>
      <c r="T1603" s="19" t="s">
        <v>1471</v>
      </c>
    </row>
    <row r="1604" spans="1:20">
      <c r="A1604" s="20">
        <v>202603329724600</v>
      </c>
      <c r="B1604" s="19" t="s">
        <v>20</v>
      </c>
      <c r="C1604" s="19" t="s">
        <v>21</v>
      </c>
      <c r="D1604" s="19" t="s">
        <v>20</v>
      </c>
      <c r="E1604" s="21">
        <v>46204</v>
      </c>
      <c r="F1604" s="21">
        <v>46568</v>
      </c>
      <c r="G1604" s="21"/>
      <c r="H1604" s="21">
        <v>46204</v>
      </c>
      <c r="I1604" s="21">
        <v>46568</v>
      </c>
      <c r="J1604" s="19" t="s">
        <v>2064</v>
      </c>
      <c r="L1604" s="19">
        <v>198.7837815</v>
      </c>
      <c r="M1604" s="19">
        <v>198.7837815</v>
      </c>
      <c r="N1604" s="19" t="s">
        <v>1475</v>
      </c>
      <c r="O1604" s="20">
        <v>6</v>
      </c>
      <c r="S1604" s="19" t="s">
        <v>20</v>
      </c>
      <c r="T1604" s="19" t="s">
        <v>1471</v>
      </c>
    </row>
    <row r="1605" spans="1:20">
      <c r="A1605" s="20">
        <v>202603329725168</v>
      </c>
      <c r="B1605" s="19" t="s">
        <v>20</v>
      </c>
      <c r="C1605" s="19" t="s">
        <v>21</v>
      </c>
      <c r="D1605" s="19" t="s">
        <v>20</v>
      </c>
      <c r="E1605" s="21">
        <v>46204</v>
      </c>
      <c r="F1605" s="21">
        <v>46568</v>
      </c>
      <c r="G1605" s="21"/>
      <c r="H1605" s="21">
        <v>46204</v>
      </c>
      <c r="I1605" s="21">
        <v>46568</v>
      </c>
      <c r="J1605" s="19" t="s">
        <v>2086</v>
      </c>
      <c r="L1605" s="19">
        <v>0</v>
      </c>
      <c r="M1605" s="19">
        <v>0</v>
      </c>
      <c r="N1605" s="19" t="s">
        <v>2394</v>
      </c>
      <c r="O1605" s="20">
        <v>3</v>
      </c>
      <c r="S1605" s="19" t="s">
        <v>20</v>
      </c>
      <c r="T1605" s="19" t="s">
        <v>1471</v>
      </c>
    </row>
    <row r="1606" spans="1:20">
      <c r="A1606" s="20">
        <v>202603329725168</v>
      </c>
      <c r="B1606" s="19" t="s">
        <v>20</v>
      </c>
      <c r="C1606" s="19" t="s">
        <v>21</v>
      </c>
      <c r="D1606" s="19" t="s">
        <v>20</v>
      </c>
      <c r="E1606" s="21">
        <v>46204</v>
      </c>
      <c r="F1606" s="21">
        <v>46568</v>
      </c>
      <c r="G1606" s="21"/>
      <c r="H1606" s="21">
        <v>46204</v>
      </c>
      <c r="I1606" s="21">
        <v>46568</v>
      </c>
      <c r="J1606" s="19" t="s">
        <v>2086</v>
      </c>
      <c r="L1606" s="19">
        <v>99.391890750000002</v>
      </c>
      <c r="M1606" s="19">
        <v>99.391890750000002</v>
      </c>
      <c r="N1606" s="19" t="s">
        <v>1475</v>
      </c>
      <c r="O1606" s="20">
        <v>3</v>
      </c>
      <c r="S1606" s="19" t="s">
        <v>20</v>
      </c>
      <c r="T1606" s="19" t="s">
        <v>1471</v>
      </c>
    </row>
    <row r="1607" spans="1:20">
      <c r="A1607" s="20">
        <v>202603329726444</v>
      </c>
      <c r="B1607" s="19" t="s">
        <v>20</v>
      </c>
      <c r="C1607" s="19" t="s">
        <v>21</v>
      </c>
      <c r="D1607" s="19" t="s">
        <v>20</v>
      </c>
      <c r="E1607" s="21">
        <v>46204</v>
      </c>
      <c r="F1607" s="21">
        <v>46568</v>
      </c>
      <c r="G1607" s="21"/>
      <c r="H1607" s="21">
        <v>46204</v>
      </c>
      <c r="I1607" s="21">
        <v>46568</v>
      </c>
      <c r="J1607" s="19" t="s">
        <v>2068</v>
      </c>
      <c r="L1607" s="19">
        <v>0</v>
      </c>
      <c r="M1607" s="19">
        <v>0</v>
      </c>
      <c r="N1607" s="19" t="s">
        <v>2394</v>
      </c>
      <c r="O1607" s="20">
        <v>4</v>
      </c>
      <c r="S1607" s="19" t="s">
        <v>20</v>
      </c>
      <c r="T1607" s="19" t="s">
        <v>1471</v>
      </c>
    </row>
    <row r="1608" spans="1:20">
      <c r="A1608" s="20">
        <v>202603329726444</v>
      </c>
      <c r="B1608" s="19" t="s">
        <v>20</v>
      </c>
      <c r="C1608" s="19" t="s">
        <v>21</v>
      </c>
      <c r="D1608" s="19" t="s">
        <v>20</v>
      </c>
      <c r="E1608" s="21">
        <v>46204</v>
      </c>
      <c r="F1608" s="21">
        <v>46568</v>
      </c>
      <c r="G1608" s="21"/>
      <c r="H1608" s="21">
        <v>46204</v>
      </c>
      <c r="I1608" s="21">
        <v>46568</v>
      </c>
      <c r="J1608" s="19" t="s">
        <v>2068</v>
      </c>
      <c r="L1608" s="19">
        <v>105.034736</v>
      </c>
      <c r="M1608" s="19">
        <v>105.034736</v>
      </c>
      <c r="N1608" s="19" t="s">
        <v>1475</v>
      </c>
      <c r="O1608" s="20">
        <v>4</v>
      </c>
      <c r="S1608" s="19" t="s">
        <v>20</v>
      </c>
      <c r="T1608" s="19" t="s">
        <v>1471</v>
      </c>
    </row>
    <row r="1609" spans="1:20">
      <c r="A1609" s="20">
        <v>202603329728400</v>
      </c>
      <c r="B1609" s="19" t="s">
        <v>20</v>
      </c>
      <c r="C1609" s="19" t="s">
        <v>21</v>
      </c>
      <c r="D1609" s="19" t="s">
        <v>20</v>
      </c>
      <c r="E1609" s="21">
        <v>46204</v>
      </c>
      <c r="F1609" s="21">
        <v>46568</v>
      </c>
      <c r="G1609" s="21"/>
      <c r="H1609" s="21">
        <v>46204</v>
      </c>
      <c r="I1609" s="21">
        <v>46568</v>
      </c>
      <c r="J1609" s="19" t="s">
        <v>2064</v>
      </c>
      <c r="L1609" s="19">
        <v>0</v>
      </c>
      <c r="M1609" s="19">
        <v>0</v>
      </c>
      <c r="N1609" s="19" t="s">
        <v>2394</v>
      </c>
      <c r="O1609" s="20">
        <v>3</v>
      </c>
      <c r="S1609" s="19" t="s">
        <v>20</v>
      </c>
      <c r="T1609" s="19" t="s">
        <v>1471</v>
      </c>
    </row>
    <row r="1610" spans="1:20">
      <c r="A1610" s="20">
        <v>202603329728400</v>
      </c>
      <c r="B1610" s="19" t="s">
        <v>20</v>
      </c>
      <c r="C1610" s="19" t="s">
        <v>21</v>
      </c>
      <c r="D1610" s="19" t="s">
        <v>20</v>
      </c>
      <c r="E1610" s="21">
        <v>46204</v>
      </c>
      <c r="F1610" s="21">
        <v>46568</v>
      </c>
      <c r="G1610" s="21"/>
      <c r="H1610" s="21">
        <v>46204</v>
      </c>
      <c r="I1610" s="21">
        <v>46568</v>
      </c>
      <c r="J1610" s="19" t="s">
        <v>2064</v>
      </c>
      <c r="L1610" s="19">
        <v>99.391890750000002</v>
      </c>
      <c r="M1610" s="19">
        <v>99.391890750000002</v>
      </c>
      <c r="N1610" s="19" t="s">
        <v>1475</v>
      </c>
      <c r="O1610" s="20">
        <v>3</v>
      </c>
      <c r="S1610" s="19" t="s">
        <v>20</v>
      </c>
      <c r="T1610" s="19" t="s">
        <v>1471</v>
      </c>
    </row>
    <row r="1611" spans="1:20">
      <c r="A1611" s="20">
        <v>202603329728511</v>
      </c>
      <c r="B1611" s="19" t="s">
        <v>20</v>
      </c>
      <c r="C1611" s="19" t="s">
        <v>21</v>
      </c>
      <c r="D1611" s="19" t="s">
        <v>20</v>
      </c>
      <c r="E1611" s="21">
        <v>46204</v>
      </c>
      <c r="F1611" s="21">
        <v>46568</v>
      </c>
      <c r="G1611" s="21"/>
      <c r="H1611" s="21">
        <v>46204</v>
      </c>
      <c r="I1611" s="21">
        <v>46568</v>
      </c>
      <c r="J1611" s="19" t="s">
        <v>2109</v>
      </c>
      <c r="L1611" s="19">
        <v>0</v>
      </c>
      <c r="M1611" s="19">
        <v>0</v>
      </c>
      <c r="N1611" s="19" t="s">
        <v>2394</v>
      </c>
      <c r="O1611" s="20">
        <v>5</v>
      </c>
      <c r="S1611" s="19" t="s">
        <v>20</v>
      </c>
      <c r="T1611" s="19" t="s">
        <v>1471</v>
      </c>
    </row>
    <row r="1612" spans="1:20">
      <c r="A1612" s="20">
        <v>202603329728511</v>
      </c>
      <c r="B1612" s="19" t="s">
        <v>20</v>
      </c>
      <c r="C1612" s="19" t="s">
        <v>21</v>
      </c>
      <c r="D1612" s="19" t="s">
        <v>20</v>
      </c>
      <c r="E1612" s="21">
        <v>46204</v>
      </c>
      <c r="F1612" s="21">
        <v>46568</v>
      </c>
      <c r="G1612" s="21"/>
      <c r="H1612" s="21">
        <v>46204</v>
      </c>
      <c r="I1612" s="21">
        <v>46568</v>
      </c>
      <c r="J1612" s="19" t="s">
        <v>2109</v>
      </c>
      <c r="L1612" s="19">
        <v>149.08780874999999</v>
      </c>
      <c r="M1612" s="19">
        <v>149.08780874999999</v>
      </c>
      <c r="N1612" s="19" t="s">
        <v>1475</v>
      </c>
      <c r="O1612" s="20">
        <v>5</v>
      </c>
      <c r="S1612" s="19" t="s">
        <v>20</v>
      </c>
      <c r="T1612" s="19" t="s">
        <v>1471</v>
      </c>
    </row>
    <row r="1613" spans="1:20">
      <c r="A1613" s="20">
        <v>202603329728756</v>
      </c>
      <c r="B1613" s="19" t="s">
        <v>20</v>
      </c>
      <c r="C1613" s="19" t="s">
        <v>21</v>
      </c>
      <c r="D1613" s="19" t="s">
        <v>20</v>
      </c>
      <c r="E1613" s="21">
        <v>46204</v>
      </c>
      <c r="F1613" s="21">
        <v>46568</v>
      </c>
      <c r="G1613" s="21"/>
      <c r="H1613" s="21">
        <v>46204</v>
      </c>
      <c r="I1613" s="21">
        <v>46568</v>
      </c>
      <c r="J1613" s="19" t="s">
        <v>2062</v>
      </c>
      <c r="L1613" s="19">
        <v>66.261260500000006</v>
      </c>
      <c r="M1613" s="19">
        <v>66.261260500000006</v>
      </c>
      <c r="N1613" s="19" t="s">
        <v>1475</v>
      </c>
      <c r="O1613" s="20">
        <v>2</v>
      </c>
      <c r="S1613" s="19" t="s">
        <v>20</v>
      </c>
      <c r="T1613" s="19" t="s">
        <v>1471</v>
      </c>
    </row>
    <row r="1614" spans="1:20">
      <c r="A1614" s="20">
        <v>202603329729216</v>
      </c>
      <c r="B1614" s="19" t="s">
        <v>20</v>
      </c>
      <c r="C1614" s="19" t="s">
        <v>21</v>
      </c>
      <c r="D1614" s="19" t="s">
        <v>20</v>
      </c>
      <c r="E1614" s="21">
        <v>46204</v>
      </c>
      <c r="F1614" s="21">
        <v>46568</v>
      </c>
      <c r="G1614" s="21"/>
      <c r="H1614" s="21">
        <v>46204</v>
      </c>
      <c r="I1614" s="21">
        <v>46568</v>
      </c>
      <c r="J1614" s="19" t="s">
        <v>2135</v>
      </c>
      <c r="L1614" s="19">
        <v>0</v>
      </c>
      <c r="M1614" s="19">
        <v>0</v>
      </c>
      <c r="N1614" s="19" t="s">
        <v>2394</v>
      </c>
      <c r="O1614" s="20">
        <v>8</v>
      </c>
      <c r="S1614" s="19" t="s">
        <v>20</v>
      </c>
      <c r="T1614" s="19" t="s">
        <v>1471</v>
      </c>
    </row>
    <row r="1615" spans="1:20">
      <c r="A1615" s="20">
        <v>202603329729216</v>
      </c>
      <c r="B1615" s="19" t="s">
        <v>20</v>
      </c>
      <c r="C1615" s="19" t="s">
        <v>21</v>
      </c>
      <c r="D1615" s="19" t="s">
        <v>2330</v>
      </c>
      <c r="E1615" s="21">
        <v>46204</v>
      </c>
      <c r="F1615" s="21">
        <v>46568</v>
      </c>
      <c r="G1615" s="21"/>
      <c r="H1615" s="21">
        <v>46204</v>
      </c>
      <c r="I1615" s="21">
        <v>46568</v>
      </c>
      <c r="J1615" s="19" t="s">
        <v>2135</v>
      </c>
      <c r="L1615" s="19">
        <v>133.81746799999999</v>
      </c>
      <c r="M1615" s="19">
        <v>133.81746799999999</v>
      </c>
      <c r="N1615" s="19" t="s">
        <v>1467</v>
      </c>
      <c r="O1615" s="20">
        <v>8</v>
      </c>
      <c r="S1615" s="19" t="s">
        <v>20</v>
      </c>
      <c r="T1615" s="19" t="s">
        <v>1471</v>
      </c>
    </row>
    <row r="1616" spans="1:20">
      <c r="A1616" s="20">
        <v>202603329731403</v>
      </c>
      <c r="B1616" s="19" t="s">
        <v>20</v>
      </c>
      <c r="C1616" s="19" t="s">
        <v>21</v>
      </c>
      <c r="D1616" s="19" t="s">
        <v>20</v>
      </c>
      <c r="E1616" s="21">
        <v>46204</v>
      </c>
      <c r="F1616" s="21">
        <v>46568</v>
      </c>
      <c r="G1616" s="21"/>
      <c r="H1616" s="21">
        <v>46204</v>
      </c>
      <c r="I1616" s="21">
        <v>46568</v>
      </c>
      <c r="J1616" s="19" t="s">
        <v>2077</v>
      </c>
      <c r="L1616" s="19">
        <v>0</v>
      </c>
      <c r="M1616" s="19">
        <v>0</v>
      </c>
      <c r="N1616" s="19" t="s">
        <v>2394</v>
      </c>
      <c r="O1616" s="20">
        <v>4</v>
      </c>
      <c r="S1616" s="19" t="s">
        <v>20</v>
      </c>
      <c r="T1616" s="19" t="s">
        <v>1471</v>
      </c>
    </row>
    <row r="1617" spans="1:20">
      <c r="A1617" s="20">
        <v>202603329731403</v>
      </c>
      <c r="B1617" s="19" t="s">
        <v>20</v>
      </c>
      <c r="C1617" s="19" t="s">
        <v>21</v>
      </c>
      <c r="D1617" s="19" t="s">
        <v>20</v>
      </c>
      <c r="E1617" s="21">
        <v>46204</v>
      </c>
      <c r="F1617" s="21">
        <v>46568</v>
      </c>
      <c r="G1617" s="21"/>
      <c r="H1617" s="21">
        <v>46204</v>
      </c>
      <c r="I1617" s="21">
        <v>46568</v>
      </c>
      <c r="J1617" s="19" t="s">
        <v>2077</v>
      </c>
      <c r="L1617" s="19">
        <v>119.270247</v>
      </c>
      <c r="M1617" s="19">
        <v>119.270247</v>
      </c>
      <c r="N1617" s="19" t="s">
        <v>1475</v>
      </c>
      <c r="O1617" s="20">
        <v>4</v>
      </c>
      <c r="S1617" s="19" t="s">
        <v>20</v>
      </c>
      <c r="T1617" s="19" t="s">
        <v>1471</v>
      </c>
    </row>
    <row r="1618" spans="1:20">
      <c r="A1618" s="20">
        <v>202603329732507</v>
      </c>
      <c r="B1618" s="19" t="s">
        <v>20</v>
      </c>
      <c r="C1618" s="19" t="s">
        <v>21</v>
      </c>
      <c r="D1618" s="19" t="s">
        <v>20</v>
      </c>
      <c r="E1618" s="21">
        <v>46204</v>
      </c>
      <c r="F1618" s="21">
        <v>46568</v>
      </c>
      <c r="G1618" s="21"/>
      <c r="H1618" s="21">
        <v>46204</v>
      </c>
      <c r="I1618" s="21">
        <v>46568</v>
      </c>
      <c r="J1618" s="19" t="s">
        <v>2093</v>
      </c>
      <c r="L1618" s="19">
        <v>28.776034249999999</v>
      </c>
      <c r="M1618" s="19">
        <v>28.776034249999999</v>
      </c>
      <c r="N1618" s="19" t="s">
        <v>1475</v>
      </c>
      <c r="O1618" s="20">
        <v>1</v>
      </c>
      <c r="S1618" s="19" t="s">
        <v>20</v>
      </c>
      <c r="T1618" s="19" t="s">
        <v>1471</v>
      </c>
    </row>
    <row r="1619" spans="1:20">
      <c r="A1619" s="20">
        <v>202603329733158</v>
      </c>
      <c r="B1619" s="19" t="s">
        <v>20</v>
      </c>
      <c r="C1619" s="19" t="s">
        <v>21</v>
      </c>
      <c r="D1619" s="19" t="s">
        <v>20</v>
      </c>
      <c r="E1619" s="21">
        <v>46204</v>
      </c>
      <c r="F1619" s="21">
        <v>46568</v>
      </c>
      <c r="G1619" s="21"/>
      <c r="H1619" s="21">
        <v>46204</v>
      </c>
      <c r="I1619" s="21">
        <v>46568</v>
      </c>
      <c r="J1619" s="19" t="s">
        <v>2114</v>
      </c>
      <c r="L1619" s="19">
        <v>0</v>
      </c>
      <c r="M1619" s="19">
        <v>0</v>
      </c>
      <c r="N1619" s="19" t="s">
        <v>2394</v>
      </c>
      <c r="O1619" s="20">
        <v>7</v>
      </c>
      <c r="S1619" s="19" t="s">
        <v>20</v>
      </c>
      <c r="T1619" s="19" t="s">
        <v>1471</v>
      </c>
    </row>
    <row r="1620" spans="1:20">
      <c r="A1620" s="20">
        <v>202603329733158</v>
      </c>
      <c r="B1620" s="19" t="s">
        <v>20</v>
      </c>
      <c r="C1620" s="19" t="s">
        <v>21</v>
      </c>
      <c r="D1620" s="19" t="s">
        <v>20</v>
      </c>
      <c r="E1620" s="21">
        <v>46204</v>
      </c>
      <c r="F1620" s="21">
        <v>46568</v>
      </c>
      <c r="G1620" s="21"/>
      <c r="H1620" s="21">
        <v>46204</v>
      </c>
      <c r="I1620" s="21">
        <v>46568</v>
      </c>
      <c r="J1620" s="19" t="s">
        <v>2114</v>
      </c>
      <c r="L1620" s="19">
        <v>231.91441175</v>
      </c>
      <c r="M1620" s="19">
        <v>231.91441175</v>
      </c>
      <c r="N1620" s="19" t="s">
        <v>1475</v>
      </c>
      <c r="O1620" s="20">
        <v>7</v>
      </c>
      <c r="S1620" s="19" t="s">
        <v>20</v>
      </c>
      <c r="T1620" s="19" t="s">
        <v>1471</v>
      </c>
    </row>
    <row r="1621" spans="1:20">
      <c r="A1621" s="20">
        <v>202603329734157</v>
      </c>
      <c r="B1621" s="19" t="s">
        <v>20</v>
      </c>
      <c r="C1621" s="19" t="s">
        <v>21</v>
      </c>
      <c r="D1621" s="19" t="s">
        <v>20</v>
      </c>
      <c r="E1621" s="21">
        <v>46204</v>
      </c>
      <c r="F1621" s="21">
        <v>46568</v>
      </c>
      <c r="G1621" s="21"/>
      <c r="H1621" s="21">
        <v>46204</v>
      </c>
      <c r="I1621" s="21">
        <v>46568</v>
      </c>
      <c r="J1621" s="19" t="s">
        <v>2129</v>
      </c>
      <c r="L1621" s="19">
        <v>0</v>
      </c>
      <c r="M1621" s="19">
        <v>0</v>
      </c>
      <c r="N1621" s="19" t="s">
        <v>2394</v>
      </c>
      <c r="O1621" s="20">
        <v>2</v>
      </c>
      <c r="S1621" s="19" t="s">
        <v>20</v>
      </c>
      <c r="T1621" s="19" t="s">
        <v>1471</v>
      </c>
    </row>
    <row r="1622" spans="1:20">
      <c r="A1622" s="20">
        <v>202603329734157</v>
      </c>
      <c r="B1622" s="19" t="s">
        <v>20</v>
      </c>
      <c r="C1622" s="19" t="s">
        <v>21</v>
      </c>
      <c r="D1622" s="19" t="s">
        <v>20</v>
      </c>
      <c r="E1622" s="21">
        <v>46204</v>
      </c>
      <c r="F1622" s="21">
        <v>46568</v>
      </c>
      <c r="G1622" s="21"/>
      <c r="H1622" s="21">
        <v>46204</v>
      </c>
      <c r="I1622" s="21">
        <v>46568</v>
      </c>
      <c r="J1622" s="19" t="s">
        <v>2129</v>
      </c>
      <c r="L1622" s="19">
        <v>66.261260500000006</v>
      </c>
      <c r="M1622" s="19">
        <v>66.261260500000006</v>
      </c>
      <c r="N1622" s="19" t="s">
        <v>1475</v>
      </c>
      <c r="O1622" s="20">
        <v>2</v>
      </c>
      <c r="S1622" s="19" t="s">
        <v>20</v>
      </c>
      <c r="T1622" s="19" t="s">
        <v>1471</v>
      </c>
    </row>
    <row r="1623" spans="1:20">
      <c r="A1623" s="20">
        <v>202603329734838</v>
      </c>
      <c r="B1623" s="19" t="s">
        <v>20</v>
      </c>
      <c r="C1623" s="19" t="s">
        <v>21</v>
      </c>
      <c r="D1623" s="19" t="s">
        <v>20</v>
      </c>
      <c r="E1623" s="21">
        <v>46204</v>
      </c>
      <c r="F1623" s="21">
        <v>46568</v>
      </c>
      <c r="G1623" s="21"/>
      <c r="H1623" s="21">
        <v>46204</v>
      </c>
      <c r="I1623" s="21">
        <v>46568</v>
      </c>
      <c r="J1623" s="19" t="s">
        <v>2095</v>
      </c>
      <c r="L1623" s="19">
        <v>0</v>
      </c>
      <c r="M1623" s="19">
        <v>0</v>
      </c>
      <c r="N1623" s="19" t="s">
        <v>2394</v>
      </c>
      <c r="O1623" s="20">
        <v>3</v>
      </c>
      <c r="S1623" s="19" t="s">
        <v>20</v>
      </c>
      <c r="T1623" s="19" t="s">
        <v>1471</v>
      </c>
    </row>
    <row r="1624" spans="1:20">
      <c r="A1624" s="20">
        <v>202603329734838</v>
      </c>
      <c r="B1624" s="19" t="s">
        <v>20</v>
      </c>
      <c r="C1624" s="19" t="s">
        <v>21</v>
      </c>
      <c r="D1624" s="19" t="s">
        <v>20</v>
      </c>
      <c r="E1624" s="21">
        <v>46204</v>
      </c>
      <c r="F1624" s="21">
        <v>46568</v>
      </c>
      <c r="G1624" s="21"/>
      <c r="H1624" s="21">
        <v>46204</v>
      </c>
      <c r="I1624" s="21">
        <v>46568</v>
      </c>
      <c r="J1624" s="19" t="s">
        <v>2095</v>
      </c>
      <c r="L1624" s="19">
        <v>99.391890750000002</v>
      </c>
      <c r="M1624" s="19">
        <v>99.391890750000002</v>
      </c>
      <c r="N1624" s="19" t="s">
        <v>1475</v>
      </c>
      <c r="O1624" s="20">
        <v>3</v>
      </c>
      <c r="S1624" s="19" t="s">
        <v>20</v>
      </c>
      <c r="T1624" s="19" t="s">
        <v>1471</v>
      </c>
    </row>
    <row r="1625" spans="1:20">
      <c r="A1625" s="20">
        <v>202603329734898</v>
      </c>
      <c r="B1625" s="19" t="s">
        <v>20</v>
      </c>
      <c r="C1625" s="19" t="s">
        <v>21</v>
      </c>
      <c r="D1625" s="19" t="s">
        <v>20</v>
      </c>
      <c r="E1625" s="21">
        <v>46204</v>
      </c>
      <c r="F1625" s="21">
        <v>46568</v>
      </c>
      <c r="G1625" s="21"/>
      <c r="H1625" s="21">
        <v>46204</v>
      </c>
      <c r="I1625" s="21">
        <v>46568</v>
      </c>
      <c r="J1625" s="19" t="s">
        <v>2064</v>
      </c>
      <c r="L1625" s="19">
        <v>0</v>
      </c>
      <c r="M1625" s="19">
        <v>0</v>
      </c>
      <c r="N1625" s="19" t="s">
        <v>2394</v>
      </c>
      <c r="O1625" s="20">
        <v>5</v>
      </c>
      <c r="S1625" s="19" t="s">
        <v>20</v>
      </c>
      <c r="T1625" s="19" t="s">
        <v>1471</v>
      </c>
    </row>
    <row r="1626" spans="1:20">
      <c r="A1626" s="20">
        <v>202603329734898</v>
      </c>
      <c r="B1626" s="19" t="s">
        <v>20</v>
      </c>
      <c r="C1626" s="19" t="s">
        <v>21</v>
      </c>
      <c r="D1626" s="19" t="s">
        <v>20</v>
      </c>
      <c r="E1626" s="21">
        <v>46204</v>
      </c>
      <c r="F1626" s="21">
        <v>46568</v>
      </c>
      <c r="G1626" s="21"/>
      <c r="H1626" s="21">
        <v>46204</v>
      </c>
      <c r="I1626" s="21">
        <v>46568</v>
      </c>
      <c r="J1626" s="19" t="s">
        <v>2064</v>
      </c>
      <c r="L1626" s="19">
        <v>165.65315125000001</v>
      </c>
      <c r="M1626" s="19">
        <v>165.65315125000001</v>
      </c>
      <c r="N1626" s="19" t="s">
        <v>1475</v>
      </c>
      <c r="O1626" s="20">
        <v>5</v>
      </c>
      <c r="S1626" s="19" t="s">
        <v>20</v>
      </c>
      <c r="T1626" s="19" t="s">
        <v>1471</v>
      </c>
    </row>
    <row r="1627" spans="1:20">
      <c r="A1627" s="20">
        <v>202603329735112</v>
      </c>
      <c r="B1627" s="19" t="s">
        <v>20</v>
      </c>
      <c r="C1627" s="19" t="s">
        <v>21</v>
      </c>
      <c r="D1627" s="19" t="s">
        <v>20</v>
      </c>
      <c r="E1627" s="21">
        <v>46204</v>
      </c>
      <c r="F1627" s="21">
        <v>46568</v>
      </c>
      <c r="G1627" s="21"/>
      <c r="H1627" s="21">
        <v>46204</v>
      </c>
      <c r="I1627" s="21">
        <v>46568</v>
      </c>
      <c r="J1627" s="19" t="s">
        <v>2085</v>
      </c>
      <c r="L1627" s="19">
        <v>24.620673499999999</v>
      </c>
      <c r="M1627" s="19">
        <v>24.620673499999999</v>
      </c>
      <c r="N1627" s="19" t="s">
        <v>1475</v>
      </c>
      <c r="O1627" s="20">
        <v>1</v>
      </c>
      <c r="S1627" s="19" t="s">
        <v>20</v>
      </c>
      <c r="T1627" s="19" t="s">
        <v>1471</v>
      </c>
    </row>
    <row r="1628" spans="1:20">
      <c r="A1628" s="20">
        <v>202603329735316</v>
      </c>
      <c r="B1628" s="19" t="s">
        <v>20</v>
      </c>
      <c r="C1628" s="19" t="s">
        <v>21</v>
      </c>
      <c r="D1628" s="19" t="s">
        <v>20</v>
      </c>
      <c r="E1628" s="21">
        <v>46204</v>
      </c>
      <c r="F1628" s="21">
        <v>46568</v>
      </c>
      <c r="G1628" s="21"/>
      <c r="H1628" s="21">
        <v>46204</v>
      </c>
      <c r="I1628" s="21">
        <v>46568</v>
      </c>
      <c r="J1628" s="19" t="s">
        <v>2064</v>
      </c>
      <c r="L1628" s="19">
        <v>33.130630250000003</v>
      </c>
      <c r="M1628" s="19">
        <v>33.130630250000003</v>
      </c>
      <c r="N1628" s="19" t="s">
        <v>1475</v>
      </c>
      <c r="O1628" s="20">
        <v>1</v>
      </c>
      <c r="S1628" s="19" t="s">
        <v>20</v>
      </c>
      <c r="T1628" s="19" t="s">
        <v>1471</v>
      </c>
    </row>
    <row r="1629" spans="1:20">
      <c r="A1629" s="20">
        <v>202603329737638</v>
      </c>
      <c r="B1629" s="19" t="s">
        <v>20</v>
      </c>
      <c r="C1629" s="19" t="s">
        <v>21</v>
      </c>
      <c r="D1629" s="19" t="s">
        <v>20</v>
      </c>
      <c r="E1629" s="21">
        <v>46204</v>
      </c>
      <c r="F1629" s="21">
        <v>46568</v>
      </c>
      <c r="G1629" s="21"/>
      <c r="H1629" s="21">
        <v>46204</v>
      </c>
      <c r="I1629" s="21">
        <v>46568</v>
      </c>
      <c r="J1629" s="19" t="s">
        <v>2064</v>
      </c>
      <c r="L1629" s="19">
        <v>33.130630250000003</v>
      </c>
      <c r="M1629" s="19">
        <v>33.130630250000003</v>
      </c>
      <c r="N1629" s="19" t="s">
        <v>1475</v>
      </c>
      <c r="O1629" s="20">
        <v>1</v>
      </c>
      <c r="S1629" s="19" t="s">
        <v>20</v>
      </c>
      <c r="T1629" s="19" t="s">
        <v>1471</v>
      </c>
    </row>
    <row r="1630" spans="1:20">
      <c r="A1630" s="20">
        <v>202603329740181</v>
      </c>
      <c r="B1630" s="19" t="s">
        <v>20</v>
      </c>
      <c r="C1630" s="19" t="s">
        <v>21</v>
      </c>
      <c r="D1630" s="19" t="s">
        <v>20</v>
      </c>
      <c r="E1630" s="21">
        <v>46204</v>
      </c>
      <c r="F1630" s="21">
        <v>46568</v>
      </c>
      <c r="G1630" s="21"/>
      <c r="H1630" s="21">
        <v>46204</v>
      </c>
      <c r="I1630" s="21">
        <v>46568</v>
      </c>
      <c r="J1630" s="19" t="s">
        <v>2064</v>
      </c>
      <c r="L1630" s="19">
        <v>0</v>
      </c>
      <c r="M1630" s="19">
        <v>0</v>
      </c>
      <c r="N1630" s="19" t="s">
        <v>2394</v>
      </c>
      <c r="O1630" s="20">
        <v>3</v>
      </c>
      <c r="S1630" s="19" t="s">
        <v>20</v>
      </c>
      <c r="T1630" s="19" t="s">
        <v>1471</v>
      </c>
    </row>
    <row r="1631" spans="1:20">
      <c r="A1631" s="20">
        <v>202603329740181</v>
      </c>
      <c r="B1631" s="19" t="s">
        <v>20</v>
      </c>
      <c r="C1631" s="19" t="s">
        <v>21</v>
      </c>
      <c r="D1631" s="19" t="s">
        <v>20</v>
      </c>
      <c r="E1631" s="21">
        <v>46204</v>
      </c>
      <c r="F1631" s="21">
        <v>46568</v>
      </c>
      <c r="G1631" s="21"/>
      <c r="H1631" s="21">
        <v>46204</v>
      </c>
      <c r="I1631" s="21">
        <v>46568</v>
      </c>
      <c r="J1631" s="19" t="s">
        <v>2064</v>
      </c>
      <c r="L1631" s="19">
        <v>99.391890750000002</v>
      </c>
      <c r="M1631" s="19">
        <v>99.391890750000002</v>
      </c>
      <c r="N1631" s="19" t="s">
        <v>1475</v>
      </c>
      <c r="O1631" s="20">
        <v>3</v>
      </c>
      <c r="S1631" s="19" t="s">
        <v>20</v>
      </c>
      <c r="T1631" s="19" t="s">
        <v>1471</v>
      </c>
    </row>
    <row r="1632" spans="1:20">
      <c r="A1632" s="20">
        <v>202603329741977</v>
      </c>
      <c r="B1632" s="19" t="s">
        <v>20</v>
      </c>
      <c r="C1632" s="19" t="s">
        <v>21</v>
      </c>
      <c r="D1632" s="19" t="s">
        <v>20</v>
      </c>
      <c r="E1632" s="21">
        <v>46204</v>
      </c>
      <c r="F1632" s="21">
        <v>46568</v>
      </c>
      <c r="G1632" s="21"/>
      <c r="H1632" s="21">
        <v>46204</v>
      </c>
      <c r="I1632" s="21">
        <v>46568</v>
      </c>
      <c r="J1632" s="19" t="s">
        <v>2093</v>
      </c>
      <c r="L1632" s="19">
        <v>28.776034249999999</v>
      </c>
      <c r="M1632" s="19">
        <v>28.776034249999999</v>
      </c>
      <c r="N1632" s="19" t="s">
        <v>1475</v>
      </c>
      <c r="O1632" s="20">
        <v>1</v>
      </c>
      <c r="S1632" s="19" t="s">
        <v>20</v>
      </c>
      <c r="T1632" s="19" t="s">
        <v>1471</v>
      </c>
    </row>
    <row r="1633" spans="1:20">
      <c r="A1633" s="20">
        <v>202603329742644</v>
      </c>
      <c r="B1633" s="19" t="s">
        <v>20</v>
      </c>
      <c r="C1633" s="19" t="s">
        <v>21</v>
      </c>
      <c r="D1633" s="19" t="s">
        <v>20</v>
      </c>
      <c r="E1633" s="21">
        <v>46204</v>
      </c>
      <c r="F1633" s="21">
        <v>46568</v>
      </c>
      <c r="G1633" s="21"/>
      <c r="H1633" s="21">
        <v>46204</v>
      </c>
      <c r="I1633" s="21">
        <v>46568</v>
      </c>
      <c r="J1633" s="19" t="s">
        <v>2238</v>
      </c>
      <c r="L1633" s="19">
        <v>0</v>
      </c>
      <c r="M1633" s="19">
        <v>0</v>
      </c>
      <c r="N1633" s="19" t="s">
        <v>2394</v>
      </c>
      <c r="O1633" s="20">
        <v>2</v>
      </c>
      <c r="S1633" s="19" t="s">
        <v>20</v>
      </c>
      <c r="T1633" s="19" t="s">
        <v>1471</v>
      </c>
    </row>
    <row r="1634" spans="1:20">
      <c r="A1634" s="20">
        <v>202603329742644</v>
      </c>
      <c r="B1634" s="19" t="s">
        <v>20</v>
      </c>
      <c r="C1634" s="19" t="s">
        <v>21</v>
      </c>
      <c r="D1634" s="19" t="s">
        <v>2331</v>
      </c>
      <c r="E1634" s="21">
        <v>46204</v>
      </c>
      <c r="F1634" s="21">
        <v>46568</v>
      </c>
      <c r="G1634" s="21"/>
      <c r="H1634" s="21">
        <v>46204</v>
      </c>
      <c r="I1634" s="21">
        <v>46568</v>
      </c>
      <c r="J1634" s="19" t="s">
        <v>2238</v>
      </c>
      <c r="L1634" s="19">
        <v>48.584639000000003</v>
      </c>
      <c r="M1634" s="19">
        <v>48.584639000000003</v>
      </c>
      <c r="N1634" s="19" t="s">
        <v>1467</v>
      </c>
      <c r="O1634" s="20">
        <v>2</v>
      </c>
      <c r="S1634" s="19" t="s">
        <v>20</v>
      </c>
      <c r="T1634" s="19" t="s">
        <v>1471</v>
      </c>
    </row>
    <row r="1635" spans="1:20">
      <c r="A1635" s="20">
        <v>202603329743104</v>
      </c>
      <c r="B1635" s="19" t="s">
        <v>20</v>
      </c>
      <c r="C1635" s="19" t="s">
        <v>21</v>
      </c>
      <c r="D1635" s="19" t="s">
        <v>20</v>
      </c>
      <c r="E1635" s="21">
        <v>46204</v>
      </c>
      <c r="F1635" s="21">
        <v>46568</v>
      </c>
      <c r="G1635" s="21"/>
      <c r="H1635" s="21">
        <v>46204</v>
      </c>
      <c r="I1635" s="21">
        <v>46568</v>
      </c>
      <c r="J1635" s="19" t="s">
        <v>2069</v>
      </c>
      <c r="L1635" s="19">
        <v>0</v>
      </c>
      <c r="M1635" s="19">
        <v>0</v>
      </c>
      <c r="N1635" s="19" t="s">
        <v>2394</v>
      </c>
      <c r="O1635" s="20">
        <v>4</v>
      </c>
      <c r="S1635" s="19" t="s">
        <v>20</v>
      </c>
      <c r="T1635" s="19" t="s">
        <v>1471</v>
      </c>
    </row>
    <row r="1636" spans="1:20">
      <c r="A1636" s="20">
        <v>202603329743104</v>
      </c>
      <c r="B1636" s="19" t="s">
        <v>20</v>
      </c>
      <c r="C1636" s="19" t="s">
        <v>21</v>
      </c>
      <c r="D1636" s="19" t="s">
        <v>20</v>
      </c>
      <c r="E1636" s="21">
        <v>46204</v>
      </c>
      <c r="F1636" s="21">
        <v>46568</v>
      </c>
      <c r="G1636" s="21"/>
      <c r="H1636" s="21">
        <v>46204</v>
      </c>
      <c r="I1636" s="21">
        <v>46568</v>
      </c>
      <c r="J1636" s="19" t="s">
        <v>2069</v>
      </c>
      <c r="L1636" s="19">
        <v>132.52252100000001</v>
      </c>
      <c r="M1636" s="19">
        <v>132.52252100000001</v>
      </c>
      <c r="N1636" s="19" t="s">
        <v>1475</v>
      </c>
      <c r="O1636" s="20">
        <v>4</v>
      </c>
      <c r="S1636" s="19" t="s">
        <v>20</v>
      </c>
      <c r="T1636" s="19" t="s">
        <v>1471</v>
      </c>
    </row>
    <row r="1637" spans="1:20">
      <c r="A1637" s="20">
        <v>202603329745079</v>
      </c>
      <c r="B1637" s="19" t="s">
        <v>20</v>
      </c>
      <c r="C1637" s="19" t="s">
        <v>21</v>
      </c>
      <c r="D1637" s="19" t="s">
        <v>20</v>
      </c>
      <c r="E1637" s="21">
        <v>46204</v>
      </c>
      <c r="F1637" s="21">
        <v>46568</v>
      </c>
      <c r="G1637" s="21"/>
      <c r="H1637" s="21">
        <v>46204</v>
      </c>
      <c r="I1637" s="21">
        <v>46568</v>
      </c>
      <c r="J1637" s="19" t="s">
        <v>2180</v>
      </c>
      <c r="L1637" s="19">
        <v>97.110020250000005</v>
      </c>
      <c r="M1637" s="19">
        <v>97.110020250000005</v>
      </c>
      <c r="N1637" s="19" t="s">
        <v>1475</v>
      </c>
      <c r="O1637" s="20">
        <v>3</v>
      </c>
      <c r="S1637" s="19" t="s">
        <v>20</v>
      </c>
      <c r="T1637" s="19" t="s">
        <v>1471</v>
      </c>
    </row>
    <row r="1638" spans="1:20">
      <c r="A1638" s="20">
        <v>202603329745126</v>
      </c>
      <c r="B1638" s="19" t="s">
        <v>20</v>
      </c>
      <c r="C1638" s="19" t="s">
        <v>21</v>
      </c>
      <c r="D1638" s="19" t="s">
        <v>20</v>
      </c>
      <c r="E1638" s="21">
        <v>46204</v>
      </c>
      <c r="F1638" s="21">
        <v>46568</v>
      </c>
      <c r="G1638" s="21"/>
      <c r="H1638" s="21">
        <v>46204</v>
      </c>
      <c r="I1638" s="21">
        <v>46568</v>
      </c>
      <c r="J1638" s="19" t="s">
        <v>2066</v>
      </c>
      <c r="L1638" s="19">
        <v>0</v>
      </c>
      <c r="M1638" s="19">
        <v>0</v>
      </c>
      <c r="N1638" s="19" t="s">
        <v>2394</v>
      </c>
      <c r="O1638" s="20">
        <v>3</v>
      </c>
      <c r="S1638" s="19" t="s">
        <v>20</v>
      </c>
      <c r="T1638" s="19" t="s">
        <v>1471</v>
      </c>
    </row>
    <row r="1639" spans="1:20">
      <c r="A1639" s="20">
        <v>202603329745126</v>
      </c>
      <c r="B1639" s="19" t="s">
        <v>20</v>
      </c>
      <c r="C1639" s="19" t="s">
        <v>21</v>
      </c>
      <c r="D1639" s="19" t="s">
        <v>20</v>
      </c>
      <c r="E1639" s="21">
        <v>46204</v>
      </c>
      <c r="F1639" s="21">
        <v>46568</v>
      </c>
      <c r="G1639" s="21"/>
      <c r="H1639" s="21">
        <v>46204</v>
      </c>
      <c r="I1639" s="21">
        <v>46568</v>
      </c>
      <c r="J1639" s="19" t="s">
        <v>2066</v>
      </c>
      <c r="L1639" s="19">
        <v>99.391890750000002</v>
      </c>
      <c r="M1639" s="19">
        <v>99.391890750000002</v>
      </c>
      <c r="N1639" s="19" t="s">
        <v>1475</v>
      </c>
      <c r="O1639" s="20">
        <v>3</v>
      </c>
      <c r="S1639" s="19" t="s">
        <v>20</v>
      </c>
      <c r="T1639" s="19" t="s">
        <v>1471</v>
      </c>
    </row>
    <row r="1640" spans="1:20">
      <c r="A1640" s="20">
        <v>202603329745880</v>
      </c>
      <c r="B1640" s="19" t="s">
        <v>20</v>
      </c>
      <c r="C1640" s="19" t="s">
        <v>21</v>
      </c>
      <c r="D1640" s="19" t="s">
        <v>2332</v>
      </c>
      <c r="E1640" s="21">
        <v>46204</v>
      </c>
      <c r="F1640" s="21">
        <v>46568</v>
      </c>
      <c r="G1640" s="21"/>
      <c r="H1640" s="21">
        <v>46204</v>
      </c>
      <c r="I1640" s="21">
        <v>46568</v>
      </c>
      <c r="J1640" s="19" t="s">
        <v>2279</v>
      </c>
      <c r="L1640" s="19">
        <v>33.130630250000003</v>
      </c>
      <c r="M1640" s="19">
        <v>33.130630250000003</v>
      </c>
      <c r="N1640" s="19" t="s">
        <v>1467</v>
      </c>
      <c r="O1640" s="20">
        <v>1</v>
      </c>
      <c r="S1640" s="19" t="s">
        <v>20</v>
      </c>
      <c r="T1640" s="19" t="s">
        <v>1471</v>
      </c>
    </row>
    <row r="1641" spans="1:20">
      <c r="A1641" s="20">
        <v>202603329746729</v>
      </c>
      <c r="B1641" s="19" t="s">
        <v>20</v>
      </c>
      <c r="C1641" s="19" t="s">
        <v>21</v>
      </c>
      <c r="D1641" s="19" t="s">
        <v>20</v>
      </c>
      <c r="E1641" s="21">
        <v>46204</v>
      </c>
      <c r="F1641" s="21">
        <v>46568</v>
      </c>
      <c r="G1641" s="21"/>
      <c r="H1641" s="21">
        <v>46204</v>
      </c>
      <c r="I1641" s="21">
        <v>46568</v>
      </c>
      <c r="J1641" s="19" t="s">
        <v>2120</v>
      </c>
      <c r="L1641" s="19">
        <v>37.947955</v>
      </c>
      <c r="M1641" s="19">
        <v>37.947955</v>
      </c>
      <c r="N1641" s="19" t="s">
        <v>1475</v>
      </c>
      <c r="O1641" s="20">
        <v>1</v>
      </c>
      <c r="S1641" s="19" t="s">
        <v>20</v>
      </c>
      <c r="T1641" s="19" t="s">
        <v>1471</v>
      </c>
    </row>
    <row r="1642" spans="1:20">
      <c r="A1642" s="20">
        <v>202603329747661</v>
      </c>
      <c r="B1642" s="19" t="s">
        <v>20</v>
      </c>
      <c r="C1642" s="19" t="s">
        <v>21</v>
      </c>
      <c r="D1642" s="19" t="s">
        <v>20</v>
      </c>
      <c r="E1642" s="21">
        <v>46204</v>
      </c>
      <c r="F1642" s="21">
        <v>46568</v>
      </c>
      <c r="G1642" s="21"/>
      <c r="H1642" s="21">
        <v>46204</v>
      </c>
      <c r="I1642" s="21">
        <v>46568</v>
      </c>
      <c r="J1642" s="19" t="s">
        <v>2093</v>
      </c>
      <c r="L1642" s="19">
        <v>0</v>
      </c>
      <c r="M1642" s="19">
        <v>0</v>
      </c>
      <c r="N1642" s="19" t="s">
        <v>2394</v>
      </c>
      <c r="O1642" s="20">
        <v>6</v>
      </c>
      <c r="S1642" s="19" t="s">
        <v>20</v>
      </c>
      <c r="T1642" s="19" t="s">
        <v>1471</v>
      </c>
    </row>
    <row r="1643" spans="1:20">
      <c r="A1643" s="20">
        <v>202603329747661</v>
      </c>
      <c r="B1643" s="19" t="s">
        <v>20</v>
      </c>
      <c r="C1643" s="19" t="s">
        <v>21</v>
      </c>
      <c r="D1643" s="19" t="s">
        <v>20</v>
      </c>
      <c r="E1643" s="21">
        <v>46204</v>
      </c>
      <c r="F1643" s="21">
        <v>46568</v>
      </c>
      <c r="G1643" s="21"/>
      <c r="H1643" s="21">
        <v>46204</v>
      </c>
      <c r="I1643" s="21">
        <v>46568</v>
      </c>
      <c r="J1643" s="19" t="s">
        <v>2093</v>
      </c>
      <c r="L1643" s="19">
        <v>172.6562055</v>
      </c>
      <c r="M1643" s="19">
        <v>172.6562055</v>
      </c>
      <c r="N1643" s="19" t="s">
        <v>1475</v>
      </c>
      <c r="O1643" s="20">
        <v>6</v>
      </c>
      <c r="S1643" s="19" t="s">
        <v>20</v>
      </c>
      <c r="T1643" s="19" t="s">
        <v>1471</v>
      </c>
    </row>
    <row r="1644" spans="1:20">
      <c r="A1644" s="20">
        <v>202603329748194</v>
      </c>
      <c r="B1644" s="19" t="s">
        <v>20</v>
      </c>
      <c r="C1644" s="19" t="s">
        <v>21</v>
      </c>
      <c r="D1644" s="19" t="s">
        <v>20</v>
      </c>
      <c r="E1644" s="21">
        <v>46204</v>
      </c>
      <c r="F1644" s="21">
        <v>46568</v>
      </c>
      <c r="G1644" s="21"/>
      <c r="H1644" s="21">
        <v>46204</v>
      </c>
      <c r="I1644" s="21">
        <v>46568</v>
      </c>
      <c r="J1644" s="19" t="s">
        <v>2064</v>
      </c>
      <c r="L1644" s="19">
        <v>0</v>
      </c>
      <c r="M1644" s="19">
        <v>0</v>
      </c>
      <c r="N1644" s="19" t="s">
        <v>2394</v>
      </c>
      <c r="O1644" s="20">
        <v>2</v>
      </c>
      <c r="S1644" s="19" t="s">
        <v>20</v>
      </c>
      <c r="T1644" s="19" t="s">
        <v>1471</v>
      </c>
    </row>
    <row r="1645" spans="1:20">
      <c r="A1645" s="20">
        <v>202603329748194</v>
      </c>
      <c r="B1645" s="19" t="s">
        <v>20</v>
      </c>
      <c r="C1645" s="19" t="s">
        <v>21</v>
      </c>
      <c r="D1645" s="19" t="s">
        <v>20</v>
      </c>
      <c r="E1645" s="21">
        <v>46204</v>
      </c>
      <c r="F1645" s="21">
        <v>46568</v>
      </c>
      <c r="G1645" s="21"/>
      <c r="H1645" s="21">
        <v>46204</v>
      </c>
      <c r="I1645" s="21">
        <v>46568</v>
      </c>
      <c r="J1645" s="19" t="s">
        <v>2064</v>
      </c>
      <c r="L1645" s="19">
        <v>66.261260500000006</v>
      </c>
      <c r="M1645" s="19">
        <v>66.261260500000006</v>
      </c>
      <c r="N1645" s="19" t="s">
        <v>1475</v>
      </c>
      <c r="O1645" s="20">
        <v>2</v>
      </c>
      <c r="S1645" s="19" t="s">
        <v>20</v>
      </c>
      <c r="T1645" s="19" t="s">
        <v>1471</v>
      </c>
    </row>
    <row r="1646" spans="1:20">
      <c r="A1646" s="20">
        <v>202603329750389</v>
      </c>
      <c r="B1646" s="19" t="s">
        <v>20</v>
      </c>
      <c r="C1646" s="19" t="s">
        <v>21</v>
      </c>
      <c r="D1646" s="19" t="s">
        <v>20</v>
      </c>
      <c r="E1646" s="21">
        <v>46204</v>
      </c>
      <c r="F1646" s="21">
        <v>46568</v>
      </c>
      <c r="G1646" s="21"/>
      <c r="H1646" s="21">
        <v>46204</v>
      </c>
      <c r="I1646" s="21">
        <v>46568</v>
      </c>
      <c r="J1646" s="19" t="s">
        <v>2080</v>
      </c>
      <c r="L1646" s="19">
        <v>0</v>
      </c>
      <c r="M1646" s="19">
        <v>0</v>
      </c>
      <c r="N1646" s="19" t="s">
        <v>2394</v>
      </c>
      <c r="O1646" s="20">
        <v>2</v>
      </c>
      <c r="S1646" s="19" t="s">
        <v>20</v>
      </c>
      <c r="T1646" s="19" t="s">
        <v>1471</v>
      </c>
    </row>
    <row r="1647" spans="1:20">
      <c r="A1647" s="20">
        <v>202603329750389</v>
      </c>
      <c r="B1647" s="19" t="s">
        <v>20</v>
      </c>
      <c r="C1647" s="19" t="s">
        <v>21</v>
      </c>
      <c r="D1647" s="19" t="s">
        <v>20</v>
      </c>
      <c r="E1647" s="21">
        <v>46204</v>
      </c>
      <c r="F1647" s="21">
        <v>46568</v>
      </c>
      <c r="G1647" s="21"/>
      <c r="H1647" s="21">
        <v>46204</v>
      </c>
      <c r="I1647" s="21">
        <v>46568</v>
      </c>
      <c r="J1647" s="19" t="s">
        <v>2080</v>
      </c>
      <c r="L1647" s="19">
        <v>66.261260500000006</v>
      </c>
      <c r="M1647" s="19">
        <v>66.261260500000006</v>
      </c>
      <c r="N1647" s="19" t="s">
        <v>1475</v>
      </c>
      <c r="O1647" s="20">
        <v>2</v>
      </c>
      <c r="S1647" s="19" t="s">
        <v>20</v>
      </c>
      <c r="T1647" s="19" t="s">
        <v>1471</v>
      </c>
    </row>
    <row r="1648" spans="1:20">
      <c r="A1648" s="20">
        <v>202603329754642</v>
      </c>
      <c r="B1648" s="19" t="s">
        <v>20</v>
      </c>
      <c r="C1648" s="19" t="s">
        <v>21</v>
      </c>
      <c r="D1648" s="19" t="s">
        <v>20</v>
      </c>
      <c r="E1648" s="21">
        <v>46204</v>
      </c>
      <c r="F1648" s="21">
        <v>46568</v>
      </c>
      <c r="G1648" s="21"/>
      <c r="H1648" s="21">
        <v>46204</v>
      </c>
      <c r="I1648" s="21">
        <v>46568</v>
      </c>
      <c r="J1648" s="19" t="s">
        <v>2065</v>
      </c>
      <c r="L1648" s="19">
        <v>26.258683999999999</v>
      </c>
      <c r="M1648" s="19">
        <v>26.258683999999999</v>
      </c>
      <c r="N1648" s="19" t="s">
        <v>1475</v>
      </c>
      <c r="O1648" s="20">
        <v>1</v>
      </c>
      <c r="S1648" s="19" t="s">
        <v>20</v>
      </c>
      <c r="T1648" s="19" t="s">
        <v>1471</v>
      </c>
    </row>
    <row r="1649" spans="1:20">
      <c r="A1649" s="20">
        <v>202603329754978</v>
      </c>
      <c r="B1649" s="19" t="s">
        <v>20</v>
      </c>
      <c r="C1649" s="19" t="s">
        <v>21</v>
      </c>
      <c r="D1649" s="19" t="s">
        <v>20</v>
      </c>
      <c r="E1649" s="21">
        <v>46204</v>
      </c>
      <c r="F1649" s="21">
        <v>46568</v>
      </c>
      <c r="G1649" s="21"/>
      <c r="H1649" s="21">
        <v>46204</v>
      </c>
      <c r="I1649" s="21">
        <v>46568</v>
      </c>
      <c r="J1649" s="19" t="s">
        <v>2087</v>
      </c>
      <c r="L1649" s="19">
        <v>0</v>
      </c>
      <c r="M1649" s="19">
        <v>0</v>
      </c>
      <c r="N1649" s="19" t="s">
        <v>2394</v>
      </c>
      <c r="O1649" s="20">
        <v>6</v>
      </c>
      <c r="S1649" s="19" t="s">
        <v>20</v>
      </c>
      <c r="T1649" s="19" t="s">
        <v>1471</v>
      </c>
    </row>
    <row r="1650" spans="1:20">
      <c r="A1650" s="20">
        <v>202603329754978</v>
      </c>
      <c r="B1650" s="19" t="s">
        <v>20</v>
      </c>
      <c r="C1650" s="19" t="s">
        <v>21</v>
      </c>
      <c r="D1650" s="19" t="s">
        <v>20</v>
      </c>
      <c r="E1650" s="21">
        <v>46204</v>
      </c>
      <c r="F1650" s="21">
        <v>46568</v>
      </c>
      <c r="G1650" s="21"/>
      <c r="H1650" s="21">
        <v>46204</v>
      </c>
      <c r="I1650" s="21">
        <v>46568</v>
      </c>
      <c r="J1650" s="19" t="s">
        <v>2087</v>
      </c>
      <c r="L1650" s="19">
        <v>198.7837815</v>
      </c>
      <c r="M1650" s="19">
        <v>198.7837815</v>
      </c>
      <c r="N1650" s="19" t="s">
        <v>1475</v>
      </c>
      <c r="O1650" s="20">
        <v>6</v>
      </c>
      <c r="S1650" s="19" t="s">
        <v>20</v>
      </c>
      <c r="T1650" s="19" t="s">
        <v>1471</v>
      </c>
    </row>
    <row r="1651" spans="1:20">
      <c r="A1651" s="20">
        <v>202603329755897</v>
      </c>
      <c r="B1651" s="19" t="s">
        <v>20</v>
      </c>
      <c r="C1651" s="19" t="s">
        <v>21</v>
      </c>
      <c r="D1651" s="19" t="s">
        <v>20</v>
      </c>
      <c r="E1651" s="21">
        <v>46204</v>
      </c>
      <c r="F1651" s="21">
        <v>46568</v>
      </c>
      <c r="G1651" s="21"/>
      <c r="H1651" s="21">
        <v>46204</v>
      </c>
      <c r="I1651" s="21">
        <v>46568</v>
      </c>
      <c r="J1651" s="19" t="s">
        <v>2064</v>
      </c>
      <c r="L1651" s="19">
        <v>99.391890750000002</v>
      </c>
      <c r="M1651" s="19">
        <v>99.391890750000002</v>
      </c>
      <c r="N1651" s="19" t="s">
        <v>1475</v>
      </c>
      <c r="O1651" s="20">
        <v>3</v>
      </c>
      <c r="S1651" s="19" t="s">
        <v>20</v>
      </c>
      <c r="T1651" s="19" t="s">
        <v>1471</v>
      </c>
    </row>
    <row r="1652" spans="1:20">
      <c r="A1652" s="20">
        <v>202603329756694</v>
      </c>
      <c r="B1652" s="19" t="s">
        <v>20</v>
      </c>
      <c r="C1652" s="19" t="s">
        <v>21</v>
      </c>
      <c r="D1652" s="19" t="s">
        <v>20</v>
      </c>
      <c r="E1652" s="21">
        <v>46204</v>
      </c>
      <c r="F1652" s="21">
        <v>46568</v>
      </c>
      <c r="G1652" s="21"/>
      <c r="H1652" s="21">
        <v>46204</v>
      </c>
      <c r="I1652" s="21">
        <v>46568</v>
      </c>
      <c r="J1652" s="19" t="s">
        <v>2068</v>
      </c>
      <c r="L1652" s="19">
        <v>0</v>
      </c>
      <c r="M1652" s="19">
        <v>0</v>
      </c>
      <c r="N1652" s="19" t="s">
        <v>2394</v>
      </c>
      <c r="O1652" s="20">
        <v>8</v>
      </c>
      <c r="S1652" s="19" t="s">
        <v>20</v>
      </c>
      <c r="T1652" s="19" t="s">
        <v>1471</v>
      </c>
    </row>
    <row r="1653" spans="1:20">
      <c r="A1653" s="20">
        <v>202603329756694</v>
      </c>
      <c r="B1653" s="19" t="s">
        <v>20</v>
      </c>
      <c r="C1653" s="19" t="s">
        <v>21</v>
      </c>
      <c r="D1653" s="19" t="s">
        <v>20</v>
      </c>
      <c r="E1653" s="21">
        <v>46204</v>
      </c>
      <c r="F1653" s="21">
        <v>46568</v>
      </c>
      <c r="G1653" s="21"/>
      <c r="H1653" s="21">
        <v>46204</v>
      </c>
      <c r="I1653" s="21">
        <v>46568</v>
      </c>
      <c r="J1653" s="19" t="s">
        <v>2068</v>
      </c>
      <c r="L1653" s="19">
        <v>210.06947199999999</v>
      </c>
      <c r="M1653" s="19">
        <v>210.06947199999999</v>
      </c>
      <c r="N1653" s="19" t="s">
        <v>1475</v>
      </c>
      <c r="O1653" s="20">
        <v>8</v>
      </c>
      <c r="S1653" s="19" t="s">
        <v>20</v>
      </c>
      <c r="T1653" s="19" t="s">
        <v>1471</v>
      </c>
    </row>
    <row r="1654" spans="1:20">
      <c r="A1654" s="20">
        <v>202603329757434</v>
      </c>
      <c r="B1654" s="19" t="s">
        <v>20</v>
      </c>
      <c r="C1654" s="19" t="s">
        <v>21</v>
      </c>
      <c r="D1654" s="19" t="s">
        <v>20</v>
      </c>
      <c r="E1654" s="21">
        <v>46204</v>
      </c>
      <c r="F1654" s="21">
        <v>46568</v>
      </c>
      <c r="G1654" s="21"/>
      <c r="H1654" s="21">
        <v>46204</v>
      </c>
      <c r="I1654" s="21">
        <v>46568</v>
      </c>
      <c r="J1654" s="19" t="s">
        <v>2087</v>
      </c>
      <c r="L1654" s="19">
        <v>0</v>
      </c>
      <c r="M1654" s="19">
        <v>0</v>
      </c>
      <c r="N1654" s="19" t="s">
        <v>2394</v>
      </c>
      <c r="O1654" s="20">
        <v>3</v>
      </c>
      <c r="S1654" s="19" t="s">
        <v>20</v>
      </c>
      <c r="T1654" s="19" t="s">
        <v>1471</v>
      </c>
    </row>
    <row r="1655" spans="1:20">
      <c r="A1655" s="20">
        <v>202603329757434</v>
      </c>
      <c r="B1655" s="19" t="s">
        <v>20</v>
      </c>
      <c r="C1655" s="19" t="s">
        <v>21</v>
      </c>
      <c r="D1655" s="19" t="s">
        <v>20</v>
      </c>
      <c r="E1655" s="21">
        <v>46204</v>
      </c>
      <c r="F1655" s="21">
        <v>46568</v>
      </c>
      <c r="G1655" s="21"/>
      <c r="H1655" s="21">
        <v>46204</v>
      </c>
      <c r="I1655" s="21">
        <v>46568</v>
      </c>
      <c r="J1655" s="19" t="s">
        <v>2087</v>
      </c>
      <c r="L1655" s="19">
        <v>99.391890750000002</v>
      </c>
      <c r="M1655" s="19">
        <v>99.391890750000002</v>
      </c>
      <c r="N1655" s="19" t="s">
        <v>1475</v>
      </c>
      <c r="O1655" s="20">
        <v>3</v>
      </c>
      <c r="S1655" s="19" t="s">
        <v>20</v>
      </c>
      <c r="T1655" s="19" t="s">
        <v>1471</v>
      </c>
    </row>
    <row r="1656" spans="1:20">
      <c r="A1656" s="20">
        <v>202603329759203</v>
      </c>
      <c r="B1656" s="19" t="s">
        <v>20</v>
      </c>
      <c r="C1656" s="19" t="s">
        <v>21</v>
      </c>
      <c r="D1656" s="19" t="s">
        <v>20</v>
      </c>
      <c r="E1656" s="21">
        <v>46204</v>
      </c>
      <c r="F1656" s="21">
        <v>46568</v>
      </c>
      <c r="G1656" s="21"/>
      <c r="H1656" s="21">
        <v>46204</v>
      </c>
      <c r="I1656" s="21">
        <v>46568</v>
      </c>
      <c r="J1656" s="19" t="s">
        <v>2102</v>
      </c>
      <c r="L1656" s="19">
        <v>78.776052000000007</v>
      </c>
      <c r="M1656" s="19">
        <v>78.776052000000007</v>
      </c>
      <c r="N1656" s="19" t="s">
        <v>1475</v>
      </c>
      <c r="O1656" s="20">
        <v>3</v>
      </c>
      <c r="S1656" s="19" t="s">
        <v>20</v>
      </c>
      <c r="T1656" s="19" t="s">
        <v>1471</v>
      </c>
    </row>
    <row r="1657" spans="1:20">
      <c r="A1657" s="20">
        <v>202603329759389</v>
      </c>
      <c r="B1657" s="19" t="s">
        <v>20</v>
      </c>
      <c r="C1657" s="19" t="s">
        <v>21</v>
      </c>
      <c r="D1657" s="19" t="s">
        <v>20</v>
      </c>
      <c r="E1657" s="21">
        <v>46204</v>
      </c>
      <c r="F1657" s="21">
        <v>46568</v>
      </c>
      <c r="G1657" s="21"/>
      <c r="H1657" s="21">
        <v>46204</v>
      </c>
      <c r="I1657" s="21">
        <v>46568</v>
      </c>
      <c r="J1657" s="19" t="s">
        <v>2132</v>
      </c>
      <c r="L1657" s="19">
        <v>0</v>
      </c>
      <c r="M1657" s="19">
        <v>0</v>
      </c>
      <c r="N1657" s="19" t="s">
        <v>2394</v>
      </c>
      <c r="O1657" s="20">
        <v>2</v>
      </c>
      <c r="S1657" s="19" t="s">
        <v>20</v>
      </c>
      <c r="T1657" s="19" t="s">
        <v>1471</v>
      </c>
    </row>
    <row r="1658" spans="1:20">
      <c r="A1658" s="20">
        <v>202603329759389</v>
      </c>
      <c r="B1658" s="19" t="s">
        <v>20</v>
      </c>
      <c r="C1658" s="19" t="s">
        <v>21</v>
      </c>
      <c r="D1658" s="19" t="s">
        <v>2333</v>
      </c>
      <c r="E1658" s="21">
        <v>46204</v>
      </c>
      <c r="F1658" s="21">
        <v>46568</v>
      </c>
      <c r="G1658" s="21"/>
      <c r="H1658" s="21">
        <v>46204</v>
      </c>
      <c r="I1658" s="21">
        <v>46568</v>
      </c>
      <c r="J1658" s="19" t="s">
        <v>2132</v>
      </c>
      <c r="L1658" s="19">
        <v>59.635123499999999</v>
      </c>
      <c r="M1658" s="19">
        <v>59.635123499999999</v>
      </c>
      <c r="N1658" s="19" t="s">
        <v>1467</v>
      </c>
      <c r="O1658" s="20">
        <v>2</v>
      </c>
      <c r="S1658" s="19" t="s">
        <v>20</v>
      </c>
      <c r="T1658" s="19" t="s">
        <v>1471</v>
      </c>
    </row>
    <row r="1659" spans="1:20">
      <c r="A1659" s="20">
        <v>202603329759603</v>
      </c>
      <c r="B1659" s="19" t="s">
        <v>20</v>
      </c>
      <c r="C1659" s="19" t="s">
        <v>21</v>
      </c>
      <c r="D1659" s="19" t="s">
        <v>20</v>
      </c>
      <c r="E1659" s="21">
        <v>46204</v>
      </c>
      <c r="F1659" s="21">
        <v>46568</v>
      </c>
      <c r="G1659" s="21"/>
      <c r="H1659" s="21">
        <v>46204</v>
      </c>
      <c r="I1659" s="21">
        <v>46568</v>
      </c>
      <c r="J1659" s="19" t="s">
        <v>2187</v>
      </c>
      <c r="L1659" s="19">
        <v>0</v>
      </c>
      <c r="M1659" s="19">
        <v>0</v>
      </c>
      <c r="N1659" s="19" t="s">
        <v>2394</v>
      </c>
      <c r="O1659" s="20">
        <v>4</v>
      </c>
      <c r="S1659" s="19" t="s">
        <v>20</v>
      </c>
      <c r="T1659" s="19" t="s">
        <v>1471</v>
      </c>
    </row>
    <row r="1660" spans="1:20">
      <c r="A1660" s="20">
        <v>202603329759603</v>
      </c>
      <c r="B1660" s="19" t="s">
        <v>20</v>
      </c>
      <c r="C1660" s="19" t="s">
        <v>21</v>
      </c>
      <c r="D1660" s="19" t="s">
        <v>20</v>
      </c>
      <c r="E1660" s="21">
        <v>46204</v>
      </c>
      <c r="F1660" s="21">
        <v>46568</v>
      </c>
      <c r="G1660" s="21"/>
      <c r="H1660" s="21">
        <v>46204</v>
      </c>
      <c r="I1660" s="21">
        <v>46568</v>
      </c>
      <c r="J1660" s="19" t="s">
        <v>2187</v>
      </c>
      <c r="L1660" s="19">
        <v>153.15918300000001</v>
      </c>
      <c r="M1660" s="19">
        <v>153.15918300000001</v>
      </c>
      <c r="N1660" s="19" t="s">
        <v>1475</v>
      </c>
      <c r="O1660" s="20">
        <v>4</v>
      </c>
      <c r="S1660" s="19" t="s">
        <v>20</v>
      </c>
      <c r="T1660" s="19" t="s">
        <v>1471</v>
      </c>
    </row>
    <row r="1661" spans="1:20">
      <c r="A1661" s="20">
        <v>202603329760651</v>
      </c>
      <c r="B1661" s="19" t="s">
        <v>20</v>
      </c>
      <c r="C1661" s="19" t="s">
        <v>21</v>
      </c>
      <c r="D1661" s="19" t="s">
        <v>20</v>
      </c>
      <c r="E1661" s="21">
        <v>46204</v>
      </c>
      <c r="F1661" s="21">
        <v>46568</v>
      </c>
      <c r="G1661" s="21"/>
      <c r="H1661" s="21">
        <v>46204</v>
      </c>
      <c r="I1661" s="21">
        <v>46568</v>
      </c>
      <c r="J1661" s="19" t="s">
        <v>2068</v>
      </c>
      <c r="L1661" s="19">
        <v>0</v>
      </c>
      <c r="M1661" s="19">
        <v>0</v>
      </c>
      <c r="N1661" s="19" t="s">
        <v>2394</v>
      </c>
      <c r="O1661" s="20">
        <v>3</v>
      </c>
      <c r="S1661" s="19" t="s">
        <v>20</v>
      </c>
      <c r="T1661" s="19" t="s">
        <v>1471</v>
      </c>
    </row>
    <row r="1662" spans="1:20">
      <c r="A1662" s="20">
        <v>202603329760651</v>
      </c>
      <c r="B1662" s="19" t="s">
        <v>20</v>
      </c>
      <c r="C1662" s="19" t="s">
        <v>21</v>
      </c>
      <c r="D1662" s="19" t="s">
        <v>20</v>
      </c>
      <c r="E1662" s="21">
        <v>46204</v>
      </c>
      <c r="F1662" s="21">
        <v>46568</v>
      </c>
      <c r="G1662" s="21"/>
      <c r="H1662" s="21">
        <v>46204</v>
      </c>
      <c r="I1662" s="21">
        <v>46568</v>
      </c>
      <c r="J1662" s="19" t="s">
        <v>2068</v>
      </c>
      <c r="L1662" s="19">
        <v>78.776052000000007</v>
      </c>
      <c r="M1662" s="19">
        <v>78.776052000000007</v>
      </c>
      <c r="N1662" s="19" t="s">
        <v>1475</v>
      </c>
      <c r="O1662" s="20">
        <v>3</v>
      </c>
      <c r="S1662" s="19" t="s">
        <v>20</v>
      </c>
      <c r="T1662" s="19" t="s">
        <v>1471</v>
      </c>
    </row>
    <row r="1663" spans="1:20">
      <c r="A1663" s="20">
        <v>202603329761430</v>
      </c>
      <c r="B1663" s="19" t="s">
        <v>20</v>
      </c>
      <c r="C1663" s="19" t="s">
        <v>21</v>
      </c>
      <c r="D1663" s="19" t="s">
        <v>20</v>
      </c>
      <c r="E1663" s="21">
        <v>46204</v>
      </c>
      <c r="F1663" s="21">
        <v>46568</v>
      </c>
      <c r="G1663" s="21"/>
      <c r="H1663" s="21">
        <v>46204</v>
      </c>
      <c r="I1663" s="21">
        <v>46568</v>
      </c>
      <c r="J1663" s="19" t="s">
        <v>2334</v>
      </c>
      <c r="L1663" s="19">
        <v>0</v>
      </c>
      <c r="M1663" s="19">
        <v>0</v>
      </c>
      <c r="N1663" s="19" t="s">
        <v>2394</v>
      </c>
      <c r="O1663" s="20">
        <v>2</v>
      </c>
      <c r="S1663" s="19" t="s">
        <v>20</v>
      </c>
      <c r="T1663" s="19" t="s">
        <v>1471</v>
      </c>
    </row>
    <row r="1664" spans="1:20">
      <c r="A1664" s="20">
        <v>202603329761430</v>
      </c>
      <c r="B1664" s="19" t="s">
        <v>20</v>
      </c>
      <c r="C1664" s="19" t="s">
        <v>21</v>
      </c>
      <c r="D1664" s="19" t="s">
        <v>20</v>
      </c>
      <c r="E1664" s="21">
        <v>46204</v>
      </c>
      <c r="F1664" s="21">
        <v>46568</v>
      </c>
      <c r="G1664" s="21"/>
      <c r="H1664" s="21">
        <v>46204</v>
      </c>
      <c r="I1664" s="21">
        <v>46568</v>
      </c>
      <c r="J1664" s="19" t="s">
        <v>2334</v>
      </c>
      <c r="L1664" s="19">
        <v>36.320164499999997</v>
      </c>
      <c r="M1664" s="19">
        <v>36.320164499999997</v>
      </c>
      <c r="N1664" s="19" t="s">
        <v>1475</v>
      </c>
      <c r="O1664" s="20">
        <v>2</v>
      </c>
      <c r="S1664" s="19" t="s">
        <v>20</v>
      </c>
      <c r="T1664" s="19" t="s">
        <v>1471</v>
      </c>
    </row>
    <row r="1665" spans="1:20">
      <c r="A1665" s="20">
        <v>202603329763487</v>
      </c>
      <c r="B1665" s="19" t="s">
        <v>20</v>
      </c>
      <c r="C1665" s="19" t="s">
        <v>21</v>
      </c>
      <c r="D1665" s="19" t="s">
        <v>20</v>
      </c>
      <c r="E1665" s="21">
        <v>46204</v>
      </c>
      <c r="F1665" s="21">
        <v>46568</v>
      </c>
      <c r="G1665" s="21"/>
      <c r="H1665" s="21">
        <v>46204</v>
      </c>
      <c r="I1665" s="21">
        <v>46568</v>
      </c>
      <c r="J1665" s="19" t="s">
        <v>2218</v>
      </c>
      <c r="L1665" s="19">
        <v>132.52252100000001</v>
      </c>
      <c r="M1665" s="19">
        <v>132.52252100000001</v>
      </c>
      <c r="N1665" s="19" t="s">
        <v>1475</v>
      </c>
      <c r="O1665" s="20">
        <v>4</v>
      </c>
      <c r="S1665" s="19" t="s">
        <v>20</v>
      </c>
      <c r="T1665" s="19" t="s">
        <v>1471</v>
      </c>
    </row>
    <row r="1666" spans="1:20">
      <c r="A1666" s="20">
        <v>202603329766167</v>
      </c>
      <c r="B1666" s="19" t="s">
        <v>20</v>
      </c>
      <c r="C1666" s="19" t="s">
        <v>21</v>
      </c>
      <c r="D1666" s="19" t="s">
        <v>20</v>
      </c>
      <c r="E1666" s="21">
        <v>46204</v>
      </c>
      <c r="F1666" s="21">
        <v>46568</v>
      </c>
      <c r="G1666" s="21"/>
      <c r="H1666" s="21">
        <v>46204</v>
      </c>
      <c r="I1666" s="21">
        <v>46568</v>
      </c>
      <c r="J1666" s="19" t="s">
        <v>2080</v>
      </c>
      <c r="L1666" s="19">
        <v>0</v>
      </c>
      <c r="M1666" s="19">
        <v>0</v>
      </c>
      <c r="N1666" s="19" t="s">
        <v>2394</v>
      </c>
      <c r="O1666" s="20">
        <v>7</v>
      </c>
      <c r="S1666" s="19" t="s">
        <v>20</v>
      </c>
      <c r="T1666" s="19" t="s">
        <v>1471</v>
      </c>
    </row>
    <row r="1667" spans="1:20">
      <c r="A1667" s="20">
        <v>202603329766167</v>
      </c>
      <c r="B1667" s="19" t="s">
        <v>20</v>
      </c>
      <c r="C1667" s="19" t="s">
        <v>21</v>
      </c>
      <c r="D1667" s="19" t="s">
        <v>20</v>
      </c>
      <c r="E1667" s="21">
        <v>46204</v>
      </c>
      <c r="F1667" s="21">
        <v>46568</v>
      </c>
      <c r="G1667" s="21"/>
      <c r="H1667" s="21">
        <v>46204</v>
      </c>
      <c r="I1667" s="21">
        <v>46568</v>
      </c>
      <c r="J1667" s="19" t="s">
        <v>2080</v>
      </c>
      <c r="L1667" s="19">
        <v>231.91441175</v>
      </c>
      <c r="M1667" s="19">
        <v>231.91441175</v>
      </c>
      <c r="N1667" s="19" t="s">
        <v>1475</v>
      </c>
      <c r="O1667" s="20">
        <v>7</v>
      </c>
      <c r="S1667" s="19" t="s">
        <v>20</v>
      </c>
      <c r="T1667" s="19" t="s">
        <v>1471</v>
      </c>
    </row>
    <row r="1668" spans="1:20">
      <c r="A1668" s="20">
        <v>202603329766221</v>
      </c>
      <c r="B1668" s="19" t="s">
        <v>20</v>
      </c>
      <c r="C1668" s="19" t="s">
        <v>21</v>
      </c>
      <c r="D1668" s="19" t="s">
        <v>20</v>
      </c>
      <c r="E1668" s="21">
        <v>46204</v>
      </c>
      <c r="F1668" s="21">
        <v>46568</v>
      </c>
      <c r="G1668" s="21"/>
      <c r="H1668" s="21">
        <v>46204</v>
      </c>
      <c r="I1668" s="21">
        <v>46568</v>
      </c>
      <c r="J1668" s="19" t="s">
        <v>2135</v>
      </c>
      <c r="L1668" s="19">
        <v>0</v>
      </c>
      <c r="M1668" s="19">
        <v>0</v>
      </c>
      <c r="N1668" s="19" t="s">
        <v>2394</v>
      </c>
      <c r="O1668" s="20">
        <v>6</v>
      </c>
      <c r="S1668" s="19" t="s">
        <v>20</v>
      </c>
      <c r="T1668" s="19" t="s">
        <v>1471</v>
      </c>
    </row>
    <row r="1669" spans="1:20">
      <c r="A1669" s="20">
        <v>202603329766221</v>
      </c>
      <c r="B1669" s="19" t="s">
        <v>20</v>
      </c>
      <c r="C1669" s="19" t="s">
        <v>21</v>
      </c>
      <c r="D1669" s="19" t="s">
        <v>2335</v>
      </c>
      <c r="E1669" s="21">
        <v>46204</v>
      </c>
      <c r="F1669" s="21">
        <v>46568</v>
      </c>
      <c r="G1669" s="21"/>
      <c r="H1669" s="21">
        <v>46204</v>
      </c>
      <c r="I1669" s="21">
        <v>46568</v>
      </c>
      <c r="J1669" s="19" t="s">
        <v>2135</v>
      </c>
      <c r="L1669" s="19">
        <v>198.7837815</v>
      </c>
      <c r="M1669" s="19">
        <v>198.7837815</v>
      </c>
      <c r="N1669" s="19" t="s">
        <v>1467</v>
      </c>
      <c r="O1669" s="20">
        <v>6</v>
      </c>
      <c r="S1669" s="19" t="s">
        <v>20</v>
      </c>
      <c r="T1669" s="19" t="s">
        <v>1471</v>
      </c>
    </row>
    <row r="1670" spans="1:20">
      <c r="A1670" s="20">
        <v>202603329766479</v>
      </c>
      <c r="B1670" s="19" t="s">
        <v>20</v>
      </c>
      <c r="C1670" s="19" t="s">
        <v>21</v>
      </c>
      <c r="D1670" s="19" t="s">
        <v>20</v>
      </c>
      <c r="E1670" s="21">
        <v>46204</v>
      </c>
      <c r="F1670" s="21">
        <v>46568</v>
      </c>
      <c r="G1670" s="21"/>
      <c r="H1670" s="21">
        <v>46204</v>
      </c>
      <c r="I1670" s="21">
        <v>46568</v>
      </c>
      <c r="J1670" s="19" t="s">
        <v>2064</v>
      </c>
      <c r="L1670" s="19">
        <v>0</v>
      </c>
      <c r="M1670" s="19">
        <v>0</v>
      </c>
      <c r="N1670" s="19" t="s">
        <v>2394</v>
      </c>
      <c r="O1670" s="20">
        <v>4</v>
      </c>
      <c r="S1670" s="19" t="s">
        <v>20</v>
      </c>
      <c r="T1670" s="19" t="s">
        <v>1471</v>
      </c>
    </row>
    <row r="1671" spans="1:20">
      <c r="A1671" s="20">
        <v>202603329766479</v>
      </c>
      <c r="B1671" s="19" t="s">
        <v>20</v>
      </c>
      <c r="C1671" s="19" t="s">
        <v>21</v>
      </c>
      <c r="D1671" s="19" t="s">
        <v>20</v>
      </c>
      <c r="E1671" s="21">
        <v>46204</v>
      </c>
      <c r="F1671" s="21">
        <v>46568</v>
      </c>
      <c r="G1671" s="21"/>
      <c r="H1671" s="21">
        <v>46204</v>
      </c>
      <c r="I1671" s="21">
        <v>46568</v>
      </c>
      <c r="J1671" s="19" t="s">
        <v>2064</v>
      </c>
      <c r="L1671" s="19">
        <v>132.52252100000001</v>
      </c>
      <c r="M1671" s="19">
        <v>132.52252100000001</v>
      </c>
      <c r="N1671" s="19" t="s">
        <v>1475</v>
      </c>
      <c r="O1671" s="20">
        <v>4</v>
      </c>
      <c r="S1671" s="19" t="s">
        <v>20</v>
      </c>
      <c r="T1671" s="19" t="s">
        <v>1471</v>
      </c>
    </row>
    <row r="1672" spans="1:20">
      <c r="A1672" s="20">
        <v>202603329766497</v>
      </c>
      <c r="B1672" s="19" t="s">
        <v>20</v>
      </c>
      <c r="C1672" s="19" t="s">
        <v>21</v>
      </c>
      <c r="D1672" s="19" t="s">
        <v>20</v>
      </c>
      <c r="E1672" s="21">
        <v>46204</v>
      </c>
      <c r="F1672" s="21">
        <v>46568</v>
      </c>
      <c r="G1672" s="21"/>
      <c r="H1672" s="21">
        <v>46204</v>
      </c>
      <c r="I1672" s="21">
        <v>46568</v>
      </c>
      <c r="J1672" s="19" t="s">
        <v>2087</v>
      </c>
      <c r="L1672" s="19">
        <v>0</v>
      </c>
      <c r="M1672" s="19">
        <v>0</v>
      </c>
      <c r="N1672" s="19" t="s">
        <v>2394</v>
      </c>
      <c r="O1672" s="20">
        <v>3</v>
      </c>
      <c r="S1672" s="19" t="s">
        <v>20</v>
      </c>
      <c r="T1672" s="19" t="s">
        <v>1471</v>
      </c>
    </row>
    <row r="1673" spans="1:20">
      <c r="A1673" s="20">
        <v>202603329766497</v>
      </c>
      <c r="B1673" s="19" t="s">
        <v>20</v>
      </c>
      <c r="C1673" s="19" t="s">
        <v>21</v>
      </c>
      <c r="D1673" s="19" t="s">
        <v>20</v>
      </c>
      <c r="E1673" s="21">
        <v>46204</v>
      </c>
      <c r="F1673" s="21">
        <v>46568</v>
      </c>
      <c r="G1673" s="21"/>
      <c r="H1673" s="21">
        <v>46204</v>
      </c>
      <c r="I1673" s="21">
        <v>46568</v>
      </c>
      <c r="J1673" s="19" t="s">
        <v>2087</v>
      </c>
      <c r="L1673" s="19">
        <v>99.391890750000002</v>
      </c>
      <c r="M1673" s="19">
        <v>99.391890750000002</v>
      </c>
      <c r="N1673" s="19" t="s">
        <v>1475</v>
      </c>
      <c r="O1673" s="20">
        <v>3</v>
      </c>
      <c r="S1673" s="19" t="s">
        <v>20</v>
      </c>
      <c r="T1673" s="19" t="s">
        <v>1471</v>
      </c>
    </row>
    <row r="1674" spans="1:20">
      <c r="A1674" s="20">
        <v>202603329766608</v>
      </c>
      <c r="B1674" s="19" t="s">
        <v>20</v>
      </c>
      <c r="C1674" s="19" t="s">
        <v>21</v>
      </c>
      <c r="D1674" s="19" t="s">
        <v>20</v>
      </c>
      <c r="E1674" s="21">
        <v>46204</v>
      </c>
      <c r="F1674" s="21">
        <v>46568</v>
      </c>
      <c r="G1674" s="21"/>
      <c r="H1674" s="21">
        <v>46204</v>
      </c>
      <c r="I1674" s="21">
        <v>46568</v>
      </c>
      <c r="J1674" s="19" t="s">
        <v>1473</v>
      </c>
      <c r="L1674" s="19">
        <v>49.241346999999998</v>
      </c>
      <c r="M1674" s="19">
        <v>49.241346999999998</v>
      </c>
      <c r="N1674" s="19" t="s">
        <v>1475</v>
      </c>
      <c r="O1674" s="20">
        <v>2</v>
      </c>
      <c r="S1674" s="19" t="s">
        <v>20</v>
      </c>
      <c r="T1674" s="19" t="s">
        <v>1471</v>
      </c>
    </row>
    <row r="1675" spans="1:20">
      <c r="A1675" s="20">
        <v>202603329768515</v>
      </c>
      <c r="B1675" s="19" t="s">
        <v>20</v>
      </c>
      <c r="C1675" s="19" t="s">
        <v>21</v>
      </c>
      <c r="D1675" s="19" t="s">
        <v>2336</v>
      </c>
      <c r="E1675" s="21">
        <v>46204</v>
      </c>
      <c r="F1675" s="21">
        <v>46568</v>
      </c>
      <c r="G1675" s="21"/>
      <c r="H1675" s="21">
        <v>46204</v>
      </c>
      <c r="I1675" s="21">
        <v>46568</v>
      </c>
      <c r="J1675" s="19" t="s">
        <v>1473</v>
      </c>
      <c r="L1675" s="19">
        <v>24.620673499999999</v>
      </c>
      <c r="M1675" s="19">
        <v>24.620673499999999</v>
      </c>
      <c r="N1675" s="19" t="s">
        <v>1467</v>
      </c>
      <c r="O1675" s="20">
        <v>1</v>
      </c>
      <c r="S1675" s="19" t="s">
        <v>20</v>
      </c>
      <c r="T1675" s="19" t="s">
        <v>1471</v>
      </c>
    </row>
    <row r="1676" spans="1:20">
      <c r="A1676" s="20">
        <v>202603329770415</v>
      </c>
      <c r="B1676" s="19" t="s">
        <v>20</v>
      </c>
      <c r="C1676" s="19" t="s">
        <v>21</v>
      </c>
      <c r="D1676" s="19" t="s">
        <v>20</v>
      </c>
      <c r="E1676" s="21">
        <v>46204</v>
      </c>
      <c r="F1676" s="21">
        <v>46568</v>
      </c>
      <c r="G1676" s="21"/>
      <c r="H1676" s="21">
        <v>46204</v>
      </c>
      <c r="I1676" s="21">
        <v>46568</v>
      </c>
      <c r="J1676" s="19" t="s">
        <v>2093</v>
      </c>
      <c r="L1676" s="19">
        <v>0</v>
      </c>
      <c r="M1676" s="19">
        <v>0</v>
      </c>
      <c r="N1676" s="19" t="s">
        <v>2394</v>
      </c>
      <c r="O1676" s="20">
        <v>3</v>
      </c>
      <c r="S1676" s="19" t="s">
        <v>20</v>
      </c>
      <c r="T1676" s="19" t="s">
        <v>1471</v>
      </c>
    </row>
    <row r="1677" spans="1:20">
      <c r="A1677" s="20">
        <v>202603329770415</v>
      </c>
      <c r="B1677" s="19" t="s">
        <v>20</v>
      </c>
      <c r="C1677" s="19" t="s">
        <v>21</v>
      </c>
      <c r="D1677" s="19" t="s">
        <v>20</v>
      </c>
      <c r="E1677" s="21">
        <v>46204</v>
      </c>
      <c r="F1677" s="21">
        <v>46568</v>
      </c>
      <c r="G1677" s="21"/>
      <c r="H1677" s="21">
        <v>46204</v>
      </c>
      <c r="I1677" s="21">
        <v>46568</v>
      </c>
      <c r="J1677" s="19" t="s">
        <v>2093</v>
      </c>
      <c r="L1677" s="19">
        <v>86.328102749999999</v>
      </c>
      <c r="M1677" s="19">
        <v>86.328102749999999</v>
      </c>
      <c r="N1677" s="19" t="s">
        <v>1475</v>
      </c>
      <c r="O1677" s="20">
        <v>3</v>
      </c>
      <c r="S1677" s="19" t="s">
        <v>20</v>
      </c>
      <c r="T1677" s="19" t="s">
        <v>1471</v>
      </c>
    </row>
    <row r="1678" spans="1:20">
      <c r="A1678" s="20">
        <v>202603329770641</v>
      </c>
      <c r="B1678" s="19" t="s">
        <v>20</v>
      </c>
      <c r="C1678" s="19" t="s">
        <v>21</v>
      </c>
      <c r="D1678" s="19" t="s">
        <v>20</v>
      </c>
      <c r="E1678" s="21">
        <v>46204</v>
      </c>
      <c r="F1678" s="21">
        <v>46568</v>
      </c>
      <c r="G1678" s="21"/>
      <c r="H1678" s="21">
        <v>46204</v>
      </c>
      <c r="I1678" s="21">
        <v>46568</v>
      </c>
      <c r="J1678" s="19" t="s">
        <v>2062</v>
      </c>
      <c r="L1678" s="19">
        <v>0</v>
      </c>
      <c r="M1678" s="19">
        <v>0</v>
      </c>
      <c r="N1678" s="19" t="s">
        <v>2394</v>
      </c>
      <c r="O1678" s="20">
        <v>2</v>
      </c>
      <c r="S1678" s="19" t="s">
        <v>20</v>
      </c>
      <c r="T1678" s="19" t="s">
        <v>1471</v>
      </c>
    </row>
    <row r="1679" spans="1:20">
      <c r="A1679" s="20">
        <v>202603329770641</v>
      </c>
      <c r="B1679" s="19" t="s">
        <v>20</v>
      </c>
      <c r="C1679" s="19" t="s">
        <v>21</v>
      </c>
      <c r="D1679" s="19" t="s">
        <v>20</v>
      </c>
      <c r="E1679" s="21">
        <v>46204</v>
      </c>
      <c r="F1679" s="21">
        <v>46568</v>
      </c>
      <c r="G1679" s="21"/>
      <c r="H1679" s="21">
        <v>46204</v>
      </c>
      <c r="I1679" s="21">
        <v>46568</v>
      </c>
      <c r="J1679" s="19" t="s">
        <v>2062</v>
      </c>
      <c r="L1679" s="19">
        <v>66.261260500000006</v>
      </c>
      <c r="M1679" s="19">
        <v>66.261260500000006</v>
      </c>
      <c r="N1679" s="19" t="s">
        <v>1475</v>
      </c>
      <c r="O1679" s="20">
        <v>2</v>
      </c>
      <c r="S1679" s="19" t="s">
        <v>20</v>
      </c>
      <c r="T1679" s="19" t="s">
        <v>1471</v>
      </c>
    </row>
    <row r="1680" spans="1:20">
      <c r="A1680" s="20">
        <v>202603329770754</v>
      </c>
      <c r="B1680" s="19" t="s">
        <v>20</v>
      </c>
      <c r="C1680" s="19" t="s">
        <v>21</v>
      </c>
      <c r="D1680" s="19" t="s">
        <v>20</v>
      </c>
      <c r="E1680" s="21">
        <v>46204</v>
      </c>
      <c r="F1680" s="21">
        <v>46568</v>
      </c>
      <c r="G1680" s="21"/>
      <c r="H1680" s="21">
        <v>46204</v>
      </c>
      <c r="I1680" s="21">
        <v>46568</v>
      </c>
      <c r="J1680" s="19" t="s">
        <v>2064</v>
      </c>
      <c r="L1680" s="19">
        <v>0</v>
      </c>
      <c r="M1680" s="19">
        <v>0</v>
      </c>
      <c r="N1680" s="19" t="s">
        <v>2394</v>
      </c>
      <c r="O1680" s="20">
        <v>3</v>
      </c>
      <c r="S1680" s="19" t="s">
        <v>20</v>
      </c>
      <c r="T1680" s="19" t="s">
        <v>1471</v>
      </c>
    </row>
    <row r="1681" spans="1:20">
      <c r="A1681" s="20">
        <v>202603329770754</v>
      </c>
      <c r="B1681" s="19" t="s">
        <v>20</v>
      </c>
      <c r="C1681" s="19" t="s">
        <v>21</v>
      </c>
      <c r="D1681" s="19" t="s">
        <v>20</v>
      </c>
      <c r="E1681" s="21">
        <v>46204</v>
      </c>
      <c r="F1681" s="21">
        <v>46568</v>
      </c>
      <c r="G1681" s="21"/>
      <c r="H1681" s="21">
        <v>46204</v>
      </c>
      <c r="I1681" s="21">
        <v>46568</v>
      </c>
      <c r="J1681" s="19" t="s">
        <v>2064</v>
      </c>
      <c r="L1681" s="19">
        <v>99.391890750000002</v>
      </c>
      <c r="M1681" s="19">
        <v>99.391890750000002</v>
      </c>
      <c r="N1681" s="19" t="s">
        <v>1475</v>
      </c>
      <c r="O1681" s="20">
        <v>3</v>
      </c>
      <c r="S1681" s="19" t="s">
        <v>20</v>
      </c>
      <c r="T1681" s="19" t="s">
        <v>1471</v>
      </c>
    </row>
    <row r="1682" spans="1:20">
      <c r="A1682" s="20">
        <v>202603329772367</v>
      </c>
      <c r="B1682" s="19" t="s">
        <v>20</v>
      </c>
      <c r="C1682" s="19" t="s">
        <v>21</v>
      </c>
      <c r="D1682" s="19" t="s">
        <v>20</v>
      </c>
      <c r="E1682" s="21">
        <v>46204</v>
      </c>
      <c r="F1682" s="21">
        <v>46568</v>
      </c>
      <c r="G1682" s="21"/>
      <c r="H1682" s="21">
        <v>46204</v>
      </c>
      <c r="I1682" s="21">
        <v>46568</v>
      </c>
      <c r="J1682" s="19" t="s">
        <v>2166</v>
      </c>
      <c r="L1682" s="19">
        <v>0</v>
      </c>
      <c r="M1682" s="19">
        <v>0</v>
      </c>
      <c r="N1682" s="19" t="s">
        <v>2394</v>
      </c>
      <c r="O1682" s="20">
        <v>3</v>
      </c>
      <c r="S1682" s="19" t="s">
        <v>20</v>
      </c>
      <c r="T1682" s="19" t="s">
        <v>1471</v>
      </c>
    </row>
    <row r="1683" spans="1:20">
      <c r="A1683" s="20">
        <v>202603329772367</v>
      </c>
      <c r="B1683" s="19" t="s">
        <v>20</v>
      </c>
      <c r="C1683" s="19" t="s">
        <v>21</v>
      </c>
      <c r="D1683" s="19" t="s">
        <v>20</v>
      </c>
      <c r="E1683" s="21">
        <v>46204</v>
      </c>
      <c r="F1683" s="21">
        <v>46568</v>
      </c>
      <c r="G1683" s="21"/>
      <c r="H1683" s="21">
        <v>46204</v>
      </c>
      <c r="I1683" s="21">
        <v>46568</v>
      </c>
      <c r="J1683" s="19" t="s">
        <v>2166</v>
      </c>
      <c r="L1683" s="19">
        <v>79.513479750000002</v>
      </c>
      <c r="M1683" s="19">
        <v>79.513479750000002</v>
      </c>
      <c r="N1683" s="19" t="s">
        <v>1475</v>
      </c>
      <c r="O1683" s="20">
        <v>3</v>
      </c>
      <c r="S1683" s="19" t="s">
        <v>20</v>
      </c>
      <c r="T1683" s="19" t="s">
        <v>1471</v>
      </c>
    </row>
    <row r="1684" spans="1:20">
      <c r="A1684" s="20">
        <v>202603329772598</v>
      </c>
      <c r="B1684" s="19" t="s">
        <v>20</v>
      </c>
      <c r="C1684" s="19" t="s">
        <v>21</v>
      </c>
      <c r="D1684" s="19" t="s">
        <v>20</v>
      </c>
      <c r="E1684" s="21">
        <v>46204</v>
      </c>
      <c r="F1684" s="21">
        <v>46568</v>
      </c>
      <c r="G1684" s="21"/>
      <c r="H1684" s="21">
        <v>46204</v>
      </c>
      <c r="I1684" s="21">
        <v>46568</v>
      </c>
      <c r="J1684" s="19" t="s">
        <v>2064</v>
      </c>
      <c r="L1684" s="19">
        <v>0</v>
      </c>
      <c r="M1684" s="19">
        <v>0</v>
      </c>
      <c r="N1684" s="19" t="s">
        <v>2394</v>
      </c>
      <c r="O1684" s="20">
        <v>2</v>
      </c>
      <c r="S1684" s="19" t="s">
        <v>20</v>
      </c>
      <c r="T1684" s="19" t="s">
        <v>1471</v>
      </c>
    </row>
    <row r="1685" spans="1:20">
      <c r="A1685" s="20">
        <v>202603329772598</v>
      </c>
      <c r="B1685" s="19" t="s">
        <v>20</v>
      </c>
      <c r="C1685" s="19" t="s">
        <v>21</v>
      </c>
      <c r="D1685" s="19" t="s">
        <v>20</v>
      </c>
      <c r="E1685" s="21">
        <v>46204</v>
      </c>
      <c r="F1685" s="21">
        <v>46568</v>
      </c>
      <c r="G1685" s="21"/>
      <c r="H1685" s="21">
        <v>46204</v>
      </c>
      <c r="I1685" s="21">
        <v>46568</v>
      </c>
      <c r="J1685" s="19" t="s">
        <v>2064</v>
      </c>
      <c r="L1685" s="19">
        <v>66.261260500000006</v>
      </c>
      <c r="M1685" s="19">
        <v>66.261260500000006</v>
      </c>
      <c r="N1685" s="19" t="s">
        <v>1475</v>
      </c>
      <c r="O1685" s="20">
        <v>2</v>
      </c>
      <c r="S1685" s="19" t="s">
        <v>20</v>
      </c>
      <c r="T1685" s="19" t="s">
        <v>1471</v>
      </c>
    </row>
    <row r="1686" spans="1:20">
      <c r="A1686" s="20">
        <v>202603329772943</v>
      </c>
      <c r="B1686" s="19" t="s">
        <v>20</v>
      </c>
      <c r="C1686" s="19" t="s">
        <v>21</v>
      </c>
      <c r="D1686" s="19" t="s">
        <v>20</v>
      </c>
      <c r="E1686" s="21">
        <v>46204</v>
      </c>
      <c r="F1686" s="21">
        <v>46568</v>
      </c>
      <c r="G1686" s="21"/>
      <c r="H1686" s="21">
        <v>46204</v>
      </c>
      <c r="I1686" s="21">
        <v>46568</v>
      </c>
      <c r="J1686" s="19" t="s">
        <v>2087</v>
      </c>
      <c r="L1686" s="19">
        <v>0</v>
      </c>
      <c r="M1686" s="19">
        <v>0</v>
      </c>
      <c r="N1686" s="19" t="s">
        <v>2394</v>
      </c>
      <c r="O1686" s="20">
        <v>4</v>
      </c>
      <c r="S1686" s="19" t="s">
        <v>20</v>
      </c>
      <c r="T1686" s="19" t="s">
        <v>1471</v>
      </c>
    </row>
    <row r="1687" spans="1:20">
      <c r="A1687" s="20">
        <v>202603329772943</v>
      </c>
      <c r="B1687" s="19" t="s">
        <v>20</v>
      </c>
      <c r="C1687" s="19" t="s">
        <v>21</v>
      </c>
      <c r="D1687" s="19" t="s">
        <v>2337</v>
      </c>
      <c r="E1687" s="21">
        <v>46204</v>
      </c>
      <c r="F1687" s="21">
        <v>46568</v>
      </c>
      <c r="G1687" s="21"/>
      <c r="H1687" s="21">
        <v>46204</v>
      </c>
      <c r="I1687" s="21">
        <v>46568</v>
      </c>
      <c r="J1687" s="19" t="s">
        <v>2087</v>
      </c>
      <c r="L1687" s="19">
        <v>66.908733999999995</v>
      </c>
      <c r="M1687" s="19">
        <v>66.908733999999995</v>
      </c>
      <c r="N1687" s="19" t="s">
        <v>1467</v>
      </c>
      <c r="O1687" s="20">
        <v>4</v>
      </c>
      <c r="S1687" s="19" t="s">
        <v>20</v>
      </c>
      <c r="T1687" s="19" t="s">
        <v>1471</v>
      </c>
    </row>
    <row r="1688" spans="1:20">
      <c r="A1688" s="20">
        <v>202603329773075</v>
      </c>
      <c r="B1688" s="19" t="s">
        <v>20</v>
      </c>
      <c r="C1688" s="19" t="s">
        <v>21</v>
      </c>
      <c r="D1688" s="19" t="s">
        <v>20</v>
      </c>
      <c r="E1688" s="21">
        <v>46204</v>
      </c>
      <c r="F1688" s="21">
        <v>46568</v>
      </c>
      <c r="G1688" s="21"/>
      <c r="H1688" s="21">
        <v>46204</v>
      </c>
      <c r="I1688" s="21">
        <v>46568</v>
      </c>
      <c r="J1688" s="19" t="s">
        <v>2062</v>
      </c>
      <c r="L1688" s="19">
        <v>33.130630250000003</v>
      </c>
      <c r="M1688" s="19">
        <v>33.130630250000003</v>
      </c>
      <c r="N1688" s="19" t="s">
        <v>1475</v>
      </c>
      <c r="O1688" s="20">
        <v>1</v>
      </c>
      <c r="S1688" s="19" t="s">
        <v>20</v>
      </c>
      <c r="T1688" s="19" t="s">
        <v>1471</v>
      </c>
    </row>
    <row r="1689" spans="1:20">
      <c r="A1689" s="20">
        <v>202603329773141</v>
      </c>
      <c r="B1689" s="19" t="s">
        <v>20</v>
      </c>
      <c r="C1689" s="19" t="s">
        <v>21</v>
      </c>
      <c r="D1689" s="19" t="s">
        <v>20</v>
      </c>
      <c r="E1689" s="21">
        <v>46204</v>
      </c>
      <c r="F1689" s="21">
        <v>46568</v>
      </c>
      <c r="G1689" s="21"/>
      <c r="H1689" s="21">
        <v>46204</v>
      </c>
      <c r="I1689" s="21">
        <v>46568</v>
      </c>
      <c r="J1689" s="19" t="s">
        <v>2164</v>
      </c>
      <c r="L1689" s="19">
        <v>29.93177025</v>
      </c>
      <c r="M1689" s="19">
        <v>29.93177025</v>
      </c>
      <c r="N1689" s="19" t="s">
        <v>1475</v>
      </c>
      <c r="O1689" s="20">
        <v>1</v>
      </c>
      <c r="S1689" s="19" t="s">
        <v>20</v>
      </c>
      <c r="T1689" s="19" t="s">
        <v>1471</v>
      </c>
    </row>
    <row r="1690" spans="1:20">
      <c r="A1690" s="20">
        <v>202603329774378</v>
      </c>
      <c r="B1690" s="19" t="s">
        <v>20</v>
      </c>
      <c r="C1690" s="19" t="s">
        <v>21</v>
      </c>
      <c r="D1690" s="19" t="s">
        <v>20</v>
      </c>
      <c r="E1690" s="21">
        <v>46204</v>
      </c>
      <c r="F1690" s="21">
        <v>46568</v>
      </c>
      <c r="G1690" s="21"/>
      <c r="H1690" s="21">
        <v>46204</v>
      </c>
      <c r="I1690" s="21">
        <v>46568</v>
      </c>
      <c r="J1690" s="19" t="s">
        <v>2235</v>
      </c>
      <c r="L1690" s="19">
        <v>0</v>
      </c>
      <c r="M1690" s="19">
        <v>0</v>
      </c>
      <c r="N1690" s="19" t="s">
        <v>2394</v>
      </c>
      <c r="O1690" s="20">
        <v>5</v>
      </c>
      <c r="S1690" s="19" t="s">
        <v>20</v>
      </c>
      <c r="T1690" s="19" t="s">
        <v>1471</v>
      </c>
    </row>
    <row r="1691" spans="1:20">
      <c r="A1691" s="20">
        <v>202603329774378</v>
      </c>
      <c r="B1691" s="19" t="s">
        <v>20</v>
      </c>
      <c r="C1691" s="19" t="s">
        <v>21</v>
      </c>
      <c r="D1691" s="19" t="s">
        <v>2338</v>
      </c>
      <c r="E1691" s="21">
        <v>46204</v>
      </c>
      <c r="F1691" s="21">
        <v>46568</v>
      </c>
      <c r="G1691" s="21"/>
      <c r="H1691" s="21">
        <v>46204</v>
      </c>
      <c r="I1691" s="21">
        <v>46568</v>
      </c>
      <c r="J1691" s="19" t="s">
        <v>2235</v>
      </c>
      <c r="L1691" s="19">
        <v>83.635917500000005</v>
      </c>
      <c r="M1691" s="19">
        <v>83.635917500000005</v>
      </c>
      <c r="N1691" s="19" t="s">
        <v>1467</v>
      </c>
      <c r="O1691" s="20">
        <v>5</v>
      </c>
      <c r="S1691" s="19" t="s">
        <v>20</v>
      </c>
      <c r="T1691" s="19" t="s">
        <v>1471</v>
      </c>
    </row>
    <row r="1692" spans="1:20">
      <c r="A1692" s="20">
        <v>202603329774851</v>
      </c>
      <c r="B1692" s="19" t="s">
        <v>20</v>
      </c>
      <c r="C1692" s="19" t="s">
        <v>21</v>
      </c>
      <c r="D1692" s="19" t="s">
        <v>20</v>
      </c>
      <c r="E1692" s="21">
        <v>46204</v>
      </c>
      <c r="F1692" s="21">
        <v>46568</v>
      </c>
      <c r="G1692" s="21"/>
      <c r="H1692" s="21">
        <v>46204</v>
      </c>
      <c r="I1692" s="21">
        <v>46568</v>
      </c>
      <c r="J1692" s="19" t="s">
        <v>2062</v>
      </c>
      <c r="L1692" s="19">
        <v>0</v>
      </c>
      <c r="M1692" s="19">
        <v>0</v>
      </c>
      <c r="N1692" s="19" t="s">
        <v>2394</v>
      </c>
      <c r="O1692" s="20">
        <v>7</v>
      </c>
      <c r="S1692" s="19" t="s">
        <v>20</v>
      </c>
      <c r="T1692" s="19" t="s">
        <v>1471</v>
      </c>
    </row>
    <row r="1693" spans="1:20">
      <c r="A1693" s="20">
        <v>202603329774851</v>
      </c>
      <c r="B1693" s="19" t="s">
        <v>20</v>
      </c>
      <c r="C1693" s="19" t="s">
        <v>21</v>
      </c>
      <c r="D1693" s="19" t="s">
        <v>20</v>
      </c>
      <c r="E1693" s="21">
        <v>46204</v>
      </c>
      <c r="F1693" s="21">
        <v>46568</v>
      </c>
      <c r="G1693" s="21"/>
      <c r="H1693" s="21">
        <v>46204</v>
      </c>
      <c r="I1693" s="21">
        <v>46568</v>
      </c>
      <c r="J1693" s="19" t="s">
        <v>2062</v>
      </c>
      <c r="L1693" s="19">
        <v>231.91441175</v>
      </c>
      <c r="M1693" s="19">
        <v>231.91441175</v>
      </c>
      <c r="N1693" s="19" t="s">
        <v>1475</v>
      </c>
      <c r="O1693" s="20">
        <v>7</v>
      </c>
      <c r="S1693" s="19" t="s">
        <v>20</v>
      </c>
      <c r="T1693" s="19" t="s">
        <v>1471</v>
      </c>
    </row>
    <row r="1694" spans="1:20">
      <c r="A1694" s="20">
        <v>202603329774870</v>
      </c>
      <c r="B1694" s="19" t="s">
        <v>20</v>
      </c>
      <c r="C1694" s="19" t="s">
        <v>21</v>
      </c>
      <c r="D1694" s="19" t="s">
        <v>20</v>
      </c>
      <c r="E1694" s="21">
        <v>46204</v>
      </c>
      <c r="F1694" s="21">
        <v>46568</v>
      </c>
      <c r="G1694" s="21"/>
      <c r="H1694" s="21">
        <v>46204</v>
      </c>
      <c r="I1694" s="21">
        <v>46568</v>
      </c>
      <c r="J1694" s="19" t="s">
        <v>2077</v>
      </c>
      <c r="L1694" s="19">
        <v>59.635123499999999</v>
      </c>
      <c r="M1694" s="19">
        <v>59.635123499999999</v>
      </c>
      <c r="N1694" s="19" t="s">
        <v>1475</v>
      </c>
      <c r="O1694" s="20">
        <v>2</v>
      </c>
      <c r="S1694" s="19" t="s">
        <v>20</v>
      </c>
      <c r="T1694" s="19" t="s">
        <v>1471</v>
      </c>
    </row>
    <row r="1695" spans="1:20">
      <c r="A1695" s="20">
        <v>202603329775541</v>
      </c>
      <c r="B1695" s="19" t="s">
        <v>20</v>
      </c>
      <c r="C1695" s="19" t="s">
        <v>21</v>
      </c>
      <c r="D1695" s="19" t="s">
        <v>20</v>
      </c>
      <c r="E1695" s="21">
        <v>46204</v>
      </c>
      <c r="F1695" s="21">
        <v>46568</v>
      </c>
      <c r="G1695" s="21"/>
      <c r="H1695" s="21">
        <v>46204</v>
      </c>
      <c r="I1695" s="21">
        <v>46568</v>
      </c>
      <c r="J1695" s="19" t="s">
        <v>2243</v>
      </c>
      <c r="L1695" s="19">
        <v>33.130630250000003</v>
      </c>
      <c r="M1695" s="19">
        <v>33.130630250000003</v>
      </c>
      <c r="N1695" s="19" t="s">
        <v>1475</v>
      </c>
      <c r="O1695" s="20">
        <v>1</v>
      </c>
      <c r="S1695" s="19" t="s">
        <v>20</v>
      </c>
      <c r="T1695" s="19" t="s">
        <v>1471</v>
      </c>
    </row>
    <row r="1696" spans="1:20">
      <c r="A1696" s="20">
        <v>202603329777309</v>
      </c>
      <c r="B1696" s="19" t="s">
        <v>20</v>
      </c>
      <c r="C1696" s="19" t="s">
        <v>21</v>
      </c>
      <c r="D1696" s="19" t="s">
        <v>20</v>
      </c>
      <c r="E1696" s="21">
        <v>46204</v>
      </c>
      <c r="F1696" s="21">
        <v>46568</v>
      </c>
      <c r="G1696" s="21"/>
      <c r="H1696" s="21">
        <v>46204</v>
      </c>
      <c r="I1696" s="21">
        <v>46568</v>
      </c>
      <c r="J1696" s="19" t="s">
        <v>2064</v>
      </c>
      <c r="L1696" s="19">
        <v>66.261260500000006</v>
      </c>
      <c r="M1696" s="19">
        <v>66.261260500000006</v>
      </c>
      <c r="N1696" s="19" t="s">
        <v>1475</v>
      </c>
      <c r="O1696" s="20">
        <v>2</v>
      </c>
      <c r="S1696" s="19" t="s">
        <v>20</v>
      </c>
      <c r="T1696" s="19" t="s">
        <v>1471</v>
      </c>
    </row>
    <row r="1697" spans="1:20">
      <c r="A1697" s="20">
        <v>202603329777444</v>
      </c>
      <c r="B1697" s="19" t="s">
        <v>20</v>
      </c>
      <c r="C1697" s="19" t="s">
        <v>21</v>
      </c>
      <c r="D1697" s="19" t="s">
        <v>20</v>
      </c>
      <c r="E1697" s="21">
        <v>46204</v>
      </c>
      <c r="F1697" s="21">
        <v>46568</v>
      </c>
      <c r="G1697" s="21"/>
      <c r="H1697" s="21">
        <v>46204</v>
      </c>
      <c r="I1697" s="21">
        <v>46568</v>
      </c>
      <c r="J1697" s="19" t="s">
        <v>2064</v>
      </c>
      <c r="L1697" s="19">
        <v>33.130630250000003</v>
      </c>
      <c r="M1697" s="19">
        <v>33.130630250000003</v>
      </c>
      <c r="N1697" s="19" t="s">
        <v>1475</v>
      </c>
      <c r="O1697" s="20">
        <v>1</v>
      </c>
      <c r="S1697" s="19" t="s">
        <v>20</v>
      </c>
      <c r="T1697" s="19" t="s">
        <v>1471</v>
      </c>
    </row>
    <row r="1698" spans="1:20">
      <c r="A1698" s="20">
        <v>202603329778033</v>
      </c>
      <c r="B1698" s="19" t="s">
        <v>20</v>
      </c>
      <c r="C1698" s="19" t="s">
        <v>21</v>
      </c>
      <c r="D1698" s="19" t="s">
        <v>2339</v>
      </c>
      <c r="E1698" s="21">
        <v>46204</v>
      </c>
      <c r="F1698" s="21">
        <v>46568</v>
      </c>
      <c r="G1698" s="21"/>
      <c r="H1698" s="21">
        <v>46204</v>
      </c>
      <c r="I1698" s="21">
        <v>46568</v>
      </c>
      <c r="J1698" s="19" t="s">
        <v>2209</v>
      </c>
      <c r="L1698" s="19">
        <v>33.130630250000003</v>
      </c>
      <c r="M1698" s="19">
        <v>33.130630250000003</v>
      </c>
      <c r="N1698" s="19" t="s">
        <v>1467</v>
      </c>
      <c r="O1698" s="20">
        <v>1</v>
      </c>
      <c r="S1698" s="19" t="s">
        <v>20</v>
      </c>
      <c r="T1698" s="19" t="s">
        <v>1471</v>
      </c>
    </row>
    <row r="1699" spans="1:20">
      <c r="A1699" s="20">
        <v>202603329778156</v>
      </c>
      <c r="B1699" s="19" t="s">
        <v>20</v>
      </c>
      <c r="C1699" s="19" t="s">
        <v>21</v>
      </c>
      <c r="D1699" s="19" t="s">
        <v>20</v>
      </c>
      <c r="E1699" s="21">
        <v>46204</v>
      </c>
      <c r="F1699" s="21">
        <v>46568</v>
      </c>
      <c r="G1699" s="21"/>
      <c r="H1699" s="21">
        <v>46204</v>
      </c>
      <c r="I1699" s="21">
        <v>46568</v>
      </c>
      <c r="J1699" s="19" t="s">
        <v>2274</v>
      </c>
      <c r="L1699" s="19">
        <v>0</v>
      </c>
      <c r="M1699" s="19">
        <v>0</v>
      </c>
      <c r="N1699" s="19" t="s">
        <v>2394</v>
      </c>
      <c r="O1699" s="20">
        <v>4</v>
      </c>
      <c r="S1699" s="19" t="s">
        <v>20</v>
      </c>
      <c r="T1699" s="19" t="s">
        <v>1471</v>
      </c>
    </row>
    <row r="1700" spans="1:20">
      <c r="A1700" s="20">
        <v>202603329778156</v>
      </c>
      <c r="B1700" s="19" t="s">
        <v>20</v>
      </c>
      <c r="C1700" s="19" t="s">
        <v>21</v>
      </c>
      <c r="D1700" s="19" t="s">
        <v>20</v>
      </c>
      <c r="E1700" s="21">
        <v>46204</v>
      </c>
      <c r="F1700" s="21">
        <v>46568</v>
      </c>
      <c r="G1700" s="21"/>
      <c r="H1700" s="21">
        <v>46204</v>
      </c>
      <c r="I1700" s="21">
        <v>46568</v>
      </c>
      <c r="J1700" s="19" t="s">
        <v>2274</v>
      </c>
      <c r="L1700" s="19">
        <v>154.63823600000001</v>
      </c>
      <c r="M1700" s="19">
        <v>154.63823600000001</v>
      </c>
      <c r="N1700" s="19" t="s">
        <v>1475</v>
      </c>
      <c r="O1700" s="20">
        <v>4</v>
      </c>
      <c r="S1700" s="19" t="s">
        <v>20</v>
      </c>
      <c r="T1700" s="19" t="s">
        <v>1471</v>
      </c>
    </row>
    <row r="1701" spans="1:20">
      <c r="A1701" s="20">
        <v>202603329779639</v>
      </c>
      <c r="B1701" s="19" t="s">
        <v>20</v>
      </c>
      <c r="C1701" s="19" t="s">
        <v>21</v>
      </c>
      <c r="D1701" s="19" t="s">
        <v>20</v>
      </c>
      <c r="E1701" s="21">
        <v>46204</v>
      </c>
      <c r="F1701" s="21">
        <v>46568</v>
      </c>
      <c r="G1701" s="21"/>
      <c r="H1701" s="21">
        <v>46204</v>
      </c>
      <c r="I1701" s="21">
        <v>46568</v>
      </c>
      <c r="J1701" s="19" t="s">
        <v>2093</v>
      </c>
      <c r="L1701" s="19">
        <v>0</v>
      </c>
      <c r="M1701" s="19">
        <v>0</v>
      </c>
      <c r="N1701" s="19" t="s">
        <v>2394</v>
      </c>
      <c r="O1701" s="20">
        <v>2</v>
      </c>
      <c r="S1701" s="19" t="s">
        <v>20</v>
      </c>
      <c r="T1701" s="19" t="s">
        <v>1471</v>
      </c>
    </row>
    <row r="1702" spans="1:20">
      <c r="A1702" s="20">
        <v>202603329779639</v>
      </c>
      <c r="B1702" s="19" t="s">
        <v>20</v>
      </c>
      <c r="C1702" s="19" t="s">
        <v>21</v>
      </c>
      <c r="D1702" s="19" t="s">
        <v>20</v>
      </c>
      <c r="E1702" s="21">
        <v>46204</v>
      </c>
      <c r="F1702" s="21">
        <v>46568</v>
      </c>
      <c r="G1702" s="21"/>
      <c r="H1702" s="21">
        <v>46204</v>
      </c>
      <c r="I1702" s="21">
        <v>46568</v>
      </c>
      <c r="J1702" s="19" t="s">
        <v>2093</v>
      </c>
      <c r="L1702" s="19">
        <v>57.552068499999997</v>
      </c>
      <c r="M1702" s="19">
        <v>57.552068499999997</v>
      </c>
      <c r="N1702" s="19" t="s">
        <v>1475</v>
      </c>
      <c r="O1702" s="20">
        <v>2</v>
      </c>
      <c r="S1702" s="19" t="s">
        <v>20</v>
      </c>
      <c r="T1702" s="19" t="s">
        <v>1471</v>
      </c>
    </row>
    <row r="1703" spans="1:20">
      <c r="A1703" s="20">
        <v>202603329780000</v>
      </c>
      <c r="B1703" s="19" t="s">
        <v>20</v>
      </c>
      <c r="C1703" s="19" t="s">
        <v>21</v>
      </c>
      <c r="D1703" s="19" t="s">
        <v>2340</v>
      </c>
      <c r="E1703" s="21">
        <v>46204</v>
      </c>
      <c r="F1703" s="21">
        <v>46568</v>
      </c>
      <c r="G1703" s="21"/>
      <c r="H1703" s="21">
        <v>46204</v>
      </c>
      <c r="I1703" s="21">
        <v>46568</v>
      </c>
      <c r="J1703" s="19" t="s">
        <v>2218</v>
      </c>
      <c r="L1703" s="19">
        <v>99.391890750000002</v>
      </c>
      <c r="M1703" s="19">
        <v>99.391890750000002</v>
      </c>
      <c r="N1703" s="19" t="s">
        <v>1467</v>
      </c>
      <c r="O1703" s="20">
        <v>3</v>
      </c>
      <c r="S1703" s="19" t="s">
        <v>20</v>
      </c>
      <c r="T1703" s="19" t="s">
        <v>1471</v>
      </c>
    </row>
    <row r="1704" spans="1:20">
      <c r="A1704" s="20">
        <v>202603329780341</v>
      </c>
      <c r="B1704" s="19" t="s">
        <v>20</v>
      </c>
      <c r="C1704" s="19" t="s">
        <v>21</v>
      </c>
      <c r="D1704" s="19" t="s">
        <v>20</v>
      </c>
      <c r="E1704" s="21">
        <v>46204</v>
      </c>
      <c r="F1704" s="21">
        <v>46568</v>
      </c>
      <c r="G1704" s="21"/>
      <c r="H1704" s="21">
        <v>46204</v>
      </c>
      <c r="I1704" s="21">
        <v>46568</v>
      </c>
      <c r="J1704" s="19" t="s">
        <v>1473</v>
      </c>
      <c r="L1704" s="19">
        <v>0</v>
      </c>
      <c r="M1704" s="19">
        <v>0</v>
      </c>
      <c r="N1704" s="19" t="s">
        <v>2394</v>
      </c>
      <c r="O1704" s="20">
        <v>3</v>
      </c>
      <c r="S1704" s="19" t="s">
        <v>20</v>
      </c>
      <c r="T1704" s="19" t="s">
        <v>1471</v>
      </c>
    </row>
    <row r="1705" spans="1:20">
      <c r="A1705" s="20">
        <v>202603329780341</v>
      </c>
      <c r="B1705" s="19" t="s">
        <v>20</v>
      </c>
      <c r="C1705" s="19" t="s">
        <v>21</v>
      </c>
      <c r="D1705" s="19" t="s">
        <v>20</v>
      </c>
      <c r="E1705" s="21">
        <v>46204</v>
      </c>
      <c r="F1705" s="21">
        <v>46568</v>
      </c>
      <c r="G1705" s="21"/>
      <c r="H1705" s="21">
        <v>46204</v>
      </c>
      <c r="I1705" s="21">
        <v>46568</v>
      </c>
      <c r="J1705" s="19" t="s">
        <v>1473</v>
      </c>
      <c r="L1705" s="19">
        <v>73.8620205</v>
      </c>
      <c r="M1705" s="19">
        <v>73.8620205</v>
      </c>
      <c r="N1705" s="19" t="s">
        <v>1475</v>
      </c>
      <c r="O1705" s="20">
        <v>3</v>
      </c>
      <c r="S1705" s="19" t="s">
        <v>20</v>
      </c>
      <c r="T1705" s="19" t="s">
        <v>1471</v>
      </c>
    </row>
    <row r="1706" spans="1:20">
      <c r="A1706" s="20">
        <v>202603329780819</v>
      </c>
      <c r="B1706" s="19" t="s">
        <v>20</v>
      </c>
      <c r="C1706" s="19" t="s">
        <v>21</v>
      </c>
      <c r="D1706" s="19" t="s">
        <v>20</v>
      </c>
      <c r="E1706" s="21">
        <v>46204</v>
      </c>
      <c r="F1706" s="21">
        <v>46568</v>
      </c>
      <c r="G1706" s="21"/>
      <c r="H1706" s="21">
        <v>46204</v>
      </c>
      <c r="I1706" s="21">
        <v>46568</v>
      </c>
      <c r="J1706" s="19" t="s">
        <v>2086</v>
      </c>
      <c r="L1706" s="19">
        <v>33.130630250000003</v>
      </c>
      <c r="M1706" s="19">
        <v>33.130630250000003</v>
      </c>
      <c r="N1706" s="19" t="s">
        <v>1475</v>
      </c>
      <c r="O1706" s="20">
        <v>1</v>
      </c>
      <c r="S1706" s="19" t="s">
        <v>20</v>
      </c>
      <c r="T1706" s="19" t="s">
        <v>1471</v>
      </c>
    </row>
    <row r="1707" spans="1:20">
      <c r="A1707" s="20">
        <v>202603329783328</v>
      </c>
      <c r="B1707" s="19" t="s">
        <v>20</v>
      </c>
      <c r="C1707" s="19" t="s">
        <v>21</v>
      </c>
      <c r="D1707" s="19" t="s">
        <v>20</v>
      </c>
      <c r="E1707" s="21">
        <v>46204</v>
      </c>
      <c r="F1707" s="21">
        <v>46568</v>
      </c>
      <c r="G1707" s="21"/>
      <c r="H1707" s="21">
        <v>46204</v>
      </c>
      <c r="I1707" s="21">
        <v>46568</v>
      </c>
      <c r="J1707" s="19" t="s">
        <v>2114</v>
      </c>
      <c r="L1707" s="19">
        <v>99.391890750000002</v>
      </c>
      <c r="M1707" s="19">
        <v>99.391890750000002</v>
      </c>
      <c r="N1707" s="19" t="s">
        <v>1475</v>
      </c>
      <c r="O1707" s="20">
        <v>3</v>
      </c>
      <c r="S1707" s="19" t="s">
        <v>20</v>
      </c>
      <c r="T1707" s="19" t="s">
        <v>1471</v>
      </c>
    </row>
    <row r="1708" spans="1:20">
      <c r="A1708" s="20">
        <v>202603329783402</v>
      </c>
      <c r="B1708" s="19" t="s">
        <v>20</v>
      </c>
      <c r="C1708" s="19" t="s">
        <v>21</v>
      </c>
      <c r="D1708" s="19" t="s">
        <v>20</v>
      </c>
      <c r="E1708" s="21">
        <v>46204</v>
      </c>
      <c r="F1708" s="21">
        <v>46568</v>
      </c>
      <c r="G1708" s="21"/>
      <c r="H1708" s="21">
        <v>46204</v>
      </c>
      <c r="I1708" s="21">
        <v>46568</v>
      </c>
      <c r="J1708" s="19" t="s">
        <v>2064</v>
      </c>
      <c r="L1708" s="19">
        <v>0</v>
      </c>
      <c r="M1708" s="19">
        <v>0</v>
      </c>
      <c r="N1708" s="19" t="s">
        <v>2394</v>
      </c>
      <c r="O1708" s="20">
        <v>5</v>
      </c>
      <c r="S1708" s="19" t="s">
        <v>20</v>
      </c>
      <c r="T1708" s="19" t="s">
        <v>1471</v>
      </c>
    </row>
    <row r="1709" spans="1:20">
      <c r="A1709" s="20">
        <v>202603329783402</v>
      </c>
      <c r="B1709" s="19" t="s">
        <v>20</v>
      </c>
      <c r="C1709" s="19" t="s">
        <v>21</v>
      </c>
      <c r="D1709" s="19" t="s">
        <v>20</v>
      </c>
      <c r="E1709" s="21">
        <v>46204</v>
      </c>
      <c r="F1709" s="21">
        <v>46568</v>
      </c>
      <c r="G1709" s="21"/>
      <c r="H1709" s="21">
        <v>46204</v>
      </c>
      <c r="I1709" s="21">
        <v>46568</v>
      </c>
      <c r="J1709" s="19" t="s">
        <v>2064</v>
      </c>
      <c r="L1709" s="19">
        <v>165.65315125000001</v>
      </c>
      <c r="M1709" s="19">
        <v>165.65315125000001</v>
      </c>
      <c r="N1709" s="19" t="s">
        <v>1475</v>
      </c>
      <c r="O1709" s="20">
        <v>5</v>
      </c>
      <c r="S1709" s="19" t="s">
        <v>20</v>
      </c>
      <c r="T1709" s="19" t="s">
        <v>1471</v>
      </c>
    </row>
    <row r="1710" spans="1:20">
      <c r="A1710" s="20">
        <v>202603329784966</v>
      </c>
      <c r="B1710" s="19" t="s">
        <v>20</v>
      </c>
      <c r="C1710" s="19" t="s">
        <v>21</v>
      </c>
      <c r="D1710" s="19" t="s">
        <v>20</v>
      </c>
      <c r="E1710" s="21">
        <v>46204</v>
      </c>
      <c r="F1710" s="21">
        <v>46568</v>
      </c>
      <c r="G1710" s="21"/>
      <c r="H1710" s="21">
        <v>46204</v>
      </c>
      <c r="I1710" s="21">
        <v>46568</v>
      </c>
      <c r="J1710" s="19" t="s">
        <v>2064</v>
      </c>
      <c r="L1710" s="19">
        <v>0</v>
      </c>
      <c r="M1710" s="19">
        <v>0</v>
      </c>
      <c r="N1710" s="19" t="s">
        <v>2394</v>
      </c>
      <c r="O1710" s="20">
        <v>3</v>
      </c>
      <c r="S1710" s="19" t="s">
        <v>20</v>
      </c>
      <c r="T1710" s="19" t="s">
        <v>1471</v>
      </c>
    </row>
    <row r="1711" spans="1:20">
      <c r="A1711" s="20">
        <v>202603329784966</v>
      </c>
      <c r="B1711" s="19" t="s">
        <v>20</v>
      </c>
      <c r="C1711" s="19" t="s">
        <v>21</v>
      </c>
      <c r="D1711" s="19" t="s">
        <v>20</v>
      </c>
      <c r="E1711" s="21">
        <v>46204</v>
      </c>
      <c r="F1711" s="21">
        <v>46568</v>
      </c>
      <c r="G1711" s="21"/>
      <c r="H1711" s="21">
        <v>46204</v>
      </c>
      <c r="I1711" s="21">
        <v>46568</v>
      </c>
      <c r="J1711" s="19" t="s">
        <v>2064</v>
      </c>
      <c r="L1711" s="19">
        <v>99.391890750000002</v>
      </c>
      <c r="M1711" s="19">
        <v>99.391890750000002</v>
      </c>
      <c r="N1711" s="19" t="s">
        <v>1475</v>
      </c>
      <c r="O1711" s="20">
        <v>3</v>
      </c>
      <c r="S1711" s="19" t="s">
        <v>20</v>
      </c>
      <c r="T1711" s="19" t="s">
        <v>1471</v>
      </c>
    </row>
    <row r="1712" spans="1:20">
      <c r="A1712" s="20">
        <v>202603329785242</v>
      </c>
      <c r="B1712" s="19" t="s">
        <v>20</v>
      </c>
      <c r="C1712" s="19" t="s">
        <v>21</v>
      </c>
      <c r="D1712" s="19" t="s">
        <v>20</v>
      </c>
      <c r="E1712" s="21">
        <v>46204</v>
      </c>
      <c r="F1712" s="21">
        <v>46568</v>
      </c>
      <c r="G1712" s="21"/>
      <c r="H1712" s="21">
        <v>46204</v>
      </c>
      <c r="I1712" s="21">
        <v>46568</v>
      </c>
      <c r="J1712" s="19" t="s">
        <v>2159</v>
      </c>
      <c r="L1712" s="19">
        <v>66.261260500000006</v>
      </c>
      <c r="M1712" s="19">
        <v>66.261260500000006</v>
      </c>
      <c r="N1712" s="19" t="s">
        <v>1475</v>
      </c>
      <c r="O1712" s="20">
        <v>2</v>
      </c>
      <c r="S1712" s="19" t="s">
        <v>20</v>
      </c>
      <c r="T1712" s="19" t="s">
        <v>1471</v>
      </c>
    </row>
    <row r="1713" spans="1:20">
      <c r="A1713" s="20">
        <v>202603329785874</v>
      </c>
      <c r="B1713" s="19" t="s">
        <v>20</v>
      </c>
      <c r="C1713" s="19" t="s">
        <v>21</v>
      </c>
      <c r="D1713" s="19" t="s">
        <v>20</v>
      </c>
      <c r="E1713" s="21">
        <v>46204</v>
      </c>
      <c r="F1713" s="21">
        <v>46568</v>
      </c>
      <c r="G1713" s="21"/>
      <c r="H1713" s="21">
        <v>46204</v>
      </c>
      <c r="I1713" s="21">
        <v>46568</v>
      </c>
      <c r="J1713" s="19" t="s">
        <v>2064</v>
      </c>
      <c r="L1713" s="19">
        <v>0</v>
      </c>
      <c r="M1713" s="19">
        <v>0</v>
      </c>
      <c r="N1713" s="19" t="s">
        <v>2394</v>
      </c>
      <c r="O1713" s="20">
        <v>3</v>
      </c>
      <c r="S1713" s="19" t="s">
        <v>20</v>
      </c>
      <c r="T1713" s="19" t="s">
        <v>1471</v>
      </c>
    </row>
    <row r="1714" spans="1:20">
      <c r="A1714" s="20">
        <v>202603329785874</v>
      </c>
      <c r="B1714" s="19" t="s">
        <v>20</v>
      </c>
      <c r="C1714" s="19" t="s">
        <v>21</v>
      </c>
      <c r="D1714" s="19" t="s">
        <v>2341</v>
      </c>
      <c r="E1714" s="21">
        <v>46204</v>
      </c>
      <c r="F1714" s="21">
        <v>46568</v>
      </c>
      <c r="G1714" s="21"/>
      <c r="H1714" s="21">
        <v>46204</v>
      </c>
      <c r="I1714" s="21">
        <v>46568</v>
      </c>
      <c r="J1714" s="19" t="s">
        <v>2064</v>
      </c>
      <c r="L1714" s="19">
        <v>99.391890750000002</v>
      </c>
      <c r="M1714" s="19">
        <v>99.391890750000002</v>
      </c>
      <c r="N1714" s="19" t="s">
        <v>1467</v>
      </c>
      <c r="O1714" s="20">
        <v>3</v>
      </c>
      <c r="S1714" s="19" t="s">
        <v>20</v>
      </c>
      <c r="T1714" s="19" t="s">
        <v>1471</v>
      </c>
    </row>
    <row r="1715" spans="1:20">
      <c r="A1715" s="20">
        <v>202603329788488</v>
      </c>
      <c r="B1715" s="19" t="s">
        <v>20</v>
      </c>
      <c r="C1715" s="19" t="s">
        <v>21</v>
      </c>
      <c r="D1715" s="19" t="s">
        <v>20</v>
      </c>
      <c r="E1715" s="21">
        <v>46204</v>
      </c>
      <c r="F1715" s="21">
        <v>46568</v>
      </c>
      <c r="G1715" s="21"/>
      <c r="H1715" s="21">
        <v>46204</v>
      </c>
      <c r="I1715" s="21">
        <v>46568</v>
      </c>
      <c r="J1715" s="19" t="s">
        <v>2318</v>
      </c>
      <c r="L1715" s="19">
        <v>0</v>
      </c>
      <c r="M1715" s="19">
        <v>0</v>
      </c>
      <c r="N1715" s="19" t="s">
        <v>2394</v>
      </c>
      <c r="O1715" s="20">
        <v>3</v>
      </c>
      <c r="S1715" s="19" t="s">
        <v>20</v>
      </c>
      <c r="T1715" s="19" t="s">
        <v>1471</v>
      </c>
    </row>
    <row r="1716" spans="1:20">
      <c r="A1716" s="20">
        <v>202603329788488</v>
      </c>
      <c r="B1716" s="19" t="s">
        <v>20</v>
      </c>
      <c r="C1716" s="19" t="s">
        <v>21</v>
      </c>
      <c r="D1716" s="19" t="s">
        <v>20</v>
      </c>
      <c r="E1716" s="21">
        <v>46204</v>
      </c>
      <c r="F1716" s="21">
        <v>46568</v>
      </c>
      <c r="G1716" s="21"/>
      <c r="H1716" s="21">
        <v>46204</v>
      </c>
      <c r="I1716" s="21">
        <v>46568</v>
      </c>
      <c r="J1716" s="19" t="s">
        <v>2318</v>
      </c>
      <c r="L1716" s="19">
        <v>89.452685250000002</v>
      </c>
      <c r="M1716" s="19">
        <v>89.452685250000002</v>
      </c>
      <c r="N1716" s="19" t="s">
        <v>1475</v>
      </c>
      <c r="O1716" s="20">
        <v>3</v>
      </c>
      <c r="S1716" s="19" t="s">
        <v>20</v>
      </c>
      <c r="T1716" s="19" t="s">
        <v>1471</v>
      </c>
    </row>
    <row r="1717" spans="1:20">
      <c r="A1717" s="20">
        <v>202603329790545</v>
      </c>
      <c r="B1717" s="19" t="s">
        <v>20</v>
      </c>
      <c r="C1717" s="19" t="s">
        <v>21</v>
      </c>
      <c r="D1717" s="19" t="s">
        <v>20</v>
      </c>
      <c r="E1717" s="21">
        <v>46204</v>
      </c>
      <c r="F1717" s="21">
        <v>46568</v>
      </c>
      <c r="G1717" s="21"/>
      <c r="H1717" s="21">
        <v>46204</v>
      </c>
      <c r="I1717" s="21">
        <v>46568</v>
      </c>
      <c r="J1717" s="19" t="s">
        <v>2062</v>
      </c>
      <c r="L1717" s="19">
        <v>0</v>
      </c>
      <c r="M1717" s="19">
        <v>0</v>
      </c>
      <c r="N1717" s="19" t="s">
        <v>2394</v>
      </c>
      <c r="O1717" s="20">
        <v>4</v>
      </c>
      <c r="S1717" s="19" t="s">
        <v>20</v>
      </c>
      <c r="T1717" s="19" t="s">
        <v>1471</v>
      </c>
    </row>
    <row r="1718" spans="1:20">
      <c r="A1718" s="20">
        <v>202603329790545</v>
      </c>
      <c r="B1718" s="19" t="s">
        <v>20</v>
      </c>
      <c r="C1718" s="19" t="s">
        <v>21</v>
      </c>
      <c r="D1718" s="19" t="s">
        <v>20</v>
      </c>
      <c r="E1718" s="21">
        <v>46204</v>
      </c>
      <c r="F1718" s="21">
        <v>46568</v>
      </c>
      <c r="G1718" s="21"/>
      <c r="H1718" s="21">
        <v>46204</v>
      </c>
      <c r="I1718" s="21">
        <v>46568</v>
      </c>
      <c r="J1718" s="19" t="s">
        <v>2062</v>
      </c>
      <c r="L1718" s="19">
        <v>132.52252100000001</v>
      </c>
      <c r="M1718" s="19">
        <v>132.52252100000001</v>
      </c>
      <c r="N1718" s="19" t="s">
        <v>1475</v>
      </c>
      <c r="O1718" s="20">
        <v>4</v>
      </c>
      <c r="S1718" s="19" t="s">
        <v>20</v>
      </c>
      <c r="T1718" s="19" t="s">
        <v>1471</v>
      </c>
    </row>
    <row r="1719" spans="1:20">
      <c r="A1719" s="20">
        <v>202603329792031</v>
      </c>
      <c r="B1719" s="19" t="s">
        <v>20</v>
      </c>
      <c r="C1719" s="19" t="s">
        <v>21</v>
      </c>
      <c r="D1719" s="19" t="s">
        <v>20</v>
      </c>
      <c r="E1719" s="21">
        <v>46204</v>
      </c>
      <c r="F1719" s="21">
        <v>46568</v>
      </c>
      <c r="G1719" s="21"/>
      <c r="H1719" s="21">
        <v>46204</v>
      </c>
      <c r="I1719" s="21">
        <v>46568</v>
      </c>
      <c r="J1719" s="19" t="s">
        <v>2064</v>
      </c>
      <c r="L1719" s="19">
        <v>33.130630250000003</v>
      </c>
      <c r="M1719" s="19">
        <v>33.130630250000003</v>
      </c>
      <c r="N1719" s="19" t="s">
        <v>1475</v>
      </c>
      <c r="O1719" s="20">
        <v>1</v>
      </c>
      <c r="S1719" s="19" t="s">
        <v>20</v>
      </c>
      <c r="T1719" s="19" t="s">
        <v>1471</v>
      </c>
    </row>
    <row r="1720" spans="1:20">
      <c r="A1720" s="20">
        <v>202603329793264</v>
      </c>
      <c r="B1720" s="19" t="s">
        <v>20</v>
      </c>
      <c r="C1720" s="19" t="s">
        <v>21</v>
      </c>
      <c r="D1720" s="19" t="s">
        <v>20</v>
      </c>
      <c r="E1720" s="21">
        <v>46204</v>
      </c>
      <c r="F1720" s="21">
        <v>46568</v>
      </c>
      <c r="G1720" s="21"/>
      <c r="H1720" s="21">
        <v>46204</v>
      </c>
      <c r="I1720" s="21">
        <v>46568</v>
      </c>
      <c r="J1720" s="19" t="s">
        <v>2092</v>
      </c>
      <c r="L1720" s="19">
        <v>0</v>
      </c>
      <c r="M1720" s="19">
        <v>0</v>
      </c>
      <c r="N1720" s="19" t="s">
        <v>2394</v>
      </c>
      <c r="O1720" s="20">
        <v>5</v>
      </c>
      <c r="S1720" s="19" t="s">
        <v>20</v>
      </c>
      <c r="T1720" s="19" t="s">
        <v>1471</v>
      </c>
    </row>
    <row r="1721" spans="1:20">
      <c r="A1721" s="20">
        <v>202603329793264</v>
      </c>
      <c r="B1721" s="19" t="s">
        <v>20</v>
      </c>
      <c r="C1721" s="19" t="s">
        <v>21</v>
      </c>
      <c r="D1721" s="19" t="s">
        <v>20</v>
      </c>
      <c r="E1721" s="21">
        <v>46204</v>
      </c>
      <c r="F1721" s="21">
        <v>46568</v>
      </c>
      <c r="G1721" s="21"/>
      <c r="H1721" s="21">
        <v>46204</v>
      </c>
      <c r="I1721" s="21">
        <v>46568</v>
      </c>
      <c r="J1721" s="19" t="s">
        <v>2092</v>
      </c>
      <c r="L1721" s="19">
        <v>193.29779500000001</v>
      </c>
      <c r="M1721" s="19">
        <v>193.29779500000001</v>
      </c>
      <c r="N1721" s="19" t="s">
        <v>1475</v>
      </c>
      <c r="O1721" s="20">
        <v>5</v>
      </c>
      <c r="S1721" s="19" t="s">
        <v>20</v>
      </c>
      <c r="T1721" s="19" t="s">
        <v>1471</v>
      </c>
    </row>
    <row r="1722" spans="1:20">
      <c r="A1722" s="20">
        <v>202603329794435</v>
      </c>
      <c r="B1722" s="19" t="s">
        <v>20</v>
      </c>
      <c r="C1722" s="19" t="s">
        <v>21</v>
      </c>
      <c r="D1722" s="19" t="s">
        <v>20</v>
      </c>
      <c r="E1722" s="21">
        <v>46204</v>
      </c>
      <c r="F1722" s="21">
        <v>46568</v>
      </c>
      <c r="G1722" s="21"/>
      <c r="H1722" s="21">
        <v>46204</v>
      </c>
      <c r="I1722" s="21">
        <v>46568</v>
      </c>
      <c r="J1722" s="19" t="s">
        <v>2068</v>
      </c>
      <c r="L1722" s="19">
        <v>0</v>
      </c>
      <c r="M1722" s="19">
        <v>0</v>
      </c>
      <c r="N1722" s="19" t="s">
        <v>2394</v>
      </c>
      <c r="O1722" s="20">
        <v>4</v>
      </c>
      <c r="S1722" s="19" t="s">
        <v>20</v>
      </c>
      <c r="T1722" s="19" t="s">
        <v>1471</v>
      </c>
    </row>
    <row r="1723" spans="1:20">
      <c r="A1723" s="20">
        <v>202603329794435</v>
      </c>
      <c r="B1723" s="19" t="s">
        <v>20</v>
      </c>
      <c r="C1723" s="19" t="s">
        <v>21</v>
      </c>
      <c r="D1723" s="19" t="s">
        <v>20</v>
      </c>
      <c r="E1723" s="21">
        <v>46204</v>
      </c>
      <c r="F1723" s="21">
        <v>46568</v>
      </c>
      <c r="G1723" s="21"/>
      <c r="H1723" s="21">
        <v>46204</v>
      </c>
      <c r="I1723" s="21">
        <v>46568</v>
      </c>
      <c r="J1723" s="19" t="s">
        <v>2068</v>
      </c>
      <c r="L1723" s="19">
        <v>105.034736</v>
      </c>
      <c r="M1723" s="19">
        <v>105.034736</v>
      </c>
      <c r="N1723" s="19" t="s">
        <v>1475</v>
      </c>
      <c r="O1723" s="20">
        <v>4</v>
      </c>
      <c r="S1723" s="19" t="s">
        <v>20</v>
      </c>
      <c r="T1723" s="19" t="s">
        <v>1471</v>
      </c>
    </row>
    <row r="1724" spans="1:20">
      <c r="A1724" s="20">
        <v>202603329796072</v>
      </c>
      <c r="B1724" s="19" t="s">
        <v>20</v>
      </c>
      <c r="C1724" s="19" t="s">
        <v>21</v>
      </c>
      <c r="D1724" s="19" t="s">
        <v>20</v>
      </c>
      <c r="E1724" s="21">
        <v>46204</v>
      </c>
      <c r="F1724" s="21">
        <v>46568</v>
      </c>
      <c r="G1724" s="21"/>
      <c r="H1724" s="21">
        <v>46204</v>
      </c>
      <c r="I1724" s="21">
        <v>46568</v>
      </c>
      <c r="J1724" s="19" t="s">
        <v>2068</v>
      </c>
      <c r="L1724" s="19">
        <v>26.258683999999999</v>
      </c>
      <c r="M1724" s="19">
        <v>26.258683999999999</v>
      </c>
      <c r="N1724" s="19" t="s">
        <v>1475</v>
      </c>
      <c r="O1724" s="20">
        <v>1</v>
      </c>
      <c r="S1724" s="19" t="s">
        <v>20</v>
      </c>
      <c r="T1724" s="19" t="s">
        <v>1471</v>
      </c>
    </row>
    <row r="1725" spans="1:20">
      <c r="A1725" s="20">
        <v>202603329796288</v>
      </c>
      <c r="B1725" s="19" t="s">
        <v>20</v>
      </c>
      <c r="C1725" s="19" t="s">
        <v>21</v>
      </c>
      <c r="D1725" s="19" t="s">
        <v>20</v>
      </c>
      <c r="E1725" s="21">
        <v>46204</v>
      </c>
      <c r="F1725" s="21">
        <v>46568</v>
      </c>
      <c r="G1725" s="21"/>
      <c r="H1725" s="21">
        <v>46204</v>
      </c>
      <c r="I1725" s="21">
        <v>46568</v>
      </c>
      <c r="J1725" s="19" t="s">
        <v>2087</v>
      </c>
      <c r="L1725" s="19">
        <v>0</v>
      </c>
      <c r="M1725" s="19">
        <v>0</v>
      </c>
      <c r="N1725" s="19" t="s">
        <v>2394</v>
      </c>
      <c r="O1725" s="20">
        <v>2</v>
      </c>
      <c r="S1725" s="19" t="s">
        <v>20</v>
      </c>
      <c r="T1725" s="19" t="s">
        <v>1471</v>
      </c>
    </row>
    <row r="1726" spans="1:20">
      <c r="A1726" s="20">
        <v>202603329796288</v>
      </c>
      <c r="B1726" s="19" t="s">
        <v>20</v>
      </c>
      <c r="C1726" s="19" t="s">
        <v>21</v>
      </c>
      <c r="D1726" s="19" t="s">
        <v>20</v>
      </c>
      <c r="E1726" s="21">
        <v>46204</v>
      </c>
      <c r="F1726" s="21">
        <v>46568</v>
      </c>
      <c r="G1726" s="21"/>
      <c r="H1726" s="21">
        <v>46204</v>
      </c>
      <c r="I1726" s="21">
        <v>46568</v>
      </c>
      <c r="J1726" s="19" t="s">
        <v>2087</v>
      </c>
      <c r="L1726" s="19">
        <v>66.261260500000006</v>
      </c>
      <c r="M1726" s="19">
        <v>66.261260500000006</v>
      </c>
      <c r="N1726" s="19" t="s">
        <v>1475</v>
      </c>
      <c r="O1726" s="20">
        <v>2</v>
      </c>
      <c r="S1726" s="19" t="s">
        <v>20</v>
      </c>
      <c r="T1726" s="19" t="s">
        <v>1471</v>
      </c>
    </row>
    <row r="1727" spans="1:20">
      <c r="A1727" s="20">
        <v>202603329796343</v>
      </c>
      <c r="B1727" s="19" t="s">
        <v>20</v>
      </c>
      <c r="C1727" s="19" t="s">
        <v>21</v>
      </c>
      <c r="D1727" s="19" t="s">
        <v>20</v>
      </c>
      <c r="E1727" s="21">
        <v>46204</v>
      </c>
      <c r="F1727" s="21">
        <v>46568</v>
      </c>
      <c r="G1727" s="21"/>
      <c r="H1727" s="21">
        <v>46204</v>
      </c>
      <c r="I1727" s="21">
        <v>46568</v>
      </c>
      <c r="J1727" s="19" t="s">
        <v>2087</v>
      </c>
      <c r="L1727" s="19">
        <v>0</v>
      </c>
      <c r="M1727" s="19">
        <v>0</v>
      </c>
      <c r="N1727" s="19" t="s">
        <v>2394</v>
      </c>
      <c r="O1727" s="20">
        <v>6</v>
      </c>
      <c r="S1727" s="19" t="s">
        <v>20</v>
      </c>
      <c r="T1727" s="19" t="s">
        <v>1471</v>
      </c>
    </row>
    <row r="1728" spans="1:20">
      <c r="A1728" s="20">
        <v>202603329796343</v>
      </c>
      <c r="B1728" s="19" t="s">
        <v>20</v>
      </c>
      <c r="C1728" s="19" t="s">
        <v>21</v>
      </c>
      <c r="D1728" s="19" t="s">
        <v>2342</v>
      </c>
      <c r="E1728" s="21">
        <v>46204</v>
      </c>
      <c r="F1728" s="21">
        <v>46568</v>
      </c>
      <c r="G1728" s="21"/>
      <c r="H1728" s="21">
        <v>46204</v>
      </c>
      <c r="I1728" s="21">
        <v>46568</v>
      </c>
      <c r="J1728" s="19" t="s">
        <v>2087</v>
      </c>
      <c r="L1728" s="19">
        <v>198.7837815</v>
      </c>
      <c r="M1728" s="19">
        <v>198.7837815</v>
      </c>
      <c r="N1728" s="19" t="s">
        <v>1467</v>
      </c>
      <c r="O1728" s="20">
        <v>6</v>
      </c>
      <c r="S1728" s="19" t="s">
        <v>20</v>
      </c>
      <c r="T1728" s="19" t="s">
        <v>1471</v>
      </c>
    </row>
    <row r="1729" spans="1:20">
      <c r="A1729" s="20">
        <v>202603329796506</v>
      </c>
      <c r="B1729" s="19" t="s">
        <v>20</v>
      </c>
      <c r="C1729" s="19" t="s">
        <v>21</v>
      </c>
      <c r="D1729" s="19" t="s">
        <v>20</v>
      </c>
      <c r="E1729" s="21">
        <v>46204</v>
      </c>
      <c r="F1729" s="21">
        <v>46568</v>
      </c>
      <c r="G1729" s="21"/>
      <c r="H1729" s="21">
        <v>46204</v>
      </c>
      <c r="I1729" s="21">
        <v>46568</v>
      </c>
      <c r="J1729" s="19" t="s">
        <v>2114</v>
      </c>
      <c r="L1729" s="19">
        <v>0</v>
      </c>
      <c r="M1729" s="19">
        <v>0</v>
      </c>
      <c r="N1729" s="19" t="s">
        <v>2394</v>
      </c>
      <c r="O1729" s="20">
        <v>4</v>
      </c>
      <c r="S1729" s="19" t="s">
        <v>20</v>
      </c>
      <c r="T1729" s="19" t="s">
        <v>1471</v>
      </c>
    </row>
    <row r="1730" spans="1:20">
      <c r="A1730" s="20">
        <v>202603329796506</v>
      </c>
      <c r="B1730" s="19" t="s">
        <v>20</v>
      </c>
      <c r="C1730" s="19" t="s">
        <v>21</v>
      </c>
      <c r="D1730" s="19" t="s">
        <v>2343</v>
      </c>
      <c r="E1730" s="21">
        <v>46204</v>
      </c>
      <c r="F1730" s="21">
        <v>46568</v>
      </c>
      <c r="G1730" s="21"/>
      <c r="H1730" s="21">
        <v>46204</v>
      </c>
      <c r="I1730" s="21">
        <v>46568</v>
      </c>
      <c r="J1730" s="19" t="s">
        <v>2114</v>
      </c>
      <c r="L1730" s="19">
        <v>66.908733999999995</v>
      </c>
      <c r="M1730" s="19">
        <v>66.908733999999995</v>
      </c>
      <c r="N1730" s="19" t="s">
        <v>1467</v>
      </c>
      <c r="O1730" s="20">
        <v>4</v>
      </c>
      <c r="S1730" s="19" t="s">
        <v>20</v>
      </c>
      <c r="T1730" s="19" t="s">
        <v>1471</v>
      </c>
    </row>
    <row r="1731" spans="1:20">
      <c r="A1731" s="20">
        <v>202603329798288</v>
      </c>
      <c r="B1731" s="19" t="s">
        <v>20</v>
      </c>
      <c r="C1731" s="19" t="s">
        <v>21</v>
      </c>
      <c r="D1731" s="19" t="s">
        <v>20</v>
      </c>
      <c r="E1731" s="21">
        <v>46204</v>
      </c>
      <c r="F1731" s="21">
        <v>46568</v>
      </c>
      <c r="G1731" s="21"/>
      <c r="H1731" s="21">
        <v>46204</v>
      </c>
      <c r="I1731" s="21">
        <v>46568</v>
      </c>
      <c r="J1731" s="19" t="s">
        <v>2093</v>
      </c>
      <c r="L1731" s="19">
        <v>0</v>
      </c>
      <c r="M1731" s="19">
        <v>0</v>
      </c>
      <c r="N1731" s="19" t="s">
        <v>2394</v>
      </c>
      <c r="O1731" s="20">
        <v>9</v>
      </c>
      <c r="S1731" s="19" t="s">
        <v>20</v>
      </c>
      <c r="T1731" s="19" t="s">
        <v>1471</v>
      </c>
    </row>
    <row r="1732" spans="1:20">
      <c r="A1732" s="20">
        <v>202603329798288</v>
      </c>
      <c r="B1732" s="19" t="s">
        <v>20</v>
      </c>
      <c r="C1732" s="19" t="s">
        <v>21</v>
      </c>
      <c r="D1732" s="19" t="s">
        <v>20</v>
      </c>
      <c r="E1732" s="21">
        <v>46204</v>
      </c>
      <c r="F1732" s="21">
        <v>46568</v>
      </c>
      <c r="G1732" s="21"/>
      <c r="H1732" s="21">
        <v>46204</v>
      </c>
      <c r="I1732" s="21">
        <v>46568</v>
      </c>
      <c r="J1732" s="19" t="s">
        <v>2093</v>
      </c>
      <c r="L1732" s="19">
        <v>258.98430825000003</v>
      </c>
      <c r="M1732" s="19">
        <v>258.98430825000003</v>
      </c>
      <c r="N1732" s="19" t="s">
        <v>1475</v>
      </c>
      <c r="O1732" s="20">
        <v>9</v>
      </c>
      <c r="S1732" s="19" t="s">
        <v>20</v>
      </c>
      <c r="T1732" s="19" t="s">
        <v>1471</v>
      </c>
    </row>
    <row r="1733" spans="1:20">
      <c r="A1733" s="20">
        <v>202603329798391</v>
      </c>
      <c r="B1733" s="19" t="s">
        <v>20</v>
      </c>
      <c r="C1733" s="19" t="s">
        <v>21</v>
      </c>
      <c r="D1733" s="19" t="s">
        <v>20</v>
      </c>
      <c r="E1733" s="21">
        <v>46204</v>
      </c>
      <c r="F1733" s="21">
        <v>46568</v>
      </c>
      <c r="G1733" s="21"/>
      <c r="H1733" s="21">
        <v>46204</v>
      </c>
      <c r="I1733" s="21">
        <v>46568</v>
      </c>
      <c r="J1733" s="19" t="s">
        <v>2083</v>
      </c>
      <c r="L1733" s="19">
        <v>0</v>
      </c>
      <c r="M1733" s="19">
        <v>0</v>
      </c>
      <c r="N1733" s="19" t="s">
        <v>2394</v>
      </c>
      <c r="O1733" s="20">
        <v>2</v>
      </c>
      <c r="S1733" s="19" t="s">
        <v>20</v>
      </c>
      <c r="T1733" s="19" t="s">
        <v>1471</v>
      </c>
    </row>
    <row r="1734" spans="1:20">
      <c r="A1734" s="20">
        <v>202603329798391</v>
      </c>
      <c r="B1734" s="19" t="s">
        <v>20</v>
      </c>
      <c r="C1734" s="19" t="s">
        <v>21</v>
      </c>
      <c r="D1734" s="19" t="s">
        <v>20</v>
      </c>
      <c r="E1734" s="21">
        <v>46204</v>
      </c>
      <c r="F1734" s="21">
        <v>46568</v>
      </c>
      <c r="G1734" s="21"/>
      <c r="H1734" s="21">
        <v>46204</v>
      </c>
      <c r="I1734" s="21">
        <v>46568</v>
      </c>
      <c r="J1734" s="19" t="s">
        <v>2083</v>
      </c>
      <c r="L1734" s="19">
        <v>66.261260500000006</v>
      </c>
      <c r="M1734" s="19">
        <v>66.261260500000006</v>
      </c>
      <c r="N1734" s="19" t="s">
        <v>1475</v>
      </c>
      <c r="O1734" s="20">
        <v>2</v>
      </c>
      <c r="S1734" s="19" t="s">
        <v>20</v>
      </c>
      <c r="T1734" s="19" t="s">
        <v>1471</v>
      </c>
    </row>
    <row r="1735" spans="1:20">
      <c r="A1735" s="20">
        <v>202603329798769</v>
      </c>
      <c r="B1735" s="19" t="s">
        <v>20</v>
      </c>
      <c r="C1735" s="19" t="s">
        <v>21</v>
      </c>
      <c r="D1735" s="19" t="s">
        <v>20</v>
      </c>
      <c r="E1735" s="21">
        <v>46204</v>
      </c>
      <c r="F1735" s="21">
        <v>46568</v>
      </c>
      <c r="G1735" s="21"/>
      <c r="H1735" s="21">
        <v>46204</v>
      </c>
      <c r="I1735" s="21">
        <v>46568</v>
      </c>
      <c r="J1735" s="19" t="s">
        <v>2068</v>
      </c>
      <c r="L1735" s="19">
        <v>0</v>
      </c>
      <c r="M1735" s="19">
        <v>0</v>
      </c>
      <c r="N1735" s="19" t="s">
        <v>2394</v>
      </c>
      <c r="O1735" s="20">
        <v>2</v>
      </c>
      <c r="S1735" s="19" t="s">
        <v>20</v>
      </c>
      <c r="T1735" s="19" t="s">
        <v>1471</v>
      </c>
    </row>
    <row r="1736" spans="1:20">
      <c r="A1736" s="20">
        <v>202603329798769</v>
      </c>
      <c r="B1736" s="19" t="s">
        <v>20</v>
      </c>
      <c r="C1736" s="19" t="s">
        <v>21</v>
      </c>
      <c r="D1736" s="19" t="s">
        <v>20</v>
      </c>
      <c r="E1736" s="21">
        <v>46204</v>
      </c>
      <c r="F1736" s="21">
        <v>46568</v>
      </c>
      <c r="G1736" s="21"/>
      <c r="H1736" s="21">
        <v>46204</v>
      </c>
      <c r="I1736" s="21">
        <v>46568</v>
      </c>
      <c r="J1736" s="19" t="s">
        <v>2068</v>
      </c>
      <c r="L1736" s="19">
        <v>52.517367999999998</v>
      </c>
      <c r="M1736" s="19">
        <v>52.517367999999998</v>
      </c>
      <c r="N1736" s="19" t="s">
        <v>1475</v>
      </c>
      <c r="O1736" s="20">
        <v>2</v>
      </c>
      <c r="S1736" s="19" t="s">
        <v>20</v>
      </c>
      <c r="T1736" s="19" t="s">
        <v>1471</v>
      </c>
    </row>
    <row r="1737" spans="1:20">
      <c r="A1737" s="20">
        <v>202603329800074</v>
      </c>
      <c r="B1737" s="19" t="s">
        <v>20</v>
      </c>
      <c r="C1737" s="19" t="s">
        <v>21</v>
      </c>
      <c r="D1737" s="19" t="s">
        <v>20</v>
      </c>
      <c r="E1737" s="21">
        <v>46204</v>
      </c>
      <c r="F1737" s="21">
        <v>46568</v>
      </c>
      <c r="G1737" s="21"/>
      <c r="H1737" s="21">
        <v>46204</v>
      </c>
      <c r="I1737" s="21">
        <v>46568</v>
      </c>
      <c r="J1737" s="19" t="s">
        <v>2293</v>
      </c>
      <c r="L1737" s="19">
        <v>0</v>
      </c>
      <c r="M1737" s="19">
        <v>0</v>
      </c>
      <c r="N1737" s="19" t="s">
        <v>2394</v>
      </c>
      <c r="O1737" s="20">
        <v>8</v>
      </c>
      <c r="S1737" s="19" t="s">
        <v>20</v>
      </c>
      <c r="T1737" s="19" t="s">
        <v>1471</v>
      </c>
    </row>
    <row r="1738" spans="1:20">
      <c r="A1738" s="20">
        <v>202603329800074</v>
      </c>
      <c r="B1738" s="19" t="s">
        <v>20</v>
      </c>
      <c r="C1738" s="19" t="s">
        <v>21</v>
      </c>
      <c r="D1738" s="19" t="s">
        <v>2344</v>
      </c>
      <c r="E1738" s="21">
        <v>46204</v>
      </c>
      <c r="F1738" s="21">
        <v>46568</v>
      </c>
      <c r="G1738" s="21"/>
      <c r="H1738" s="21">
        <v>46204</v>
      </c>
      <c r="I1738" s="21">
        <v>46568</v>
      </c>
      <c r="J1738" s="19" t="s">
        <v>2293</v>
      </c>
      <c r="L1738" s="19">
        <v>303.58364</v>
      </c>
      <c r="M1738" s="19">
        <v>303.58364</v>
      </c>
      <c r="N1738" s="19" t="s">
        <v>1467</v>
      </c>
      <c r="O1738" s="20">
        <v>8</v>
      </c>
      <c r="S1738" s="19" t="s">
        <v>20</v>
      </c>
      <c r="T1738" s="19" t="s">
        <v>1471</v>
      </c>
    </row>
    <row r="1739" spans="1:20">
      <c r="A1739" s="20">
        <v>202603329800095</v>
      </c>
      <c r="B1739" s="19" t="s">
        <v>20</v>
      </c>
      <c r="C1739" s="19" t="s">
        <v>21</v>
      </c>
      <c r="D1739" s="19" t="s">
        <v>20</v>
      </c>
      <c r="E1739" s="21">
        <v>46204</v>
      </c>
      <c r="F1739" s="21">
        <v>46568</v>
      </c>
      <c r="G1739" s="21"/>
      <c r="H1739" s="21">
        <v>46204</v>
      </c>
      <c r="I1739" s="21">
        <v>46568</v>
      </c>
      <c r="J1739" s="19" t="s">
        <v>2077</v>
      </c>
      <c r="L1739" s="19">
        <v>29.817561749999999</v>
      </c>
      <c r="M1739" s="19">
        <v>29.817561749999999</v>
      </c>
      <c r="N1739" s="19" t="s">
        <v>1475</v>
      </c>
      <c r="O1739" s="20">
        <v>1</v>
      </c>
      <c r="S1739" s="19" t="s">
        <v>20</v>
      </c>
      <c r="T1739" s="19" t="s">
        <v>1471</v>
      </c>
    </row>
    <row r="1740" spans="1:20">
      <c r="A1740" s="20">
        <v>202603329803701</v>
      </c>
      <c r="B1740" s="19" t="s">
        <v>20</v>
      </c>
      <c r="C1740" s="19" t="s">
        <v>21</v>
      </c>
      <c r="D1740" s="19" t="s">
        <v>20</v>
      </c>
      <c r="E1740" s="21">
        <v>46204</v>
      </c>
      <c r="F1740" s="21">
        <v>46568</v>
      </c>
      <c r="G1740" s="21"/>
      <c r="H1740" s="21">
        <v>46204</v>
      </c>
      <c r="I1740" s="21">
        <v>46568</v>
      </c>
      <c r="J1740" s="19" t="s">
        <v>2080</v>
      </c>
      <c r="L1740" s="19">
        <v>0</v>
      </c>
      <c r="M1740" s="19">
        <v>0</v>
      </c>
      <c r="N1740" s="19" t="s">
        <v>2394</v>
      </c>
      <c r="O1740" s="20">
        <v>4</v>
      </c>
      <c r="S1740" s="19" t="s">
        <v>20</v>
      </c>
      <c r="T1740" s="19" t="s">
        <v>1471</v>
      </c>
    </row>
    <row r="1741" spans="1:20">
      <c r="A1741" s="20">
        <v>202603329803701</v>
      </c>
      <c r="B1741" s="19" t="s">
        <v>20</v>
      </c>
      <c r="C1741" s="19" t="s">
        <v>21</v>
      </c>
      <c r="D1741" s="19" t="s">
        <v>20</v>
      </c>
      <c r="E1741" s="21">
        <v>46204</v>
      </c>
      <c r="F1741" s="21">
        <v>46568</v>
      </c>
      <c r="G1741" s="21"/>
      <c r="H1741" s="21">
        <v>46204</v>
      </c>
      <c r="I1741" s="21">
        <v>46568</v>
      </c>
      <c r="J1741" s="19" t="s">
        <v>2080</v>
      </c>
      <c r="L1741" s="19">
        <v>132.52252100000001</v>
      </c>
      <c r="M1741" s="19">
        <v>132.52252100000001</v>
      </c>
      <c r="N1741" s="19" t="s">
        <v>1475</v>
      </c>
      <c r="O1741" s="20">
        <v>4</v>
      </c>
      <c r="S1741" s="19" t="s">
        <v>20</v>
      </c>
      <c r="T1741" s="19" t="s">
        <v>1471</v>
      </c>
    </row>
    <row r="1742" spans="1:20">
      <c r="A1742" s="20">
        <v>202603329804435</v>
      </c>
      <c r="B1742" s="19" t="s">
        <v>20</v>
      </c>
      <c r="C1742" s="19" t="s">
        <v>21</v>
      </c>
      <c r="D1742" s="19" t="s">
        <v>20</v>
      </c>
      <c r="E1742" s="21">
        <v>46204</v>
      </c>
      <c r="F1742" s="21">
        <v>46568</v>
      </c>
      <c r="G1742" s="21"/>
      <c r="H1742" s="21">
        <v>46204</v>
      </c>
      <c r="I1742" s="21">
        <v>46568</v>
      </c>
      <c r="J1742" s="19" t="s">
        <v>2130</v>
      </c>
      <c r="L1742" s="19">
        <v>0</v>
      </c>
      <c r="M1742" s="19">
        <v>0</v>
      </c>
      <c r="N1742" s="19" t="s">
        <v>2394</v>
      </c>
      <c r="O1742" s="20">
        <v>3</v>
      </c>
      <c r="S1742" s="19" t="s">
        <v>20</v>
      </c>
      <c r="T1742" s="19" t="s">
        <v>1471</v>
      </c>
    </row>
    <row r="1743" spans="1:20">
      <c r="A1743" s="20">
        <v>202603329804435</v>
      </c>
      <c r="B1743" s="19" t="s">
        <v>20</v>
      </c>
      <c r="C1743" s="19" t="s">
        <v>21</v>
      </c>
      <c r="D1743" s="19" t="s">
        <v>2345</v>
      </c>
      <c r="E1743" s="21">
        <v>46204</v>
      </c>
      <c r="F1743" s="21">
        <v>46568</v>
      </c>
      <c r="G1743" s="21"/>
      <c r="H1743" s="21">
        <v>46204</v>
      </c>
      <c r="I1743" s="21">
        <v>46568</v>
      </c>
      <c r="J1743" s="19" t="s">
        <v>2130</v>
      </c>
      <c r="L1743" s="19">
        <v>54.480246749999999</v>
      </c>
      <c r="M1743" s="19">
        <v>54.480246749999999</v>
      </c>
      <c r="N1743" s="19" t="s">
        <v>1467</v>
      </c>
      <c r="O1743" s="20">
        <v>3</v>
      </c>
      <c r="S1743" s="19" t="s">
        <v>20</v>
      </c>
      <c r="T1743" s="19" t="s">
        <v>1471</v>
      </c>
    </row>
    <row r="1744" spans="1:20">
      <c r="A1744" s="20">
        <v>202603329804977</v>
      </c>
      <c r="B1744" s="19" t="s">
        <v>20</v>
      </c>
      <c r="C1744" s="19" t="s">
        <v>21</v>
      </c>
      <c r="D1744" s="19" t="s">
        <v>20</v>
      </c>
      <c r="E1744" s="21">
        <v>46204</v>
      </c>
      <c r="F1744" s="21">
        <v>46568</v>
      </c>
      <c r="G1744" s="21"/>
      <c r="H1744" s="21">
        <v>46204</v>
      </c>
      <c r="I1744" s="21">
        <v>46568</v>
      </c>
      <c r="J1744" s="19" t="s">
        <v>2118</v>
      </c>
      <c r="L1744" s="19">
        <v>0</v>
      </c>
      <c r="M1744" s="19">
        <v>0</v>
      </c>
      <c r="N1744" s="19" t="s">
        <v>2394</v>
      </c>
      <c r="O1744" s="20">
        <v>5</v>
      </c>
      <c r="S1744" s="19" t="s">
        <v>20</v>
      </c>
      <c r="T1744" s="19" t="s">
        <v>1471</v>
      </c>
    </row>
    <row r="1745" spans="1:20">
      <c r="A1745" s="20">
        <v>202603329804977</v>
      </c>
      <c r="B1745" s="19" t="s">
        <v>20</v>
      </c>
      <c r="C1745" s="19" t="s">
        <v>21</v>
      </c>
      <c r="D1745" s="19" t="s">
        <v>2346</v>
      </c>
      <c r="E1745" s="21">
        <v>46204</v>
      </c>
      <c r="F1745" s="21">
        <v>46568</v>
      </c>
      <c r="G1745" s="21"/>
      <c r="H1745" s="21">
        <v>46204</v>
      </c>
      <c r="I1745" s="21">
        <v>46568</v>
      </c>
      <c r="J1745" s="19" t="s">
        <v>2118</v>
      </c>
      <c r="L1745" s="19">
        <v>165.65315125000001</v>
      </c>
      <c r="M1745" s="19">
        <v>165.65315125000001</v>
      </c>
      <c r="N1745" s="19" t="s">
        <v>1467</v>
      </c>
      <c r="O1745" s="20">
        <v>5</v>
      </c>
      <c r="S1745" s="19" t="s">
        <v>20</v>
      </c>
      <c r="T1745" s="19" t="s">
        <v>1471</v>
      </c>
    </row>
    <row r="1746" spans="1:20">
      <c r="A1746" s="20">
        <v>202603329806092</v>
      </c>
      <c r="B1746" s="19" t="s">
        <v>20</v>
      </c>
      <c r="C1746" s="19" t="s">
        <v>21</v>
      </c>
      <c r="D1746" s="19" t="s">
        <v>20</v>
      </c>
      <c r="E1746" s="21">
        <v>46204</v>
      </c>
      <c r="F1746" s="21">
        <v>46568</v>
      </c>
      <c r="G1746" s="21"/>
      <c r="H1746" s="21">
        <v>46204</v>
      </c>
      <c r="I1746" s="21">
        <v>46568</v>
      </c>
      <c r="J1746" s="19" t="s">
        <v>2187</v>
      </c>
      <c r="L1746" s="19">
        <v>0</v>
      </c>
      <c r="M1746" s="19">
        <v>0</v>
      </c>
      <c r="N1746" s="19" t="s">
        <v>2394</v>
      </c>
      <c r="O1746" s="20">
        <v>5</v>
      </c>
      <c r="S1746" s="19" t="s">
        <v>20</v>
      </c>
      <c r="T1746" s="19" t="s">
        <v>1471</v>
      </c>
    </row>
    <row r="1747" spans="1:20">
      <c r="A1747" s="20">
        <v>202603329806092</v>
      </c>
      <c r="B1747" s="19" t="s">
        <v>20</v>
      </c>
      <c r="C1747" s="19" t="s">
        <v>21</v>
      </c>
      <c r="D1747" s="19" t="s">
        <v>20</v>
      </c>
      <c r="E1747" s="21">
        <v>46204</v>
      </c>
      <c r="F1747" s="21">
        <v>46568</v>
      </c>
      <c r="G1747" s="21"/>
      <c r="H1747" s="21">
        <v>46204</v>
      </c>
      <c r="I1747" s="21">
        <v>46568</v>
      </c>
      <c r="J1747" s="19" t="s">
        <v>2187</v>
      </c>
      <c r="L1747" s="19">
        <v>191.44897875000001</v>
      </c>
      <c r="M1747" s="19">
        <v>191.44897875000001</v>
      </c>
      <c r="N1747" s="19" t="s">
        <v>1475</v>
      </c>
      <c r="O1747" s="20">
        <v>5</v>
      </c>
      <c r="S1747" s="19" t="s">
        <v>20</v>
      </c>
      <c r="T1747" s="19" t="s">
        <v>1471</v>
      </c>
    </row>
    <row r="1748" spans="1:20">
      <c r="A1748" s="20">
        <v>202603329807010</v>
      </c>
      <c r="B1748" s="19" t="s">
        <v>20</v>
      </c>
      <c r="C1748" s="19" t="s">
        <v>21</v>
      </c>
      <c r="D1748" s="19" t="s">
        <v>20</v>
      </c>
      <c r="E1748" s="21">
        <v>46204</v>
      </c>
      <c r="F1748" s="21">
        <v>46568</v>
      </c>
      <c r="G1748" s="21"/>
      <c r="H1748" s="21">
        <v>46204</v>
      </c>
      <c r="I1748" s="21">
        <v>46568</v>
      </c>
      <c r="J1748" s="19" t="s">
        <v>2293</v>
      </c>
      <c r="L1748" s="19">
        <v>0</v>
      </c>
      <c r="M1748" s="19">
        <v>0</v>
      </c>
      <c r="N1748" s="19" t="s">
        <v>2394</v>
      </c>
      <c r="O1748" s="20">
        <v>2</v>
      </c>
      <c r="S1748" s="19" t="s">
        <v>20</v>
      </c>
      <c r="T1748" s="19" t="s">
        <v>1471</v>
      </c>
    </row>
    <row r="1749" spans="1:20">
      <c r="A1749" s="20">
        <v>202603329807010</v>
      </c>
      <c r="B1749" s="19" t="s">
        <v>20</v>
      </c>
      <c r="C1749" s="19" t="s">
        <v>21</v>
      </c>
      <c r="D1749" s="19" t="s">
        <v>20</v>
      </c>
      <c r="E1749" s="21">
        <v>46204</v>
      </c>
      <c r="F1749" s="21">
        <v>46568</v>
      </c>
      <c r="G1749" s="21"/>
      <c r="H1749" s="21">
        <v>46204</v>
      </c>
      <c r="I1749" s="21">
        <v>46568</v>
      </c>
      <c r="J1749" s="19" t="s">
        <v>2293</v>
      </c>
      <c r="L1749" s="19">
        <v>75.895910000000001</v>
      </c>
      <c r="M1749" s="19">
        <v>75.895910000000001</v>
      </c>
      <c r="N1749" s="19" t="s">
        <v>1475</v>
      </c>
      <c r="O1749" s="20">
        <v>2</v>
      </c>
      <c r="S1749" s="19" t="s">
        <v>20</v>
      </c>
      <c r="T1749" s="19" t="s">
        <v>1471</v>
      </c>
    </row>
    <row r="1750" spans="1:20">
      <c r="A1750" s="20">
        <v>202603329808587</v>
      </c>
      <c r="B1750" s="19" t="s">
        <v>20</v>
      </c>
      <c r="C1750" s="19" t="s">
        <v>21</v>
      </c>
      <c r="D1750" s="19" t="s">
        <v>20</v>
      </c>
      <c r="E1750" s="21">
        <v>46204</v>
      </c>
      <c r="F1750" s="21">
        <v>46568</v>
      </c>
      <c r="G1750" s="21"/>
      <c r="H1750" s="21">
        <v>46204</v>
      </c>
      <c r="I1750" s="21">
        <v>46568</v>
      </c>
      <c r="J1750" s="19" t="s">
        <v>2159</v>
      </c>
      <c r="L1750" s="19">
        <v>66.261260500000006</v>
      </c>
      <c r="M1750" s="19">
        <v>66.261260500000006</v>
      </c>
      <c r="N1750" s="19" t="s">
        <v>1475</v>
      </c>
      <c r="O1750" s="20">
        <v>2</v>
      </c>
      <c r="S1750" s="19" t="s">
        <v>20</v>
      </c>
      <c r="T1750" s="19" t="s">
        <v>1471</v>
      </c>
    </row>
    <row r="1751" spans="1:20">
      <c r="A1751" s="20">
        <v>202603329809019</v>
      </c>
      <c r="B1751" s="19" t="s">
        <v>20</v>
      </c>
      <c r="C1751" s="19" t="s">
        <v>21</v>
      </c>
      <c r="D1751" s="19" t="s">
        <v>20</v>
      </c>
      <c r="E1751" s="21">
        <v>46204</v>
      </c>
      <c r="F1751" s="21">
        <v>46568</v>
      </c>
      <c r="G1751" s="21"/>
      <c r="H1751" s="21">
        <v>46204</v>
      </c>
      <c r="I1751" s="21">
        <v>46568</v>
      </c>
      <c r="J1751" s="19" t="s">
        <v>2177</v>
      </c>
      <c r="L1751" s="19">
        <v>0</v>
      </c>
      <c r="M1751" s="19">
        <v>0</v>
      </c>
      <c r="N1751" s="19" t="s">
        <v>2394</v>
      </c>
      <c r="O1751" s="20">
        <v>2</v>
      </c>
      <c r="S1751" s="19" t="s">
        <v>20</v>
      </c>
      <c r="T1751" s="19" t="s">
        <v>1471</v>
      </c>
    </row>
    <row r="1752" spans="1:20">
      <c r="A1752" s="20">
        <v>202603329809019</v>
      </c>
      <c r="B1752" s="19" t="s">
        <v>20</v>
      </c>
      <c r="C1752" s="19" t="s">
        <v>21</v>
      </c>
      <c r="D1752" s="19" t="s">
        <v>20</v>
      </c>
      <c r="E1752" s="21">
        <v>46204</v>
      </c>
      <c r="F1752" s="21">
        <v>46568</v>
      </c>
      <c r="G1752" s="21"/>
      <c r="H1752" s="21">
        <v>46204</v>
      </c>
      <c r="I1752" s="21">
        <v>46568</v>
      </c>
      <c r="J1752" s="19" t="s">
        <v>2177</v>
      </c>
      <c r="L1752" s="19">
        <v>31.726383999999999</v>
      </c>
      <c r="M1752" s="19">
        <v>31.726383999999999</v>
      </c>
      <c r="N1752" s="19" t="s">
        <v>1475</v>
      </c>
      <c r="O1752" s="20">
        <v>2</v>
      </c>
      <c r="S1752" s="19" t="s">
        <v>20</v>
      </c>
      <c r="T1752" s="19" t="s">
        <v>1471</v>
      </c>
    </row>
    <row r="1753" spans="1:20">
      <c r="A1753" s="20">
        <v>202603329809656</v>
      </c>
      <c r="B1753" s="19" t="s">
        <v>20</v>
      </c>
      <c r="C1753" s="19" t="s">
        <v>21</v>
      </c>
      <c r="D1753" s="19" t="s">
        <v>20</v>
      </c>
      <c r="E1753" s="21">
        <v>46204</v>
      </c>
      <c r="F1753" s="21">
        <v>46568</v>
      </c>
      <c r="G1753" s="21"/>
      <c r="H1753" s="21">
        <v>46204</v>
      </c>
      <c r="I1753" s="21">
        <v>46568</v>
      </c>
      <c r="J1753" s="19" t="s">
        <v>2103</v>
      </c>
      <c r="L1753" s="19">
        <v>23.968290750000001</v>
      </c>
      <c r="M1753" s="19">
        <v>23.968290750000001</v>
      </c>
      <c r="N1753" s="19" t="s">
        <v>1475</v>
      </c>
      <c r="O1753" s="20">
        <v>1</v>
      </c>
      <c r="S1753" s="19" t="s">
        <v>20</v>
      </c>
      <c r="T1753" s="19" t="s">
        <v>1471</v>
      </c>
    </row>
    <row r="1754" spans="1:20">
      <c r="A1754" s="20">
        <v>202603329810319</v>
      </c>
      <c r="B1754" s="19" t="s">
        <v>20</v>
      </c>
      <c r="C1754" s="19" t="s">
        <v>21</v>
      </c>
      <c r="D1754" s="19" t="s">
        <v>20</v>
      </c>
      <c r="E1754" s="21">
        <v>46204</v>
      </c>
      <c r="F1754" s="21">
        <v>46568</v>
      </c>
      <c r="G1754" s="21"/>
      <c r="H1754" s="21">
        <v>46204</v>
      </c>
      <c r="I1754" s="21">
        <v>46568</v>
      </c>
      <c r="J1754" s="19" t="s">
        <v>2086</v>
      </c>
      <c r="L1754" s="19">
        <v>33.130630250000003</v>
      </c>
      <c r="M1754" s="19">
        <v>33.130630250000003</v>
      </c>
      <c r="N1754" s="19" t="s">
        <v>1475</v>
      </c>
      <c r="O1754" s="20">
        <v>1</v>
      </c>
      <c r="S1754" s="19" t="s">
        <v>20</v>
      </c>
      <c r="T1754" s="19" t="s">
        <v>1471</v>
      </c>
    </row>
    <row r="1755" spans="1:20">
      <c r="A1755" s="20">
        <v>202603329810485</v>
      </c>
      <c r="B1755" s="19" t="s">
        <v>20</v>
      </c>
      <c r="C1755" s="19" t="s">
        <v>21</v>
      </c>
      <c r="D1755" s="19" t="s">
        <v>20</v>
      </c>
      <c r="E1755" s="21">
        <v>46204</v>
      </c>
      <c r="F1755" s="21">
        <v>46568</v>
      </c>
      <c r="G1755" s="21"/>
      <c r="H1755" s="21">
        <v>46204</v>
      </c>
      <c r="I1755" s="21">
        <v>46568</v>
      </c>
      <c r="J1755" s="19" t="s">
        <v>2270</v>
      </c>
      <c r="L1755" s="19">
        <v>18.3002605</v>
      </c>
      <c r="M1755" s="19">
        <v>18.3002605</v>
      </c>
      <c r="N1755" s="19" t="s">
        <v>1475</v>
      </c>
      <c r="O1755" s="20">
        <v>1</v>
      </c>
      <c r="S1755" s="19" t="s">
        <v>20</v>
      </c>
      <c r="T1755" s="19" t="s">
        <v>1471</v>
      </c>
    </row>
    <row r="1756" spans="1:20">
      <c r="A1756" s="20">
        <v>202603329810714</v>
      </c>
      <c r="B1756" s="19" t="s">
        <v>20</v>
      </c>
      <c r="C1756" s="19" t="s">
        <v>21</v>
      </c>
      <c r="D1756" s="19" t="s">
        <v>20</v>
      </c>
      <c r="E1756" s="21">
        <v>46204</v>
      </c>
      <c r="F1756" s="21">
        <v>46568</v>
      </c>
      <c r="G1756" s="21"/>
      <c r="H1756" s="21">
        <v>46204</v>
      </c>
      <c r="I1756" s="21">
        <v>46568</v>
      </c>
      <c r="J1756" s="19" t="s">
        <v>2064</v>
      </c>
      <c r="L1756" s="19">
        <v>33.130630250000003</v>
      </c>
      <c r="M1756" s="19">
        <v>33.130630250000003</v>
      </c>
      <c r="N1756" s="19" t="s">
        <v>1475</v>
      </c>
      <c r="O1756" s="20">
        <v>1</v>
      </c>
      <c r="S1756" s="19" t="s">
        <v>20</v>
      </c>
      <c r="T1756" s="19" t="s">
        <v>1471</v>
      </c>
    </row>
    <row r="1757" spans="1:20">
      <c r="A1757" s="20">
        <v>202603329810937</v>
      </c>
      <c r="B1757" s="19" t="s">
        <v>20</v>
      </c>
      <c r="C1757" s="19" t="s">
        <v>21</v>
      </c>
      <c r="D1757" s="19" t="s">
        <v>20</v>
      </c>
      <c r="E1757" s="21">
        <v>46204</v>
      </c>
      <c r="F1757" s="21">
        <v>46568</v>
      </c>
      <c r="G1757" s="21"/>
      <c r="H1757" s="21">
        <v>46204</v>
      </c>
      <c r="I1757" s="21">
        <v>46568</v>
      </c>
      <c r="J1757" s="19" t="s">
        <v>2222</v>
      </c>
      <c r="L1757" s="19">
        <v>0</v>
      </c>
      <c r="M1757" s="19">
        <v>0</v>
      </c>
      <c r="N1757" s="19" t="s">
        <v>2394</v>
      </c>
      <c r="O1757" s="20">
        <v>3</v>
      </c>
      <c r="S1757" s="19" t="s">
        <v>20</v>
      </c>
      <c r="T1757" s="19" t="s">
        <v>1471</v>
      </c>
    </row>
    <row r="1758" spans="1:20">
      <c r="A1758" s="20">
        <v>202603329810937</v>
      </c>
      <c r="B1758" s="19" t="s">
        <v>20</v>
      </c>
      <c r="C1758" s="19" t="s">
        <v>21</v>
      </c>
      <c r="D1758" s="19" t="s">
        <v>20</v>
      </c>
      <c r="E1758" s="21">
        <v>46204</v>
      </c>
      <c r="F1758" s="21">
        <v>46568</v>
      </c>
      <c r="G1758" s="21"/>
      <c r="H1758" s="21">
        <v>46204</v>
      </c>
      <c r="I1758" s="21">
        <v>46568</v>
      </c>
      <c r="J1758" s="19" t="s">
        <v>2222</v>
      </c>
      <c r="L1758" s="19">
        <v>115.978677</v>
      </c>
      <c r="M1758" s="19">
        <v>115.978677</v>
      </c>
      <c r="N1758" s="19" t="s">
        <v>1475</v>
      </c>
      <c r="O1758" s="20">
        <v>3</v>
      </c>
      <c r="S1758" s="19" t="s">
        <v>20</v>
      </c>
      <c r="T1758" s="19" t="s">
        <v>1471</v>
      </c>
    </row>
    <row r="1759" spans="1:20">
      <c r="A1759" s="20">
        <v>202603329811945</v>
      </c>
      <c r="B1759" s="19" t="s">
        <v>20</v>
      </c>
      <c r="C1759" s="19" t="s">
        <v>21</v>
      </c>
      <c r="D1759" s="19" t="s">
        <v>2347</v>
      </c>
      <c r="E1759" s="21">
        <v>46204</v>
      </c>
      <c r="F1759" s="21">
        <v>46568</v>
      </c>
      <c r="G1759" s="21"/>
      <c r="H1759" s="21">
        <v>46204</v>
      </c>
      <c r="I1759" s="21">
        <v>46568</v>
      </c>
      <c r="J1759" s="19" t="s">
        <v>2089</v>
      </c>
      <c r="L1759" s="19">
        <v>23.968290750000001</v>
      </c>
      <c r="M1759" s="19">
        <v>23.968290750000001</v>
      </c>
      <c r="N1759" s="19" t="s">
        <v>1467</v>
      </c>
      <c r="O1759" s="20">
        <v>1</v>
      </c>
      <c r="S1759" s="19" t="s">
        <v>20</v>
      </c>
      <c r="T1759" s="19" t="s">
        <v>1471</v>
      </c>
    </row>
    <row r="1760" spans="1:20">
      <c r="A1760" s="20">
        <v>202603329813369</v>
      </c>
      <c r="B1760" s="19" t="s">
        <v>20</v>
      </c>
      <c r="C1760" s="19" t="s">
        <v>21</v>
      </c>
      <c r="D1760" s="19" t="s">
        <v>20</v>
      </c>
      <c r="E1760" s="21">
        <v>46204</v>
      </c>
      <c r="F1760" s="21">
        <v>46568</v>
      </c>
      <c r="G1760" s="21"/>
      <c r="H1760" s="21">
        <v>46204</v>
      </c>
      <c r="I1760" s="21">
        <v>46568</v>
      </c>
      <c r="J1760" s="19" t="s">
        <v>2064</v>
      </c>
      <c r="L1760" s="19">
        <v>0</v>
      </c>
      <c r="M1760" s="19">
        <v>0</v>
      </c>
      <c r="N1760" s="19" t="s">
        <v>2394</v>
      </c>
      <c r="O1760" s="20">
        <v>4</v>
      </c>
      <c r="S1760" s="19" t="s">
        <v>20</v>
      </c>
      <c r="T1760" s="19" t="s">
        <v>1471</v>
      </c>
    </row>
    <row r="1761" spans="1:20">
      <c r="A1761" s="20">
        <v>202603329813369</v>
      </c>
      <c r="B1761" s="19" t="s">
        <v>20</v>
      </c>
      <c r="C1761" s="19" t="s">
        <v>21</v>
      </c>
      <c r="D1761" s="19" t="s">
        <v>20</v>
      </c>
      <c r="E1761" s="21">
        <v>46204</v>
      </c>
      <c r="F1761" s="21">
        <v>46568</v>
      </c>
      <c r="G1761" s="21"/>
      <c r="H1761" s="21">
        <v>46204</v>
      </c>
      <c r="I1761" s="21">
        <v>46568</v>
      </c>
      <c r="J1761" s="19" t="s">
        <v>2064</v>
      </c>
      <c r="L1761" s="19">
        <v>132.52252100000001</v>
      </c>
      <c r="M1761" s="19">
        <v>132.52252100000001</v>
      </c>
      <c r="N1761" s="19" t="s">
        <v>1475</v>
      </c>
      <c r="O1761" s="20">
        <v>4</v>
      </c>
      <c r="S1761" s="19" t="s">
        <v>20</v>
      </c>
      <c r="T1761" s="19" t="s">
        <v>1471</v>
      </c>
    </row>
    <row r="1762" spans="1:20">
      <c r="A1762" s="20">
        <v>202603329814527</v>
      </c>
      <c r="B1762" s="19" t="s">
        <v>20</v>
      </c>
      <c r="C1762" s="19" t="s">
        <v>21</v>
      </c>
      <c r="D1762" s="19" t="s">
        <v>20</v>
      </c>
      <c r="E1762" s="21">
        <v>46204</v>
      </c>
      <c r="F1762" s="21">
        <v>46568</v>
      </c>
      <c r="G1762" s="21"/>
      <c r="H1762" s="21">
        <v>46204</v>
      </c>
      <c r="I1762" s="21">
        <v>46568</v>
      </c>
      <c r="J1762" s="19" t="s">
        <v>2077</v>
      </c>
      <c r="L1762" s="19">
        <v>0</v>
      </c>
      <c r="M1762" s="19">
        <v>0</v>
      </c>
      <c r="N1762" s="19" t="s">
        <v>2394</v>
      </c>
      <c r="O1762" s="20">
        <v>4</v>
      </c>
      <c r="S1762" s="19" t="s">
        <v>20</v>
      </c>
      <c r="T1762" s="19" t="s">
        <v>1471</v>
      </c>
    </row>
    <row r="1763" spans="1:20">
      <c r="A1763" s="20">
        <v>202603329814527</v>
      </c>
      <c r="B1763" s="19" t="s">
        <v>20</v>
      </c>
      <c r="C1763" s="19" t="s">
        <v>21</v>
      </c>
      <c r="D1763" s="19" t="s">
        <v>20</v>
      </c>
      <c r="E1763" s="21">
        <v>46204</v>
      </c>
      <c r="F1763" s="21">
        <v>46568</v>
      </c>
      <c r="G1763" s="21"/>
      <c r="H1763" s="21">
        <v>46204</v>
      </c>
      <c r="I1763" s="21">
        <v>46568</v>
      </c>
      <c r="J1763" s="19" t="s">
        <v>2077</v>
      </c>
      <c r="L1763" s="19">
        <v>119.270247</v>
      </c>
      <c r="M1763" s="19">
        <v>119.270247</v>
      </c>
      <c r="N1763" s="19" t="s">
        <v>1475</v>
      </c>
      <c r="O1763" s="20">
        <v>4</v>
      </c>
      <c r="S1763" s="19" t="s">
        <v>20</v>
      </c>
      <c r="T1763" s="19" t="s">
        <v>1471</v>
      </c>
    </row>
    <row r="1764" spans="1:20">
      <c r="A1764" s="20">
        <v>202603329815801</v>
      </c>
      <c r="B1764" s="19" t="s">
        <v>20</v>
      </c>
      <c r="C1764" s="19" t="s">
        <v>21</v>
      </c>
      <c r="D1764" s="19" t="s">
        <v>20</v>
      </c>
      <c r="E1764" s="21">
        <v>46204</v>
      </c>
      <c r="F1764" s="21">
        <v>46568</v>
      </c>
      <c r="G1764" s="21"/>
      <c r="H1764" s="21">
        <v>46204</v>
      </c>
      <c r="I1764" s="21">
        <v>46568</v>
      </c>
      <c r="J1764" s="19" t="s">
        <v>2102</v>
      </c>
      <c r="L1764" s="19">
        <v>26.258683999999999</v>
      </c>
      <c r="M1764" s="19">
        <v>26.258683999999999</v>
      </c>
      <c r="N1764" s="19" t="s">
        <v>1475</v>
      </c>
      <c r="O1764" s="20">
        <v>1</v>
      </c>
      <c r="S1764" s="19" t="s">
        <v>20</v>
      </c>
      <c r="T1764" s="19" t="s">
        <v>1471</v>
      </c>
    </row>
    <row r="1765" spans="1:20">
      <c r="A1765" s="20">
        <v>202603329816087</v>
      </c>
      <c r="B1765" s="19" t="s">
        <v>20</v>
      </c>
      <c r="C1765" s="19" t="s">
        <v>21</v>
      </c>
      <c r="D1765" s="19" t="s">
        <v>20</v>
      </c>
      <c r="E1765" s="21">
        <v>46204</v>
      </c>
      <c r="F1765" s="21">
        <v>46568</v>
      </c>
      <c r="G1765" s="21"/>
      <c r="H1765" s="21">
        <v>46204</v>
      </c>
      <c r="I1765" s="21">
        <v>46568</v>
      </c>
      <c r="J1765" s="19" t="s">
        <v>2080</v>
      </c>
      <c r="L1765" s="19">
        <v>0</v>
      </c>
      <c r="M1765" s="19">
        <v>0</v>
      </c>
      <c r="N1765" s="19" t="s">
        <v>2394</v>
      </c>
      <c r="O1765" s="20">
        <v>7</v>
      </c>
      <c r="S1765" s="19" t="s">
        <v>20</v>
      </c>
      <c r="T1765" s="19" t="s">
        <v>1471</v>
      </c>
    </row>
    <row r="1766" spans="1:20">
      <c r="A1766" s="20">
        <v>202603329816087</v>
      </c>
      <c r="B1766" s="19" t="s">
        <v>20</v>
      </c>
      <c r="C1766" s="19" t="s">
        <v>21</v>
      </c>
      <c r="D1766" s="19" t="s">
        <v>20</v>
      </c>
      <c r="E1766" s="21">
        <v>46204</v>
      </c>
      <c r="F1766" s="21">
        <v>46568</v>
      </c>
      <c r="G1766" s="21"/>
      <c r="H1766" s="21">
        <v>46204</v>
      </c>
      <c r="I1766" s="21">
        <v>46568</v>
      </c>
      <c r="J1766" s="19" t="s">
        <v>2080</v>
      </c>
      <c r="L1766" s="19">
        <v>231.91441175</v>
      </c>
      <c r="M1766" s="19">
        <v>231.91441175</v>
      </c>
      <c r="N1766" s="19" t="s">
        <v>1475</v>
      </c>
      <c r="O1766" s="20">
        <v>7</v>
      </c>
      <c r="S1766" s="19" t="s">
        <v>20</v>
      </c>
      <c r="T1766" s="19" t="s">
        <v>1471</v>
      </c>
    </row>
    <row r="1767" spans="1:20">
      <c r="A1767" s="20">
        <v>202603329819723</v>
      </c>
      <c r="B1767" s="19" t="s">
        <v>20</v>
      </c>
      <c r="C1767" s="19" t="s">
        <v>21</v>
      </c>
      <c r="D1767" s="19" t="s">
        <v>20</v>
      </c>
      <c r="E1767" s="21">
        <v>46204</v>
      </c>
      <c r="F1767" s="21">
        <v>46568</v>
      </c>
      <c r="G1767" s="21"/>
      <c r="H1767" s="21">
        <v>46204</v>
      </c>
      <c r="I1767" s="21">
        <v>46568</v>
      </c>
      <c r="J1767" s="19" t="s">
        <v>2062</v>
      </c>
      <c r="L1767" s="19">
        <v>33.130630250000003</v>
      </c>
      <c r="M1767" s="19">
        <v>33.130630250000003</v>
      </c>
      <c r="N1767" s="19" t="s">
        <v>1475</v>
      </c>
      <c r="O1767" s="20">
        <v>1</v>
      </c>
      <c r="S1767" s="19" t="s">
        <v>20</v>
      </c>
      <c r="T1767" s="19" t="s">
        <v>1471</v>
      </c>
    </row>
    <row r="1768" spans="1:20">
      <c r="A1768" s="20">
        <v>202603329820401</v>
      </c>
      <c r="B1768" s="19" t="s">
        <v>20</v>
      </c>
      <c r="C1768" s="19" t="s">
        <v>21</v>
      </c>
      <c r="D1768" s="19" t="s">
        <v>20</v>
      </c>
      <c r="E1768" s="21">
        <v>46204</v>
      </c>
      <c r="F1768" s="21">
        <v>46568</v>
      </c>
      <c r="G1768" s="21"/>
      <c r="H1768" s="21">
        <v>46204</v>
      </c>
      <c r="I1768" s="21">
        <v>46568</v>
      </c>
      <c r="J1768" s="19" t="s">
        <v>2243</v>
      </c>
      <c r="L1768" s="19">
        <v>0</v>
      </c>
      <c r="M1768" s="19">
        <v>0</v>
      </c>
      <c r="N1768" s="19" t="s">
        <v>2394</v>
      </c>
      <c r="O1768" s="20">
        <v>2</v>
      </c>
      <c r="S1768" s="19" t="s">
        <v>20</v>
      </c>
      <c r="T1768" s="19" t="s">
        <v>1471</v>
      </c>
    </row>
    <row r="1769" spans="1:20">
      <c r="A1769" s="20">
        <v>202603329820401</v>
      </c>
      <c r="B1769" s="19" t="s">
        <v>20</v>
      </c>
      <c r="C1769" s="19" t="s">
        <v>21</v>
      </c>
      <c r="D1769" s="19" t="s">
        <v>20</v>
      </c>
      <c r="E1769" s="21">
        <v>46204</v>
      </c>
      <c r="F1769" s="21">
        <v>46568</v>
      </c>
      <c r="G1769" s="21"/>
      <c r="H1769" s="21">
        <v>46204</v>
      </c>
      <c r="I1769" s="21">
        <v>46568</v>
      </c>
      <c r="J1769" s="19" t="s">
        <v>2243</v>
      </c>
      <c r="L1769" s="19">
        <v>66.261260500000006</v>
      </c>
      <c r="M1769" s="19">
        <v>66.261260500000006</v>
      </c>
      <c r="N1769" s="19" t="s">
        <v>1475</v>
      </c>
      <c r="O1769" s="20">
        <v>2</v>
      </c>
      <c r="S1769" s="19" t="s">
        <v>20</v>
      </c>
      <c r="T1769" s="19" t="s">
        <v>1471</v>
      </c>
    </row>
    <row r="1770" spans="1:20">
      <c r="A1770" s="20">
        <v>202603329821634</v>
      </c>
      <c r="B1770" s="19" t="s">
        <v>20</v>
      </c>
      <c r="C1770" s="19" t="s">
        <v>21</v>
      </c>
      <c r="D1770" s="19" t="s">
        <v>20</v>
      </c>
      <c r="E1770" s="21">
        <v>46204</v>
      </c>
      <c r="F1770" s="21">
        <v>46568</v>
      </c>
      <c r="G1770" s="21"/>
      <c r="H1770" s="21">
        <v>46204</v>
      </c>
      <c r="I1770" s="21">
        <v>46568</v>
      </c>
      <c r="J1770" s="19" t="s">
        <v>2064</v>
      </c>
      <c r="L1770" s="19">
        <v>0</v>
      </c>
      <c r="M1770" s="19">
        <v>0</v>
      </c>
      <c r="N1770" s="19" t="s">
        <v>2394</v>
      </c>
      <c r="O1770" s="20">
        <v>5</v>
      </c>
      <c r="S1770" s="19" t="s">
        <v>20</v>
      </c>
      <c r="T1770" s="19" t="s">
        <v>1471</v>
      </c>
    </row>
    <row r="1771" spans="1:20">
      <c r="A1771" s="20">
        <v>202603329821634</v>
      </c>
      <c r="B1771" s="19" t="s">
        <v>20</v>
      </c>
      <c r="C1771" s="19" t="s">
        <v>21</v>
      </c>
      <c r="D1771" s="19" t="s">
        <v>20</v>
      </c>
      <c r="E1771" s="21">
        <v>46204</v>
      </c>
      <c r="F1771" s="21">
        <v>46568</v>
      </c>
      <c r="G1771" s="21"/>
      <c r="H1771" s="21">
        <v>46204</v>
      </c>
      <c r="I1771" s="21">
        <v>46568</v>
      </c>
      <c r="J1771" s="19" t="s">
        <v>2064</v>
      </c>
      <c r="L1771" s="19">
        <v>165.65315125000001</v>
      </c>
      <c r="M1771" s="19">
        <v>165.65315125000001</v>
      </c>
      <c r="N1771" s="19" t="s">
        <v>1475</v>
      </c>
      <c r="O1771" s="20">
        <v>5</v>
      </c>
      <c r="S1771" s="19" t="s">
        <v>20</v>
      </c>
      <c r="T1771" s="19" t="s">
        <v>1471</v>
      </c>
    </row>
    <row r="1772" spans="1:20">
      <c r="A1772" s="20">
        <v>202603329823731</v>
      </c>
      <c r="B1772" s="19" t="s">
        <v>20</v>
      </c>
      <c r="C1772" s="19" t="s">
        <v>21</v>
      </c>
      <c r="D1772" s="19" t="s">
        <v>20</v>
      </c>
      <c r="E1772" s="21">
        <v>46204</v>
      </c>
      <c r="F1772" s="21">
        <v>46568</v>
      </c>
      <c r="G1772" s="21"/>
      <c r="H1772" s="21">
        <v>46204</v>
      </c>
      <c r="I1772" s="21">
        <v>46568</v>
      </c>
      <c r="J1772" s="19" t="s">
        <v>2068</v>
      </c>
      <c r="L1772" s="19">
        <v>52.517367999999998</v>
      </c>
      <c r="M1772" s="19">
        <v>52.517367999999998</v>
      </c>
      <c r="N1772" s="19" t="s">
        <v>1475</v>
      </c>
      <c r="O1772" s="20">
        <v>2</v>
      </c>
      <c r="S1772" s="19" t="s">
        <v>20</v>
      </c>
      <c r="T1772" s="19" t="s">
        <v>1471</v>
      </c>
    </row>
    <row r="1773" spans="1:20">
      <c r="A1773" s="20">
        <v>202603329823760</v>
      </c>
      <c r="B1773" s="19" t="s">
        <v>20</v>
      </c>
      <c r="C1773" s="19" t="s">
        <v>21</v>
      </c>
      <c r="D1773" s="19" t="s">
        <v>20</v>
      </c>
      <c r="E1773" s="21">
        <v>46204</v>
      </c>
      <c r="F1773" s="21">
        <v>46568</v>
      </c>
      <c r="G1773" s="21"/>
      <c r="H1773" s="21">
        <v>46204</v>
      </c>
      <c r="I1773" s="21">
        <v>46568</v>
      </c>
      <c r="J1773" s="19" t="s">
        <v>2064</v>
      </c>
      <c r="L1773" s="19">
        <v>33.130630250000003</v>
      </c>
      <c r="M1773" s="19">
        <v>33.130630250000003</v>
      </c>
      <c r="N1773" s="19" t="s">
        <v>1475</v>
      </c>
      <c r="O1773" s="20">
        <v>1</v>
      </c>
      <c r="S1773" s="19" t="s">
        <v>20</v>
      </c>
      <c r="T1773" s="19" t="s">
        <v>1471</v>
      </c>
    </row>
    <row r="1774" spans="1:20">
      <c r="A1774" s="20">
        <v>202603329824027</v>
      </c>
      <c r="B1774" s="19" t="s">
        <v>20</v>
      </c>
      <c r="C1774" s="19" t="s">
        <v>21</v>
      </c>
      <c r="D1774" s="19" t="s">
        <v>20</v>
      </c>
      <c r="E1774" s="21">
        <v>46204</v>
      </c>
      <c r="F1774" s="21">
        <v>46568</v>
      </c>
      <c r="G1774" s="21"/>
      <c r="H1774" s="21">
        <v>46204</v>
      </c>
      <c r="I1774" s="21">
        <v>46568</v>
      </c>
      <c r="J1774" s="19" t="s">
        <v>2086</v>
      </c>
      <c r="L1774" s="19">
        <v>0</v>
      </c>
      <c r="M1774" s="19">
        <v>0</v>
      </c>
      <c r="N1774" s="19" t="s">
        <v>2394</v>
      </c>
      <c r="O1774" s="20">
        <v>2</v>
      </c>
      <c r="S1774" s="19" t="s">
        <v>20</v>
      </c>
      <c r="T1774" s="19" t="s">
        <v>1471</v>
      </c>
    </row>
    <row r="1775" spans="1:20">
      <c r="A1775" s="20">
        <v>202603329824027</v>
      </c>
      <c r="B1775" s="19" t="s">
        <v>20</v>
      </c>
      <c r="C1775" s="19" t="s">
        <v>21</v>
      </c>
      <c r="D1775" s="19" t="s">
        <v>20</v>
      </c>
      <c r="E1775" s="21">
        <v>46204</v>
      </c>
      <c r="F1775" s="21">
        <v>46568</v>
      </c>
      <c r="G1775" s="21"/>
      <c r="H1775" s="21">
        <v>46204</v>
      </c>
      <c r="I1775" s="21">
        <v>46568</v>
      </c>
      <c r="J1775" s="19" t="s">
        <v>2086</v>
      </c>
      <c r="L1775" s="19">
        <v>66.261260500000006</v>
      </c>
      <c r="M1775" s="19">
        <v>66.261260500000006</v>
      </c>
      <c r="N1775" s="19" t="s">
        <v>1475</v>
      </c>
      <c r="O1775" s="20">
        <v>2</v>
      </c>
      <c r="S1775" s="19" t="s">
        <v>20</v>
      </c>
      <c r="T1775" s="19" t="s">
        <v>1471</v>
      </c>
    </row>
    <row r="1776" spans="1:20">
      <c r="A1776" s="20">
        <v>202603329824029</v>
      </c>
      <c r="B1776" s="19" t="s">
        <v>20</v>
      </c>
      <c r="C1776" s="19" t="s">
        <v>21</v>
      </c>
      <c r="D1776" s="19" t="s">
        <v>20</v>
      </c>
      <c r="E1776" s="21">
        <v>46204</v>
      </c>
      <c r="F1776" s="21">
        <v>46568</v>
      </c>
      <c r="G1776" s="21"/>
      <c r="H1776" s="21">
        <v>46204</v>
      </c>
      <c r="I1776" s="21">
        <v>46568</v>
      </c>
      <c r="J1776" s="19" t="s">
        <v>2086</v>
      </c>
      <c r="L1776" s="19">
        <v>0</v>
      </c>
      <c r="M1776" s="19">
        <v>0</v>
      </c>
      <c r="N1776" s="19" t="s">
        <v>2394</v>
      </c>
      <c r="O1776" s="20">
        <v>2</v>
      </c>
      <c r="S1776" s="19" t="s">
        <v>20</v>
      </c>
      <c r="T1776" s="19" t="s">
        <v>1471</v>
      </c>
    </row>
    <row r="1777" spans="1:20">
      <c r="A1777" s="20">
        <v>202603329824029</v>
      </c>
      <c r="B1777" s="19" t="s">
        <v>20</v>
      </c>
      <c r="C1777" s="19" t="s">
        <v>21</v>
      </c>
      <c r="D1777" s="19" t="s">
        <v>20</v>
      </c>
      <c r="E1777" s="21">
        <v>46204</v>
      </c>
      <c r="F1777" s="21">
        <v>46568</v>
      </c>
      <c r="G1777" s="21"/>
      <c r="H1777" s="21">
        <v>46204</v>
      </c>
      <c r="I1777" s="21">
        <v>46568</v>
      </c>
      <c r="J1777" s="19" t="s">
        <v>2086</v>
      </c>
      <c r="L1777" s="19">
        <v>66.261260500000006</v>
      </c>
      <c r="M1777" s="19">
        <v>66.261260500000006</v>
      </c>
      <c r="N1777" s="19" t="s">
        <v>1475</v>
      </c>
      <c r="O1777" s="20">
        <v>2</v>
      </c>
      <c r="S1777" s="19" t="s">
        <v>20</v>
      </c>
      <c r="T1777" s="19" t="s">
        <v>1471</v>
      </c>
    </row>
    <row r="1778" spans="1:20">
      <c r="A1778" s="20">
        <v>202603329826209</v>
      </c>
      <c r="B1778" s="19" t="s">
        <v>20</v>
      </c>
      <c r="C1778" s="19" t="s">
        <v>21</v>
      </c>
      <c r="D1778" s="19" t="s">
        <v>20</v>
      </c>
      <c r="E1778" s="21">
        <v>46204</v>
      </c>
      <c r="F1778" s="21">
        <v>46568</v>
      </c>
      <c r="G1778" s="21"/>
      <c r="H1778" s="21">
        <v>46204</v>
      </c>
      <c r="I1778" s="21">
        <v>46568</v>
      </c>
      <c r="J1778" s="19" t="s">
        <v>2105</v>
      </c>
      <c r="L1778" s="19">
        <v>26.258683999999999</v>
      </c>
      <c r="M1778" s="19">
        <v>26.258683999999999</v>
      </c>
      <c r="N1778" s="19" t="s">
        <v>1475</v>
      </c>
      <c r="O1778" s="20">
        <v>1</v>
      </c>
      <c r="S1778" s="19" t="s">
        <v>20</v>
      </c>
      <c r="T1778" s="19" t="s">
        <v>1471</v>
      </c>
    </row>
    <row r="1779" spans="1:20">
      <c r="A1779" s="20">
        <v>202603329829319</v>
      </c>
      <c r="B1779" s="19" t="s">
        <v>20</v>
      </c>
      <c r="C1779" s="19" t="s">
        <v>21</v>
      </c>
      <c r="D1779" s="19" t="s">
        <v>20</v>
      </c>
      <c r="E1779" s="21">
        <v>46204</v>
      </c>
      <c r="F1779" s="21">
        <v>46568</v>
      </c>
      <c r="G1779" s="21"/>
      <c r="H1779" s="21">
        <v>46204</v>
      </c>
      <c r="I1779" s="21">
        <v>46568</v>
      </c>
      <c r="J1779" s="19" t="s">
        <v>2062</v>
      </c>
      <c r="L1779" s="19">
        <v>33.130630250000003</v>
      </c>
      <c r="M1779" s="19">
        <v>33.130630250000003</v>
      </c>
      <c r="N1779" s="19" t="s">
        <v>1475</v>
      </c>
      <c r="O1779" s="20">
        <v>1</v>
      </c>
      <c r="S1779" s="19" t="s">
        <v>20</v>
      </c>
      <c r="T1779" s="19" t="s">
        <v>1471</v>
      </c>
    </row>
    <row r="1780" spans="1:20">
      <c r="A1780" s="20">
        <v>202603329830370</v>
      </c>
      <c r="B1780" s="19" t="s">
        <v>20</v>
      </c>
      <c r="C1780" s="19" t="s">
        <v>21</v>
      </c>
      <c r="D1780" s="19" t="s">
        <v>20</v>
      </c>
      <c r="E1780" s="21">
        <v>46204</v>
      </c>
      <c r="F1780" s="21">
        <v>46568</v>
      </c>
      <c r="G1780" s="21"/>
      <c r="H1780" s="21">
        <v>46204</v>
      </c>
      <c r="I1780" s="21">
        <v>46568</v>
      </c>
      <c r="J1780" s="19" t="s">
        <v>2064</v>
      </c>
      <c r="L1780" s="19">
        <v>99.391890750000002</v>
      </c>
      <c r="M1780" s="19">
        <v>99.391890750000002</v>
      </c>
      <c r="N1780" s="19" t="s">
        <v>1475</v>
      </c>
      <c r="O1780" s="20">
        <v>3</v>
      </c>
      <c r="S1780" s="19" t="s">
        <v>20</v>
      </c>
      <c r="T1780" s="19" t="s">
        <v>1471</v>
      </c>
    </row>
    <row r="1781" spans="1:20">
      <c r="A1781" s="20">
        <v>202603329830545</v>
      </c>
      <c r="B1781" s="19" t="s">
        <v>20</v>
      </c>
      <c r="C1781" s="19" t="s">
        <v>21</v>
      </c>
      <c r="D1781" s="19" t="s">
        <v>20</v>
      </c>
      <c r="E1781" s="21">
        <v>46204</v>
      </c>
      <c r="F1781" s="21">
        <v>46568</v>
      </c>
      <c r="G1781" s="21"/>
      <c r="H1781" s="21">
        <v>46204</v>
      </c>
      <c r="I1781" s="21">
        <v>46568</v>
      </c>
      <c r="J1781" s="19" t="s">
        <v>2104</v>
      </c>
      <c r="L1781" s="19">
        <v>0</v>
      </c>
      <c r="M1781" s="19">
        <v>0</v>
      </c>
      <c r="N1781" s="19" t="s">
        <v>2394</v>
      </c>
      <c r="O1781" s="20">
        <v>2</v>
      </c>
      <c r="S1781" s="19" t="s">
        <v>20</v>
      </c>
      <c r="T1781" s="19" t="s">
        <v>1471</v>
      </c>
    </row>
    <row r="1782" spans="1:20">
      <c r="A1782" s="20">
        <v>202603329830545</v>
      </c>
      <c r="B1782" s="19" t="s">
        <v>20</v>
      </c>
      <c r="C1782" s="19" t="s">
        <v>21</v>
      </c>
      <c r="D1782" s="19" t="s">
        <v>20</v>
      </c>
      <c r="E1782" s="21">
        <v>46204</v>
      </c>
      <c r="F1782" s="21">
        <v>46568</v>
      </c>
      <c r="G1782" s="21"/>
      <c r="H1782" s="21">
        <v>46204</v>
      </c>
      <c r="I1782" s="21">
        <v>46568</v>
      </c>
      <c r="J1782" s="19" t="s">
        <v>2104</v>
      </c>
      <c r="L1782" s="19">
        <v>66.261260500000006</v>
      </c>
      <c r="M1782" s="19">
        <v>66.261260500000006</v>
      </c>
      <c r="N1782" s="19" t="s">
        <v>1475</v>
      </c>
      <c r="O1782" s="20">
        <v>2</v>
      </c>
      <c r="S1782" s="19" t="s">
        <v>20</v>
      </c>
      <c r="T1782" s="19" t="s">
        <v>1471</v>
      </c>
    </row>
    <row r="1783" spans="1:20">
      <c r="A1783" s="20">
        <v>202603329833320</v>
      </c>
      <c r="B1783" s="19" t="s">
        <v>20</v>
      </c>
      <c r="C1783" s="19" t="s">
        <v>21</v>
      </c>
      <c r="D1783" s="19" t="s">
        <v>20</v>
      </c>
      <c r="E1783" s="21">
        <v>46204</v>
      </c>
      <c r="F1783" s="21">
        <v>46568</v>
      </c>
      <c r="G1783" s="21"/>
      <c r="H1783" s="21">
        <v>46204</v>
      </c>
      <c r="I1783" s="21">
        <v>46568</v>
      </c>
      <c r="J1783" s="19" t="s">
        <v>2305</v>
      </c>
      <c r="L1783" s="19">
        <v>23.968290750000001</v>
      </c>
      <c r="M1783" s="19">
        <v>23.968290750000001</v>
      </c>
      <c r="N1783" s="19" t="s">
        <v>1475</v>
      </c>
      <c r="O1783" s="20">
        <v>1</v>
      </c>
      <c r="S1783" s="19" t="s">
        <v>20</v>
      </c>
      <c r="T1783" s="19" t="s">
        <v>1471</v>
      </c>
    </row>
    <row r="1784" spans="1:20">
      <c r="A1784" s="20">
        <v>202603329835129</v>
      </c>
      <c r="B1784" s="19" t="s">
        <v>20</v>
      </c>
      <c r="C1784" s="19" t="s">
        <v>21</v>
      </c>
      <c r="D1784" s="19" t="s">
        <v>20</v>
      </c>
      <c r="E1784" s="21">
        <v>46204</v>
      </c>
      <c r="F1784" s="21">
        <v>46568</v>
      </c>
      <c r="G1784" s="21"/>
      <c r="H1784" s="21">
        <v>46204</v>
      </c>
      <c r="I1784" s="21">
        <v>46568</v>
      </c>
      <c r="J1784" s="19" t="s">
        <v>2064</v>
      </c>
      <c r="L1784" s="19">
        <v>0</v>
      </c>
      <c r="M1784" s="19">
        <v>0</v>
      </c>
      <c r="N1784" s="19" t="s">
        <v>2394</v>
      </c>
      <c r="O1784" s="20">
        <v>2</v>
      </c>
      <c r="S1784" s="19" t="s">
        <v>20</v>
      </c>
      <c r="T1784" s="19" t="s">
        <v>1471</v>
      </c>
    </row>
    <row r="1785" spans="1:20">
      <c r="A1785" s="20">
        <v>202603329835129</v>
      </c>
      <c r="B1785" s="19" t="s">
        <v>20</v>
      </c>
      <c r="C1785" s="19" t="s">
        <v>21</v>
      </c>
      <c r="D1785" s="19" t="s">
        <v>20</v>
      </c>
      <c r="E1785" s="21">
        <v>46204</v>
      </c>
      <c r="F1785" s="21">
        <v>46568</v>
      </c>
      <c r="G1785" s="21"/>
      <c r="H1785" s="21">
        <v>46204</v>
      </c>
      <c r="I1785" s="21">
        <v>46568</v>
      </c>
      <c r="J1785" s="19" t="s">
        <v>2064</v>
      </c>
      <c r="L1785" s="19">
        <v>66.261260500000006</v>
      </c>
      <c r="M1785" s="19">
        <v>66.261260500000006</v>
      </c>
      <c r="N1785" s="19" t="s">
        <v>1475</v>
      </c>
      <c r="O1785" s="20">
        <v>2</v>
      </c>
      <c r="S1785" s="19" t="s">
        <v>20</v>
      </c>
      <c r="T1785" s="19" t="s">
        <v>1471</v>
      </c>
    </row>
    <row r="1786" spans="1:20">
      <c r="A1786" s="20">
        <v>202603329835875</v>
      </c>
      <c r="B1786" s="19" t="s">
        <v>20</v>
      </c>
      <c r="C1786" s="19" t="s">
        <v>21</v>
      </c>
      <c r="D1786" s="19" t="s">
        <v>20</v>
      </c>
      <c r="E1786" s="21">
        <v>46204</v>
      </c>
      <c r="F1786" s="21">
        <v>46568</v>
      </c>
      <c r="G1786" s="21"/>
      <c r="H1786" s="21">
        <v>46204</v>
      </c>
      <c r="I1786" s="21">
        <v>46568</v>
      </c>
      <c r="J1786" s="19" t="s">
        <v>2069</v>
      </c>
      <c r="L1786" s="19">
        <v>0</v>
      </c>
      <c r="M1786" s="19">
        <v>0</v>
      </c>
      <c r="N1786" s="19" t="s">
        <v>2394</v>
      </c>
      <c r="O1786" s="20">
        <v>2</v>
      </c>
      <c r="S1786" s="19" t="s">
        <v>20</v>
      </c>
      <c r="T1786" s="19" t="s">
        <v>1471</v>
      </c>
    </row>
    <row r="1787" spans="1:20">
      <c r="A1787" s="20">
        <v>202603329835875</v>
      </c>
      <c r="B1787" s="19" t="s">
        <v>20</v>
      </c>
      <c r="C1787" s="19" t="s">
        <v>21</v>
      </c>
      <c r="D1787" s="19" t="s">
        <v>2348</v>
      </c>
      <c r="E1787" s="21">
        <v>46204</v>
      </c>
      <c r="F1787" s="21">
        <v>46568</v>
      </c>
      <c r="G1787" s="21"/>
      <c r="H1787" s="21">
        <v>46204</v>
      </c>
      <c r="I1787" s="21">
        <v>46568</v>
      </c>
      <c r="J1787" s="19" t="s">
        <v>2069</v>
      </c>
      <c r="L1787" s="19">
        <v>33.454366999999998</v>
      </c>
      <c r="M1787" s="19">
        <v>33.454366999999998</v>
      </c>
      <c r="N1787" s="19" t="s">
        <v>1467</v>
      </c>
      <c r="O1787" s="20">
        <v>2</v>
      </c>
      <c r="S1787" s="19" t="s">
        <v>20</v>
      </c>
      <c r="T1787" s="19" t="s">
        <v>1471</v>
      </c>
    </row>
    <row r="1788" spans="1:20">
      <c r="A1788" s="20">
        <v>202603329836034</v>
      </c>
      <c r="B1788" s="19" t="s">
        <v>20</v>
      </c>
      <c r="C1788" s="19" t="s">
        <v>21</v>
      </c>
      <c r="D1788" s="19" t="s">
        <v>20</v>
      </c>
      <c r="E1788" s="21">
        <v>46204</v>
      </c>
      <c r="F1788" s="21">
        <v>46568</v>
      </c>
      <c r="G1788" s="21"/>
      <c r="H1788" s="21">
        <v>46204</v>
      </c>
      <c r="I1788" s="21">
        <v>46568</v>
      </c>
      <c r="J1788" s="19" t="s">
        <v>2093</v>
      </c>
      <c r="L1788" s="19">
        <v>0</v>
      </c>
      <c r="M1788" s="19">
        <v>0</v>
      </c>
      <c r="N1788" s="19" t="s">
        <v>2394</v>
      </c>
      <c r="O1788" s="20">
        <v>3</v>
      </c>
      <c r="S1788" s="19" t="s">
        <v>20</v>
      </c>
      <c r="T1788" s="19" t="s">
        <v>1471</v>
      </c>
    </row>
    <row r="1789" spans="1:20">
      <c r="A1789" s="20">
        <v>202603329836034</v>
      </c>
      <c r="B1789" s="19" t="s">
        <v>20</v>
      </c>
      <c r="C1789" s="19" t="s">
        <v>21</v>
      </c>
      <c r="D1789" s="19" t="s">
        <v>20</v>
      </c>
      <c r="E1789" s="21">
        <v>46204</v>
      </c>
      <c r="F1789" s="21">
        <v>46568</v>
      </c>
      <c r="G1789" s="21"/>
      <c r="H1789" s="21">
        <v>46204</v>
      </c>
      <c r="I1789" s="21">
        <v>46568</v>
      </c>
      <c r="J1789" s="19" t="s">
        <v>2093</v>
      </c>
      <c r="L1789" s="19">
        <v>86.328102749999999</v>
      </c>
      <c r="M1789" s="19">
        <v>86.328102749999999</v>
      </c>
      <c r="N1789" s="19" t="s">
        <v>1475</v>
      </c>
      <c r="O1789" s="20">
        <v>3</v>
      </c>
      <c r="S1789" s="19" t="s">
        <v>20</v>
      </c>
      <c r="T1789" s="19" t="s">
        <v>1471</v>
      </c>
    </row>
    <row r="1790" spans="1:20">
      <c r="A1790" s="20">
        <v>202603329836357</v>
      </c>
      <c r="B1790" s="19" t="s">
        <v>20</v>
      </c>
      <c r="C1790" s="19" t="s">
        <v>21</v>
      </c>
      <c r="D1790" s="19" t="s">
        <v>20</v>
      </c>
      <c r="E1790" s="21">
        <v>46204</v>
      </c>
      <c r="F1790" s="21">
        <v>46568</v>
      </c>
      <c r="G1790" s="21"/>
      <c r="H1790" s="21">
        <v>46204</v>
      </c>
      <c r="I1790" s="21">
        <v>46568</v>
      </c>
      <c r="J1790" s="19" t="s">
        <v>2062</v>
      </c>
      <c r="L1790" s="19">
        <v>0</v>
      </c>
      <c r="M1790" s="19">
        <v>0</v>
      </c>
      <c r="N1790" s="19" t="s">
        <v>2394</v>
      </c>
      <c r="O1790" s="20">
        <v>6</v>
      </c>
      <c r="S1790" s="19" t="s">
        <v>20</v>
      </c>
      <c r="T1790" s="19" t="s">
        <v>1471</v>
      </c>
    </row>
    <row r="1791" spans="1:20">
      <c r="A1791" s="20">
        <v>202603329836357</v>
      </c>
      <c r="B1791" s="19" t="s">
        <v>20</v>
      </c>
      <c r="C1791" s="19" t="s">
        <v>21</v>
      </c>
      <c r="D1791" s="19" t="s">
        <v>20</v>
      </c>
      <c r="E1791" s="21">
        <v>46204</v>
      </c>
      <c r="F1791" s="21">
        <v>46568</v>
      </c>
      <c r="G1791" s="21"/>
      <c r="H1791" s="21">
        <v>46204</v>
      </c>
      <c r="I1791" s="21">
        <v>46568</v>
      </c>
      <c r="J1791" s="19" t="s">
        <v>2062</v>
      </c>
      <c r="L1791" s="19">
        <v>198.7837815</v>
      </c>
      <c r="M1791" s="19">
        <v>198.7837815</v>
      </c>
      <c r="N1791" s="19" t="s">
        <v>1475</v>
      </c>
      <c r="O1791" s="20">
        <v>6</v>
      </c>
      <c r="S1791" s="19" t="s">
        <v>20</v>
      </c>
      <c r="T1791" s="19" t="s">
        <v>1471</v>
      </c>
    </row>
    <row r="1792" spans="1:20">
      <c r="A1792" s="20">
        <v>202603329837473</v>
      </c>
      <c r="B1792" s="19" t="s">
        <v>20</v>
      </c>
      <c r="C1792" s="19" t="s">
        <v>21</v>
      </c>
      <c r="D1792" s="19" t="s">
        <v>20</v>
      </c>
      <c r="E1792" s="21">
        <v>46204</v>
      </c>
      <c r="F1792" s="21">
        <v>46568</v>
      </c>
      <c r="G1792" s="21"/>
      <c r="H1792" s="21">
        <v>46204</v>
      </c>
      <c r="I1792" s="21">
        <v>46568</v>
      </c>
      <c r="J1792" s="19" t="s">
        <v>2064</v>
      </c>
      <c r="L1792" s="19">
        <v>33.130630250000003</v>
      </c>
      <c r="M1792" s="19">
        <v>33.130630250000003</v>
      </c>
      <c r="N1792" s="19" t="s">
        <v>1475</v>
      </c>
      <c r="O1792" s="20">
        <v>1</v>
      </c>
      <c r="S1792" s="19" t="s">
        <v>20</v>
      </c>
      <c r="T1792" s="19" t="s">
        <v>1471</v>
      </c>
    </row>
    <row r="1793" spans="1:20">
      <c r="A1793" s="20">
        <v>202603329838538</v>
      </c>
      <c r="B1793" s="19" t="s">
        <v>20</v>
      </c>
      <c r="C1793" s="19" t="s">
        <v>21</v>
      </c>
      <c r="D1793" s="19" t="s">
        <v>20</v>
      </c>
      <c r="E1793" s="21">
        <v>46204</v>
      </c>
      <c r="F1793" s="21">
        <v>46568</v>
      </c>
      <c r="G1793" s="21"/>
      <c r="H1793" s="21">
        <v>46204</v>
      </c>
      <c r="I1793" s="21">
        <v>46568</v>
      </c>
      <c r="J1793" s="19" t="s">
        <v>2103</v>
      </c>
      <c r="L1793" s="19">
        <v>0</v>
      </c>
      <c r="M1793" s="19">
        <v>0</v>
      </c>
      <c r="N1793" s="19" t="s">
        <v>2394</v>
      </c>
      <c r="O1793" s="20">
        <v>5</v>
      </c>
      <c r="S1793" s="19" t="s">
        <v>20</v>
      </c>
      <c r="T1793" s="19" t="s">
        <v>1471</v>
      </c>
    </row>
    <row r="1794" spans="1:20">
      <c r="A1794" s="20">
        <v>202603329838538</v>
      </c>
      <c r="B1794" s="19" t="s">
        <v>20</v>
      </c>
      <c r="C1794" s="19" t="s">
        <v>21</v>
      </c>
      <c r="D1794" s="19" t="s">
        <v>20</v>
      </c>
      <c r="E1794" s="21">
        <v>46204</v>
      </c>
      <c r="F1794" s="21">
        <v>46568</v>
      </c>
      <c r="G1794" s="21"/>
      <c r="H1794" s="21">
        <v>46204</v>
      </c>
      <c r="I1794" s="21">
        <v>46568</v>
      </c>
      <c r="J1794" s="19" t="s">
        <v>2103</v>
      </c>
      <c r="L1794" s="19">
        <v>119.84145375</v>
      </c>
      <c r="M1794" s="19">
        <v>119.84145375</v>
      </c>
      <c r="N1794" s="19" t="s">
        <v>1475</v>
      </c>
      <c r="O1794" s="20">
        <v>5</v>
      </c>
      <c r="S1794" s="19" t="s">
        <v>20</v>
      </c>
      <c r="T1794" s="19" t="s">
        <v>1471</v>
      </c>
    </row>
    <row r="1795" spans="1:20">
      <c r="A1795" s="20">
        <v>202603329838578</v>
      </c>
      <c r="B1795" s="19" t="s">
        <v>20</v>
      </c>
      <c r="C1795" s="19" t="s">
        <v>21</v>
      </c>
      <c r="D1795" s="19" t="s">
        <v>20</v>
      </c>
      <c r="E1795" s="21">
        <v>46204</v>
      </c>
      <c r="F1795" s="21">
        <v>46568</v>
      </c>
      <c r="G1795" s="21"/>
      <c r="H1795" s="21">
        <v>46204</v>
      </c>
      <c r="I1795" s="21">
        <v>46568</v>
      </c>
      <c r="J1795" s="19" t="s">
        <v>2135</v>
      </c>
      <c r="L1795" s="19">
        <v>0</v>
      </c>
      <c r="M1795" s="19">
        <v>0</v>
      </c>
      <c r="N1795" s="19" t="s">
        <v>2394</v>
      </c>
      <c r="O1795" s="20">
        <v>4</v>
      </c>
      <c r="S1795" s="19" t="s">
        <v>20</v>
      </c>
      <c r="T1795" s="19" t="s">
        <v>1471</v>
      </c>
    </row>
    <row r="1796" spans="1:20">
      <c r="A1796" s="20">
        <v>202603329838578</v>
      </c>
      <c r="B1796" s="19" t="s">
        <v>20</v>
      </c>
      <c r="C1796" s="19" t="s">
        <v>21</v>
      </c>
      <c r="D1796" s="19" t="s">
        <v>2349</v>
      </c>
      <c r="E1796" s="21">
        <v>46204</v>
      </c>
      <c r="F1796" s="21">
        <v>46568</v>
      </c>
      <c r="G1796" s="21"/>
      <c r="H1796" s="21">
        <v>46204</v>
      </c>
      <c r="I1796" s="21">
        <v>46568</v>
      </c>
      <c r="J1796" s="19" t="s">
        <v>2135</v>
      </c>
      <c r="L1796" s="19">
        <v>132.52252100000001</v>
      </c>
      <c r="M1796" s="19">
        <v>132.52252100000001</v>
      </c>
      <c r="N1796" s="19" t="s">
        <v>1467</v>
      </c>
      <c r="O1796" s="20">
        <v>4</v>
      </c>
      <c r="S1796" s="19" t="s">
        <v>20</v>
      </c>
      <c r="T1796" s="19" t="s">
        <v>1471</v>
      </c>
    </row>
    <row r="1797" spans="1:20">
      <c r="A1797" s="20">
        <v>202603329839266</v>
      </c>
      <c r="B1797" s="19" t="s">
        <v>20</v>
      </c>
      <c r="C1797" s="19" t="s">
        <v>21</v>
      </c>
      <c r="D1797" s="19" t="s">
        <v>20</v>
      </c>
      <c r="E1797" s="21">
        <v>46204</v>
      </c>
      <c r="F1797" s="21">
        <v>46568</v>
      </c>
      <c r="G1797" s="21"/>
      <c r="H1797" s="21">
        <v>46204</v>
      </c>
      <c r="I1797" s="21">
        <v>46568</v>
      </c>
      <c r="J1797" s="19" t="s">
        <v>2087</v>
      </c>
      <c r="L1797" s="19">
        <v>0</v>
      </c>
      <c r="M1797" s="19">
        <v>0</v>
      </c>
      <c r="N1797" s="19" t="s">
        <v>2394</v>
      </c>
      <c r="O1797" s="20">
        <v>3</v>
      </c>
      <c r="S1797" s="19" t="s">
        <v>20</v>
      </c>
      <c r="T1797" s="19" t="s">
        <v>1471</v>
      </c>
    </row>
    <row r="1798" spans="1:20">
      <c r="A1798" s="20">
        <v>202603329839266</v>
      </c>
      <c r="B1798" s="19" t="s">
        <v>20</v>
      </c>
      <c r="C1798" s="19" t="s">
        <v>21</v>
      </c>
      <c r="D1798" s="19" t="s">
        <v>20</v>
      </c>
      <c r="E1798" s="21">
        <v>46204</v>
      </c>
      <c r="F1798" s="21">
        <v>46568</v>
      </c>
      <c r="G1798" s="21"/>
      <c r="H1798" s="21">
        <v>46204</v>
      </c>
      <c r="I1798" s="21">
        <v>46568</v>
      </c>
      <c r="J1798" s="19" t="s">
        <v>2087</v>
      </c>
      <c r="L1798" s="19">
        <v>99.391890750000002</v>
      </c>
      <c r="M1798" s="19">
        <v>99.391890750000002</v>
      </c>
      <c r="N1798" s="19" t="s">
        <v>1475</v>
      </c>
      <c r="O1798" s="20">
        <v>3</v>
      </c>
      <c r="S1798" s="19" t="s">
        <v>20</v>
      </c>
      <c r="T1798" s="19" t="s">
        <v>1471</v>
      </c>
    </row>
    <row r="1799" spans="1:20">
      <c r="A1799" s="20">
        <v>202603329842855</v>
      </c>
      <c r="B1799" s="19" t="s">
        <v>20</v>
      </c>
      <c r="C1799" s="19" t="s">
        <v>21</v>
      </c>
      <c r="D1799" s="19" t="s">
        <v>20</v>
      </c>
      <c r="E1799" s="21">
        <v>46204</v>
      </c>
      <c r="F1799" s="21">
        <v>46568</v>
      </c>
      <c r="G1799" s="21"/>
      <c r="H1799" s="21">
        <v>46204</v>
      </c>
      <c r="I1799" s="21">
        <v>46568</v>
      </c>
      <c r="J1799" s="19" t="s">
        <v>2086</v>
      </c>
      <c r="L1799" s="19">
        <v>0</v>
      </c>
      <c r="M1799" s="19">
        <v>0</v>
      </c>
      <c r="N1799" s="19" t="s">
        <v>2394</v>
      </c>
      <c r="O1799" s="20">
        <v>7</v>
      </c>
      <c r="S1799" s="19" t="s">
        <v>20</v>
      </c>
      <c r="T1799" s="19" t="s">
        <v>1471</v>
      </c>
    </row>
    <row r="1800" spans="1:20">
      <c r="A1800" s="20">
        <v>202603329842855</v>
      </c>
      <c r="B1800" s="19" t="s">
        <v>20</v>
      </c>
      <c r="C1800" s="19" t="s">
        <v>21</v>
      </c>
      <c r="D1800" s="19" t="s">
        <v>20</v>
      </c>
      <c r="E1800" s="21">
        <v>46204</v>
      </c>
      <c r="F1800" s="21">
        <v>46568</v>
      </c>
      <c r="G1800" s="21"/>
      <c r="H1800" s="21">
        <v>46204</v>
      </c>
      <c r="I1800" s="21">
        <v>46568</v>
      </c>
      <c r="J1800" s="19" t="s">
        <v>2086</v>
      </c>
      <c r="L1800" s="19">
        <v>231.91441175</v>
      </c>
      <c r="M1800" s="19">
        <v>231.91441175</v>
      </c>
      <c r="N1800" s="19" t="s">
        <v>1475</v>
      </c>
      <c r="O1800" s="20">
        <v>7</v>
      </c>
      <c r="S1800" s="19" t="s">
        <v>20</v>
      </c>
      <c r="T1800" s="19" t="s">
        <v>1471</v>
      </c>
    </row>
    <row r="1801" spans="1:20">
      <c r="A1801" s="20">
        <v>202603329842901</v>
      </c>
      <c r="B1801" s="19" t="s">
        <v>20</v>
      </c>
      <c r="C1801" s="19" t="s">
        <v>21</v>
      </c>
      <c r="D1801" s="19" t="s">
        <v>20</v>
      </c>
      <c r="E1801" s="21">
        <v>46204</v>
      </c>
      <c r="F1801" s="21">
        <v>46568</v>
      </c>
      <c r="G1801" s="21"/>
      <c r="H1801" s="21">
        <v>46204</v>
      </c>
      <c r="I1801" s="21">
        <v>46568</v>
      </c>
      <c r="J1801" s="19" t="s">
        <v>1473</v>
      </c>
      <c r="L1801" s="19">
        <v>24.620673499999999</v>
      </c>
      <c r="M1801" s="19">
        <v>24.620673499999999</v>
      </c>
      <c r="N1801" s="19" t="s">
        <v>1475</v>
      </c>
      <c r="O1801" s="20">
        <v>1</v>
      </c>
      <c r="S1801" s="19" t="s">
        <v>20</v>
      </c>
      <c r="T1801" s="19" t="s">
        <v>1471</v>
      </c>
    </row>
    <row r="1802" spans="1:20">
      <c r="A1802" s="20">
        <v>202603329843265</v>
      </c>
      <c r="B1802" s="19" t="s">
        <v>20</v>
      </c>
      <c r="C1802" s="19" t="s">
        <v>21</v>
      </c>
      <c r="D1802" s="19" t="s">
        <v>20</v>
      </c>
      <c r="E1802" s="21">
        <v>46204</v>
      </c>
      <c r="F1802" s="21">
        <v>46568</v>
      </c>
      <c r="G1802" s="21"/>
      <c r="H1802" s="21">
        <v>46204</v>
      </c>
      <c r="I1802" s="21">
        <v>46568</v>
      </c>
      <c r="J1802" s="19" t="s">
        <v>2129</v>
      </c>
      <c r="L1802" s="19">
        <v>0</v>
      </c>
      <c r="M1802" s="19">
        <v>0</v>
      </c>
      <c r="N1802" s="19" t="s">
        <v>2394</v>
      </c>
      <c r="O1802" s="20">
        <v>9</v>
      </c>
      <c r="S1802" s="19" t="s">
        <v>20</v>
      </c>
      <c r="T1802" s="19" t="s">
        <v>1471</v>
      </c>
    </row>
    <row r="1803" spans="1:20">
      <c r="A1803" s="20">
        <v>202603329843265</v>
      </c>
      <c r="B1803" s="19" t="s">
        <v>20</v>
      </c>
      <c r="C1803" s="19" t="s">
        <v>21</v>
      </c>
      <c r="D1803" s="19" t="s">
        <v>20</v>
      </c>
      <c r="E1803" s="21">
        <v>46204</v>
      </c>
      <c r="F1803" s="21">
        <v>46568</v>
      </c>
      <c r="G1803" s="21"/>
      <c r="H1803" s="21">
        <v>46204</v>
      </c>
      <c r="I1803" s="21">
        <v>46568</v>
      </c>
      <c r="J1803" s="19" t="s">
        <v>2129</v>
      </c>
      <c r="L1803" s="19">
        <v>298.17567224999999</v>
      </c>
      <c r="M1803" s="19">
        <v>298.17567224999999</v>
      </c>
      <c r="N1803" s="19" t="s">
        <v>1475</v>
      </c>
      <c r="O1803" s="20">
        <v>9</v>
      </c>
      <c r="S1803" s="19" t="s">
        <v>20</v>
      </c>
      <c r="T1803" s="19" t="s">
        <v>1471</v>
      </c>
    </row>
    <row r="1804" spans="1:20">
      <c r="A1804" s="20">
        <v>202603329847201</v>
      </c>
      <c r="B1804" s="19" t="s">
        <v>20</v>
      </c>
      <c r="C1804" s="19" t="s">
        <v>21</v>
      </c>
      <c r="D1804" s="19" t="s">
        <v>20</v>
      </c>
      <c r="E1804" s="21">
        <v>46204</v>
      </c>
      <c r="F1804" s="21">
        <v>46568</v>
      </c>
      <c r="G1804" s="21"/>
      <c r="H1804" s="21">
        <v>46204</v>
      </c>
      <c r="I1804" s="21">
        <v>46568</v>
      </c>
      <c r="J1804" s="19" t="s">
        <v>2107</v>
      </c>
      <c r="L1804" s="19">
        <v>0</v>
      </c>
      <c r="M1804" s="19">
        <v>0</v>
      </c>
      <c r="N1804" s="19" t="s">
        <v>2394</v>
      </c>
      <c r="O1804" s="20">
        <v>2</v>
      </c>
      <c r="S1804" s="19" t="s">
        <v>20</v>
      </c>
      <c r="T1804" s="19" t="s">
        <v>1471</v>
      </c>
    </row>
    <row r="1805" spans="1:20">
      <c r="A1805" s="20">
        <v>202603329847201</v>
      </c>
      <c r="B1805" s="19" t="s">
        <v>20</v>
      </c>
      <c r="C1805" s="19" t="s">
        <v>21</v>
      </c>
      <c r="D1805" s="19" t="s">
        <v>2350</v>
      </c>
      <c r="E1805" s="21">
        <v>46204</v>
      </c>
      <c r="F1805" s="21">
        <v>46568</v>
      </c>
      <c r="G1805" s="21"/>
      <c r="H1805" s="21">
        <v>46204</v>
      </c>
      <c r="I1805" s="21">
        <v>46568</v>
      </c>
      <c r="J1805" s="19" t="s">
        <v>2107</v>
      </c>
      <c r="L1805" s="19">
        <v>30.108959500000001</v>
      </c>
      <c r="M1805" s="19">
        <v>30.108959500000001</v>
      </c>
      <c r="N1805" s="19" t="s">
        <v>1467</v>
      </c>
      <c r="O1805" s="20">
        <v>2</v>
      </c>
      <c r="S1805" s="19" t="s">
        <v>20</v>
      </c>
      <c r="T1805" s="19" t="s">
        <v>1471</v>
      </c>
    </row>
    <row r="1806" spans="1:20">
      <c r="A1806" s="20">
        <v>202603329847751</v>
      </c>
      <c r="B1806" s="19" t="s">
        <v>20</v>
      </c>
      <c r="C1806" s="19" t="s">
        <v>21</v>
      </c>
      <c r="D1806" s="19" t="s">
        <v>20</v>
      </c>
      <c r="E1806" s="21">
        <v>46204</v>
      </c>
      <c r="F1806" s="21">
        <v>46568</v>
      </c>
      <c r="G1806" s="21"/>
      <c r="H1806" s="21">
        <v>46204</v>
      </c>
      <c r="I1806" s="21">
        <v>46568</v>
      </c>
      <c r="J1806" s="19" t="s">
        <v>2068</v>
      </c>
      <c r="L1806" s="19">
        <v>0</v>
      </c>
      <c r="M1806" s="19">
        <v>0</v>
      </c>
      <c r="N1806" s="19" t="s">
        <v>2394</v>
      </c>
      <c r="O1806" s="20">
        <v>3</v>
      </c>
      <c r="S1806" s="19" t="s">
        <v>20</v>
      </c>
      <c r="T1806" s="19" t="s">
        <v>1471</v>
      </c>
    </row>
    <row r="1807" spans="1:20">
      <c r="A1807" s="20">
        <v>202603329847751</v>
      </c>
      <c r="B1807" s="19" t="s">
        <v>20</v>
      </c>
      <c r="C1807" s="19" t="s">
        <v>21</v>
      </c>
      <c r="D1807" s="19" t="s">
        <v>20</v>
      </c>
      <c r="E1807" s="21">
        <v>46204</v>
      </c>
      <c r="F1807" s="21">
        <v>46568</v>
      </c>
      <c r="G1807" s="21"/>
      <c r="H1807" s="21">
        <v>46204</v>
      </c>
      <c r="I1807" s="21">
        <v>46568</v>
      </c>
      <c r="J1807" s="19" t="s">
        <v>2068</v>
      </c>
      <c r="L1807" s="19">
        <v>78.776052000000007</v>
      </c>
      <c r="M1807" s="19">
        <v>78.776052000000007</v>
      </c>
      <c r="N1807" s="19" t="s">
        <v>1475</v>
      </c>
      <c r="O1807" s="20">
        <v>3</v>
      </c>
      <c r="S1807" s="19" t="s">
        <v>20</v>
      </c>
      <c r="T1807" s="19" t="s">
        <v>1471</v>
      </c>
    </row>
    <row r="1808" spans="1:20">
      <c r="A1808" s="20">
        <v>202603329848302</v>
      </c>
      <c r="B1808" s="19" t="s">
        <v>20</v>
      </c>
      <c r="C1808" s="19" t="s">
        <v>21</v>
      </c>
      <c r="D1808" s="19" t="s">
        <v>20</v>
      </c>
      <c r="E1808" s="21">
        <v>46204</v>
      </c>
      <c r="F1808" s="21">
        <v>46568</v>
      </c>
      <c r="G1808" s="21"/>
      <c r="H1808" s="21">
        <v>46204</v>
      </c>
      <c r="I1808" s="21">
        <v>46568</v>
      </c>
      <c r="J1808" s="19" t="s">
        <v>2069</v>
      </c>
      <c r="L1808" s="19">
        <v>66.261260500000006</v>
      </c>
      <c r="M1808" s="19">
        <v>66.261260500000006</v>
      </c>
      <c r="N1808" s="19" t="s">
        <v>1475</v>
      </c>
      <c r="O1808" s="20">
        <v>2</v>
      </c>
      <c r="S1808" s="19" t="s">
        <v>20</v>
      </c>
      <c r="T1808" s="19" t="s">
        <v>1471</v>
      </c>
    </row>
    <row r="1809" spans="1:20">
      <c r="A1809" s="20">
        <v>202603329850061</v>
      </c>
      <c r="B1809" s="19" t="s">
        <v>20</v>
      </c>
      <c r="C1809" s="19" t="s">
        <v>21</v>
      </c>
      <c r="D1809" s="19" t="s">
        <v>20</v>
      </c>
      <c r="E1809" s="21">
        <v>46204</v>
      </c>
      <c r="F1809" s="21">
        <v>46568</v>
      </c>
      <c r="G1809" s="21"/>
      <c r="H1809" s="21">
        <v>46204</v>
      </c>
      <c r="I1809" s="21">
        <v>46568</v>
      </c>
      <c r="J1809" s="19" t="s">
        <v>2103</v>
      </c>
      <c r="L1809" s="19">
        <v>0</v>
      </c>
      <c r="M1809" s="19">
        <v>0</v>
      </c>
      <c r="N1809" s="19" t="s">
        <v>2394</v>
      </c>
      <c r="O1809" s="20">
        <v>2</v>
      </c>
      <c r="S1809" s="19" t="s">
        <v>20</v>
      </c>
      <c r="T1809" s="19" t="s">
        <v>1471</v>
      </c>
    </row>
    <row r="1810" spans="1:20">
      <c r="A1810" s="20">
        <v>202603329850061</v>
      </c>
      <c r="B1810" s="19" t="s">
        <v>20</v>
      </c>
      <c r="C1810" s="19" t="s">
        <v>21</v>
      </c>
      <c r="D1810" s="19" t="s">
        <v>20</v>
      </c>
      <c r="E1810" s="21">
        <v>46204</v>
      </c>
      <c r="F1810" s="21">
        <v>46568</v>
      </c>
      <c r="G1810" s="21"/>
      <c r="H1810" s="21">
        <v>46204</v>
      </c>
      <c r="I1810" s="21">
        <v>46568</v>
      </c>
      <c r="J1810" s="19" t="s">
        <v>2103</v>
      </c>
      <c r="L1810" s="19">
        <v>47.936581500000003</v>
      </c>
      <c r="M1810" s="19">
        <v>47.936581500000003</v>
      </c>
      <c r="N1810" s="19" t="s">
        <v>1475</v>
      </c>
      <c r="O1810" s="20">
        <v>2</v>
      </c>
      <c r="S1810" s="19" t="s">
        <v>20</v>
      </c>
      <c r="T1810" s="19" t="s">
        <v>1471</v>
      </c>
    </row>
    <row r="1811" spans="1:20">
      <c r="A1811" s="20">
        <v>202603329850383</v>
      </c>
      <c r="B1811" s="19" t="s">
        <v>20</v>
      </c>
      <c r="C1811" s="19" t="s">
        <v>21</v>
      </c>
      <c r="D1811" s="19" t="s">
        <v>2351</v>
      </c>
      <c r="E1811" s="21">
        <v>46204</v>
      </c>
      <c r="F1811" s="21">
        <v>46568</v>
      </c>
      <c r="G1811" s="21"/>
      <c r="H1811" s="21">
        <v>46204</v>
      </c>
      <c r="I1811" s="21">
        <v>46568</v>
      </c>
      <c r="J1811" s="19" t="s">
        <v>2114</v>
      </c>
      <c r="L1811" s="19">
        <v>16.727183499999999</v>
      </c>
      <c r="M1811" s="19">
        <v>16.727183499999999</v>
      </c>
      <c r="N1811" s="19" t="s">
        <v>1467</v>
      </c>
      <c r="O1811" s="20">
        <v>1</v>
      </c>
      <c r="S1811" s="19" t="s">
        <v>20</v>
      </c>
      <c r="T1811" s="19" t="s">
        <v>1471</v>
      </c>
    </row>
    <row r="1812" spans="1:20">
      <c r="A1812" s="20">
        <v>202603329853205</v>
      </c>
      <c r="B1812" s="19" t="s">
        <v>20</v>
      </c>
      <c r="C1812" s="19" t="s">
        <v>21</v>
      </c>
      <c r="D1812" s="19" t="s">
        <v>20</v>
      </c>
      <c r="E1812" s="21">
        <v>46204</v>
      </c>
      <c r="F1812" s="21">
        <v>46568</v>
      </c>
      <c r="G1812" s="21"/>
      <c r="H1812" s="21">
        <v>46204</v>
      </c>
      <c r="I1812" s="21">
        <v>46568</v>
      </c>
      <c r="J1812" s="19" t="s">
        <v>2064</v>
      </c>
      <c r="L1812" s="19">
        <v>33.130630250000003</v>
      </c>
      <c r="M1812" s="19">
        <v>33.130630250000003</v>
      </c>
      <c r="N1812" s="19" t="s">
        <v>1475</v>
      </c>
      <c r="O1812" s="20">
        <v>1</v>
      </c>
      <c r="S1812" s="19" t="s">
        <v>20</v>
      </c>
      <c r="T1812" s="19" t="s">
        <v>1471</v>
      </c>
    </row>
    <row r="1813" spans="1:20">
      <c r="A1813" s="20">
        <v>202603329854700</v>
      </c>
      <c r="B1813" s="19" t="s">
        <v>20</v>
      </c>
      <c r="C1813" s="19" t="s">
        <v>21</v>
      </c>
      <c r="D1813" s="19" t="s">
        <v>20</v>
      </c>
      <c r="E1813" s="21">
        <v>46204</v>
      </c>
      <c r="F1813" s="21">
        <v>46568</v>
      </c>
      <c r="G1813" s="21"/>
      <c r="H1813" s="21">
        <v>46204</v>
      </c>
      <c r="I1813" s="21">
        <v>46568</v>
      </c>
      <c r="J1813" s="19" t="s">
        <v>2087</v>
      </c>
      <c r="L1813" s="19">
        <v>0</v>
      </c>
      <c r="M1813" s="19">
        <v>0</v>
      </c>
      <c r="N1813" s="19" t="s">
        <v>2394</v>
      </c>
      <c r="O1813" s="20">
        <v>3</v>
      </c>
      <c r="S1813" s="19" t="s">
        <v>20</v>
      </c>
      <c r="T1813" s="19" t="s">
        <v>1471</v>
      </c>
    </row>
    <row r="1814" spans="1:20">
      <c r="A1814" s="20">
        <v>202603329854700</v>
      </c>
      <c r="B1814" s="19" t="s">
        <v>20</v>
      </c>
      <c r="C1814" s="19" t="s">
        <v>21</v>
      </c>
      <c r="D1814" s="19" t="s">
        <v>20</v>
      </c>
      <c r="E1814" s="21">
        <v>46204</v>
      </c>
      <c r="F1814" s="21">
        <v>46568</v>
      </c>
      <c r="G1814" s="21"/>
      <c r="H1814" s="21">
        <v>46204</v>
      </c>
      <c r="I1814" s="21">
        <v>46568</v>
      </c>
      <c r="J1814" s="19" t="s">
        <v>2087</v>
      </c>
      <c r="L1814" s="19">
        <v>99.391890750000002</v>
      </c>
      <c r="M1814" s="19">
        <v>99.391890750000002</v>
      </c>
      <c r="N1814" s="19" t="s">
        <v>1475</v>
      </c>
      <c r="O1814" s="20">
        <v>3</v>
      </c>
      <c r="S1814" s="19" t="s">
        <v>20</v>
      </c>
      <c r="T1814" s="19" t="s">
        <v>1471</v>
      </c>
    </row>
    <row r="1815" spans="1:20">
      <c r="A1815" s="20">
        <v>202603329855207</v>
      </c>
      <c r="B1815" s="19" t="s">
        <v>20</v>
      </c>
      <c r="C1815" s="19" t="s">
        <v>21</v>
      </c>
      <c r="D1815" s="19" t="s">
        <v>20</v>
      </c>
      <c r="E1815" s="21">
        <v>46204</v>
      </c>
      <c r="F1815" s="21">
        <v>46568</v>
      </c>
      <c r="G1815" s="21"/>
      <c r="H1815" s="21">
        <v>46204</v>
      </c>
      <c r="I1815" s="21">
        <v>46568</v>
      </c>
      <c r="J1815" s="19" t="s">
        <v>2080</v>
      </c>
      <c r="L1815" s="19">
        <v>33.130630250000003</v>
      </c>
      <c r="M1815" s="19">
        <v>33.130630250000003</v>
      </c>
      <c r="N1815" s="19" t="s">
        <v>1475</v>
      </c>
      <c r="O1815" s="20">
        <v>1</v>
      </c>
      <c r="S1815" s="19" t="s">
        <v>20</v>
      </c>
      <c r="T1815" s="19" t="s">
        <v>1471</v>
      </c>
    </row>
    <row r="1816" spans="1:20">
      <c r="A1816" s="20">
        <v>202603329855434</v>
      </c>
      <c r="B1816" s="19" t="s">
        <v>20</v>
      </c>
      <c r="C1816" s="19" t="s">
        <v>21</v>
      </c>
      <c r="D1816" s="19" t="s">
        <v>20</v>
      </c>
      <c r="E1816" s="21">
        <v>46204</v>
      </c>
      <c r="F1816" s="21">
        <v>46568</v>
      </c>
      <c r="G1816" s="21"/>
      <c r="H1816" s="21">
        <v>46204</v>
      </c>
      <c r="I1816" s="21">
        <v>46568</v>
      </c>
      <c r="J1816" s="19" t="s">
        <v>2069</v>
      </c>
      <c r="L1816" s="19">
        <v>33.130630250000003</v>
      </c>
      <c r="M1816" s="19">
        <v>33.130630250000003</v>
      </c>
      <c r="N1816" s="19" t="s">
        <v>1475</v>
      </c>
      <c r="O1816" s="20">
        <v>1</v>
      </c>
      <c r="S1816" s="19" t="s">
        <v>20</v>
      </c>
      <c r="T1816" s="19" t="s">
        <v>1471</v>
      </c>
    </row>
    <row r="1817" spans="1:20">
      <c r="A1817" s="20">
        <v>202603329856541</v>
      </c>
      <c r="B1817" s="19" t="s">
        <v>20</v>
      </c>
      <c r="C1817" s="19" t="s">
        <v>21</v>
      </c>
      <c r="D1817" s="19" t="s">
        <v>20</v>
      </c>
      <c r="E1817" s="21">
        <v>46204</v>
      </c>
      <c r="F1817" s="21">
        <v>46568</v>
      </c>
      <c r="G1817" s="21"/>
      <c r="H1817" s="21">
        <v>46204</v>
      </c>
      <c r="I1817" s="21">
        <v>46568</v>
      </c>
      <c r="J1817" s="19" t="s">
        <v>2083</v>
      </c>
      <c r="L1817" s="19">
        <v>99.391890750000002</v>
      </c>
      <c r="M1817" s="19">
        <v>99.391890750000002</v>
      </c>
      <c r="N1817" s="19" t="s">
        <v>1475</v>
      </c>
      <c r="O1817" s="20">
        <v>3</v>
      </c>
      <c r="S1817" s="19" t="s">
        <v>20</v>
      </c>
      <c r="T1817" s="19" t="s">
        <v>1471</v>
      </c>
    </row>
    <row r="1818" spans="1:20">
      <c r="A1818" s="20">
        <v>202603329858118</v>
      </c>
      <c r="B1818" s="19" t="s">
        <v>20</v>
      </c>
      <c r="C1818" s="19" t="s">
        <v>21</v>
      </c>
      <c r="D1818" s="19" t="s">
        <v>20</v>
      </c>
      <c r="E1818" s="21">
        <v>46204</v>
      </c>
      <c r="F1818" s="21">
        <v>46568</v>
      </c>
      <c r="G1818" s="21"/>
      <c r="H1818" s="21">
        <v>46204</v>
      </c>
      <c r="I1818" s="21">
        <v>46568</v>
      </c>
      <c r="J1818" s="19" t="s">
        <v>2068</v>
      </c>
      <c r="L1818" s="19">
        <v>0</v>
      </c>
      <c r="M1818" s="19">
        <v>0</v>
      </c>
      <c r="N1818" s="19" t="s">
        <v>2394</v>
      </c>
      <c r="O1818" s="20">
        <v>6</v>
      </c>
      <c r="S1818" s="19" t="s">
        <v>20</v>
      </c>
      <c r="T1818" s="19" t="s">
        <v>1471</v>
      </c>
    </row>
    <row r="1819" spans="1:20">
      <c r="A1819" s="20">
        <v>202603329858118</v>
      </c>
      <c r="B1819" s="19" t="s">
        <v>20</v>
      </c>
      <c r="C1819" s="19" t="s">
        <v>21</v>
      </c>
      <c r="D1819" s="19" t="s">
        <v>20</v>
      </c>
      <c r="E1819" s="21">
        <v>46204</v>
      </c>
      <c r="F1819" s="21">
        <v>46568</v>
      </c>
      <c r="G1819" s="21"/>
      <c r="H1819" s="21">
        <v>46204</v>
      </c>
      <c r="I1819" s="21">
        <v>46568</v>
      </c>
      <c r="J1819" s="19" t="s">
        <v>2068</v>
      </c>
      <c r="L1819" s="19">
        <v>157.55210400000001</v>
      </c>
      <c r="M1819" s="19">
        <v>157.55210400000001</v>
      </c>
      <c r="N1819" s="19" t="s">
        <v>1475</v>
      </c>
      <c r="O1819" s="20">
        <v>6</v>
      </c>
      <c r="S1819" s="19" t="s">
        <v>20</v>
      </c>
      <c r="T1819" s="19" t="s">
        <v>1471</v>
      </c>
    </row>
    <row r="1820" spans="1:20">
      <c r="A1820" s="20">
        <v>202603329858731</v>
      </c>
      <c r="B1820" s="19" t="s">
        <v>20</v>
      </c>
      <c r="C1820" s="19" t="s">
        <v>21</v>
      </c>
      <c r="D1820" s="19" t="s">
        <v>20</v>
      </c>
      <c r="E1820" s="21">
        <v>46204</v>
      </c>
      <c r="F1820" s="21">
        <v>46568</v>
      </c>
      <c r="G1820" s="21"/>
      <c r="H1820" s="21">
        <v>46204</v>
      </c>
      <c r="I1820" s="21">
        <v>46568</v>
      </c>
      <c r="J1820" s="19" t="s">
        <v>2209</v>
      </c>
      <c r="L1820" s="19">
        <v>33.130630250000003</v>
      </c>
      <c r="M1820" s="19">
        <v>33.130630250000003</v>
      </c>
      <c r="N1820" s="19" t="s">
        <v>1475</v>
      </c>
      <c r="O1820" s="20">
        <v>1</v>
      </c>
      <c r="S1820" s="19" t="s">
        <v>20</v>
      </c>
      <c r="T1820" s="19" t="s">
        <v>1471</v>
      </c>
    </row>
    <row r="1821" spans="1:20">
      <c r="A1821" s="20">
        <v>202603329859384</v>
      </c>
      <c r="B1821" s="19" t="s">
        <v>20</v>
      </c>
      <c r="C1821" s="19" t="s">
        <v>21</v>
      </c>
      <c r="D1821" s="19" t="s">
        <v>20</v>
      </c>
      <c r="E1821" s="21">
        <v>46204</v>
      </c>
      <c r="F1821" s="21">
        <v>46568</v>
      </c>
      <c r="G1821" s="21"/>
      <c r="H1821" s="21">
        <v>46204</v>
      </c>
      <c r="I1821" s="21">
        <v>46568</v>
      </c>
      <c r="J1821" s="19" t="s">
        <v>2064</v>
      </c>
      <c r="L1821" s="19">
        <v>0</v>
      </c>
      <c r="M1821" s="19">
        <v>0</v>
      </c>
      <c r="N1821" s="19" t="s">
        <v>2394</v>
      </c>
      <c r="O1821" s="20">
        <v>3</v>
      </c>
      <c r="S1821" s="19" t="s">
        <v>20</v>
      </c>
      <c r="T1821" s="19" t="s">
        <v>1471</v>
      </c>
    </row>
    <row r="1822" spans="1:20">
      <c r="A1822" s="20">
        <v>202603329859384</v>
      </c>
      <c r="B1822" s="19" t="s">
        <v>20</v>
      </c>
      <c r="C1822" s="19" t="s">
        <v>21</v>
      </c>
      <c r="D1822" s="19" t="s">
        <v>20</v>
      </c>
      <c r="E1822" s="21">
        <v>46204</v>
      </c>
      <c r="F1822" s="21">
        <v>46568</v>
      </c>
      <c r="G1822" s="21"/>
      <c r="H1822" s="21">
        <v>46204</v>
      </c>
      <c r="I1822" s="21">
        <v>46568</v>
      </c>
      <c r="J1822" s="19" t="s">
        <v>2064</v>
      </c>
      <c r="L1822" s="19">
        <v>99.391890750000002</v>
      </c>
      <c r="M1822" s="19">
        <v>99.391890750000002</v>
      </c>
      <c r="N1822" s="19" t="s">
        <v>1475</v>
      </c>
      <c r="O1822" s="20">
        <v>3</v>
      </c>
      <c r="S1822" s="19" t="s">
        <v>20</v>
      </c>
      <c r="T1822" s="19" t="s">
        <v>1471</v>
      </c>
    </row>
    <row r="1823" spans="1:20">
      <c r="A1823" s="20">
        <v>202603329859532</v>
      </c>
      <c r="B1823" s="19" t="s">
        <v>20</v>
      </c>
      <c r="C1823" s="19" t="s">
        <v>21</v>
      </c>
      <c r="D1823" s="19" t="s">
        <v>20</v>
      </c>
      <c r="E1823" s="21">
        <v>46204</v>
      </c>
      <c r="F1823" s="21">
        <v>46568</v>
      </c>
      <c r="G1823" s="21"/>
      <c r="H1823" s="21">
        <v>46204</v>
      </c>
      <c r="I1823" s="21">
        <v>46568</v>
      </c>
      <c r="J1823" s="19" t="s">
        <v>2071</v>
      </c>
      <c r="L1823" s="19">
        <v>38.659559000000002</v>
      </c>
      <c r="M1823" s="19">
        <v>38.659559000000002</v>
      </c>
      <c r="N1823" s="19" t="s">
        <v>1475</v>
      </c>
      <c r="O1823" s="20">
        <v>1</v>
      </c>
      <c r="S1823" s="19" t="s">
        <v>20</v>
      </c>
      <c r="T1823" s="19" t="s">
        <v>1471</v>
      </c>
    </row>
    <row r="1824" spans="1:20">
      <c r="A1824" s="20">
        <v>202603329859769</v>
      </c>
      <c r="B1824" s="19" t="s">
        <v>20</v>
      </c>
      <c r="C1824" s="19" t="s">
        <v>21</v>
      </c>
      <c r="D1824" s="19" t="s">
        <v>20</v>
      </c>
      <c r="E1824" s="21">
        <v>46204</v>
      </c>
      <c r="F1824" s="21">
        <v>46568</v>
      </c>
      <c r="G1824" s="21"/>
      <c r="H1824" s="21">
        <v>46204</v>
      </c>
      <c r="I1824" s="21">
        <v>46568</v>
      </c>
      <c r="J1824" s="19" t="s">
        <v>2086</v>
      </c>
      <c r="L1824" s="19">
        <v>0</v>
      </c>
      <c r="M1824" s="19">
        <v>0</v>
      </c>
      <c r="N1824" s="19" t="s">
        <v>2394</v>
      </c>
      <c r="O1824" s="20">
        <v>6</v>
      </c>
      <c r="S1824" s="19" t="s">
        <v>20</v>
      </c>
      <c r="T1824" s="19" t="s">
        <v>1471</v>
      </c>
    </row>
    <row r="1825" spans="1:20">
      <c r="A1825" s="20">
        <v>202603329859769</v>
      </c>
      <c r="B1825" s="19" t="s">
        <v>20</v>
      </c>
      <c r="C1825" s="19" t="s">
        <v>21</v>
      </c>
      <c r="D1825" s="19" t="s">
        <v>2352</v>
      </c>
      <c r="E1825" s="21">
        <v>46204</v>
      </c>
      <c r="F1825" s="21">
        <v>46568</v>
      </c>
      <c r="G1825" s="21"/>
      <c r="H1825" s="21">
        <v>46204</v>
      </c>
      <c r="I1825" s="21">
        <v>46568</v>
      </c>
      <c r="J1825" s="19" t="s">
        <v>2086</v>
      </c>
      <c r="L1825" s="19">
        <v>198.7837815</v>
      </c>
      <c r="M1825" s="19">
        <v>198.7837815</v>
      </c>
      <c r="N1825" s="19" t="s">
        <v>1467</v>
      </c>
      <c r="O1825" s="20">
        <v>6</v>
      </c>
      <c r="S1825" s="19" t="s">
        <v>20</v>
      </c>
      <c r="T1825" s="19" t="s">
        <v>1471</v>
      </c>
    </row>
    <row r="1826" spans="1:20">
      <c r="A1826" s="20">
        <v>202603329860907</v>
      </c>
      <c r="B1826" s="19" t="s">
        <v>20</v>
      </c>
      <c r="C1826" s="19" t="s">
        <v>21</v>
      </c>
      <c r="D1826" s="19" t="s">
        <v>20</v>
      </c>
      <c r="E1826" s="21">
        <v>46204</v>
      </c>
      <c r="F1826" s="21">
        <v>46568</v>
      </c>
      <c r="G1826" s="21"/>
      <c r="H1826" s="21">
        <v>46204</v>
      </c>
      <c r="I1826" s="21">
        <v>46568</v>
      </c>
      <c r="J1826" s="19" t="s">
        <v>2064</v>
      </c>
      <c r="L1826" s="19">
        <v>0</v>
      </c>
      <c r="M1826" s="19">
        <v>0</v>
      </c>
      <c r="N1826" s="19" t="s">
        <v>2394</v>
      </c>
      <c r="O1826" s="20">
        <v>3</v>
      </c>
      <c r="S1826" s="19" t="s">
        <v>20</v>
      </c>
      <c r="T1826" s="19" t="s">
        <v>1471</v>
      </c>
    </row>
    <row r="1827" spans="1:20">
      <c r="A1827" s="20">
        <v>202603329860907</v>
      </c>
      <c r="B1827" s="19" t="s">
        <v>20</v>
      </c>
      <c r="C1827" s="19" t="s">
        <v>21</v>
      </c>
      <c r="D1827" s="19" t="s">
        <v>20</v>
      </c>
      <c r="E1827" s="21">
        <v>46204</v>
      </c>
      <c r="F1827" s="21">
        <v>46568</v>
      </c>
      <c r="G1827" s="21"/>
      <c r="H1827" s="21">
        <v>46204</v>
      </c>
      <c r="I1827" s="21">
        <v>46568</v>
      </c>
      <c r="J1827" s="19" t="s">
        <v>2064</v>
      </c>
      <c r="L1827" s="19">
        <v>99.391890750000002</v>
      </c>
      <c r="M1827" s="19">
        <v>99.391890750000002</v>
      </c>
      <c r="N1827" s="19" t="s">
        <v>1475</v>
      </c>
      <c r="O1827" s="20">
        <v>3</v>
      </c>
      <c r="S1827" s="19" t="s">
        <v>20</v>
      </c>
      <c r="T1827" s="19" t="s">
        <v>1471</v>
      </c>
    </row>
    <row r="1828" spans="1:20">
      <c r="A1828" s="20">
        <v>202603329861296</v>
      </c>
      <c r="B1828" s="19" t="s">
        <v>20</v>
      </c>
      <c r="C1828" s="19" t="s">
        <v>21</v>
      </c>
      <c r="D1828" s="19" t="s">
        <v>20</v>
      </c>
      <c r="E1828" s="21">
        <v>46204</v>
      </c>
      <c r="F1828" s="21">
        <v>46568</v>
      </c>
      <c r="G1828" s="21"/>
      <c r="H1828" s="21">
        <v>46204</v>
      </c>
      <c r="I1828" s="21">
        <v>46568</v>
      </c>
      <c r="J1828" s="19" t="s">
        <v>2272</v>
      </c>
      <c r="L1828" s="19">
        <v>0</v>
      </c>
      <c r="M1828" s="19">
        <v>0</v>
      </c>
      <c r="N1828" s="19" t="s">
        <v>2394</v>
      </c>
      <c r="O1828" s="20">
        <v>4</v>
      </c>
      <c r="S1828" s="19" t="s">
        <v>20</v>
      </c>
      <c r="T1828" s="19" t="s">
        <v>1471</v>
      </c>
    </row>
    <row r="1829" spans="1:20">
      <c r="A1829" s="20">
        <v>202603329861296</v>
      </c>
      <c r="B1829" s="19" t="s">
        <v>20</v>
      </c>
      <c r="C1829" s="19" t="s">
        <v>21</v>
      </c>
      <c r="D1829" s="19" t="s">
        <v>20</v>
      </c>
      <c r="E1829" s="21">
        <v>46204</v>
      </c>
      <c r="F1829" s="21">
        <v>46568</v>
      </c>
      <c r="G1829" s="21"/>
      <c r="H1829" s="21">
        <v>46204</v>
      </c>
      <c r="I1829" s="21">
        <v>46568</v>
      </c>
      <c r="J1829" s="19" t="s">
        <v>2272</v>
      </c>
      <c r="L1829" s="19">
        <v>132.52252100000001</v>
      </c>
      <c r="M1829" s="19">
        <v>132.52252100000001</v>
      </c>
      <c r="N1829" s="19" t="s">
        <v>1475</v>
      </c>
      <c r="O1829" s="20">
        <v>4</v>
      </c>
      <c r="S1829" s="19" t="s">
        <v>20</v>
      </c>
      <c r="T1829" s="19" t="s">
        <v>1471</v>
      </c>
    </row>
    <row r="1830" spans="1:20">
      <c r="A1830" s="20">
        <v>202603329861423</v>
      </c>
      <c r="B1830" s="19" t="s">
        <v>20</v>
      </c>
      <c r="C1830" s="19" t="s">
        <v>21</v>
      </c>
      <c r="D1830" s="19" t="s">
        <v>20</v>
      </c>
      <c r="E1830" s="21">
        <v>46204</v>
      </c>
      <c r="F1830" s="21">
        <v>46568</v>
      </c>
      <c r="G1830" s="21"/>
      <c r="H1830" s="21">
        <v>46204</v>
      </c>
      <c r="I1830" s="21">
        <v>46568</v>
      </c>
      <c r="J1830" s="19" t="s">
        <v>2085</v>
      </c>
      <c r="L1830" s="19">
        <v>0</v>
      </c>
      <c r="M1830" s="19">
        <v>0</v>
      </c>
      <c r="N1830" s="19" t="s">
        <v>2394</v>
      </c>
      <c r="O1830" s="20">
        <v>2</v>
      </c>
      <c r="S1830" s="19" t="s">
        <v>20</v>
      </c>
      <c r="T1830" s="19" t="s">
        <v>1471</v>
      </c>
    </row>
    <row r="1831" spans="1:20">
      <c r="A1831" s="20">
        <v>202603329861423</v>
      </c>
      <c r="B1831" s="19" t="s">
        <v>20</v>
      </c>
      <c r="C1831" s="19" t="s">
        <v>21</v>
      </c>
      <c r="D1831" s="19" t="s">
        <v>20</v>
      </c>
      <c r="E1831" s="21">
        <v>46204</v>
      </c>
      <c r="F1831" s="21">
        <v>46568</v>
      </c>
      <c r="G1831" s="21"/>
      <c r="H1831" s="21">
        <v>46204</v>
      </c>
      <c r="I1831" s="21">
        <v>46568</v>
      </c>
      <c r="J1831" s="19" t="s">
        <v>2085</v>
      </c>
      <c r="L1831" s="19">
        <v>49.241346999999998</v>
      </c>
      <c r="M1831" s="19">
        <v>49.241346999999998</v>
      </c>
      <c r="N1831" s="19" t="s">
        <v>1475</v>
      </c>
      <c r="O1831" s="20">
        <v>2</v>
      </c>
      <c r="S1831" s="19" t="s">
        <v>20</v>
      </c>
      <c r="T1831" s="19" t="s">
        <v>1471</v>
      </c>
    </row>
    <row r="1832" spans="1:20">
      <c r="A1832" s="20">
        <v>202603329861565</v>
      </c>
      <c r="B1832" s="19" t="s">
        <v>20</v>
      </c>
      <c r="C1832" s="19" t="s">
        <v>21</v>
      </c>
      <c r="D1832" s="19" t="s">
        <v>20</v>
      </c>
      <c r="E1832" s="21">
        <v>46204</v>
      </c>
      <c r="F1832" s="21">
        <v>46568</v>
      </c>
      <c r="G1832" s="21"/>
      <c r="H1832" s="21">
        <v>46204</v>
      </c>
      <c r="I1832" s="21">
        <v>46568</v>
      </c>
      <c r="J1832" s="19" t="s">
        <v>2301</v>
      </c>
      <c r="L1832" s="19">
        <v>0</v>
      </c>
      <c r="M1832" s="19">
        <v>0</v>
      </c>
      <c r="N1832" s="19" t="s">
        <v>2394</v>
      </c>
      <c r="O1832" s="20">
        <v>3</v>
      </c>
      <c r="S1832" s="19" t="s">
        <v>20</v>
      </c>
      <c r="T1832" s="19" t="s">
        <v>1471</v>
      </c>
    </row>
    <row r="1833" spans="1:20">
      <c r="A1833" s="20">
        <v>202603329861565</v>
      </c>
      <c r="B1833" s="19" t="s">
        <v>20</v>
      </c>
      <c r="C1833" s="19" t="s">
        <v>21</v>
      </c>
      <c r="D1833" s="19" t="s">
        <v>2353</v>
      </c>
      <c r="E1833" s="21">
        <v>46204</v>
      </c>
      <c r="F1833" s="21">
        <v>46568</v>
      </c>
      <c r="G1833" s="21"/>
      <c r="H1833" s="21">
        <v>46204</v>
      </c>
      <c r="I1833" s="21">
        <v>46568</v>
      </c>
      <c r="J1833" s="19" t="s">
        <v>2301</v>
      </c>
      <c r="L1833" s="19">
        <v>29.8487145</v>
      </c>
      <c r="M1833" s="19">
        <v>29.8487145</v>
      </c>
      <c r="N1833" s="19" t="s">
        <v>1467</v>
      </c>
      <c r="O1833" s="20">
        <v>3</v>
      </c>
      <c r="S1833" s="19" t="s">
        <v>20</v>
      </c>
      <c r="T1833" s="19" t="s">
        <v>1471</v>
      </c>
    </row>
    <row r="1834" spans="1:20">
      <c r="A1834" s="20">
        <v>202603329861854</v>
      </c>
      <c r="B1834" s="19" t="s">
        <v>20</v>
      </c>
      <c r="C1834" s="19" t="s">
        <v>21</v>
      </c>
      <c r="D1834" s="19" t="s">
        <v>20</v>
      </c>
      <c r="E1834" s="21">
        <v>46204</v>
      </c>
      <c r="F1834" s="21">
        <v>46568</v>
      </c>
      <c r="G1834" s="21"/>
      <c r="H1834" s="21">
        <v>46204</v>
      </c>
      <c r="I1834" s="21">
        <v>46568</v>
      </c>
      <c r="J1834" s="19" t="s">
        <v>2068</v>
      </c>
      <c r="L1834" s="19">
        <v>0</v>
      </c>
      <c r="M1834" s="19">
        <v>0</v>
      </c>
      <c r="N1834" s="19" t="s">
        <v>2394</v>
      </c>
      <c r="O1834" s="20">
        <v>2</v>
      </c>
      <c r="S1834" s="19" t="s">
        <v>20</v>
      </c>
      <c r="T1834" s="19" t="s">
        <v>1471</v>
      </c>
    </row>
    <row r="1835" spans="1:20">
      <c r="A1835" s="20">
        <v>202603329861854</v>
      </c>
      <c r="B1835" s="19" t="s">
        <v>20</v>
      </c>
      <c r="C1835" s="19" t="s">
        <v>21</v>
      </c>
      <c r="D1835" s="19" t="s">
        <v>20</v>
      </c>
      <c r="E1835" s="21">
        <v>46204</v>
      </c>
      <c r="F1835" s="21">
        <v>46568</v>
      </c>
      <c r="G1835" s="21"/>
      <c r="H1835" s="21">
        <v>46204</v>
      </c>
      <c r="I1835" s="21">
        <v>46568</v>
      </c>
      <c r="J1835" s="19" t="s">
        <v>2068</v>
      </c>
      <c r="L1835" s="19">
        <v>52.517367999999998</v>
      </c>
      <c r="M1835" s="19">
        <v>52.517367999999998</v>
      </c>
      <c r="N1835" s="19" t="s">
        <v>1475</v>
      </c>
      <c r="O1835" s="20">
        <v>2</v>
      </c>
      <c r="S1835" s="19" t="s">
        <v>20</v>
      </c>
      <c r="T1835" s="19" t="s">
        <v>1471</v>
      </c>
    </row>
    <row r="1836" spans="1:20">
      <c r="A1836" s="20">
        <v>202603329862199</v>
      </c>
      <c r="B1836" s="19" t="s">
        <v>20</v>
      </c>
      <c r="C1836" s="19" t="s">
        <v>21</v>
      </c>
      <c r="D1836" s="19" t="s">
        <v>20</v>
      </c>
      <c r="E1836" s="21">
        <v>46204</v>
      </c>
      <c r="F1836" s="21">
        <v>46568</v>
      </c>
      <c r="G1836" s="21"/>
      <c r="H1836" s="21">
        <v>46204</v>
      </c>
      <c r="I1836" s="21">
        <v>46568</v>
      </c>
      <c r="J1836" s="19" t="s">
        <v>2068</v>
      </c>
      <c r="L1836" s="19">
        <v>0</v>
      </c>
      <c r="M1836" s="19">
        <v>0</v>
      </c>
      <c r="N1836" s="19" t="s">
        <v>2394</v>
      </c>
      <c r="O1836" s="20">
        <v>5</v>
      </c>
      <c r="S1836" s="19" t="s">
        <v>20</v>
      </c>
      <c r="T1836" s="19" t="s">
        <v>1471</v>
      </c>
    </row>
    <row r="1837" spans="1:20">
      <c r="A1837" s="20">
        <v>202603329862199</v>
      </c>
      <c r="B1837" s="19" t="s">
        <v>20</v>
      </c>
      <c r="C1837" s="19" t="s">
        <v>21</v>
      </c>
      <c r="D1837" s="19" t="s">
        <v>20</v>
      </c>
      <c r="E1837" s="21">
        <v>46204</v>
      </c>
      <c r="F1837" s="21">
        <v>46568</v>
      </c>
      <c r="G1837" s="21"/>
      <c r="H1837" s="21">
        <v>46204</v>
      </c>
      <c r="I1837" s="21">
        <v>46568</v>
      </c>
      <c r="J1837" s="19" t="s">
        <v>2068</v>
      </c>
      <c r="L1837" s="19">
        <v>131.29342</v>
      </c>
      <c r="M1837" s="19">
        <v>131.29342</v>
      </c>
      <c r="N1837" s="19" t="s">
        <v>1475</v>
      </c>
      <c r="O1837" s="20">
        <v>5</v>
      </c>
      <c r="S1837" s="19" t="s">
        <v>20</v>
      </c>
      <c r="T1837" s="19" t="s">
        <v>1471</v>
      </c>
    </row>
    <row r="1838" spans="1:20">
      <c r="A1838" s="20">
        <v>202603329869266</v>
      </c>
      <c r="B1838" s="19" t="s">
        <v>20</v>
      </c>
      <c r="C1838" s="19" t="s">
        <v>21</v>
      </c>
      <c r="D1838" s="19" t="s">
        <v>20</v>
      </c>
      <c r="E1838" s="21">
        <v>46204</v>
      </c>
      <c r="F1838" s="21">
        <v>46568</v>
      </c>
      <c r="G1838" s="21"/>
      <c r="H1838" s="21">
        <v>46204</v>
      </c>
      <c r="I1838" s="21">
        <v>46568</v>
      </c>
      <c r="J1838" s="19" t="s">
        <v>1473</v>
      </c>
      <c r="L1838" s="19">
        <v>24.620673499999999</v>
      </c>
      <c r="M1838" s="19">
        <v>24.620673499999999</v>
      </c>
      <c r="N1838" s="19" t="s">
        <v>1475</v>
      </c>
      <c r="O1838" s="20">
        <v>1</v>
      </c>
      <c r="S1838" s="19" t="s">
        <v>20</v>
      </c>
      <c r="T1838" s="19" t="s">
        <v>1471</v>
      </c>
    </row>
    <row r="1839" spans="1:20">
      <c r="A1839" s="20">
        <v>202603329870870</v>
      </c>
      <c r="B1839" s="19" t="s">
        <v>20</v>
      </c>
      <c r="C1839" s="19" t="s">
        <v>21</v>
      </c>
      <c r="D1839" s="19" t="s">
        <v>20</v>
      </c>
      <c r="E1839" s="21">
        <v>46204</v>
      </c>
      <c r="F1839" s="21">
        <v>46568</v>
      </c>
      <c r="G1839" s="21"/>
      <c r="H1839" s="21">
        <v>46204</v>
      </c>
      <c r="I1839" s="21">
        <v>46568</v>
      </c>
      <c r="J1839" s="19" t="s">
        <v>2071</v>
      </c>
      <c r="L1839" s="19">
        <v>0</v>
      </c>
      <c r="M1839" s="19">
        <v>0</v>
      </c>
      <c r="N1839" s="19" t="s">
        <v>2394</v>
      </c>
      <c r="O1839" s="20">
        <v>3</v>
      </c>
      <c r="S1839" s="19" t="s">
        <v>20</v>
      </c>
      <c r="T1839" s="19" t="s">
        <v>1471</v>
      </c>
    </row>
    <row r="1840" spans="1:20">
      <c r="A1840" s="20">
        <v>202603329870870</v>
      </c>
      <c r="B1840" s="19" t="s">
        <v>20</v>
      </c>
      <c r="C1840" s="19" t="s">
        <v>21</v>
      </c>
      <c r="D1840" s="19" t="s">
        <v>2354</v>
      </c>
      <c r="E1840" s="21">
        <v>46204</v>
      </c>
      <c r="F1840" s="21">
        <v>46568</v>
      </c>
      <c r="G1840" s="21"/>
      <c r="H1840" s="21">
        <v>46204</v>
      </c>
      <c r="I1840" s="21">
        <v>46568</v>
      </c>
      <c r="J1840" s="19" t="s">
        <v>2071</v>
      </c>
      <c r="L1840" s="19">
        <v>115.978677</v>
      </c>
      <c r="M1840" s="19">
        <v>115.978677</v>
      </c>
      <c r="N1840" s="19" t="s">
        <v>1467</v>
      </c>
      <c r="O1840" s="20">
        <v>3</v>
      </c>
      <c r="S1840" s="19" t="s">
        <v>20</v>
      </c>
      <c r="T1840" s="19" t="s">
        <v>1471</v>
      </c>
    </row>
    <row r="1841" spans="1:20">
      <c r="A1841" s="20">
        <v>202603329871758</v>
      </c>
      <c r="B1841" s="19" t="s">
        <v>20</v>
      </c>
      <c r="C1841" s="19" t="s">
        <v>21</v>
      </c>
      <c r="D1841" s="19" t="s">
        <v>20</v>
      </c>
      <c r="E1841" s="21">
        <v>46204</v>
      </c>
      <c r="F1841" s="21">
        <v>46568</v>
      </c>
      <c r="G1841" s="21"/>
      <c r="H1841" s="21">
        <v>46204</v>
      </c>
      <c r="I1841" s="21">
        <v>46568</v>
      </c>
      <c r="J1841" s="19" t="s">
        <v>2087</v>
      </c>
      <c r="L1841" s="19">
        <v>0</v>
      </c>
      <c r="M1841" s="19">
        <v>0</v>
      </c>
      <c r="N1841" s="19" t="s">
        <v>2394</v>
      </c>
      <c r="O1841" s="20">
        <v>5</v>
      </c>
      <c r="S1841" s="19" t="s">
        <v>20</v>
      </c>
      <c r="T1841" s="19" t="s">
        <v>1471</v>
      </c>
    </row>
    <row r="1842" spans="1:20">
      <c r="A1842" s="20">
        <v>202603329871758</v>
      </c>
      <c r="B1842" s="19" t="s">
        <v>20</v>
      </c>
      <c r="C1842" s="19" t="s">
        <v>21</v>
      </c>
      <c r="D1842" s="19" t="s">
        <v>20</v>
      </c>
      <c r="E1842" s="21">
        <v>46204</v>
      </c>
      <c r="F1842" s="21">
        <v>46568</v>
      </c>
      <c r="G1842" s="21"/>
      <c r="H1842" s="21">
        <v>46204</v>
      </c>
      <c r="I1842" s="21">
        <v>46568</v>
      </c>
      <c r="J1842" s="19" t="s">
        <v>2087</v>
      </c>
      <c r="L1842" s="19">
        <v>165.65315125000001</v>
      </c>
      <c r="M1842" s="19">
        <v>165.65315125000001</v>
      </c>
      <c r="N1842" s="19" t="s">
        <v>1475</v>
      </c>
      <c r="O1842" s="20">
        <v>5</v>
      </c>
      <c r="S1842" s="19" t="s">
        <v>20</v>
      </c>
      <c r="T1842" s="19" t="s">
        <v>1471</v>
      </c>
    </row>
    <row r="1843" spans="1:20">
      <c r="A1843" s="20">
        <v>202603329872372</v>
      </c>
      <c r="B1843" s="19" t="s">
        <v>20</v>
      </c>
      <c r="C1843" s="19" t="s">
        <v>21</v>
      </c>
      <c r="D1843" s="19" t="s">
        <v>20</v>
      </c>
      <c r="E1843" s="21">
        <v>46204</v>
      </c>
      <c r="F1843" s="21">
        <v>46568</v>
      </c>
      <c r="G1843" s="21"/>
      <c r="H1843" s="21">
        <v>46204</v>
      </c>
      <c r="I1843" s="21">
        <v>46568</v>
      </c>
      <c r="J1843" s="19" t="s">
        <v>2111</v>
      </c>
      <c r="L1843" s="19">
        <v>0</v>
      </c>
      <c r="M1843" s="19">
        <v>0</v>
      </c>
      <c r="N1843" s="19" t="s">
        <v>2394</v>
      </c>
      <c r="O1843" s="20">
        <v>6</v>
      </c>
      <c r="S1843" s="19" t="s">
        <v>20</v>
      </c>
      <c r="T1843" s="19" t="s">
        <v>1471</v>
      </c>
    </row>
    <row r="1844" spans="1:20">
      <c r="A1844" s="20">
        <v>202603329872372</v>
      </c>
      <c r="B1844" s="19" t="s">
        <v>20</v>
      </c>
      <c r="C1844" s="19" t="s">
        <v>21</v>
      </c>
      <c r="D1844" s="19" t="s">
        <v>20</v>
      </c>
      <c r="E1844" s="21">
        <v>46204</v>
      </c>
      <c r="F1844" s="21">
        <v>46568</v>
      </c>
      <c r="G1844" s="21"/>
      <c r="H1844" s="21">
        <v>46204</v>
      </c>
      <c r="I1844" s="21">
        <v>46568</v>
      </c>
      <c r="J1844" s="19" t="s">
        <v>2111</v>
      </c>
      <c r="L1844" s="19">
        <v>198.7837815</v>
      </c>
      <c r="M1844" s="19">
        <v>198.7837815</v>
      </c>
      <c r="N1844" s="19" t="s">
        <v>1475</v>
      </c>
      <c r="O1844" s="20">
        <v>6</v>
      </c>
      <c r="S1844" s="19" t="s">
        <v>20</v>
      </c>
      <c r="T1844" s="19" t="s">
        <v>1471</v>
      </c>
    </row>
    <row r="1845" spans="1:20">
      <c r="A1845" s="20">
        <v>202603329872558</v>
      </c>
      <c r="B1845" s="19" t="s">
        <v>20</v>
      </c>
      <c r="C1845" s="19" t="s">
        <v>21</v>
      </c>
      <c r="D1845" s="19" t="s">
        <v>20</v>
      </c>
      <c r="E1845" s="21">
        <v>46204</v>
      </c>
      <c r="F1845" s="21">
        <v>46568</v>
      </c>
      <c r="G1845" s="21"/>
      <c r="H1845" s="21">
        <v>46204</v>
      </c>
      <c r="I1845" s="21">
        <v>46568</v>
      </c>
      <c r="J1845" s="19" t="s">
        <v>2093</v>
      </c>
      <c r="L1845" s="19">
        <v>0</v>
      </c>
      <c r="M1845" s="19">
        <v>0</v>
      </c>
      <c r="N1845" s="19" t="s">
        <v>2394</v>
      </c>
      <c r="O1845" s="20">
        <v>3</v>
      </c>
      <c r="S1845" s="19" t="s">
        <v>20</v>
      </c>
      <c r="T1845" s="19" t="s">
        <v>1471</v>
      </c>
    </row>
    <row r="1846" spans="1:20">
      <c r="A1846" s="20">
        <v>202603329872558</v>
      </c>
      <c r="B1846" s="19" t="s">
        <v>20</v>
      </c>
      <c r="C1846" s="19" t="s">
        <v>21</v>
      </c>
      <c r="D1846" s="19" t="s">
        <v>20</v>
      </c>
      <c r="E1846" s="21">
        <v>46204</v>
      </c>
      <c r="F1846" s="21">
        <v>46568</v>
      </c>
      <c r="G1846" s="21"/>
      <c r="H1846" s="21">
        <v>46204</v>
      </c>
      <c r="I1846" s="21">
        <v>46568</v>
      </c>
      <c r="J1846" s="19" t="s">
        <v>2093</v>
      </c>
      <c r="L1846" s="19">
        <v>86.328102749999999</v>
      </c>
      <c r="M1846" s="19">
        <v>86.328102749999999</v>
      </c>
      <c r="N1846" s="19" t="s">
        <v>1475</v>
      </c>
      <c r="O1846" s="20">
        <v>3</v>
      </c>
      <c r="S1846" s="19" t="s">
        <v>20</v>
      </c>
      <c r="T1846" s="19" t="s">
        <v>1471</v>
      </c>
    </row>
    <row r="1847" spans="1:20">
      <c r="A1847" s="20">
        <v>202603329872710</v>
      </c>
      <c r="B1847" s="19" t="s">
        <v>20</v>
      </c>
      <c r="C1847" s="19" t="s">
        <v>21</v>
      </c>
      <c r="D1847" s="19" t="s">
        <v>20</v>
      </c>
      <c r="E1847" s="21">
        <v>46204</v>
      </c>
      <c r="F1847" s="21">
        <v>46568</v>
      </c>
      <c r="G1847" s="21"/>
      <c r="H1847" s="21">
        <v>46204</v>
      </c>
      <c r="I1847" s="21">
        <v>46568</v>
      </c>
      <c r="J1847" s="19" t="s">
        <v>2069</v>
      </c>
      <c r="L1847" s="19">
        <v>0</v>
      </c>
      <c r="M1847" s="19">
        <v>0</v>
      </c>
      <c r="N1847" s="19" t="s">
        <v>2394</v>
      </c>
      <c r="O1847" s="20">
        <v>3</v>
      </c>
      <c r="S1847" s="19" t="s">
        <v>20</v>
      </c>
      <c r="T1847" s="19" t="s">
        <v>1471</v>
      </c>
    </row>
    <row r="1848" spans="1:20">
      <c r="A1848" s="20">
        <v>202603329872710</v>
      </c>
      <c r="B1848" s="19" t="s">
        <v>20</v>
      </c>
      <c r="C1848" s="19" t="s">
        <v>21</v>
      </c>
      <c r="D1848" s="19" t="s">
        <v>20</v>
      </c>
      <c r="E1848" s="21">
        <v>46204</v>
      </c>
      <c r="F1848" s="21">
        <v>46568</v>
      </c>
      <c r="G1848" s="21"/>
      <c r="H1848" s="21">
        <v>46204</v>
      </c>
      <c r="I1848" s="21">
        <v>46568</v>
      </c>
      <c r="J1848" s="19" t="s">
        <v>2069</v>
      </c>
      <c r="L1848" s="19">
        <v>99.391890750000002</v>
      </c>
      <c r="M1848" s="19">
        <v>99.391890750000002</v>
      </c>
      <c r="N1848" s="19" t="s">
        <v>1475</v>
      </c>
      <c r="O1848" s="20">
        <v>3</v>
      </c>
      <c r="S1848" s="19" t="s">
        <v>20</v>
      </c>
      <c r="T1848" s="19" t="s">
        <v>1471</v>
      </c>
    </row>
    <row r="1849" spans="1:20">
      <c r="A1849" s="20">
        <v>202603329873702</v>
      </c>
      <c r="B1849" s="19" t="s">
        <v>20</v>
      </c>
      <c r="C1849" s="19" t="s">
        <v>21</v>
      </c>
      <c r="D1849" s="19" t="s">
        <v>2355</v>
      </c>
      <c r="E1849" s="21">
        <v>46204</v>
      </c>
      <c r="F1849" s="21">
        <v>46568</v>
      </c>
      <c r="G1849" s="21"/>
      <c r="H1849" s="21">
        <v>46204</v>
      </c>
      <c r="I1849" s="21">
        <v>46568</v>
      </c>
      <c r="J1849" s="19" t="s">
        <v>2105</v>
      </c>
      <c r="L1849" s="19">
        <v>26.258683999999999</v>
      </c>
      <c r="M1849" s="19">
        <v>26.258683999999999</v>
      </c>
      <c r="N1849" s="19" t="s">
        <v>1467</v>
      </c>
      <c r="O1849" s="20">
        <v>1</v>
      </c>
      <c r="S1849" s="19" t="s">
        <v>20</v>
      </c>
      <c r="T1849" s="19" t="s">
        <v>1471</v>
      </c>
    </row>
    <row r="1850" spans="1:20">
      <c r="A1850" s="20">
        <v>202603329874310</v>
      </c>
      <c r="B1850" s="19" t="s">
        <v>20</v>
      </c>
      <c r="C1850" s="19" t="s">
        <v>21</v>
      </c>
      <c r="D1850" s="19" t="s">
        <v>20</v>
      </c>
      <c r="E1850" s="21">
        <v>46204</v>
      </c>
      <c r="F1850" s="21">
        <v>46568</v>
      </c>
      <c r="G1850" s="21"/>
      <c r="H1850" s="21">
        <v>46204</v>
      </c>
      <c r="I1850" s="21">
        <v>46568</v>
      </c>
      <c r="J1850" s="19" t="s">
        <v>2073</v>
      </c>
      <c r="L1850" s="19">
        <v>0</v>
      </c>
      <c r="M1850" s="19">
        <v>0</v>
      </c>
      <c r="N1850" s="19" t="s">
        <v>2394</v>
      </c>
      <c r="O1850" s="20">
        <v>5</v>
      </c>
      <c r="S1850" s="19" t="s">
        <v>20</v>
      </c>
      <c r="T1850" s="19" t="s">
        <v>1471</v>
      </c>
    </row>
    <row r="1851" spans="1:20">
      <c r="A1851" s="20">
        <v>202603329874310</v>
      </c>
      <c r="B1851" s="19" t="s">
        <v>20</v>
      </c>
      <c r="C1851" s="19" t="s">
        <v>21</v>
      </c>
      <c r="D1851" s="19" t="s">
        <v>20</v>
      </c>
      <c r="E1851" s="21">
        <v>46204</v>
      </c>
      <c r="F1851" s="21">
        <v>46568</v>
      </c>
      <c r="G1851" s="21"/>
      <c r="H1851" s="21">
        <v>46204</v>
      </c>
      <c r="I1851" s="21">
        <v>46568</v>
      </c>
      <c r="J1851" s="19" t="s">
        <v>2073</v>
      </c>
      <c r="L1851" s="19">
        <v>131.29342</v>
      </c>
      <c r="M1851" s="19">
        <v>131.29342</v>
      </c>
      <c r="N1851" s="19" t="s">
        <v>1475</v>
      </c>
      <c r="O1851" s="20">
        <v>5</v>
      </c>
      <c r="S1851" s="19" t="s">
        <v>20</v>
      </c>
      <c r="T1851" s="19" t="s">
        <v>1471</v>
      </c>
    </row>
    <row r="1852" spans="1:20">
      <c r="A1852" s="20">
        <v>202603329874337</v>
      </c>
      <c r="B1852" s="19" t="s">
        <v>20</v>
      </c>
      <c r="C1852" s="19" t="s">
        <v>21</v>
      </c>
      <c r="D1852" s="19" t="s">
        <v>20</v>
      </c>
      <c r="E1852" s="21">
        <v>46204</v>
      </c>
      <c r="F1852" s="21">
        <v>46568</v>
      </c>
      <c r="G1852" s="21"/>
      <c r="H1852" s="21">
        <v>46204</v>
      </c>
      <c r="I1852" s="21">
        <v>46568</v>
      </c>
      <c r="J1852" s="19" t="s">
        <v>2235</v>
      </c>
      <c r="L1852" s="19">
        <v>99.391890750000002</v>
      </c>
      <c r="M1852" s="19">
        <v>99.391890750000002</v>
      </c>
      <c r="N1852" s="19" t="s">
        <v>1475</v>
      </c>
      <c r="O1852" s="20">
        <v>3</v>
      </c>
      <c r="S1852" s="19" t="s">
        <v>20</v>
      </c>
      <c r="T1852" s="19" t="s">
        <v>1471</v>
      </c>
    </row>
    <row r="1853" spans="1:20">
      <c r="A1853" s="20">
        <v>202603329874357</v>
      </c>
      <c r="B1853" s="19" t="s">
        <v>20</v>
      </c>
      <c r="C1853" s="19" t="s">
        <v>21</v>
      </c>
      <c r="D1853" s="19" t="s">
        <v>20</v>
      </c>
      <c r="E1853" s="21">
        <v>46204</v>
      </c>
      <c r="F1853" s="21">
        <v>46568</v>
      </c>
      <c r="G1853" s="21"/>
      <c r="H1853" s="21">
        <v>46204</v>
      </c>
      <c r="I1853" s="21">
        <v>46568</v>
      </c>
      <c r="J1853" s="19" t="s">
        <v>2089</v>
      </c>
      <c r="L1853" s="19">
        <v>0</v>
      </c>
      <c r="M1853" s="19">
        <v>0</v>
      </c>
      <c r="N1853" s="19" t="s">
        <v>2394</v>
      </c>
      <c r="O1853" s="20">
        <v>2</v>
      </c>
      <c r="S1853" s="19" t="s">
        <v>20</v>
      </c>
      <c r="T1853" s="19" t="s">
        <v>1471</v>
      </c>
    </row>
    <row r="1854" spans="1:20">
      <c r="A1854" s="20">
        <v>202603329874357</v>
      </c>
      <c r="B1854" s="19" t="s">
        <v>20</v>
      </c>
      <c r="C1854" s="19" t="s">
        <v>21</v>
      </c>
      <c r="D1854" s="19" t="s">
        <v>20</v>
      </c>
      <c r="E1854" s="21">
        <v>46204</v>
      </c>
      <c r="F1854" s="21">
        <v>46568</v>
      </c>
      <c r="G1854" s="21"/>
      <c r="H1854" s="21">
        <v>46204</v>
      </c>
      <c r="I1854" s="21">
        <v>46568</v>
      </c>
      <c r="J1854" s="19" t="s">
        <v>2089</v>
      </c>
      <c r="L1854" s="19">
        <v>47.936581500000003</v>
      </c>
      <c r="M1854" s="19">
        <v>47.936581500000003</v>
      </c>
      <c r="N1854" s="19" t="s">
        <v>1475</v>
      </c>
      <c r="O1854" s="20">
        <v>2</v>
      </c>
      <c r="S1854" s="19" t="s">
        <v>20</v>
      </c>
      <c r="T1854" s="19" t="s">
        <v>1471</v>
      </c>
    </row>
    <row r="1855" spans="1:20">
      <c r="A1855" s="20">
        <v>202603329874405</v>
      </c>
      <c r="B1855" s="19" t="s">
        <v>20</v>
      </c>
      <c r="C1855" s="19" t="s">
        <v>21</v>
      </c>
      <c r="D1855" s="19" t="s">
        <v>2356</v>
      </c>
      <c r="E1855" s="21">
        <v>46204</v>
      </c>
      <c r="F1855" s="21">
        <v>46568</v>
      </c>
      <c r="G1855" s="21"/>
      <c r="H1855" s="21">
        <v>46204</v>
      </c>
      <c r="I1855" s="21">
        <v>46568</v>
      </c>
      <c r="J1855" s="19" t="s">
        <v>2089</v>
      </c>
      <c r="L1855" s="19">
        <v>13.16440025</v>
      </c>
      <c r="M1855" s="19">
        <v>13.16440025</v>
      </c>
      <c r="N1855" s="19" t="s">
        <v>1467</v>
      </c>
      <c r="O1855" s="20">
        <v>1</v>
      </c>
      <c r="S1855" s="19" t="s">
        <v>20</v>
      </c>
      <c r="T1855" s="19" t="s">
        <v>1471</v>
      </c>
    </row>
    <row r="1856" spans="1:20">
      <c r="A1856" s="20">
        <v>202603329875351</v>
      </c>
      <c r="B1856" s="19" t="s">
        <v>20</v>
      </c>
      <c r="C1856" s="19" t="s">
        <v>21</v>
      </c>
      <c r="D1856" s="19" t="s">
        <v>20</v>
      </c>
      <c r="E1856" s="21">
        <v>46204</v>
      </c>
      <c r="F1856" s="21">
        <v>46568</v>
      </c>
      <c r="G1856" s="21"/>
      <c r="H1856" s="21">
        <v>46204</v>
      </c>
      <c r="I1856" s="21">
        <v>46568</v>
      </c>
      <c r="J1856" s="19" t="s">
        <v>2064</v>
      </c>
      <c r="L1856" s="19">
        <v>0</v>
      </c>
      <c r="M1856" s="19">
        <v>0</v>
      </c>
      <c r="N1856" s="19" t="s">
        <v>2394</v>
      </c>
      <c r="O1856" s="20">
        <v>2</v>
      </c>
      <c r="S1856" s="19" t="s">
        <v>20</v>
      </c>
      <c r="T1856" s="19" t="s">
        <v>1471</v>
      </c>
    </row>
    <row r="1857" spans="1:20">
      <c r="A1857" s="20">
        <v>202603329875351</v>
      </c>
      <c r="B1857" s="19" t="s">
        <v>20</v>
      </c>
      <c r="C1857" s="19" t="s">
        <v>21</v>
      </c>
      <c r="D1857" s="19" t="s">
        <v>20</v>
      </c>
      <c r="E1857" s="21">
        <v>46204</v>
      </c>
      <c r="F1857" s="21">
        <v>46568</v>
      </c>
      <c r="G1857" s="21"/>
      <c r="H1857" s="21">
        <v>46204</v>
      </c>
      <c r="I1857" s="21">
        <v>46568</v>
      </c>
      <c r="J1857" s="19" t="s">
        <v>2064</v>
      </c>
      <c r="L1857" s="19">
        <v>66.261260500000006</v>
      </c>
      <c r="M1857" s="19">
        <v>66.261260500000006</v>
      </c>
      <c r="N1857" s="19" t="s">
        <v>1475</v>
      </c>
      <c r="O1857" s="20">
        <v>2</v>
      </c>
      <c r="S1857" s="19" t="s">
        <v>20</v>
      </c>
      <c r="T1857" s="19" t="s">
        <v>1471</v>
      </c>
    </row>
    <row r="1858" spans="1:20">
      <c r="A1858" s="20">
        <v>202603329877365</v>
      </c>
      <c r="B1858" s="19" t="s">
        <v>20</v>
      </c>
      <c r="C1858" s="19" t="s">
        <v>21</v>
      </c>
      <c r="D1858" s="19" t="s">
        <v>20</v>
      </c>
      <c r="E1858" s="21">
        <v>46204</v>
      </c>
      <c r="F1858" s="21">
        <v>46568</v>
      </c>
      <c r="G1858" s="21"/>
      <c r="H1858" s="21">
        <v>46204</v>
      </c>
      <c r="I1858" s="21">
        <v>46568</v>
      </c>
      <c r="J1858" s="19" t="s">
        <v>2086</v>
      </c>
      <c r="L1858" s="19">
        <v>0</v>
      </c>
      <c r="M1858" s="19">
        <v>0</v>
      </c>
      <c r="N1858" s="19" t="s">
        <v>2394</v>
      </c>
      <c r="O1858" s="20">
        <v>4</v>
      </c>
      <c r="S1858" s="19" t="s">
        <v>20</v>
      </c>
      <c r="T1858" s="19" t="s">
        <v>1471</v>
      </c>
    </row>
    <row r="1859" spans="1:20">
      <c r="A1859" s="20">
        <v>202603329877365</v>
      </c>
      <c r="B1859" s="19" t="s">
        <v>20</v>
      </c>
      <c r="C1859" s="19" t="s">
        <v>21</v>
      </c>
      <c r="D1859" s="19" t="s">
        <v>20</v>
      </c>
      <c r="E1859" s="21">
        <v>46204</v>
      </c>
      <c r="F1859" s="21">
        <v>46568</v>
      </c>
      <c r="G1859" s="21"/>
      <c r="H1859" s="21">
        <v>46204</v>
      </c>
      <c r="I1859" s="21">
        <v>46568</v>
      </c>
      <c r="J1859" s="19" t="s">
        <v>2086</v>
      </c>
      <c r="L1859" s="19">
        <v>132.52252100000001</v>
      </c>
      <c r="M1859" s="19">
        <v>132.52252100000001</v>
      </c>
      <c r="N1859" s="19" t="s">
        <v>1475</v>
      </c>
      <c r="O1859" s="20">
        <v>4</v>
      </c>
      <c r="S1859" s="19" t="s">
        <v>20</v>
      </c>
      <c r="T1859" s="19" t="s">
        <v>1471</v>
      </c>
    </row>
    <row r="1860" spans="1:20">
      <c r="A1860" s="20">
        <v>202603329877935</v>
      </c>
      <c r="B1860" s="19" t="s">
        <v>20</v>
      </c>
      <c r="C1860" s="19" t="s">
        <v>21</v>
      </c>
      <c r="D1860" s="19" t="s">
        <v>20</v>
      </c>
      <c r="E1860" s="21">
        <v>46204</v>
      </c>
      <c r="F1860" s="21">
        <v>46568</v>
      </c>
      <c r="G1860" s="21"/>
      <c r="H1860" s="21">
        <v>46204</v>
      </c>
      <c r="I1860" s="21">
        <v>46568</v>
      </c>
      <c r="J1860" s="19" t="s">
        <v>2068</v>
      </c>
      <c r="L1860" s="19">
        <v>26.258683999999999</v>
      </c>
      <c r="M1860" s="19">
        <v>26.258683999999999</v>
      </c>
      <c r="N1860" s="19" t="s">
        <v>1475</v>
      </c>
      <c r="O1860" s="20">
        <v>1</v>
      </c>
      <c r="S1860" s="19" t="s">
        <v>20</v>
      </c>
      <c r="T1860" s="19" t="s">
        <v>1471</v>
      </c>
    </row>
    <row r="1861" spans="1:20">
      <c r="A1861" s="20">
        <v>202603329880128</v>
      </c>
      <c r="B1861" s="19" t="s">
        <v>20</v>
      </c>
      <c r="C1861" s="19" t="s">
        <v>21</v>
      </c>
      <c r="D1861" s="19" t="s">
        <v>20</v>
      </c>
      <c r="E1861" s="21">
        <v>46204</v>
      </c>
      <c r="F1861" s="21">
        <v>46568</v>
      </c>
      <c r="G1861" s="21"/>
      <c r="H1861" s="21">
        <v>46204</v>
      </c>
      <c r="I1861" s="21">
        <v>46568</v>
      </c>
      <c r="J1861" s="19" t="s">
        <v>2068</v>
      </c>
      <c r="L1861" s="19">
        <v>0</v>
      </c>
      <c r="M1861" s="19">
        <v>0</v>
      </c>
      <c r="N1861" s="19" t="s">
        <v>2394</v>
      </c>
      <c r="O1861" s="20">
        <v>5</v>
      </c>
      <c r="S1861" s="19" t="s">
        <v>20</v>
      </c>
      <c r="T1861" s="19" t="s">
        <v>1471</v>
      </c>
    </row>
    <row r="1862" spans="1:20">
      <c r="A1862" s="20">
        <v>202603329880128</v>
      </c>
      <c r="B1862" s="19" t="s">
        <v>20</v>
      </c>
      <c r="C1862" s="19" t="s">
        <v>21</v>
      </c>
      <c r="D1862" s="19" t="s">
        <v>20</v>
      </c>
      <c r="E1862" s="21">
        <v>46204</v>
      </c>
      <c r="F1862" s="21">
        <v>46568</v>
      </c>
      <c r="G1862" s="21"/>
      <c r="H1862" s="21">
        <v>46204</v>
      </c>
      <c r="I1862" s="21">
        <v>46568</v>
      </c>
      <c r="J1862" s="19" t="s">
        <v>2068</v>
      </c>
      <c r="L1862" s="19">
        <v>131.29342</v>
      </c>
      <c r="M1862" s="19">
        <v>131.29342</v>
      </c>
      <c r="N1862" s="19" t="s">
        <v>1475</v>
      </c>
      <c r="O1862" s="20">
        <v>5</v>
      </c>
      <c r="S1862" s="19" t="s">
        <v>20</v>
      </c>
      <c r="T1862" s="19" t="s">
        <v>1471</v>
      </c>
    </row>
    <row r="1863" spans="1:20">
      <c r="A1863" s="20">
        <v>202603329881716</v>
      </c>
      <c r="B1863" s="19" t="s">
        <v>20</v>
      </c>
      <c r="C1863" s="19" t="s">
        <v>21</v>
      </c>
      <c r="D1863" s="19" t="s">
        <v>20</v>
      </c>
      <c r="E1863" s="21">
        <v>46204</v>
      </c>
      <c r="F1863" s="21">
        <v>46568</v>
      </c>
      <c r="G1863" s="21"/>
      <c r="H1863" s="21">
        <v>46204</v>
      </c>
      <c r="I1863" s="21">
        <v>46568</v>
      </c>
      <c r="J1863" s="19" t="s">
        <v>2069</v>
      </c>
      <c r="L1863" s="19">
        <v>0</v>
      </c>
      <c r="M1863" s="19">
        <v>0</v>
      </c>
      <c r="N1863" s="19" t="s">
        <v>2394</v>
      </c>
      <c r="O1863" s="20">
        <v>4</v>
      </c>
      <c r="S1863" s="19" t="s">
        <v>20</v>
      </c>
      <c r="T1863" s="19" t="s">
        <v>1471</v>
      </c>
    </row>
    <row r="1864" spans="1:20">
      <c r="A1864" s="20">
        <v>202603329881716</v>
      </c>
      <c r="B1864" s="19" t="s">
        <v>20</v>
      </c>
      <c r="C1864" s="19" t="s">
        <v>21</v>
      </c>
      <c r="D1864" s="19" t="s">
        <v>20</v>
      </c>
      <c r="E1864" s="21">
        <v>46204</v>
      </c>
      <c r="F1864" s="21">
        <v>46568</v>
      </c>
      <c r="G1864" s="21"/>
      <c r="H1864" s="21">
        <v>46204</v>
      </c>
      <c r="I1864" s="21">
        <v>46568</v>
      </c>
      <c r="J1864" s="19" t="s">
        <v>2069</v>
      </c>
      <c r="L1864" s="19">
        <v>132.52252100000001</v>
      </c>
      <c r="M1864" s="19">
        <v>132.52252100000001</v>
      </c>
      <c r="N1864" s="19" t="s">
        <v>1475</v>
      </c>
      <c r="O1864" s="20">
        <v>4</v>
      </c>
      <c r="S1864" s="19" t="s">
        <v>20</v>
      </c>
      <c r="T1864" s="19" t="s">
        <v>1471</v>
      </c>
    </row>
    <row r="1865" spans="1:20">
      <c r="A1865" s="20">
        <v>202603329882269</v>
      </c>
      <c r="B1865" s="19" t="s">
        <v>20</v>
      </c>
      <c r="C1865" s="19" t="s">
        <v>21</v>
      </c>
      <c r="D1865" s="19" t="s">
        <v>20</v>
      </c>
      <c r="E1865" s="21">
        <v>46204</v>
      </c>
      <c r="F1865" s="21">
        <v>46568</v>
      </c>
      <c r="G1865" s="21"/>
      <c r="H1865" s="21">
        <v>46204</v>
      </c>
      <c r="I1865" s="21">
        <v>46568</v>
      </c>
      <c r="J1865" s="19" t="s">
        <v>2069</v>
      </c>
      <c r="L1865" s="19">
        <v>0</v>
      </c>
      <c r="M1865" s="19">
        <v>0</v>
      </c>
      <c r="N1865" s="19" t="s">
        <v>2394</v>
      </c>
      <c r="O1865" s="20">
        <v>4</v>
      </c>
      <c r="S1865" s="19" t="s">
        <v>20</v>
      </c>
      <c r="T1865" s="19" t="s">
        <v>1471</v>
      </c>
    </row>
    <row r="1866" spans="1:20">
      <c r="A1866" s="20">
        <v>202603329882269</v>
      </c>
      <c r="B1866" s="19" t="s">
        <v>20</v>
      </c>
      <c r="C1866" s="19" t="s">
        <v>21</v>
      </c>
      <c r="D1866" s="19" t="s">
        <v>20</v>
      </c>
      <c r="E1866" s="21">
        <v>46204</v>
      </c>
      <c r="F1866" s="21">
        <v>46568</v>
      </c>
      <c r="G1866" s="21"/>
      <c r="H1866" s="21">
        <v>46204</v>
      </c>
      <c r="I1866" s="21">
        <v>46568</v>
      </c>
      <c r="J1866" s="19" t="s">
        <v>2069</v>
      </c>
      <c r="L1866" s="19">
        <v>132.52252100000001</v>
      </c>
      <c r="M1866" s="19">
        <v>132.52252100000001</v>
      </c>
      <c r="N1866" s="19" t="s">
        <v>1475</v>
      </c>
      <c r="O1866" s="20">
        <v>4</v>
      </c>
      <c r="S1866" s="19" t="s">
        <v>20</v>
      </c>
      <c r="T1866" s="19" t="s">
        <v>1471</v>
      </c>
    </row>
    <row r="1867" spans="1:20">
      <c r="A1867" s="20">
        <v>202603329883414</v>
      </c>
      <c r="B1867" s="19" t="s">
        <v>20</v>
      </c>
      <c r="C1867" s="19" t="s">
        <v>21</v>
      </c>
      <c r="D1867" s="19" t="s">
        <v>20</v>
      </c>
      <c r="E1867" s="21">
        <v>46204</v>
      </c>
      <c r="F1867" s="21">
        <v>46568</v>
      </c>
      <c r="G1867" s="21"/>
      <c r="H1867" s="21">
        <v>46204</v>
      </c>
      <c r="I1867" s="21">
        <v>46568</v>
      </c>
      <c r="J1867" s="19" t="s">
        <v>2190</v>
      </c>
      <c r="L1867" s="19">
        <v>0</v>
      </c>
      <c r="M1867" s="19">
        <v>0</v>
      </c>
      <c r="N1867" s="19" t="s">
        <v>2394</v>
      </c>
      <c r="O1867" s="20">
        <v>6</v>
      </c>
      <c r="S1867" s="19" t="s">
        <v>20</v>
      </c>
      <c r="T1867" s="19" t="s">
        <v>1471</v>
      </c>
    </row>
    <row r="1868" spans="1:20">
      <c r="A1868" s="20">
        <v>202603329883414</v>
      </c>
      <c r="B1868" s="19" t="s">
        <v>20</v>
      </c>
      <c r="C1868" s="19" t="s">
        <v>21</v>
      </c>
      <c r="D1868" s="19" t="s">
        <v>2357</v>
      </c>
      <c r="E1868" s="21">
        <v>46204</v>
      </c>
      <c r="F1868" s="21">
        <v>46568</v>
      </c>
      <c r="G1868" s="21"/>
      <c r="H1868" s="21">
        <v>46204</v>
      </c>
      <c r="I1868" s="21">
        <v>46568</v>
      </c>
      <c r="J1868" s="19" t="s">
        <v>2190</v>
      </c>
      <c r="L1868" s="19">
        <v>100.363101</v>
      </c>
      <c r="M1868" s="19">
        <v>100.363101</v>
      </c>
      <c r="N1868" s="19" t="s">
        <v>1467</v>
      </c>
      <c r="O1868" s="20">
        <v>6</v>
      </c>
      <c r="S1868" s="19" t="s">
        <v>20</v>
      </c>
      <c r="T1868" s="19" t="s">
        <v>1471</v>
      </c>
    </row>
    <row r="1869" spans="1:20">
      <c r="A1869" s="20">
        <v>202603329884419</v>
      </c>
      <c r="B1869" s="19" t="s">
        <v>20</v>
      </c>
      <c r="C1869" s="19" t="s">
        <v>21</v>
      </c>
      <c r="D1869" s="19" t="s">
        <v>20</v>
      </c>
      <c r="E1869" s="21">
        <v>46204</v>
      </c>
      <c r="F1869" s="21">
        <v>46568</v>
      </c>
      <c r="G1869" s="21"/>
      <c r="H1869" s="21">
        <v>46204</v>
      </c>
      <c r="I1869" s="21">
        <v>46568</v>
      </c>
      <c r="J1869" s="19" t="s">
        <v>2064</v>
      </c>
      <c r="L1869" s="19">
        <v>0</v>
      </c>
      <c r="M1869" s="19">
        <v>0</v>
      </c>
      <c r="N1869" s="19" t="s">
        <v>2394</v>
      </c>
      <c r="O1869" s="20">
        <v>3</v>
      </c>
      <c r="S1869" s="19" t="s">
        <v>20</v>
      </c>
      <c r="T1869" s="19" t="s">
        <v>1471</v>
      </c>
    </row>
    <row r="1870" spans="1:20">
      <c r="A1870" s="20">
        <v>202603329884419</v>
      </c>
      <c r="B1870" s="19" t="s">
        <v>20</v>
      </c>
      <c r="C1870" s="19" t="s">
        <v>21</v>
      </c>
      <c r="D1870" s="19" t="s">
        <v>20</v>
      </c>
      <c r="E1870" s="21">
        <v>46204</v>
      </c>
      <c r="F1870" s="21">
        <v>46568</v>
      </c>
      <c r="G1870" s="21"/>
      <c r="H1870" s="21">
        <v>46204</v>
      </c>
      <c r="I1870" s="21">
        <v>46568</v>
      </c>
      <c r="J1870" s="19" t="s">
        <v>2064</v>
      </c>
      <c r="L1870" s="19">
        <v>99.391890750000002</v>
      </c>
      <c r="M1870" s="19">
        <v>99.391890750000002</v>
      </c>
      <c r="N1870" s="19" t="s">
        <v>1475</v>
      </c>
      <c r="O1870" s="20">
        <v>3</v>
      </c>
      <c r="S1870" s="19" t="s">
        <v>20</v>
      </c>
      <c r="T1870" s="19" t="s">
        <v>1471</v>
      </c>
    </row>
    <row r="1871" spans="1:20">
      <c r="A1871" s="20">
        <v>202603329884683</v>
      </c>
      <c r="B1871" s="19" t="s">
        <v>20</v>
      </c>
      <c r="C1871" s="19" t="s">
        <v>21</v>
      </c>
      <c r="D1871" s="19" t="s">
        <v>20</v>
      </c>
      <c r="E1871" s="21">
        <v>46204</v>
      </c>
      <c r="F1871" s="21">
        <v>46568</v>
      </c>
      <c r="G1871" s="21"/>
      <c r="H1871" s="21">
        <v>46204</v>
      </c>
      <c r="I1871" s="21">
        <v>46568</v>
      </c>
      <c r="J1871" s="19" t="s">
        <v>2193</v>
      </c>
      <c r="L1871" s="19">
        <v>0</v>
      </c>
      <c r="M1871" s="19">
        <v>0</v>
      </c>
      <c r="N1871" s="19" t="s">
        <v>2394</v>
      </c>
      <c r="O1871" s="20">
        <v>2</v>
      </c>
      <c r="S1871" s="19" t="s">
        <v>20</v>
      </c>
      <c r="T1871" s="19" t="s">
        <v>1471</v>
      </c>
    </row>
    <row r="1872" spans="1:20">
      <c r="A1872" s="20">
        <v>202603329884683</v>
      </c>
      <c r="B1872" s="19" t="s">
        <v>20</v>
      </c>
      <c r="C1872" s="19" t="s">
        <v>21</v>
      </c>
      <c r="D1872" s="19" t="s">
        <v>2358</v>
      </c>
      <c r="E1872" s="21">
        <v>46204</v>
      </c>
      <c r="F1872" s="21">
        <v>46568</v>
      </c>
      <c r="G1872" s="21"/>
      <c r="H1872" s="21">
        <v>46204</v>
      </c>
      <c r="I1872" s="21">
        <v>46568</v>
      </c>
      <c r="J1872" s="19" t="s">
        <v>2193</v>
      </c>
      <c r="L1872" s="19">
        <v>59.635123499999999</v>
      </c>
      <c r="M1872" s="19">
        <v>59.635123499999999</v>
      </c>
      <c r="N1872" s="19" t="s">
        <v>1467</v>
      </c>
      <c r="O1872" s="20">
        <v>2</v>
      </c>
      <c r="S1872" s="19" t="s">
        <v>20</v>
      </c>
      <c r="T1872" s="19" t="s">
        <v>1471</v>
      </c>
    </row>
    <row r="1873" spans="1:20">
      <c r="A1873" s="20">
        <v>202603329884828</v>
      </c>
      <c r="B1873" s="19" t="s">
        <v>20</v>
      </c>
      <c r="C1873" s="19" t="s">
        <v>21</v>
      </c>
      <c r="D1873" s="19" t="s">
        <v>20</v>
      </c>
      <c r="E1873" s="21">
        <v>46204</v>
      </c>
      <c r="F1873" s="21">
        <v>46568</v>
      </c>
      <c r="G1873" s="21"/>
      <c r="H1873" s="21">
        <v>46204</v>
      </c>
      <c r="I1873" s="21">
        <v>46568</v>
      </c>
      <c r="J1873" s="19" t="s">
        <v>2128</v>
      </c>
      <c r="L1873" s="19">
        <v>0</v>
      </c>
      <c r="M1873" s="19">
        <v>0</v>
      </c>
      <c r="N1873" s="19" t="s">
        <v>2394</v>
      </c>
      <c r="O1873" s="20">
        <v>4</v>
      </c>
      <c r="S1873" s="19" t="s">
        <v>20</v>
      </c>
      <c r="T1873" s="19" t="s">
        <v>1471</v>
      </c>
    </row>
    <row r="1874" spans="1:20">
      <c r="A1874" s="20">
        <v>202603329884828</v>
      </c>
      <c r="B1874" s="19" t="s">
        <v>20</v>
      </c>
      <c r="C1874" s="19" t="s">
        <v>21</v>
      </c>
      <c r="D1874" s="19" t="s">
        <v>20</v>
      </c>
      <c r="E1874" s="21">
        <v>46204</v>
      </c>
      <c r="F1874" s="21">
        <v>46568</v>
      </c>
      <c r="G1874" s="21"/>
      <c r="H1874" s="21">
        <v>46204</v>
      </c>
      <c r="I1874" s="21">
        <v>46568</v>
      </c>
      <c r="J1874" s="19" t="s">
        <v>2128</v>
      </c>
      <c r="L1874" s="19">
        <v>119.270247</v>
      </c>
      <c r="M1874" s="19">
        <v>119.270247</v>
      </c>
      <c r="N1874" s="19" t="s">
        <v>1475</v>
      </c>
      <c r="O1874" s="20">
        <v>4</v>
      </c>
      <c r="S1874" s="19" t="s">
        <v>20</v>
      </c>
      <c r="T1874" s="19" t="s">
        <v>1471</v>
      </c>
    </row>
    <row r="1875" spans="1:20">
      <c r="A1875" s="20">
        <v>202603329886631</v>
      </c>
      <c r="B1875" s="19" t="s">
        <v>20</v>
      </c>
      <c r="C1875" s="19" t="s">
        <v>21</v>
      </c>
      <c r="D1875" s="19" t="s">
        <v>20</v>
      </c>
      <c r="E1875" s="21">
        <v>46204</v>
      </c>
      <c r="F1875" s="21">
        <v>46568</v>
      </c>
      <c r="G1875" s="21"/>
      <c r="H1875" s="21">
        <v>46204</v>
      </c>
      <c r="I1875" s="21">
        <v>46568</v>
      </c>
      <c r="J1875" s="19" t="s">
        <v>2062</v>
      </c>
      <c r="L1875" s="19">
        <v>66.261260500000006</v>
      </c>
      <c r="M1875" s="19">
        <v>66.261260500000006</v>
      </c>
      <c r="N1875" s="19" t="s">
        <v>1475</v>
      </c>
      <c r="O1875" s="20">
        <v>2</v>
      </c>
      <c r="S1875" s="19" t="s">
        <v>20</v>
      </c>
      <c r="T1875" s="19" t="s">
        <v>1471</v>
      </c>
    </row>
    <row r="1876" spans="1:20">
      <c r="A1876" s="20">
        <v>202603329886899</v>
      </c>
      <c r="B1876" s="19" t="s">
        <v>20</v>
      </c>
      <c r="C1876" s="19" t="s">
        <v>21</v>
      </c>
      <c r="D1876" s="19" t="s">
        <v>20</v>
      </c>
      <c r="E1876" s="21">
        <v>46204</v>
      </c>
      <c r="F1876" s="21">
        <v>46568</v>
      </c>
      <c r="G1876" s="21"/>
      <c r="H1876" s="21">
        <v>46204</v>
      </c>
      <c r="I1876" s="21">
        <v>46568</v>
      </c>
      <c r="J1876" s="19" t="s">
        <v>2068</v>
      </c>
      <c r="L1876" s="19">
        <v>0</v>
      </c>
      <c r="M1876" s="19">
        <v>0</v>
      </c>
      <c r="N1876" s="19" t="s">
        <v>2394</v>
      </c>
      <c r="O1876" s="20">
        <v>7</v>
      </c>
      <c r="S1876" s="19" t="s">
        <v>20</v>
      </c>
      <c r="T1876" s="19" t="s">
        <v>1471</v>
      </c>
    </row>
    <row r="1877" spans="1:20">
      <c r="A1877" s="20">
        <v>202603329886899</v>
      </c>
      <c r="B1877" s="19" t="s">
        <v>20</v>
      </c>
      <c r="C1877" s="19" t="s">
        <v>21</v>
      </c>
      <c r="D1877" s="19" t="s">
        <v>20</v>
      </c>
      <c r="E1877" s="21">
        <v>46204</v>
      </c>
      <c r="F1877" s="21">
        <v>46568</v>
      </c>
      <c r="G1877" s="21"/>
      <c r="H1877" s="21">
        <v>46204</v>
      </c>
      <c r="I1877" s="21">
        <v>46568</v>
      </c>
      <c r="J1877" s="19" t="s">
        <v>2068</v>
      </c>
      <c r="L1877" s="19">
        <v>183.810788</v>
      </c>
      <c r="M1877" s="19">
        <v>183.810788</v>
      </c>
      <c r="N1877" s="19" t="s">
        <v>1475</v>
      </c>
      <c r="O1877" s="20">
        <v>7</v>
      </c>
      <c r="S1877" s="19" t="s">
        <v>20</v>
      </c>
      <c r="T1877" s="19" t="s">
        <v>1471</v>
      </c>
    </row>
    <row r="1878" spans="1:20">
      <c r="A1878" s="20">
        <v>202603329887378</v>
      </c>
      <c r="B1878" s="19" t="s">
        <v>20</v>
      </c>
      <c r="C1878" s="19" t="s">
        <v>21</v>
      </c>
      <c r="D1878" s="19" t="s">
        <v>20</v>
      </c>
      <c r="E1878" s="21">
        <v>46204</v>
      </c>
      <c r="F1878" s="21">
        <v>46568</v>
      </c>
      <c r="G1878" s="21"/>
      <c r="H1878" s="21">
        <v>46204</v>
      </c>
      <c r="I1878" s="21">
        <v>46568</v>
      </c>
      <c r="J1878" s="19" t="s">
        <v>2092</v>
      </c>
      <c r="L1878" s="19">
        <v>0</v>
      </c>
      <c r="M1878" s="19">
        <v>0</v>
      </c>
      <c r="N1878" s="19" t="s">
        <v>2394</v>
      </c>
      <c r="O1878" s="20">
        <v>6</v>
      </c>
      <c r="S1878" s="19" t="s">
        <v>20</v>
      </c>
      <c r="T1878" s="19" t="s">
        <v>1471</v>
      </c>
    </row>
    <row r="1879" spans="1:20">
      <c r="A1879" s="20">
        <v>202603329887378</v>
      </c>
      <c r="B1879" s="19" t="s">
        <v>20</v>
      </c>
      <c r="C1879" s="19" t="s">
        <v>21</v>
      </c>
      <c r="D1879" s="19" t="s">
        <v>2359</v>
      </c>
      <c r="E1879" s="21">
        <v>46204</v>
      </c>
      <c r="F1879" s="21">
        <v>46568</v>
      </c>
      <c r="G1879" s="21"/>
      <c r="H1879" s="21">
        <v>46204</v>
      </c>
      <c r="I1879" s="21">
        <v>46568</v>
      </c>
      <c r="J1879" s="19" t="s">
        <v>2092</v>
      </c>
      <c r="L1879" s="19">
        <v>231.95735400000001</v>
      </c>
      <c r="M1879" s="19">
        <v>231.95735400000001</v>
      </c>
      <c r="N1879" s="19" t="s">
        <v>1467</v>
      </c>
      <c r="O1879" s="20">
        <v>6</v>
      </c>
      <c r="S1879" s="19" t="s">
        <v>20</v>
      </c>
      <c r="T1879" s="19" t="s">
        <v>1471</v>
      </c>
    </row>
    <row r="1880" spans="1:20">
      <c r="A1880" s="20">
        <v>202603329887960</v>
      </c>
      <c r="B1880" s="19" t="s">
        <v>20</v>
      </c>
      <c r="C1880" s="19" t="s">
        <v>21</v>
      </c>
      <c r="D1880" s="19" t="s">
        <v>20</v>
      </c>
      <c r="E1880" s="21">
        <v>46204</v>
      </c>
      <c r="F1880" s="21">
        <v>46568</v>
      </c>
      <c r="G1880" s="21"/>
      <c r="H1880" s="21">
        <v>46204</v>
      </c>
      <c r="I1880" s="21">
        <v>46568</v>
      </c>
      <c r="J1880" s="19" t="s">
        <v>2093</v>
      </c>
      <c r="L1880" s="19">
        <v>0</v>
      </c>
      <c r="M1880" s="19">
        <v>0</v>
      </c>
      <c r="N1880" s="19" t="s">
        <v>2394</v>
      </c>
      <c r="O1880" s="20">
        <v>5</v>
      </c>
      <c r="S1880" s="19" t="s">
        <v>20</v>
      </c>
      <c r="T1880" s="19" t="s">
        <v>1471</v>
      </c>
    </row>
    <row r="1881" spans="1:20">
      <c r="A1881" s="20">
        <v>202603329887960</v>
      </c>
      <c r="B1881" s="19" t="s">
        <v>20</v>
      </c>
      <c r="C1881" s="19" t="s">
        <v>21</v>
      </c>
      <c r="D1881" s="19" t="s">
        <v>20</v>
      </c>
      <c r="E1881" s="21">
        <v>46204</v>
      </c>
      <c r="F1881" s="21">
        <v>46568</v>
      </c>
      <c r="G1881" s="21"/>
      <c r="H1881" s="21">
        <v>46204</v>
      </c>
      <c r="I1881" s="21">
        <v>46568</v>
      </c>
      <c r="J1881" s="19" t="s">
        <v>2093</v>
      </c>
      <c r="L1881" s="19">
        <v>143.88017124999999</v>
      </c>
      <c r="M1881" s="19">
        <v>143.88017124999999</v>
      </c>
      <c r="N1881" s="19" t="s">
        <v>1475</v>
      </c>
      <c r="O1881" s="20">
        <v>5</v>
      </c>
      <c r="S1881" s="19" t="s">
        <v>20</v>
      </c>
      <c r="T1881" s="19" t="s">
        <v>1471</v>
      </c>
    </row>
    <row r="1882" spans="1:20">
      <c r="A1882" s="20">
        <v>202603329890006</v>
      </c>
      <c r="B1882" s="19" t="s">
        <v>20</v>
      </c>
      <c r="C1882" s="19" t="s">
        <v>21</v>
      </c>
      <c r="D1882" s="19" t="s">
        <v>20</v>
      </c>
      <c r="E1882" s="21">
        <v>46204</v>
      </c>
      <c r="F1882" s="21">
        <v>46568</v>
      </c>
      <c r="G1882" s="21"/>
      <c r="H1882" s="21">
        <v>46204</v>
      </c>
      <c r="I1882" s="21">
        <v>46568</v>
      </c>
      <c r="J1882" s="19" t="s">
        <v>2062</v>
      </c>
      <c r="L1882" s="19">
        <v>33.130630250000003</v>
      </c>
      <c r="M1882" s="19">
        <v>33.130630250000003</v>
      </c>
      <c r="N1882" s="19" t="s">
        <v>1475</v>
      </c>
      <c r="O1882" s="20">
        <v>1</v>
      </c>
      <c r="S1882" s="19" t="s">
        <v>20</v>
      </c>
      <c r="T1882" s="19" t="s">
        <v>1471</v>
      </c>
    </row>
    <row r="1883" spans="1:20">
      <c r="A1883" s="20">
        <v>202603329893169</v>
      </c>
      <c r="B1883" s="19" t="s">
        <v>20</v>
      </c>
      <c r="C1883" s="19" t="s">
        <v>21</v>
      </c>
      <c r="D1883" s="19" t="s">
        <v>20</v>
      </c>
      <c r="E1883" s="21">
        <v>46204</v>
      </c>
      <c r="F1883" s="21">
        <v>46568</v>
      </c>
      <c r="G1883" s="21"/>
      <c r="H1883" s="21">
        <v>46204</v>
      </c>
      <c r="I1883" s="21">
        <v>46568</v>
      </c>
      <c r="J1883" s="19" t="s">
        <v>2139</v>
      </c>
      <c r="L1883" s="19">
        <v>0</v>
      </c>
      <c r="M1883" s="19">
        <v>0</v>
      </c>
      <c r="N1883" s="19" t="s">
        <v>2394</v>
      </c>
      <c r="O1883" s="20">
        <v>3</v>
      </c>
      <c r="S1883" s="19" t="s">
        <v>20</v>
      </c>
      <c r="T1883" s="19" t="s">
        <v>1471</v>
      </c>
    </row>
    <row r="1884" spans="1:20">
      <c r="A1884" s="20">
        <v>202603329893169</v>
      </c>
      <c r="B1884" s="19" t="s">
        <v>20</v>
      </c>
      <c r="C1884" s="19" t="s">
        <v>21</v>
      </c>
      <c r="D1884" s="19" t="s">
        <v>20</v>
      </c>
      <c r="E1884" s="21">
        <v>46204</v>
      </c>
      <c r="F1884" s="21">
        <v>46568</v>
      </c>
      <c r="G1884" s="21"/>
      <c r="H1884" s="21">
        <v>46204</v>
      </c>
      <c r="I1884" s="21">
        <v>46568</v>
      </c>
      <c r="J1884" s="19" t="s">
        <v>2139</v>
      </c>
      <c r="L1884" s="19">
        <v>115.978677</v>
      </c>
      <c r="M1884" s="19">
        <v>115.978677</v>
      </c>
      <c r="N1884" s="19" t="s">
        <v>1475</v>
      </c>
      <c r="O1884" s="20">
        <v>3</v>
      </c>
      <c r="S1884" s="19" t="s">
        <v>20</v>
      </c>
      <c r="T1884" s="19" t="s">
        <v>1471</v>
      </c>
    </row>
    <row r="1885" spans="1:20">
      <c r="A1885" s="20">
        <v>202603329893578</v>
      </c>
      <c r="B1885" s="19" t="s">
        <v>20</v>
      </c>
      <c r="C1885" s="19" t="s">
        <v>21</v>
      </c>
      <c r="D1885" s="19" t="s">
        <v>20</v>
      </c>
      <c r="E1885" s="21">
        <v>46204</v>
      </c>
      <c r="F1885" s="21">
        <v>46568</v>
      </c>
      <c r="G1885" s="21"/>
      <c r="H1885" s="21">
        <v>46204</v>
      </c>
      <c r="I1885" s="21">
        <v>46568</v>
      </c>
      <c r="J1885" s="19" t="s">
        <v>2092</v>
      </c>
      <c r="L1885" s="19">
        <v>38.659559000000002</v>
      </c>
      <c r="M1885" s="19">
        <v>38.659559000000002</v>
      </c>
      <c r="N1885" s="19" t="s">
        <v>1475</v>
      </c>
      <c r="O1885" s="20">
        <v>1</v>
      </c>
      <c r="S1885" s="19" t="s">
        <v>20</v>
      </c>
      <c r="T1885" s="19" t="s">
        <v>1471</v>
      </c>
    </row>
    <row r="1886" spans="1:20">
      <c r="A1886" s="20">
        <v>202603329893868</v>
      </c>
      <c r="B1886" s="19" t="s">
        <v>20</v>
      </c>
      <c r="C1886" s="19" t="s">
        <v>21</v>
      </c>
      <c r="D1886" s="19" t="s">
        <v>20</v>
      </c>
      <c r="E1886" s="21">
        <v>46204</v>
      </c>
      <c r="F1886" s="21">
        <v>46568</v>
      </c>
      <c r="G1886" s="21"/>
      <c r="H1886" s="21">
        <v>46204</v>
      </c>
      <c r="I1886" s="21">
        <v>46568</v>
      </c>
      <c r="J1886" s="19" t="s">
        <v>2083</v>
      </c>
      <c r="L1886" s="19">
        <v>165.65315125000001</v>
      </c>
      <c r="M1886" s="19">
        <v>165.65315125000001</v>
      </c>
      <c r="N1886" s="19" t="s">
        <v>1475</v>
      </c>
      <c r="O1886" s="20">
        <v>5</v>
      </c>
      <c r="S1886" s="19" t="s">
        <v>20</v>
      </c>
      <c r="T1886" s="19" t="s">
        <v>1471</v>
      </c>
    </row>
    <row r="1887" spans="1:20">
      <c r="A1887" s="20">
        <v>202603329896683</v>
      </c>
      <c r="B1887" s="19" t="s">
        <v>20</v>
      </c>
      <c r="C1887" s="19" t="s">
        <v>21</v>
      </c>
      <c r="D1887" s="19" t="s">
        <v>20</v>
      </c>
      <c r="E1887" s="21">
        <v>46204</v>
      </c>
      <c r="F1887" s="21">
        <v>46568</v>
      </c>
      <c r="G1887" s="21"/>
      <c r="H1887" s="21">
        <v>46204</v>
      </c>
      <c r="I1887" s="21">
        <v>46568</v>
      </c>
      <c r="J1887" s="19" t="s">
        <v>2114</v>
      </c>
      <c r="L1887" s="19">
        <v>0</v>
      </c>
      <c r="M1887" s="19">
        <v>0</v>
      </c>
      <c r="N1887" s="19" t="s">
        <v>2394</v>
      </c>
      <c r="O1887" s="20">
        <v>7</v>
      </c>
      <c r="S1887" s="19" t="s">
        <v>20</v>
      </c>
      <c r="T1887" s="19" t="s">
        <v>1471</v>
      </c>
    </row>
    <row r="1888" spans="1:20">
      <c r="A1888" s="20">
        <v>202603329896683</v>
      </c>
      <c r="B1888" s="19" t="s">
        <v>20</v>
      </c>
      <c r="C1888" s="19" t="s">
        <v>21</v>
      </c>
      <c r="D1888" s="19" t="s">
        <v>20</v>
      </c>
      <c r="E1888" s="21">
        <v>46204</v>
      </c>
      <c r="F1888" s="21">
        <v>46568</v>
      </c>
      <c r="G1888" s="21"/>
      <c r="H1888" s="21">
        <v>46204</v>
      </c>
      <c r="I1888" s="21">
        <v>46568</v>
      </c>
      <c r="J1888" s="19" t="s">
        <v>2114</v>
      </c>
      <c r="L1888" s="19">
        <v>231.91441175</v>
      </c>
      <c r="M1888" s="19">
        <v>231.91441175</v>
      </c>
      <c r="N1888" s="19" t="s">
        <v>1475</v>
      </c>
      <c r="O1888" s="20">
        <v>7</v>
      </c>
      <c r="S1888" s="19" t="s">
        <v>20</v>
      </c>
      <c r="T1888" s="19" t="s">
        <v>1471</v>
      </c>
    </row>
    <row r="1889" spans="1:20">
      <c r="A1889" s="20">
        <v>202603329897292</v>
      </c>
      <c r="B1889" s="19" t="s">
        <v>20</v>
      </c>
      <c r="C1889" s="19" t="s">
        <v>21</v>
      </c>
      <c r="D1889" s="19" t="s">
        <v>20</v>
      </c>
      <c r="E1889" s="21">
        <v>46204</v>
      </c>
      <c r="F1889" s="21">
        <v>46568</v>
      </c>
      <c r="G1889" s="21"/>
      <c r="H1889" s="21">
        <v>46204</v>
      </c>
      <c r="I1889" s="21">
        <v>46568</v>
      </c>
      <c r="J1889" s="19" t="s">
        <v>1473</v>
      </c>
      <c r="L1889" s="19">
        <v>0</v>
      </c>
      <c r="M1889" s="19">
        <v>0</v>
      </c>
      <c r="N1889" s="19" t="s">
        <v>2394</v>
      </c>
      <c r="O1889" s="20">
        <v>2</v>
      </c>
      <c r="S1889" s="19" t="s">
        <v>20</v>
      </c>
      <c r="T1889" s="19" t="s">
        <v>1471</v>
      </c>
    </row>
    <row r="1890" spans="1:20">
      <c r="A1890" s="20">
        <v>202603329897292</v>
      </c>
      <c r="B1890" s="19" t="s">
        <v>20</v>
      </c>
      <c r="C1890" s="19" t="s">
        <v>21</v>
      </c>
      <c r="D1890" s="19" t="s">
        <v>2360</v>
      </c>
      <c r="E1890" s="21">
        <v>46204</v>
      </c>
      <c r="F1890" s="21">
        <v>46568</v>
      </c>
      <c r="G1890" s="21"/>
      <c r="H1890" s="21">
        <v>46204</v>
      </c>
      <c r="I1890" s="21">
        <v>46568</v>
      </c>
      <c r="J1890" s="19" t="s">
        <v>1473</v>
      </c>
      <c r="L1890" s="19">
        <v>49.241346999999998</v>
      </c>
      <c r="M1890" s="19">
        <v>49.241346999999998</v>
      </c>
      <c r="N1890" s="19" t="s">
        <v>1467</v>
      </c>
      <c r="O1890" s="20">
        <v>2</v>
      </c>
      <c r="S1890" s="19" t="s">
        <v>20</v>
      </c>
      <c r="T1890" s="19" t="s">
        <v>1471</v>
      </c>
    </row>
    <row r="1891" spans="1:20">
      <c r="A1891" s="20">
        <v>202603329897414</v>
      </c>
      <c r="B1891" s="19" t="s">
        <v>20</v>
      </c>
      <c r="C1891" s="19" t="s">
        <v>21</v>
      </c>
      <c r="D1891" s="19" t="s">
        <v>20</v>
      </c>
      <c r="E1891" s="21">
        <v>46204</v>
      </c>
      <c r="F1891" s="21">
        <v>46568</v>
      </c>
      <c r="G1891" s="21"/>
      <c r="H1891" s="21">
        <v>46204</v>
      </c>
      <c r="I1891" s="21">
        <v>46568</v>
      </c>
      <c r="J1891" s="19" t="s">
        <v>2064</v>
      </c>
      <c r="L1891" s="19">
        <v>0</v>
      </c>
      <c r="M1891" s="19">
        <v>0</v>
      </c>
      <c r="N1891" s="19" t="s">
        <v>2394</v>
      </c>
      <c r="O1891" s="20">
        <v>2</v>
      </c>
      <c r="S1891" s="19" t="s">
        <v>20</v>
      </c>
      <c r="T1891" s="19" t="s">
        <v>1471</v>
      </c>
    </row>
    <row r="1892" spans="1:20">
      <c r="A1892" s="20">
        <v>202603329897414</v>
      </c>
      <c r="B1892" s="19" t="s">
        <v>20</v>
      </c>
      <c r="C1892" s="19" t="s">
        <v>21</v>
      </c>
      <c r="D1892" s="19" t="s">
        <v>20</v>
      </c>
      <c r="E1892" s="21">
        <v>46204</v>
      </c>
      <c r="F1892" s="21">
        <v>46568</v>
      </c>
      <c r="G1892" s="21"/>
      <c r="H1892" s="21">
        <v>46204</v>
      </c>
      <c r="I1892" s="21">
        <v>46568</v>
      </c>
      <c r="J1892" s="19" t="s">
        <v>2064</v>
      </c>
      <c r="L1892" s="19">
        <v>66.261260500000006</v>
      </c>
      <c r="M1892" s="19">
        <v>66.261260500000006</v>
      </c>
      <c r="N1892" s="19" t="s">
        <v>1475</v>
      </c>
      <c r="O1892" s="20">
        <v>2</v>
      </c>
      <c r="S1892" s="19" t="s">
        <v>20</v>
      </c>
      <c r="T1892" s="19" t="s">
        <v>1471</v>
      </c>
    </row>
    <row r="1893" spans="1:20">
      <c r="A1893" s="20">
        <v>202603329898347</v>
      </c>
      <c r="B1893" s="19" t="s">
        <v>20</v>
      </c>
      <c r="C1893" s="19" t="s">
        <v>21</v>
      </c>
      <c r="D1893" s="19" t="s">
        <v>20</v>
      </c>
      <c r="E1893" s="21">
        <v>46204</v>
      </c>
      <c r="F1893" s="21">
        <v>46568</v>
      </c>
      <c r="G1893" s="21"/>
      <c r="H1893" s="21">
        <v>46204</v>
      </c>
      <c r="I1893" s="21">
        <v>46568</v>
      </c>
      <c r="J1893" s="19" t="s">
        <v>2068</v>
      </c>
      <c r="L1893" s="19">
        <v>26.258683999999999</v>
      </c>
      <c r="M1893" s="19">
        <v>26.258683999999999</v>
      </c>
      <c r="N1893" s="19" t="s">
        <v>1475</v>
      </c>
      <c r="O1893" s="20">
        <v>1</v>
      </c>
      <c r="S1893" s="19" t="s">
        <v>20</v>
      </c>
      <c r="T1893" s="19" t="s">
        <v>1471</v>
      </c>
    </row>
    <row r="1894" spans="1:20">
      <c r="A1894" s="20">
        <v>202603329899067</v>
      </c>
      <c r="B1894" s="19" t="s">
        <v>20</v>
      </c>
      <c r="C1894" s="19" t="s">
        <v>21</v>
      </c>
      <c r="D1894" s="19" t="s">
        <v>20</v>
      </c>
      <c r="E1894" s="21">
        <v>46204</v>
      </c>
      <c r="F1894" s="21">
        <v>46568</v>
      </c>
      <c r="G1894" s="21"/>
      <c r="H1894" s="21">
        <v>46204</v>
      </c>
      <c r="I1894" s="21">
        <v>46568</v>
      </c>
      <c r="J1894" s="19" t="s">
        <v>2065</v>
      </c>
      <c r="L1894" s="19">
        <v>78.776052000000007</v>
      </c>
      <c r="M1894" s="19">
        <v>78.776052000000007</v>
      </c>
      <c r="N1894" s="19" t="s">
        <v>1475</v>
      </c>
      <c r="O1894" s="20">
        <v>3</v>
      </c>
      <c r="S1894" s="19" t="s">
        <v>20</v>
      </c>
      <c r="T1894" s="19" t="s">
        <v>1471</v>
      </c>
    </row>
    <row r="1895" spans="1:20">
      <c r="A1895" s="20">
        <v>202603329899504</v>
      </c>
      <c r="B1895" s="19" t="s">
        <v>20</v>
      </c>
      <c r="C1895" s="19" t="s">
        <v>21</v>
      </c>
      <c r="D1895" s="19" t="s">
        <v>20</v>
      </c>
      <c r="E1895" s="21">
        <v>46204</v>
      </c>
      <c r="F1895" s="21">
        <v>46568</v>
      </c>
      <c r="G1895" s="21"/>
      <c r="H1895" s="21">
        <v>46204</v>
      </c>
      <c r="I1895" s="21">
        <v>46568</v>
      </c>
      <c r="J1895" s="19" t="s">
        <v>2085</v>
      </c>
      <c r="L1895" s="19">
        <v>0</v>
      </c>
      <c r="M1895" s="19">
        <v>0</v>
      </c>
      <c r="N1895" s="19" t="s">
        <v>2394</v>
      </c>
      <c r="O1895" s="20">
        <v>3</v>
      </c>
      <c r="S1895" s="19" t="s">
        <v>20</v>
      </c>
      <c r="T1895" s="19" t="s">
        <v>1471</v>
      </c>
    </row>
    <row r="1896" spans="1:20">
      <c r="A1896" s="20">
        <v>202603329899504</v>
      </c>
      <c r="B1896" s="19" t="s">
        <v>20</v>
      </c>
      <c r="C1896" s="19" t="s">
        <v>21</v>
      </c>
      <c r="D1896" s="19" t="s">
        <v>20</v>
      </c>
      <c r="E1896" s="21">
        <v>46204</v>
      </c>
      <c r="F1896" s="21">
        <v>46568</v>
      </c>
      <c r="G1896" s="21"/>
      <c r="H1896" s="21">
        <v>46204</v>
      </c>
      <c r="I1896" s="21">
        <v>46568</v>
      </c>
      <c r="J1896" s="19" t="s">
        <v>2085</v>
      </c>
      <c r="L1896" s="19">
        <v>73.8620205</v>
      </c>
      <c r="M1896" s="19">
        <v>73.8620205</v>
      </c>
      <c r="N1896" s="19" t="s">
        <v>1475</v>
      </c>
      <c r="O1896" s="20">
        <v>3</v>
      </c>
      <c r="S1896" s="19" t="s">
        <v>20</v>
      </c>
      <c r="T1896" s="19" t="s">
        <v>1471</v>
      </c>
    </row>
    <row r="1897" spans="1:20">
      <c r="A1897" s="20">
        <v>202603329900037</v>
      </c>
      <c r="B1897" s="19" t="s">
        <v>20</v>
      </c>
      <c r="C1897" s="19" t="s">
        <v>21</v>
      </c>
      <c r="D1897" s="19" t="s">
        <v>20</v>
      </c>
      <c r="E1897" s="21">
        <v>46204</v>
      </c>
      <c r="F1897" s="21">
        <v>46568</v>
      </c>
      <c r="G1897" s="21"/>
      <c r="H1897" s="21">
        <v>46204</v>
      </c>
      <c r="I1897" s="21">
        <v>46568</v>
      </c>
      <c r="J1897" s="19" t="s">
        <v>2238</v>
      </c>
      <c r="L1897" s="19">
        <v>0</v>
      </c>
      <c r="M1897" s="19">
        <v>0</v>
      </c>
      <c r="N1897" s="19" t="s">
        <v>2394</v>
      </c>
      <c r="O1897" s="20">
        <v>3</v>
      </c>
      <c r="S1897" s="19" t="s">
        <v>20</v>
      </c>
      <c r="T1897" s="19" t="s">
        <v>1471</v>
      </c>
    </row>
    <row r="1898" spans="1:20">
      <c r="A1898" s="20">
        <v>202603329900037</v>
      </c>
      <c r="B1898" s="19" t="s">
        <v>20</v>
      </c>
      <c r="C1898" s="19" t="s">
        <v>21</v>
      </c>
      <c r="D1898" s="19" t="s">
        <v>2361</v>
      </c>
      <c r="E1898" s="21">
        <v>46204</v>
      </c>
      <c r="F1898" s="21">
        <v>46568</v>
      </c>
      <c r="G1898" s="21"/>
      <c r="H1898" s="21">
        <v>46204</v>
      </c>
      <c r="I1898" s="21">
        <v>46568</v>
      </c>
      <c r="J1898" s="19" t="s">
        <v>2238</v>
      </c>
      <c r="L1898" s="19">
        <v>72.876958500000001</v>
      </c>
      <c r="M1898" s="19">
        <v>72.876958500000001</v>
      </c>
      <c r="N1898" s="19" t="s">
        <v>1467</v>
      </c>
      <c r="O1898" s="20">
        <v>3</v>
      </c>
      <c r="S1898" s="19" t="s">
        <v>20</v>
      </c>
      <c r="T1898" s="19" t="s">
        <v>1471</v>
      </c>
    </row>
    <row r="1899" spans="1:20">
      <c r="A1899" s="20">
        <v>202603329901849</v>
      </c>
      <c r="B1899" s="19" t="s">
        <v>20</v>
      </c>
      <c r="C1899" s="19" t="s">
        <v>21</v>
      </c>
      <c r="D1899" s="19" t="s">
        <v>20</v>
      </c>
      <c r="E1899" s="21">
        <v>46204</v>
      </c>
      <c r="F1899" s="21">
        <v>46568</v>
      </c>
      <c r="G1899" s="21"/>
      <c r="H1899" s="21">
        <v>46204</v>
      </c>
      <c r="I1899" s="21">
        <v>46568</v>
      </c>
      <c r="J1899" s="19" t="s">
        <v>2080</v>
      </c>
      <c r="L1899" s="19">
        <v>0</v>
      </c>
      <c r="M1899" s="19">
        <v>0</v>
      </c>
      <c r="N1899" s="19" t="s">
        <v>2394</v>
      </c>
      <c r="O1899" s="20">
        <v>4</v>
      </c>
      <c r="S1899" s="19" t="s">
        <v>20</v>
      </c>
      <c r="T1899" s="19" t="s">
        <v>1471</v>
      </c>
    </row>
    <row r="1900" spans="1:20">
      <c r="A1900" s="20">
        <v>202603329901849</v>
      </c>
      <c r="B1900" s="19" t="s">
        <v>20</v>
      </c>
      <c r="C1900" s="19" t="s">
        <v>21</v>
      </c>
      <c r="D1900" s="19" t="s">
        <v>20</v>
      </c>
      <c r="E1900" s="21">
        <v>46204</v>
      </c>
      <c r="F1900" s="21">
        <v>46568</v>
      </c>
      <c r="G1900" s="21"/>
      <c r="H1900" s="21">
        <v>46204</v>
      </c>
      <c r="I1900" s="21">
        <v>46568</v>
      </c>
      <c r="J1900" s="19" t="s">
        <v>2080</v>
      </c>
      <c r="L1900" s="19">
        <v>132.52252100000001</v>
      </c>
      <c r="M1900" s="19">
        <v>132.52252100000001</v>
      </c>
      <c r="N1900" s="19" t="s">
        <v>1475</v>
      </c>
      <c r="O1900" s="20">
        <v>4</v>
      </c>
      <c r="S1900" s="19" t="s">
        <v>20</v>
      </c>
      <c r="T1900" s="19" t="s">
        <v>1471</v>
      </c>
    </row>
    <row r="1901" spans="1:20">
      <c r="A1901" s="20">
        <v>202603329903308</v>
      </c>
      <c r="B1901" s="19" t="s">
        <v>20</v>
      </c>
      <c r="C1901" s="19" t="s">
        <v>21</v>
      </c>
      <c r="D1901" s="19" t="s">
        <v>20</v>
      </c>
      <c r="E1901" s="21">
        <v>46204</v>
      </c>
      <c r="F1901" s="21">
        <v>46568</v>
      </c>
      <c r="G1901" s="21"/>
      <c r="H1901" s="21">
        <v>46204</v>
      </c>
      <c r="I1901" s="21">
        <v>46568</v>
      </c>
      <c r="J1901" s="19" t="s">
        <v>2161</v>
      </c>
      <c r="L1901" s="19">
        <v>115.978677</v>
      </c>
      <c r="M1901" s="19">
        <v>115.978677</v>
      </c>
      <c r="N1901" s="19" t="s">
        <v>1475</v>
      </c>
      <c r="O1901" s="20">
        <v>3</v>
      </c>
      <c r="S1901" s="19" t="s">
        <v>20</v>
      </c>
      <c r="T1901" s="19" t="s">
        <v>1471</v>
      </c>
    </row>
    <row r="1902" spans="1:20">
      <c r="A1902" s="20">
        <v>202603329905494</v>
      </c>
      <c r="B1902" s="19" t="s">
        <v>20</v>
      </c>
      <c r="C1902" s="19" t="s">
        <v>21</v>
      </c>
      <c r="D1902" s="19" t="s">
        <v>2362</v>
      </c>
      <c r="E1902" s="21">
        <v>46204</v>
      </c>
      <c r="F1902" s="21">
        <v>46568</v>
      </c>
      <c r="G1902" s="21"/>
      <c r="H1902" s="21">
        <v>46204</v>
      </c>
      <c r="I1902" s="21">
        <v>46568</v>
      </c>
      <c r="J1902" s="19" t="s">
        <v>1473</v>
      </c>
      <c r="L1902" s="19">
        <v>24.620673499999999</v>
      </c>
      <c r="M1902" s="19">
        <v>24.620673499999999</v>
      </c>
      <c r="N1902" s="19" t="s">
        <v>1467</v>
      </c>
      <c r="O1902" s="20">
        <v>1</v>
      </c>
      <c r="S1902" s="19" t="s">
        <v>20</v>
      </c>
      <c r="T1902" s="19" t="s">
        <v>1471</v>
      </c>
    </row>
    <row r="1903" spans="1:20">
      <c r="A1903" s="20">
        <v>202603329905601</v>
      </c>
      <c r="B1903" s="19" t="s">
        <v>20</v>
      </c>
      <c r="C1903" s="19" t="s">
        <v>21</v>
      </c>
      <c r="D1903" s="19" t="s">
        <v>20</v>
      </c>
      <c r="E1903" s="21">
        <v>46204</v>
      </c>
      <c r="F1903" s="21">
        <v>46568</v>
      </c>
      <c r="G1903" s="21"/>
      <c r="H1903" s="21">
        <v>46204</v>
      </c>
      <c r="I1903" s="21">
        <v>46568</v>
      </c>
      <c r="J1903" s="19" t="s">
        <v>2064</v>
      </c>
      <c r="L1903" s="19">
        <v>33.130630250000003</v>
      </c>
      <c r="M1903" s="19">
        <v>33.130630250000003</v>
      </c>
      <c r="N1903" s="19" t="s">
        <v>1475</v>
      </c>
      <c r="O1903" s="20">
        <v>1</v>
      </c>
      <c r="S1903" s="19" t="s">
        <v>20</v>
      </c>
      <c r="T1903" s="19" t="s">
        <v>1471</v>
      </c>
    </row>
    <row r="1904" spans="1:20">
      <c r="A1904" s="20">
        <v>202603329907187</v>
      </c>
      <c r="B1904" s="19" t="s">
        <v>20</v>
      </c>
      <c r="C1904" s="19" t="s">
        <v>21</v>
      </c>
      <c r="D1904" s="19" t="s">
        <v>20</v>
      </c>
      <c r="E1904" s="21">
        <v>46204</v>
      </c>
      <c r="F1904" s="21">
        <v>46568</v>
      </c>
      <c r="G1904" s="21"/>
      <c r="H1904" s="21">
        <v>46204</v>
      </c>
      <c r="I1904" s="21">
        <v>46568</v>
      </c>
      <c r="J1904" s="19" t="s">
        <v>2064</v>
      </c>
      <c r="L1904" s="19">
        <v>0</v>
      </c>
      <c r="M1904" s="19">
        <v>0</v>
      </c>
      <c r="N1904" s="19" t="s">
        <v>2394</v>
      </c>
      <c r="O1904" s="20">
        <v>5</v>
      </c>
      <c r="S1904" s="19" t="s">
        <v>20</v>
      </c>
      <c r="T1904" s="19" t="s">
        <v>1471</v>
      </c>
    </row>
    <row r="1905" spans="1:20">
      <c r="A1905" s="20">
        <v>202603329907187</v>
      </c>
      <c r="B1905" s="19" t="s">
        <v>20</v>
      </c>
      <c r="C1905" s="19" t="s">
        <v>21</v>
      </c>
      <c r="D1905" s="19" t="s">
        <v>20</v>
      </c>
      <c r="E1905" s="21">
        <v>46204</v>
      </c>
      <c r="F1905" s="21">
        <v>46568</v>
      </c>
      <c r="G1905" s="21"/>
      <c r="H1905" s="21">
        <v>46204</v>
      </c>
      <c r="I1905" s="21">
        <v>46568</v>
      </c>
      <c r="J1905" s="19" t="s">
        <v>2064</v>
      </c>
      <c r="L1905" s="19">
        <v>165.65315125000001</v>
      </c>
      <c r="M1905" s="19">
        <v>165.65315125000001</v>
      </c>
      <c r="N1905" s="19" t="s">
        <v>1475</v>
      </c>
      <c r="O1905" s="20">
        <v>5</v>
      </c>
      <c r="S1905" s="19" t="s">
        <v>20</v>
      </c>
      <c r="T1905" s="19" t="s">
        <v>1471</v>
      </c>
    </row>
    <row r="1906" spans="1:20">
      <c r="A1906" s="20">
        <v>202603329908875</v>
      </c>
      <c r="B1906" s="19" t="s">
        <v>20</v>
      </c>
      <c r="C1906" s="19" t="s">
        <v>21</v>
      </c>
      <c r="D1906" s="19" t="s">
        <v>20</v>
      </c>
      <c r="E1906" s="21">
        <v>46204</v>
      </c>
      <c r="F1906" s="21">
        <v>46568</v>
      </c>
      <c r="G1906" s="21"/>
      <c r="H1906" s="21">
        <v>46204</v>
      </c>
      <c r="I1906" s="21">
        <v>46568</v>
      </c>
      <c r="J1906" s="19" t="s">
        <v>2064</v>
      </c>
      <c r="L1906" s="19">
        <v>0</v>
      </c>
      <c r="M1906" s="19">
        <v>0</v>
      </c>
      <c r="N1906" s="19" t="s">
        <v>2394</v>
      </c>
      <c r="O1906" s="20">
        <v>2</v>
      </c>
      <c r="S1906" s="19" t="s">
        <v>20</v>
      </c>
      <c r="T1906" s="19" t="s">
        <v>1471</v>
      </c>
    </row>
    <row r="1907" spans="1:20">
      <c r="A1907" s="20">
        <v>202603329908875</v>
      </c>
      <c r="B1907" s="19" t="s">
        <v>20</v>
      </c>
      <c r="C1907" s="19" t="s">
        <v>21</v>
      </c>
      <c r="D1907" s="19" t="s">
        <v>20</v>
      </c>
      <c r="E1907" s="21">
        <v>46204</v>
      </c>
      <c r="F1907" s="21">
        <v>46568</v>
      </c>
      <c r="G1907" s="21"/>
      <c r="H1907" s="21">
        <v>46204</v>
      </c>
      <c r="I1907" s="21">
        <v>46568</v>
      </c>
      <c r="J1907" s="19" t="s">
        <v>2064</v>
      </c>
      <c r="L1907" s="19">
        <v>66.261260500000006</v>
      </c>
      <c r="M1907" s="19">
        <v>66.261260500000006</v>
      </c>
      <c r="N1907" s="19" t="s">
        <v>1475</v>
      </c>
      <c r="O1907" s="20">
        <v>2</v>
      </c>
      <c r="S1907" s="19" t="s">
        <v>20</v>
      </c>
      <c r="T1907" s="19" t="s">
        <v>1471</v>
      </c>
    </row>
    <row r="1908" spans="1:20">
      <c r="A1908" s="20">
        <v>202603329908905</v>
      </c>
      <c r="B1908" s="19" t="s">
        <v>20</v>
      </c>
      <c r="C1908" s="19" t="s">
        <v>21</v>
      </c>
      <c r="D1908" s="19" t="s">
        <v>2363</v>
      </c>
      <c r="E1908" s="21">
        <v>46204</v>
      </c>
      <c r="F1908" s="21">
        <v>46568</v>
      </c>
      <c r="G1908" s="21"/>
      <c r="H1908" s="21">
        <v>46204</v>
      </c>
      <c r="I1908" s="21">
        <v>46568</v>
      </c>
      <c r="J1908" s="19" t="s">
        <v>2104</v>
      </c>
      <c r="L1908" s="19">
        <v>66.261260500000006</v>
      </c>
      <c r="M1908" s="19">
        <v>66.261260500000006</v>
      </c>
      <c r="N1908" s="19" t="s">
        <v>1467</v>
      </c>
      <c r="O1908" s="20">
        <v>2</v>
      </c>
      <c r="S1908" s="19" t="s">
        <v>20</v>
      </c>
      <c r="T1908" s="19" t="s">
        <v>1471</v>
      </c>
    </row>
    <row r="1909" spans="1:20">
      <c r="A1909" s="20">
        <v>202603329909902</v>
      </c>
      <c r="B1909" s="19" t="s">
        <v>20</v>
      </c>
      <c r="C1909" s="19" t="s">
        <v>21</v>
      </c>
      <c r="D1909" s="19" t="s">
        <v>20</v>
      </c>
      <c r="E1909" s="21">
        <v>46204</v>
      </c>
      <c r="F1909" s="21">
        <v>46568</v>
      </c>
      <c r="G1909" s="21"/>
      <c r="H1909" s="21">
        <v>46204</v>
      </c>
      <c r="I1909" s="21">
        <v>46568</v>
      </c>
      <c r="J1909" s="19" t="s">
        <v>2064</v>
      </c>
      <c r="L1909" s="19">
        <v>0</v>
      </c>
      <c r="M1909" s="19">
        <v>0</v>
      </c>
      <c r="N1909" s="19" t="s">
        <v>2394</v>
      </c>
      <c r="O1909" s="20">
        <v>3</v>
      </c>
      <c r="S1909" s="19" t="s">
        <v>20</v>
      </c>
      <c r="T1909" s="19" t="s">
        <v>1471</v>
      </c>
    </row>
    <row r="1910" spans="1:20">
      <c r="A1910" s="20">
        <v>202603329909902</v>
      </c>
      <c r="B1910" s="19" t="s">
        <v>20</v>
      </c>
      <c r="C1910" s="19" t="s">
        <v>21</v>
      </c>
      <c r="D1910" s="19" t="s">
        <v>20</v>
      </c>
      <c r="E1910" s="21">
        <v>46204</v>
      </c>
      <c r="F1910" s="21">
        <v>46568</v>
      </c>
      <c r="G1910" s="21"/>
      <c r="H1910" s="21">
        <v>46204</v>
      </c>
      <c r="I1910" s="21">
        <v>46568</v>
      </c>
      <c r="J1910" s="19" t="s">
        <v>2064</v>
      </c>
      <c r="L1910" s="19">
        <v>99.391890750000002</v>
      </c>
      <c r="M1910" s="19">
        <v>99.391890750000002</v>
      </c>
      <c r="N1910" s="19" t="s">
        <v>1475</v>
      </c>
      <c r="O1910" s="20">
        <v>3</v>
      </c>
      <c r="S1910" s="19" t="s">
        <v>20</v>
      </c>
      <c r="T1910" s="19" t="s">
        <v>1471</v>
      </c>
    </row>
    <row r="1911" spans="1:20">
      <c r="A1911" s="20">
        <v>202603329910136</v>
      </c>
      <c r="B1911" s="19" t="s">
        <v>20</v>
      </c>
      <c r="C1911" s="19" t="s">
        <v>21</v>
      </c>
      <c r="D1911" s="19" t="s">
        <v>20</v>
      </c>
      <c r="E1911" s="21">
        <v>46204</v>
      </c>
      <c r="F1911" s="21">
        <v>46568</v>
      </c>
      <c r="G1911" s="21"/>
      <c r="H1911" s="21">
        <v>46204</v>
      </c>
      <c r="I1911" s="21">
        <v>46568</v>
      </c>
      <c r="J1911" s="19" t="s">
        <v>2086</v>
      </c>
      <c r="L1911" s="19">
        <v>33.130630250000003</v>
      </c>
      <c r="M1911" s="19">
        <v>33.130630250000003</v>
      </c>
      <c r="N1911" s="19" t="s">
        <v>1475</v>
      </c>
      <c r="O1911" s="20">
        <v>1</v>
      </c>
      <c r="S1911" s="19" t="s">
        <v>20</v>
      </c>
      <c r="T1911" s="19" t="s">
        <v>1471</v>
      </c>
    </row>
    <row r="1912" spans="1:20">
      <c r="A1912" s="20">
        <v>202603329911493</v>
      </c>
      <c r="B1912" s="19" t="s">
        <v>20</v>
      </c>
      <c r="C1912" s="19" t="s">
        <v>21</v>
      </c>
      <c r="D1912" s="19" t="s">
        <v>20</v>
      </c>
      <c r="E1912" s="21">
        <v>46204</v>
      </c>
      <c r="F1912" s="21">
        <v>46568</v>
      </c>
      <c r="G1912" s="21"/>
      <c r="H1912" s="21">
        <v>46204</v>
      </c>
      <c r="I1912" s="21">
        <v>46568</v>
      </c>
      <c r="J1912" s="19" t="s">
        <v>2184</v>
      </c>
      <c r="L1912" s="19">
        <v>59.635123499999999</v>
      </c>
      <c r="M1912" s="19">
        <v>59.635123499999999</v>
      </c>
      <c r="N1912" s="19" t="s">
        <v>1475</v>
      </c>
      <c r="O1912" s="20">
        <v>2</v>
      </c>
      <c r="S1912" s="19" t="s">
        <v>20</v>
      </c>
      <c r="T1912" s="19" t="s">
        <v>1471</v>
      </c>
    </row>
    <row r="1913" spans="1:20">
      <c r="A1913" s="20">
        <v>202603329911774</v>
      </c>
      <c r="B1913" s="19" t="s">
        <v>20</v>
      </c>
      <c r="C1913" s="19" t="s">
        <v>21</v>
      </c>
      <c r="D1913" s="19" t="s">
        <v>20</v>
      </c>
      <c r="E1913" s="21">
        <v>46204</v>
      </c>
      <c r="F1913" s="21">
        <v>46568</v>
      </c>
      <c r="G1913" s="21"/>
      <c r="H1913" s="21">
        <v>46204</v>
      </c>
      <c r="I1913" s="21">
        <v>46568</v>
      </c>
      <c r="J1913" s="19" t="s">
        <v>2068</v>
      </c>
      <c r="L1913" s="19">
        <v>0</v>
      </c>
      <c r="M1913" s="19">
        <v>0</v>
      </c>
      <c r="N1913" s="19" t="s">
        <v>2394</v>
      </c>
      <c r="O1913" s="20">
        <v>3</v>
      </c>
      <c r="S1913" s="19" t="s">
        <v>20</v>
      </c>
      <c r="T1913" s="19" t="s">
        <v>1471</v>
      </c>
    </row>
    <row r="1914" spans="1:20">
      <c r="A1914" s="20">
        <v>202603329911774</v>
      </c>
      <c r="B1914" s="19" t="s">
        <v>20</v>
      </c>
      <c r="C1914" s="19" t="s">
        <v>21</v>
      </c>
      <c r="D1914" s="19" t="s">
        <v>20</v>
      </c>
      <c r="E1914" s="21">
        <v>46204</v>
      </c>
      <c r="F1914" s="21">
        <v>46568</v>
      </c>
      <c r="G1914" s="21"/>
      <c r="H1914" s="21">
        <v>46204</v>
      </c>
      <c r="I1914" s="21">
        <v>46568</v>
      </c>
      <c r="J1914" s="19" t="s">
        <v>2068</v>
      </c>
      <c r="L1914" s="19">
        <v>78.776052000000007</v>
      </c>
      <c r="M1914" s="19">
        <v>78.776052000000007</v>
      </c>
      <c r="N1914" s="19" t="s">
        <v>1475</v>
      </c>
      <c r="O1914" s="20">
        <v>3</v>
      </c>
      <c r="S1914" s="19" t="s">
        <v>20</v>
      </c>
      <c r="T1914" s="19" t="s">
        <v>1471</v>
      </c>
    </row>
    <row r="1915" spans="1:20">
      <c r="A1915" s="20">
        <v>202603329912114</v>
      </c>
      <c r="B1915" s="19" t="s">
        <v>20</v>
      </c>
      <c r="C1915" s="19" t="s">
        <v>21</v>
      </c>
      <c r="D1915" s="19" t="s">
        <v>20</v>
      </c>
      <c r="E1915" s="21">
        <v>46204</v>
      </c>
      <c r="F1915" s="21">
        <v>46568</v>
      </c>
      <c r="G1915" s="21"/>
      <c r="H1915" s="21">
        <v>46204</v>
      </c>
      <c r="I1915" s="21">
        <v>46568</v>
      </c>
      <c r="J1915" s="19" t="s">
        <v>2087</v>
      </c>
      <c r="L1915" s="19">
        <v>0</v>
      </c>
      <c r="M1915" s="19">
        <v>0</v>
      </c>
      <c r="N1915" s="19" t="s">
        <v>2394</v>
      </c>
      <c r="O1915" s="20">
        <v>5</v>
      </c>
      <c r="S1915" s="19" t="s">
        <v>20</v>
      </c>
      <c r="T1915" s="19" t="s">
        <v>1471</v>
      </c>
    </row>
    <row r="1916" spans="1:20">
      <c r="A1916" s="20">
        <v>202603329912114</v>
      </c>
      <c r="B1916" s="19" t="s">
        <v>20</v>
      </c>
      <c r="C1916" s="19" t="s">
        <v>21</v>
      </c>
      <c r="D1916" s="19" t="s">
        <v>20</v>
      </c>
      <c r="E1916" s="21">
        <v>46204</v>
      </c>
      <c r="F1916" s="21">
        <v>46568</v>
      </c>
      <c r="G1916" s="21"/>
      <c r="H1916" s="21">
        <v>46204</v>
      </c>
      <c r="I1916" s="21">
        <v>46568</v>
      </c>
      <c r="J1916" s="19" t="s">
        <v>2087</v>
      </c>
      <c r="L1916" s="19">
        <v>165.65315125000001</v>
      </c>
      <c r="M1916" s="19">
        <v>165.65315125000001</v>
      </c>
      <c r="N1916" s="19" t="s">
        <v>1475</v>
      </c>
      <c r="O1916" s="20">
        <v>5</v>
      </c>
      <c r="S1916" s="19" t="s">
        <v>20</v>
      </c>
      <c r="T1916" s="19" t="s">
        <v>1471</v>
      </c>
    </row>
    <row r="1917" spans="1:20">
      <c r="A1917" s="20">
        <v>202603329912368</v>
      </c>
      <c r="B1917" s="19" t="s">
        <v>20</v>
      </c>
      <c r="C1917" s="19" t="s">
        <v>21</v>
      </c>
      <c r="D1917" s="19" t="s">
        <v>20</v>
      </c>
      <c r="E1917" s="21">
        <v>46204</v>
      </c>
      <c r="F1917" s="21">
        <v>46568</v>
      </c>
      <c r="G1917" s="21"/>
      <c r="H1917" s="21">
        <v>46204</v>
      </c>
      <c r="I1917" s="21">
        <v>46568</v>
      </c>
      <c r="J1917" s="19" t="s">
        <v>2093</v>
      </c>
      <c r="L1917" s="19">
        <v>0</v>
      </c>
      <c r="M1917" s="19">
        <v>0</v>
      </c>
      <c r="N1917" s="19" t="s">
        <v>2394</v>
      </c>
      <c r="O1917" s="20">
        <v>6</v>
      </c>
      <c r="S1917" s="19" t="s">
        <v>20</v>
      </c>
      <c r="T1917" s="19" t="s">
        <v>1471</v>
      </c>
    </row>
    <row r="1918" spans="1:20">
      <c r="A1918" s="20">
        <v>202603329912368</v>
      </c>
      <c r="B1918" s="19" t="s">
        <v>20</v>
      </c>
      <c r="C1918" s="19" t="s">
        <v>21</v>
      </c>
      <c r="D1918" s="19" t="s">
        <v>20</v>
      </c>
      <c r="E1918" s="21">
        <v>46204</v>
      </c>
      <c r="F1918" s="21">
        <v>46568</v>
      </c>
      <c r="G1918" s="21"/>
      <c r="H1918" s="21">
        <v>46204</v>
      </c>
      <c r="I1918" s="21">
        <v>46568</v>
      </c>
      <c r="J1918" s="19" t="s">
        <v>2093</v>
      </c>
      <c r="L1918" s="19">
        <v>172.6562055</v>
      </c>
      <c r="M1918" s="19">
        <v>172.6562055</v>
      </c>
      <c r="N1918" s="19" t="s">
        <v>1475</v>
      </c>
      <c r="O1918" s="20">
        <v>6</v>
      </c>
      <c r="S1918" s="19" t="s">
        <v>20</v>
      </c>
      <c r="T1918" s="19" t="s">
        <v>1471</v>
      </c>
    </row>
    <row r="1919" spans="1:20">
      <c r="A1919" s="20">
        <v>202603329915140</v>
      </c>
      <c r="B1919" s="19" t="s">
        <v>20</v>
      </c>
      <c r="C1919" s="19" t="s">
        <v>21</v>
      </c>
      <c r="D1919" s="19" t="s">
        <v>20</v>
      </c>
      <c r="E1919" s="21">
        <v>46204</v>
      </c>
      <c r="F1919" s="21">
        <v>46568</v>
      </c>
      <c r="G1919" s="21"/>
      <c r="H1919" s="21">
        <v>46204</v>
      </c>
      <c r="I1919" s="21">
        <v>46568</v>
      </c>
      <c r="J1919" s="19" t="s">
        <v>2104</v>
      </c>
      <c r="L1919" s="19">
        <v>33.130630250000003</v>
      </c>
      <c r="M1919" s="19">
        <v>33.130630250000003</v>
      </c>
      <c r="N1919" s="19" t="s">
        <v>1475</v>
      </c>
      <c r="O1919" s="20">
        <v>1</v>
      </c>
      <c r="S1919" s="19" t="s">
        <v>20</v>
      </c>
      <c r="T1919" s="19" t="s">
        <v>1471</v>
      </c>
    </row>
    <row r="1920" spans="1:20">
      <c r="A1920" s="20">
        <v>202603329915232</v>
      </c>
      <c r="B1920" s="19" t="s">
        <v>20</v>
      </c>
      <c r="C1920" s="19" t="s">
        <v>21</v>
      </c>
      <c r="D1920" s="19" t="s">
        <v>20</v>
      </c>
      <c r="E1920" s="21">
        <v>46204</v>
      </c>
      <c r="F1920" s="21">
        <v>46568</v>
      </c>
      <c r="G1920" s="21"/>
      <c r="H1920" s="21">
        <v>46204</v>
      </c>
      <c r="I1920" s="21">
        <v>46568</v>
      </c>
      <c r="J1920" s="19" t="s">
        <v>2068</v>
      </c>
      <c r="L1920" s="19">
        <v>26.258683999999999</v>
      </c>
      <c r="M1920" s="19">
        <v>26.258683999999999</v>
      </c>
      <c r="N1920" s="19" t="s">
        <v>1475</v>
      </c>
      <c r="O1920" s="20">
        <v>1</v>
      </c>
      <c r="S1920" s="19" t="s">
        <v>20</v>
      </c>
      <c r="T1920" s="19" t="s">
        <v>1471</v>
      </c>
    </row>
    <row r="1921" spans="1:20">
      <c r="A1921" s="20">
        <v>202603329916246</v>
      </c>
      <c r="B1921" s="19" t="s">
        <v>20</v>
      </c>
      <c r="C1921" s="19" t="s">
        <v>21</v>
      </c>
      <c r="D1921" s="19" t="s">
        <v>20</v>
      </c>
      <c r="E1921" s="21">
        <v>46204</v>
      </c>
      <c r="F1921" s="21">
        <v>46568</v>
      </c>
      <c r="G1921" s="21"/>
      <c r="H1921" s="21">
        <v>46204</v>
      </c>
      <c r="I1921" s="21">
        <v>46568</v>
      </c>
      <c r="J1921" s="19" t="s">
        <v>2071</v>
      </c>
      <c r="L1921" s="19">
        <v>0</v>
      </c>
      <c r="M1921" s="19">
        <v>0</v>
      </c>
      <c r="N1921" s="19" t="s">
        <v>2394</v>
      </c>
      <c r="O1921" s="20">
        <v>4</v>
      </c>
      <c r="S1921" s="19" t="s">
        <v>20</v>
      </c>
      <c r="T1921" s="19" t="s">
        <v>1471</v>
      </c>
    </row>
    <row r="1922" spans="1:20">
      <c r="A1922" s="20">
        <v>202603329916246</v>
      </c>
      <c r="B1922" s="19" t="s">
        <v>20</v>
      </c>
      <c r="C1922" s="19" t="s">
        <v>21</v>
      </c>
      <c r="D1922" s="19" t="s">
        <v>20</v>
      </c>
      <c r="E1922" s="21">
        <v>46204</v>
      </c>
      <c r="F1922" s="21">
        <v>46568</v>
      </c>
      <c r="G1922" s="21"/>
      <c r="H1922" s="21">
        <v>46204</v>
      </c>
      <c r="I1922" s="21">
        <v>46568</v>
      </c>
      <c r="J1922" s="19" t="s">
        <v>2071</v>
      </c>
      <c r="L1922" s="19">
        <v>154.63823600000001</v>
      </c>
      <c r="M1922" s="19">
        <v>154.63823600000001</v>
      </c>
      <c r="N1922" s="19" t="s">
        <v>1475</v>
      </c>
      <c r="O1922" s="20">
        <v>4</v>
      </c>
      <c r="S1922" s="19" t="s">
        <v>20</v>
      </c>
      <c r="T1922" s="19" t="s">
        <v>1471</v>
      </c>
    </row>
    <row r="1923" spans="1:20">
      <c r="A1923" s="20">
        <v>202603329916520</v>
      </c>
      <c r="B1923" s="19" t="s">
        <v>20</v>
      </c>
      <c r="C1923" s="19" t="s">
        <v>21</v>
      </c>
      <c r="D1923" s="19" t="s">
        <v>20</v>
      </c>
      <c r="E1923" s="21">
        <v>46204</v>
      </c>
      <c r="F1923" s="21">
        <v>46568</v>
      </c>
      <c r="G1923" s="21"/>
      <c r="H1923" s="21">
        <v>46204</v>
      </c>
      <c r="I1923" s="21">
        <v>46568</v>
      </c>
      <c r="J1923" s="19" t="s">
        <v>2129</v>
      </c>
      <c r="L1923" s="19">
        <v>33.130630250000003</v>
      </c>
      <c r="M1923" s="19">
        <v>33.130630250000003</v>
      </c>
      <c r="N1923" s="19" t="s">
        <v>1475</v>
      </c>
      <c r="O1923" s="20">
        <v>1</v>
      </c>
      <c r="S1923" s="19" t="s">
        <v>20</v>
      </c>
      <c r="T1923" s="19" t="s">
        <v>1471</v>
      </c>
    </row>
    <row r="1924" spans="1:20">
      <c r="A1924" s="20">
        <v>202603329916859</v>
      </c>
      <c r="B1924" s="19" t="s">
        <v>20</v>
      </c>
      <c r="C1924" s="19" t="s">
        <v>21</v>
      </c>
      <c r="D1924" s="19" t="s">
        <v>20</v>
      </c>
      <c r="E1924" s="21">
        <v>46204</v>
      </c>
      <c r="F1924" s="21">
        <v>46568</v>
      </c>
      <c r="G1924" s="21"/>
      <c r="H1924" s="21">
        <v>46204</v>
      </c>
      <c r="I1924" s="21">
        <v>46568</v>
      </c>
      <c r="J1924" s="19" t="s">
        <v>2166</v>
      </c>
      <c r="L1924" s="19">
        <v>0</v>
      </c>
      <c r="M1924" s="19">
        <v>0</v>
      </c>
      <c r="N1924" s="19" t="s">
        <v>2394</v>
      </c>
      <c r="O1924" s="20">
        <v>2</v>
      </c>
      <c r="S1924" s="19" t="s">
        <v>20</v>
      </c>
      <c r="T1924" s="19" t="s">
        <v>1471</v>
      </c>
    </row>
    <row r="1925" spans="1:20">
      <c r="A1925" s="20">
        <v>202603329916859</v>
      </c>
      <c r="B1925" s="19" t="s">
        <v>20</v>
      </c>
      <c r="C1925" s="19" t="s">
        <v>21</v>
      </c>
      <c r="D1925" s="19" t="s">
        <v>20</v>
      </c>
      <c r="E1925" s="21">
        <v>46204</v>
      </c>
      <c r="F1925" s="21">
        <v>46568</v>
      </c>
      <c r="G1925" s="21"/>
      <c r="H1925" s="21">
        <v>46204</v>
      </c>
      <c r="I1925" s="21">
        <v>46568</v>
      </c>
      <c r="J1925" s="19" t="s">
        <v>2166</v>
      </c>
      <c r="L1925" s="19">
        <v>53.008986499999999</v>
      </c>
      <c r="M1925" s="19">
        <v>53.008986499999999</v>
      </c>
      <c r="N1925" s="19" t="s">
        <v>1475</v>
      </c>
      <c r="O1925" s="20">
        <v>2</v>
      </c>
      <c r="S1925" s="19" t="s">
        <v>20</v>
      </c>
      <c r="T1925" s="19" t="s">
        <v>1471</v>
      </c>
    </row>
    <row r="1926" spans="1:20">
      <c r="A1926" s="20">
        <v>202603329916990</v>
      </c>
      <c r="B1926" s="19" t="s">
        <v>20</v>
      </c>
      <c r="C1926" s="19" t="s">
        <v>21</v>
      </c>
      <c r="D1926" s="19" t="s">
        <v>20</v>
      </c>
      <c r="E1926" s="21">
        <v>46204</v>
      </c>
      <c r="F1926" s="21">
        <v>46568</v>
      </c>
      <c r="G1926" s="21"/>
      <c r="H1926" s="21">
        <v>46204</v>
      </c>
      <c r="I1926" s="21">
        <v>46568</v>
      </c>
      <c r="J1926" s="19" t="s">
        <v>2120</v>
      </c>
      <c r="L1926" s="19">
        <v>0</v>
      </c>
      <c r="M1926" s="19">
        <v>0</v>
      </c>
      <c r="N1926" s="19" t="s">
        <v>2394</v>
      </c>
      <c r="O1926" s="20">
        <v>6</v>
      </c>
      <c r="S1926" s="19" t="s">
        <v>20</v>
      </c>
      <c r="T1926" s="19" t="s">
        <v>1471</v>
      </c>
    </row>
    <row r="1927" spans="1:20">
      <c r="A1927" s="20">
        <v>202603329916990</v>
      </c>
      <c r="B1927" s="19" t="s">
        <v>20</v>
      </c>
      <c r="C1927" s="19" t="s">
        <v>21</v>
      </c>
      <c r="D1927" s="19" t="s">
        <v>20</v>
      </c>
      <c r="E1927" s="21">
        <v>46204</v>
      </c>
      <c r="F1927" s="21">
        <v>46568</v>
      </c>
      <c r="G1927" s="21"/>
      <c r="H1927" s="21">
        <v>46204</v>
      </c>
      <c r="I1927" s="21">
        <v>46568</v>
      </c>
      <c r="J1927" s="19" t="s">
        <v>2120</v>
      </c>
      <c r="L1927" s="19">
        <v>227.68772999999999</v>
      </c>
      <c r="M1927" s="19">
        <v>227.68772999999999</v>
      </c>
      <c r="N1927" s="19" t="s">
        <v>1475</v>
      </c>
      <c r="O1927" s="20">
        <v>6</v>
      </c>
      <c r="S1927" s="19" t="s">
        <v>20</v>
      </c>
      <c r="T1927" s="19" t="s">
        <v>1471</v>
      </c>
    </row>
    <row r="1928" spans="1:20">
      <c r="A1928" s="20">
        <v>202603329917945</v>
      </c>
      <c r="B1928" s="19" t="s">
        <v>20</v>
      </c>
      <c r="C1928" s="19" t="s">
        <v>21</v>
      </c>
      <c r="D1928" s="19" t="s">
        <v>20</v>
      </c>
      <c r="E1928" s="21">
        <v>46204</v>
      </c>
      <c r="F1928" s="21">
        <v>46568</v>
      </c>
      <c r="G1928" s="21"/>
      <c r="H1928" s="21">
        <v>46204</v>
      </c>
      <c r="I1928" s="21">
        <v>46568</v>
      </c>
      <c r="J1928" s="19" t="s">
        <v>2107</v>
      </c>
      <c r="L1928" s="19">
        <v>29.817561749999999</v>
      </c>
      <c r="M1928" s="19">
        <v>29.817561749999999</v>
      </c>
      <c r="N1928" s="19" t="s">
        <v>1475</v>
      </c>
      <c r="O1928" s="20">
        <v>1</v>
      </c>
      <c r="S1928" s="19" t="s">
        <v>20</v>
      </c>
      <c r="T1928" s="19" t="s">
        <v>1471</v>
      </c>
    </row>
    <row r="1929" spans="1:20">
      <c r="A1929" s="20">
        <v>202603329918449</v>
      </c>
      <c r="B1929" s="19" t="s">
        <v>20</v>
      </c>
      <c r="C1929" s="19" t="s">
        <v>21</v>
      </c>
      <c r="D1929" s="19" t="s">
        <v>20</v>
      </c>
      <c r="E1929" s="21">
        <v>46204</v>
      </c>
      <c r="F1929" s="21">
        <v>46568</v>
      </c>
      <c r="G1929" s="21"/>
      <c r="H1929" s="21">
        <v>46204</v>
      </c>
      <c r="I1929" s="21">
        <v>46568</v>
      </c>
      <c r="J1929" s="19" t="s">
        <v>2068</v>
      </c>
      <c r="L1929" s="19">
        <v>0</v>
      </c>
      <c r="M1929" s="19">
        <v>0</v>
      </c>
      <c r="N1929" s="19" t="s">
        <v>2394</v>
      </c>
      <c r="O1929" s="20">
        <v>5</v>
      </c>
      <c r="S1929" s="19" t="s">
        <v>20</v>
      </c>
      <c r="T1929" s="19" t="s">
        <v>1471</v>
      </c>
    </row>
    <row r="1930" spans="1:20">
      <c r="A1930" s="20">
        <v>202603329918449</v>
      </c>
      <c r="B1930" s="19" t="s">
        <v>20</v>
      </c>
      <c r="C1930" s="19" t="s">
        <v>21</v>
      </c>
      <c r="D1930" s="19" t="s">
        <v>20</v>
      </c>
      <c r="E1930" s="21">
        <v>46204</v>
      </c>
      <c r="F1930" s="21">
        <v>46568</v>
      </c>
      <c r="G1930" s="21"/>
      <c r="H1930" s="21">
        <v>46204</v>
      </c>
      <c r="I1930" s="21">
        <v>46568</v>
      </c>
      <c r="J1930" s="19" t="s">
        <v>2068</v>
      </c>
      <c r="L1930" s="19">
        <v>131.29342</v>
      </c>
      <c r="M1930" s="19">
        <v>131.29342</v>
      </c>
      <c r="N1930" s="19" t="s">
        <v>1475</v>
      </c>
      <c r="O1930" s="20">
        <v>5</v>
      </c>
      <c r="S1930" s="19" t="s">
        <v>20</v>
      </c>
      <c r="T1930" s="19" t="s">
        <v>1471</v>
      </c>
    </row>
    <row r="1931" spans="1:20">
      <c r="A1931" s="20">
        <v>202603329918617</v>
      </c>
      <c r="B1931" s="19" t="s">
        <v>20</v>
      </c>
      <c r="C1931" s="19" t="s">
        <v>21</v>
      </c>
      <c r="D1931" s="19" t="s">
        <v>20</v>
      </c>
      <c r="E1931" s="21">
        <v>46204</v>
      </c>
      <c r="F1931" s="21">
        <v>46568</v>
      </c>
      <c r="G1931" s="21"/>
      <c r="H1931" s="21">
        <v>46204</v>
      </c>
      <c r="I1931" s="21">
        <v>46568</v>
      </c>
      <c r="J1931" s="19" t="s">
        <v>2064</v>
      </c>
      <c r="L1931" s="19">
        <v>33.130630250000003</v>
      </c>
      <c r="M1931" s="19">
        <v>33.130630250000003</v>
      </c>
      <c r="N1931" s="19" t="s">
        <v>1475</v>
      </c>
      <c r="O1931" s="20">
        <v>1</v>
      </c>
      <c r="S1931" s="19" t="s">
        <v>20</v>
      </c>
      <c r="T1931" s="19" t="s">
        <v>1471</v>
      </c>
    </row>
    <row r="1932" spans="1:20">
      <c r="A1932" s="20">
        <v>202603329922883</v>
      </c>
      <c r="B1932" s="19" t="s">
        <v>20</v>
      </c>
      <c r="C1932" s="19" t="s">
        <v>21</v>
      </c>
      <c r="D1932" s="19" t="s">
        <v>20</v>
      </c>
      <c r="E1932" s="21">
        <v>46204</v>
      </c>
      <c r="F1932" s="21">
        <v>46568</v>
      </c>
      <c r="G1932" s="21"/>
      <c r="H1932" s="21">
        <v>46204</v>
      </c>
      <c r="I1932" s="21">
        <v>46568</v>
      </c>
      <c r="J1932" s="19" t="s">
        <v>1473</v>
      </c>
      <c r="L1932" s="19">
        <v>0</v>
      </c>
      <c r="M1932" s="19">
        <v>0</v>
      </c>
      <c r="N1932" s="19" t="s">
        <v>2394</v>
      </c>
      <c r="O1932" s="20">
        <v>2</v>
      </c>
      <c r="S1932" s="19" t="s">
        <v>20</v>
      </c>
      <c r="T1932" s="19" t="s">
        <v>1471</v>
      </c>
    </row>
    <row r="1933" spans="1:20">
      <c r="A1933" s="20">
        <v>202603329922883</v>
      </c>
      <c r="B1933" s="19" t="s">
        <v>20</v>
      </c>
      <c r="C1933" s="19" t="s">
        <v>21</v>
      </c>
      <c r="D1933" s="19" t="s">
        <v>2364</v>
      </c>
      <c r="E1933" s="21">
        <v>46204</v>
      </c>
      <c r="F1933" s="21">
        <v>46568</v>
      </c>
      <c r="G1933" s="21"/>
      <c r="H1933" s="21">
        <v>46204</v>
      </c>
      <c r="I1933" s="21">
        <v>46568</v>
      </c>
      <c r="J1933" s="19" t="s">
        <v>1473</v>
      </c>
      <c r="L1933" s="19">
        <v>26.168419499999999</v>
      </c>
      <c r="M1933" s="19">
        <v>26.168419499999999</v>
      </c>
      <c r="N1933" s="19" t="s">
        <v>1467</v>
      </c>
      <c r="O1933" s="20">
        <v>2</v>
      </c>
      <c r="S1933" s="19" t="s">
        <v>20</v>
      </c>
      <c r="T1933" s="19" t="s">
        <v>1471</v>
      </c>
    </row>
    <row r="1934" spans="1:20">
      <c r="A1934" s="20">
        <v>202603329923230</v>
      </c>
      <c r="B1934" s="19" t="s">
        <v>20</v>
      </c>
      <c r="C1934" s="19" t="s">
        <v>21</v>
      </c>
      <c r="D1934" s="19" t="s">
        <v>20</v>
      </c>
      <c r="E1934" s="21">
        <v>46204</v>
      </c>
      <c r="F1934" s="21">
        <v>46568</v>
      </c>
      <c r="G1934" s="21"/>
      <c r="H1934" s="21">
        <v>46204</v>
      </c>
      <c r="I1934" s="21">
        <v>46568</v>
      </c>
      <c r="J1934" s="19" t="s">
        <v>2087</v>
      </c>
      <c r="L1934" s="19">
        <v>0</v>
      </c>
      <c r="M1934" s="19">
        <v>0</v>
      </c>
      <c r="N1934" s="19" t="s">
        <v>2394</v>
      </c>
      <c r="O1934" s="20">
        <v>5</v>
      </c>
      <c r="S1934" s="19" t="s">
        <v>20</v>
      </c>
      <c r="T1934" s="19" t="s">
        <v>1471</v>
      </c>
    </row>
    <row r="1935" spans="1:20">
      <c r="A1935" s="20">
        <v>202603329923230</v>
      </c>
      <c r="B1935" s="19" t="s">
        <v>20</v>
      </c>
      <c r="C1935" s="19" t="s">
        <v>21</v>
      </c>
      <c r="D1935" s="19" t="s">
        <v>2365</v>
      </c>
      <c r="E1935" s="21">
        <v>46204</v>
      </c>
      <c r="F1935" s="21">
        <v>46568</v>
      </c>
      <c r="G1935" s="21"/>
      <c r="H1935" s="21">
        <v>46204</v>
      </c>
      <c r="I1935" s="21">
        <v>46568</v>
      </c>
      <c r="J1935" s="19" t="s">
        <v>2087</v>
      </c>
      <c r="L1935" s="19">
        <v>165.65315125000001</v>
      </c>
      <c r="M1935" s="19">
        <v>165.65315125000001</v>
      </c>
      <c r="N1935" s="19" t="s">
        <v>1467</v>
      </c>
      <c r="O1935" s="20">
        <v>5</v>
      </c>
      <c r="S1935" s="19" t="s">
        <v>20</v>
      </c>
      <c r="T1935" s="19" t="s">
        <v>1471</v>
      </c>
    </row>
    <row r="1936" spans="1:20">
      <c r="A1936" s="20">
        <v>202603329924367</v>
      </c>
      <c r="B1936" s="19" t="s">
        <v>20</v>
      </c>
      <c r="C1936" s="19" t="s">
        <v>21</v>
      </c>
      <c r="D1936" s="19" t="s">
        <v>20</v>
      </c>
      <c r="E1936" s="21">
        <v>46204</v>
      </c>
      <c r="F1936" s="21">
        <v>46568</v>
      </c>
      <c r="G1936" s="21"/>
      <c r="H1936" s="21">
        <v>46204</v>
      </c>
      <c r="I1936" s="21">
        <v>46568</v>
      </c>
      <c r="J1936" s="19" t="s">
        <v>2064</v>
      </c>
      <c r="L1936" s="19">
        <v>33.130630250000003</v>
      </c>
      <c r="M1936" s="19">
        <v>33.130630250000003</v>
      </c>
      <c r="N1936" s="19" t="s">
        <v>1475</v>
      </c>
      <c r="O1936" s="20">
        <v>1</v>
      </c>
      <c r="S1936" s="19" t="s">
        <v>20</v>
      </c>
      <c r="T1936" s="19" t="s">
        <v>1471</v>
      </c>
    </row>
    <row r="1937" spans="1:20">
      <c r="A1937" s="20">
        <v>202603329924679</v>
      </c>
      <c r="B1937" s="19" t="s">
        <v>20</v>
      </c>
      <c r="C1937" s="19" t="s">
        <v>21</v>
      </c>
      <c r="D1937" s="19" t="s">
        <v>20</v>
      </c>
      <c r="E1937" s="21">
        <v>46204</v>
      </c>
      <c r="F1937" s="21">
        <v>46568</v>
      </c>
      <c r="G1937" s="21"/>
      <c r="H1937" s="21">
        <v>46204</v>
      </c>
      <c r="I1937" s="21">
        <v>46568</v>
      </c>
      <c r="J1937" s="19" t="s">
        <v>2129</v>
      </c>
      <c r="L1937" s="19">
        <v>33.130630250000003</v>
      </c>
      <c r="M1937" s="19">
        <v>33.130630250000003</v>
      </c>
      <c r="N1937" s="19" t="s">
        <v>1475</v>
      </c>
      <c r="O1937" s="20">
        <v>1</v>
      </c>
      <c r="S1937" s="19" t="s">
        <v>20</v>
      </c>
      <c r="T1937" s="19" t="s">
        <v>1471</v>
      </c>
    </row>
    <row r="1938" spans="1:20">
      <c r="A1938" s="20">
        <v>202603329928504</v>
      </c>
      <c r="B1938" s="19" t="s">
        <v>20</v>
      </c>
      <c r="C1938" s="19" t="s">
        <v>21</v>
      </c>
      <c r="D1938" s="19" t="s">
        <v>2366</v>
      </c>
      <c r="E1938" s="21">
        <v>46204</v>
      </c>
      <c r="F1938" s="21">
        <v>46568</v>
      </c>
      <c r="G1938" s="21"/>
      <c r="H1938" s="21">
        <v>46204</v>
      </c>
      <c r="I1938" s="21">
        <v>46568</v>
      </c>
      <c r="J1938" s="19" t="s">
        <v>2222</v>
      </c>
      <c r="L1938" s="19">
        <v>38.659559000000002</v>
      </c>
      <c r="M1938" s="19">
        <v>38.659559000000002</v>
      </c>
      <c r="N1938" s="19" t="s">
        <v>1467</v>
      </c>
      <c r="O1938" s="20">
        <v>1</v>
      </c>
      <c r="S1938" s="19" t="s">
        <v>20</v>
      </c>
      <c r="T1938" s="19" t="s">
        <v>1471</v>
      </c>
    </row>
    <row r="1939" spans="1:20">
      <c r="A1939" s="20">
        <v>202603329929254</v>
      </c>
      <c r="B1939" s="19" t="s">
        <v>20</v>
      </c>
      <c r="C1939" s="19" t="s">
        <v>21</v>
      </c>
      <c r="D1939" s="19" t="s">
        <v>20</v>
      </c>
      <c r="E1939" s="21">
        <v>46204</v>
      </c>
      <c r="F1939" s="21">
        <v>46568</v>
      </c>
      <c r="G1939" s="21"/>
      <c r="H1939" s="21">
        <v>46204</v>
      </c>
      <c r="I1939" s="21">
        <v>46568</v>
      </c>
      <c r="J1939" s="19" t="s">
        <v>2293</v>
      </c>
      <c r="L1939" s="19">
        <v>0</v>
      </c>
      <c r="M1939" s="19">
        <v>0</v>
      </c>
      <c r="N1939" s="19" t="s">
        <v>2394</v>
      </c>
      <c r="O1939" s="20">
        <v>4</v>
      </c>
      <c r="S1939" s="19" t="s">
        <v>20</v>
      </c>
      <c r="T1939" s="19" t="s">
        <v>1471</v>
      </c>
    </row>
    <row r="1940" spans="1:20">
      <c r="A1940" s="20">
        <v>202603329929254</v>
      </c>
      <c r="B1940" s="19" t="s">
        <v>20</v>
      </c>
      <c r="C1940" s="19" t="s">
        <v>21</v>
      </c>
      <c r="D1940" s="19" t="s">
        <v>20</v>
      </c>
      <c r="E1940" s="21">
        <v>46204</v>
      </c>
      <c r="F1940" s="21">
        <v>46568</v>
      </c>
      <c r="G1940" s="21"/>
      <c r="H1940" s="21">
        <v>46204</v>
      </c>
      <c r="I1940" s="21">
        <v>46568</v>
      </c>
      <c r="J1940" s="19" t="s">
        <v>2293</v>
      </c>
      <c r="L1940" s="19">
        <v>151.79182</v>
      </c>
      <c r="M1940" s="19">
        <v>151.79182</v>
      </c>
      <c r="N1940" s="19" t="s">
        <v>1475</v>
      </c>
      <c r="O1940" s="20">
        <v>4</v>
      </c>
      <c r="S1940" s="19" t="s">
        <v>20</v>
      </c>
      <c r="T1940" s="19" t="s">
        <v>1471</v>
      </c>
    </row>
    <row r="1941" spans="1:20">
      <c r="A1941" s="20">
        <v>202603329929387</v>
      </c>
      <c r="B1941" s="19" t="s">
        <v>20</v>
      </c>
      <c r="C1941" s="19" t="s">
        <v>21</v>
      </c>
      <c r="D1941" s="19" t="s">
        <v>20</v>
      </c>
      <c r="E1941" s="21">
        <v>46204</v>
      </c>
      <c r="F1941" s="21">
        <v>46568</v>
      </c>
      <c r="G1941" s="21"/>
      <c r="H1941" s="21">
        <v>46204</v>
      </c>
      <c r="I1941" s="21">
        <v>46568</v>
      </c>
      <c r="J1941" s="19" t="s">
        <v>2062</v>
      </c>
      <c r="L1941" s="19">
        <v>0</v>
      </c>
      <c r="M1941" s="19">
        <v>0</v>
      </c>
      <c r="N1941" s="19" t="s">
        <v>2394</v>
      </c>
      <c r="O1941" s="20">
        <v>3</v>
      </c>
      <c r="S1941" s="19" t="s">
        <v>20</v>
      </c>
      <c r="T1941" s="19" t="s">
        <v>1471</v>
      </c>
    </row>
    <row r="1942" spans="1:20">
      <c r="A1942" s="20">
        <v>202603329929387</v>
      </c>
      <c r="B1942" s="19" t="s">
        <v>20</v>
      </c>
      <c r="C1942" s="19" t="s">
        <v>21</v>
      </c>
      <c r="D1942" s="19" t="s">
        <v>20</v>
      </c>
      <c r="E1942" s="21">
        <v>46204</v>
      </c>
      <c r="F1942" s="21">
        <v>46568</v>
      </c>
      <c r="G1942" s="21"/>
      <c r="H1942" s="21">
        <v>46204</v>
      </c>
      <c r="I1942" s="21">
        <v>46568</v>
      </c>
      <c r="J1942" s="19" t="s">
        <v>2062</v>
      </c>
      <c r="L1942" s="19">
        <v>99.391890750000002</v>
      </c>
      <c r="M1942" s="19">
        <v>99.391890750000002</v>
      </c>
      <c r="N1942" s="19" t="s">
        <v>1475</v>
      </c>
      <c r="O1942" s="20">
        <v>3</v>
      </c>
      <c r="S1942" s="19" t="s">
        <v>20</v>
      </c>
      <c r="T1942" s="19" t="s">
        <v>1471</v>
      </c>
    </row>
    <row r="1943" spans="1:20">
      <c r="A1943" s="20">
        <v>202603329929513</v>
      </c>
      <c r="B1943" s="19" t="s">
        <v>20</v>
      </c>
      <c r="C1943" s="19" t="s">
        <v>21</v>
      </c>
      <c r="D1943" s="19" t="s">
        <v>20</v>
      </c>
      <c r="E1943" s="21">
        <v>46204</v>
      </c>
      <c r="F1943" s="21">
        <v>46568</v>
      </c>
      <c r="G1943" s="21"/>
      <c r="H1943" s="21">
        <v>46204</v>
      </c>
      <c r="I1943" s="21">
        <v>46568</v>
      </c>
      <c r="J1943" s="19" t="s">
        <v>2166</v>
      </c>
      <c r="L1943" s="19">
        <v>26.504493249999999</v>
      </c>
      <c r="M1943" s="19">
        <v>26.504493249999999</v>
      </c>
      <c r="N1943" s="19" t="s">
        <v>1475</v>
      </c>
      <c r="O1943" s="20">
        <v>1</v>
      </c>
      <c r="S1943" s="19" t="s">
        <v>20</v>
      </c>
      <c r="T1943" s="19" t="s">
        <v>1471</v>
      </c>
    </row>
    <row r="1944" spans="1:20">
      <c r="A1944" s="20">
        <v>202603329929964</v>
      </c>
      <c r="B1944" s="19" t="s">
        <v>20</v>
      </c>
      <c r="C1944" s="19" t="s">
        <v>21</v>
      </c>
      <c r="D1944" s="19" t="s">
        <v>20</v>
      </c>
      <c r="E1944" s="21">
        <v>46204</v>
      </c>
      <c r="F1944" s="21">
        <v>46568</v>
      </c>
      <c r="G1944" s="21"/>
      <c r="H1944" s="21">
        <v>46204</v>
      </c>
      <c r="I1944" s="21">
        <v>46568</v>
      </c>
      <c r="J1944" s="19" t="s">
        <v>2068</v>
      </c>
      <c r="L1944" s="19">
        <v>52.517367999999998</v>
      </c>
      <c r="M1944" s="19">
        <v>52.517367999999998</v>
      </c>
      <c r="N1944" s="19" t="s">
        <v>1475</v>
      </c>
      <c r="O1944" s="20">
        <v>2</v>
      </c>
      <c r="S1944" s="19" t="s">
        <v>20</v>
      </c>
      <c r="T1944" s="19" t="s">
        <v>1471</v>
      </c>
    </row>
    <row r="1945" spans="1:20">
      <c r="A1945" s="20">
        <v>202603329930307</v>
      </c>
      <c r="B1945" s="19" t="s">
        <v>20</v>
      </c>
      <c r="C1945" s="19" t="s">
        <v>21</v>
      </c>
      <c r="D1945" s="19" t="s">
        <v>20</v>
      </c>
      <c r="E1945" s="21">
        <v>46204</v>
      </c>
      <c r="F1945" s="21">
        <v>46568</v>
      </c>
      <c r="G1945" s="21"/>
      <c r="H1945" s="21">
        <v>46204</v>
      </c>
      <c r="I1945" s="21">
        <v>46568</v>
      </c>
      <c r="J1945" s="19" t="s">
        <v>2092</v>
      </c>
      <c r="L1945" s="19">
        <v>0</v>
      </c>
      <c r="M1945" s="19">
        <v>0</v>
      </c>
      <c r="N1945" s="19" t="s">
        <v>2394</v>
      </c>
      <c r="O1945" s="20">
        <v>4</v>
      </c>
      <c r="S1945" s="19" t="s">
        <v>20</v>
      </c>
      <c r="T1945" s="19" t="s">
        <v>1471</v>
      </c>
    </row>
    <row r="1946" spans="1:20">
      <c r="A1946" s="20">
        <v>202603329930307</v>
      </c>
      <c r="B1946" s="19" t="s">
        <v>20</v>
      </c>
      <c r="C1946" s="19" t="s">
        <v>21</v>
      </c>
      <c r="D1946" s="19" t="s">
        <v>20</v>
      </c>
      <c r="E1946" s="21">
        <v>46204</v>
      </c>
      <c r="F1946" s="21">
        <v>46568</v>
      </c>
      <c r="G1946" s="21"/>
      <c r="H1946" s="21">
        <v>46204</v>
      </c>
      <c r="I1946" s="21">
        <v>46568</v>
      </c>
      <c r="J1946" s="19" t="s">
        <v>2092</v>
      </c>
      <c r="L1946" s="19">
        <v>154.63823600000001</v>
      </c>
      <c r="M1946" s="19">
        <v>154.63823600000001</v>
      </c>
      <c r="N1946" s="19" t="s">
        <v>1475</v>
      </c>
      <c r="O1946" s="20">
        <v>4</v>
      </c>
      <c r="S1946" s="19" t="s">
        <v>20</v>
      </c>
      <c r="T1946" s="19" t="s">
        <v>1471</v>
      </c>
    </row>
    <row r="1947" spans="1:20">
      <c r="A1947" s="20">
        <v>202603329932602</v>
      </c>
      <c r="B1947" s="19" t="s">
        <v>20</v>
      </c>
      <c r="C1947" s="19" t="s">
        <v>21</v>
      </c>
      <c r="D1947" s="19" t="s">
        <v>20</v>
      </c>
      <c r="E1947" s="21">
        <v>46204</v>
      </c>
      <c r="F1947" s="21">
        <v>46568</v>
      </c>
      <c r="G1947" s="21"/>
      <c r="H1947" s="21">
        <v>46204</v>
      </c>
      <c r="I1947" s="21">
        <v>46568</v>
      </c>
      <c r="J1947" s="19" t="s">
        <v>2092</v>
      </c>
      <c r="L1947" s="19">
        <v>0</v>
      </c>
      <c r="M1947" s="19">
        <v>0</v>
      </c>
      <c r="N1947" s="19" t="s">
        <v>2394</v>
      </c>
      <c r="O1947" s="20">
        <v>2</v>
      </c>
      <c r="S1947" s="19" t="s">
        <v>20</v>
      </c>
      <c r="T1947" s="19" t="s">
        <v>1471</v>
      </c>
    </row>
    <row r="1948" spans="1:20">
      <c r="A1948" s="20">
        <v>202603329932602</v>
      </c>
      <c r="B1948" s="19" t="s">
        <v>20</v>
      </c>
      <c r="C1948" s="19" t="s">
        <v>21</v>
      </c>
      <c r="D1948" s="19" t="s">
        <v>20</v>
      </c>
      <c r="E1948" s="21">
        <v>46204</v>
      </c>
      <c r="F1948" s="21">
        <v>46568</v>
      </c>
      <c r="G1948" s="21"/>
      <c r="H1948" s="21">
        <v>46204</v>
      </c>
      <c r="I1948" s="21">
        <v>46568</v>
      </c>
      <c r="J1948" s="19" t="s">
        <v>2092</v>
      </c>
      <c r="L1948" s="19">
        <v>77.319118000000003</v>
      </c>
      <c r="M1948" s="19">
        <v>77.319118000000003</v>
      </c>
      <c r="N1948" s="19" t="s">
        <v>1475</v>
      </c>
      <c r="O1948" s="20">
        <v>2</v>
      </c>
      <c r="S1948" s="19" t="s">
        <v>20</v>
      </c>
      <c r="T1948" s="19" t="s">
        <v>1471</v>
      </c>
    </row>
    <row r="1949" spans="1:20">
      <c r="A1949" s="20">
        <v>202603329933889</v>
      </c>
      <c r="B1949" s="19" t="s">
        <v>20</v>
      </c>
      <c r="C1949" s="19" t="s">
        <v>21</v>
      </c>
      <c r="D1949" s="19" t="s">
        <v>20</v>
      </c>
      <c r="E1949" s="21">
        <v>46204</v>
      </c>
      <c r="F1949" s="21">
        <v>46568</v>
      </c>
      <c r="G1949" s="21"/>
      <c r="H1949" s="21">
        <v>46204</v>
      </c>
      <c r="I1949" s="21">
        <v>46568</v>
      </c>
      <c r="J1949" s="19" t="s">
        <v>2093</v>
      </c>
      <c r="L1949" s="19">
        <v>0</v>
      </c>
      <c r="M1949" s="19">
        <v>0</v>
      </c>
      <c r="N1949" s="19" t="s">
        <v>2394</v>
      </c>
      <c r="O1949" s="20">
        <v>5</v>
      </c>
      <c r="S1949" s="19" t="s">
        <v>20</v>
      </c>
      <c r="T1949" s="19" t="s">
        <v>1471</v>
      </c>
    </row>
    <row r="1950" spans="1:20">
      <c r="A1950" s="20">
        <v>202603329933889</v>
      </c>
      <c r="B1950" s="19" t="s">
        <v>20</v>
      </c>
      <c r="C1950" s="19" t="s">
        <v>21</v>
      </c>
      <c r="D1950" s="19" t="s">
        <v>20</v>
      </c>
      <c r="E1950" s="21">
        <v>46204</v>
      </c>
      <c r="F1950" s="21">
        <v>46568</v>
      </c>
      <c r="G1950" s="21"/>
      <c r="H1950" s="21">
        <v>46204</v>
      </c>
      <c r="I1950" s="21">
        <v>46568</v>
      </c>
      <c r="J1950" s="19" t="s">
        <v>2093</v>
      </c>
      <c r="L1950" s="19">
        <v>143.88017124999999</v>
      </c>
      <c r="M1950" s="19">
        <v>143.88017124999999</v>
      </c>
      <c r="N1950" s="19" t="s">
        <v>1475</v>
      </c>
      <c r="O1950" s="20">
        <v>5</v>
      </c>
      <c r="S1950" s="19" t="s">
        <v>20</v>
      </c>
      <c r="T1950" s="19" t="s">
        <v>1471</v>
      </c>
    </row>
    <row r="1951" spans="1:20">
      <c r="A1951" s="20">
        <v>202603329935381</v>
      </c>
      <c r="B1951" s="19" t="s">
        <v>20</v>
      </c>
      <c r="C1951" s="19" t="s">
        <v>21</v>
      </c>
      <c r="D1951" s="19" t="s">
        <v>20</v>
      </c>
      <c r="E1951" s="21">
        <v>46204</v>
      </c>
      <c r="F1951" s="21">
        <v>46568</v>
      </c>
      <c r="G1951" s="21"/>
      <c r="H1951" s="21">
        <v>46204</v>
      </c>
      <c r="I1951" s="21">
        <v>46568</v>
      </c>
      <c r="J1951" s="19" t="s">
        <v>2093</v>
      </c>
      <c r="L1951" s="19">
        <v>115.10413699999999</v>
      </c>
      <c r="M1951" s="19">
        <v>115.10413699999999</v>
      </c>
      <c r="N1951" s="19" t="s">
        <v>1475</v>
      </c>
      <c r="O1951" s="20">
        <v>4</v>
      </c>
      <c r="S1951" s="19" t="s">
        <v>20</v>
      </c>
      <c r="T1951" s="19" t="s">
        <v>1471</v>
      </c>
    </row>
    <row r="1952" spans="1:20">
      <c r="A1952" s="20">
        <v>202603329935676</v>
      </c>
      <c r="B1952" s="19" t="s">
        <v>20</v>
      </c>
      <c r="C1952" s="19" t="s">
        <v>21</v>
      </c>
      <c r="D1952" s="19" t="s">
        <v>20</v>
      </c>
      <c r="E1952" s="21">
        <v>46204</v>
      </c>
      <c r="F1952" s="21">
        <v>46568</v>
      </c>
      <c r="G1952" s="21"/>
      <c r="H1952" s="21">
        <v>46204</v>
      </c>
      <c r="I1952" s="21">
        <v>46568</v>
      </c>
      <c r="J1952" s="19" t="s">
        <v>2087</v>
      </c>
      <c r="L1952" s="19">
        <v>66.261260500000006</v>
      </c>
      <c r="M1952" s="19">
        <v>66.261260500000006</v>
      </c>
      <c r="N1952" s="19" t="s">
        <v>1475</v>
      </c>
      <c r="O1952" s="20">
        <v>2</v>
      </c>
      <c r="S1952" s="19" t="s">
        <v>20</v>
      </c>
      <c r="T1952" s="19" t="s">
        <v>1471</v>
      </c>
    </row>
    <row r="1953" spans="1:20">
      <c r="A1953" s="20">
        <v>202603329935868</v>
      </c>
      <c r="B1953" s="19" t="s">
        <v>20</v>
      </c>
      <c r="C1953" s="19" t="s">
        <v>21</v>
      </c>
      <c r="D1953" s="19" t="s">
        <v>20</v>
      </c>
      <c r="E1953" s="21">
        <v>46204</v>
      </c>
      <c r="F1953" s="21">
        <v>46568</v>
      </c>
      <c r="G1953" s="21"/>
      <c r="H1953" s="21">
        <v>46204</v>
      </c>
      <c r="I1953" s="21">
        <v>46568</v>
      </c>
      <c r="J1953" s="19" t="s">
        <v>2083</v>
      </c>
      <c r="L1953" s="19">
        <v>0</v>
      </c>
      <c r="M1953" s="19">
        <v>0</v>
      </c>
      <c r="N1953" s="19" t="s">
        <v>2394</v>
      </c>
      <c r="O1953" s="20">
        <v>3</v>
      </c>
      <c r="S1953" s="19" t="s">
        <v>20</v>
      </c>
      <c r="T1953" s="19" t="s">
        <v>1471</v>
      </c>
    </row>
    <row r="1954" spans="1:20">
      <c r="A1954" s="20">
        <v>202603329935868</v>
      </c>
      <c r="B1954" s="19" t="s">
        <v>20</v>
      </c>
      <c r="C1954" s="19" t="s">
        <v>21</v>
      </c>
      <c r="D1954" s="19" t="s">
        <v>20</v>
      </c>
      <c r="E1954" s="21">
        <v>46204</v>
      </c>
      <c r="F1954" s="21">
        <v>46568</v>
      </c>
      <c r="G1954" s="21"/>
      <c r="H1954" s="21">
        <v>46204</v>
      </c>
      <c r="I1954" s="21">
        <v>46568</v>
      </c>
      <c r="J1954" s="19" t="s">
        <v>2083</v>
      </c>
      <c r="L1954" s="19">
        <v>99.391890750000002</v>
      </c>
      <c r="M1954" s="19">
        <v>99.391890750000002</v>
      </c>
      <c r="N1954" s="19" t="s">
        <v>1475</v>
      </c>
      <c r="O1954" s="20">
        <v>3</v>
      </c>
      <c r="S1954" s="19" t="s">
        <v>20</v>
      </c>
      <c r="T1954" s="19" t="s">
        <v>1471</v>
      </c>
    </row>
    <row r="1955" spans="1:20">
      <c r="A1955" s="20">
        <v>202603329936679</v>
      </c>
      <c r="B1955" s="19" t="s">
        <v>20</v>
      </c>
      <c r="C1955" s="19" t="s">
        <v>21</v>
      </c>
      <c r="D1955" s="19" t="s">
        <v>20</v>
      </c>
      <c r="E1955" s="21">
        <v>46204</v>
      </c>
      <c r="F1955" s="21">
        <v>46568</v>
      </c>
      <c r="G1955" s="21"/>
      <c r="H1955" s="21">
        <v>46204</v>
      </c>
      <c r="I1955" s="21">
        <v>46568</v>
      </c>
      <c r="J1955" s="19" t="s">
        <v>2135</v>
      </c>
      <c r="L1955" s="19">
        <v>0</v>
      </c>
      <c r="M1955" s="19">
        <v>0</v>
      </c>
      <c r="N1955" s="19" t="s">
        <v>2394</v>
      </c>
      <c r="O1955" s="20">
        <v>3</v>
      </c>
      <c r="S1955" s="19" t="s">
        <v>20</v>
      </c>
      <c r="T1955" s="19" t="s">
        <v>1471</v>
      </c>
    </row>
    <row r="1956" spans="1:20">
      <c r="A1956" s="20">
        <v>202603329936679</v>
      </c>
      <c r="B1956" s="19" t="s">
        <v>20</v>
      </c>
      <c r="C1956" s="19" t="s">
        <v>21</v>
      </c>
      <c r="D1956" s="19" t="s">
        <v>20</v>
      </c>
      <c r="E1956" s="21">
        <v>46204</v>
      </c>
      <c r="F1956" s="21">
        <v>46568</v>
      </c>
      <c r="G1956" s="21"/>
      <c r="H1956" s="21">
        <v>46204</v>
      </c>
      <c r="I1956" s="21">
        <v>46568</v>
      </c>
      <c r="J1956" s="19" t="s">
        <v>2135</v>
      </c>
      <c r="L1956" s="19">
        <v>99.391890750000002</v>
      </c>
      <c r="M1956" s="19">
        <v>99.391890750000002</v>
      </c>
      <c r="N1956" s="19" t="s">
        <v>1475</v>
      </c>
      <c r="O1956" s="20">
        <v>3</v>
      </c>
      <c r="S1956" s="19" t="s">
        <v>20</v>
      </c>
      <c r="T1956" s="19" t="s">
        <v>1471</v>
      </c>
    </row>
    <row r="1957" spans="1:20">
      <c r="A1957" s="20">
        <v>202603329936726</v>
      </c>
      <c r="B1957" s="19" t="s">
        <v>20</v>
      </c>
      <c r="C1957" s="19" t="s">
        <v>21</v>
      </c>
      <c r="D1957" s="19" t="s">
        <v>20</v>
      </c>
      <c r="E1957" s="21">
        <v>46204</v>
      </c>
      <c r="F1957" s="21">
        <v>46568</v>
      </c>
      <c r="G1957" s="21"/>
      <c r="H1957" s="21">
        <v>46204</v>
      </c>
      <c r="I1957" s="21">
        <v>46568</v>
      </c>
      <c r="J1957" s="19" t="s">
        <v>2293</v>
      </c>
      <c r="L1957" s="19">
        <v>37.947955</v>
      </c>
      <c r="M1957" s="19">
        <v>37.947955</v>
      </c>
      <c r="N1957" s="19" t="s">
        <v>1475</v>
      </c>
      <c r="O1957" s="20">
        <v>1</v>
      </c>
      <c r="S1957" s="19" t="s">
        <v>20</v>
      </c>
      <c r="T1957" s="19" t="s">
        <v>1471</v>
      </c>
    </row>
    <row r="1958" spans="1:20">
      <c r="A1958" s="20">
        <v>202603329937012</v>
      </c>
      <c r="B1958" s="19" t="s">
        <v>20</v>
      </c>
      <c r="C1958" s="19" t="s">
        <v>21</v>
      </c>
      <c r="D1958" s="19" t="s">
        <v>20</v>
      </c>
      <c r="E1958" s="21">
        <v>46204</v>
      </c>
      <c r="F1958" s="21">
        <v>46568</v>
      </c>
      <c r="G1958" s="21"/>
      <c r="H1958" s="21">
        <v>46204</v>
      </c>
      <c r="I1958" s="21">
        <v>46568</v>
      </c>
      <c r="J1958" s="19" t="s">
        <v>2064</v>
      </c>
      <c r="L1958" s="19">
        <v>33.130630250000003</v>
      </c>
      <c r="M1958" s="19">
        <v>33.130630250000003</v>
      </c>
      <c r="N1958" s="19" t="s">
        <v>1475</v>
      </c>
      <c r="O1958" s="20">
        <v>1</v>
      </c>
      <c r="S1958" s="19" t="s">
        <v>20</v>
      </c>
      <c r="T1958" s="19" t="s">
        <v>1471</v>
      </c>
    </row>
    <row r="1959" spans="1:20">
      <c r="A1959" s="20">
        <v>202603329937780</v>
      </c>
      <c r="B1959" s="19" t="s">
        <v>20</v>
      </c>
      <c r="C1959" s="19" t="s">
        <v>21</v>
      </c>
      <c r="D1959" s="19" t="s">
        <v>20</v>
      </c>
      <c r="E1959" s="21">
        <v>46204</v>
      </c>
      <c r="F1959" s="21">
        <v>46568</v>
      </c>
      <c r="G1959" s="21"/>
      <c r="H1959" s="21">
        <v>46204</v>
      </c>
      <c r="I1959" s="21">
        <v>46568</v>
      </c>
      <c r="J1959" s="19" t="s">
        <v>2086</v>
      </c>
      <c r="L1959" s="19">
        <v>0</v>
      </c>
      <c r="M1959" s="19">
        <v>0</v>
      </c>
      <c r="N1959" s="19" t="s">
        <v>2394</v>
      </c>
      <c r="O1959" s="20">
        <v>7</v>
      </c>
      <c r="S1959" s="19" t="s">
        <v>20</v>
      </c>
      <c r="T1959" s="19" t="s">
        <v>1471</v>
      </c>
    </row>
    <row r="1960" spans="1:20">
      <c r="A1960" s="20">
        <v>202603329937780</v>
      </c>
      <c r="B1960" s="19" t="s">
        <v>20</v>
      </c>
      <c r="C1960" s="19" t="s">
        <v>21</v>
      </c>
      <c r="D1960" s="19" t="s">
        <v>20</v>
      </c>
      <c r="E1960" s="21">
        <v>46204</v>
      </c>
      <c r="F1960" s="21">
        <v>46568</v>
      </c>
      <c r="G1960" s="21"/>
      <c r="H1960" s="21">
        <v>46204</v>
      </c>
      <c r="I1960" s="21">
        <v>46568</v>
      </c>
      <c r="J1960" s="19" t="s">
        <v>2086</v>
      </c>
      <c r="L1960" s="19">
        <v>231.91441175</v>
      </c>
      <c r="M1960" s="19">
        <v>231.91441175</v>
      </c>
      <c r="N1960" s="19" t="s">
        <v>1475</v>
      </c>
      <c r="O1960" s="20">
        <v>7</v>
      </c>
      <c r="S1960" s="19" t="s">
        <v>20</v>
      </c>
      <c r="T1960" s="19" t="s">
        <v>1471</v>
      </c>
    </row>
    <row r="1961" spans="1:20">
      <c r="A1961" s="20">
        <v>202603329939931</v>
      </c>
      <c r="B1961" s="19" t="s">
        <v>20</v>
      </c>
      <c r="C1961" s="19" t="s">
        <v>21</v>
      </c>
      <c r="D1961" s="19" t="s">
        <v>20</v>
      </c>
      <c r="E1961" s="21">
        <v>46204</v>
      </c>
      <c r="F1961" s="21">
        <v>46568</v>
      </c>
      <c r="G1961" s="21"/>
      <c r="H1961" s="21">
        <v>46204</v>
      </c>
      <c r="I1961" s="21">
        <v>46568</v>
      </c>
      <c r="J1961" s="19" t="s">
        <v>2064</v>
      </c>
      <c r="L1961" s="19">
        <v>33.130630250000003</v>
      </c>
      <c r="M1961" s="19">
        <v>33.130630250000003</v>
      </c>
      <c r="N1961" s="19" t="s">
        <v>1475</v>
      </c>
      <c r="O1961" s="20">
        <v>1</v>
      </c>
      <c r="S1961" s="19" t="s">
        <v>20</v>
      </c>
      <c r="T1961" s="19" t="s">
        <v>1471</v>
      </c>
    </row>
    <row r="1962" spans="1:20">
      <c r="A1962" s="20">
        <v>202603329941814</v>
      </c>
      <c r="B1962" s="19" t="s">
        <v>20</v>
      </c>
      <c r="C1962" s="19" t="s">
        <v>21</v>
      </c>
      <c r="D1962" s="19" t="s">
        <v>20</v>
      </c>
      <c r="E1962" s="21">
        <v>46204</v>
      </c>
      <c r="F1962" s="21">
        <v>46568</v>
      </c>
      <c r="G1962" s="21"/>
      <c r="H1962" s="21">
        <v>46204</v>
      </c>
      <c r="I1962" s="21">
        <v>46568</v>
      </c>
      <c r="J1962" s="19" t="s">
        <v>2092</v>
      </c>
      <c r="L1962" s="19">
        <v>0</v>
      </c>
      <c r="M1962" s="19">
        <v>0</v>
      </c>
      <c r="N1962" s="19" t="s">
        <v>2394</v>
      </c>
      <c r="O1962" s="20">
        <v>3</v>
      </c>
      <c r="S1962" s="19" t="s">
        <v>20</v>
      </c>
      <c r="T1962" s="19" t="s">
        <v>1471</v>
      </c>
    </row>
    <row r="1963" spans="1:20">
      <c r="A1963" s="20">
        <v>202603329941814</v>
      </c>
      <c r="B1963" s="19" t="s">
        <v>20</v>
      </c>
      <c r="C1963" s="19" t="s">
        <v>21</v>
      </c>
      <c r="D1963" s="19" t="s">
        <v>20</v>
      </c>
      <c r="E1963" s="21">
        <v>46204</v>
      </c>
      <c r="F1963" s="21">
        <v>46568</v>
      </c>
      <c r="G1963" s="21"/>
      <c r="H1963" s="21">
        <v>46204</v>
      </c>
      <c r="I1963" s="21">
        <v>46568</v>
      </c>
      <c r="J1963" s="19" t="s">
        <v>2092</v>
      </c>
      <c r="L1963" s="19">
        <v>115.978677</v>
      </c>
      <c r="M1963" s="19">
        <v>115.978677</v>
      </c>
      <c r="N1963" s="19" t="s">
        <v>1475</v>
      </c>
      <c r="O1963" s="20">
        <v>3</v>
      </c>
      <c r="S1963" s="19" t="s">
        <v>20</v>
      </c>
      <c r="T1963" s="19" t="s">
        <v>1471</v>
      </c>
    </row>
    <row r="1964" spans="1:20">
      <c r="A1964" s="20">
        <v>202603329943391</v>
      </c>
      <c r="B1964" s="19" t="s">
        <v>20</v>
      </c>
      <c r="C1964" s="19" t="s">
        <v>21</v>
      </c>
      <c r="D1964" s="19" t="s">
        <v>20</v>
      </c>
      <c r="E1964" s="21">
        <v>46204</v>
      </c>
      <c r="F1964" s="21">
        <v>46568</v>
      </c>
      <c r="G1964" s="21"/>
      <c r="H1964" s="21">
        <v>46204</v>
      </c>
      <c r="I1964" s="21">
        <v>46568</v>
      </c>
      <c r="J1964" s="19" t="s">
        <v>1473</v>
      </c>
      <c r="L1964" s="19">
        <v>0</v>
      </c>
      <c r="M1964" s="19">
        <v>0</v>
      </c>
      <c r="N1964" s="19" t="s">
        <v>2394</v>
      </c>
      <c r="O1964" s="20">
        <v>4</v>
      </c>
      <c r="S1964" s="19" t="s">
        <v>20</v>
      </c>
      <c r="T1964" s="19" t="s">
        <v>1471</v>
      </c>
    </row>
    <row r="1965" spans="1:20">
      <c r="A1965" s="20">
        <v>202603329943391</v>
      </c>
      <c r="B1965" s="19" t="s">
        <v>20</v>
      </c>
      <c r="C1965" s="19" t="s">
        <v>21</v>
      </c>
      <c r="D1965" s="19" t="s">
        <v>20</v>
      </c>
      <c r="E1965" s="21">
        <v>46204</v>
      </c>
      <c r="F1965" s="21">
        <v>46568</v>
      </c>
      <c r="G1965" s="21"/>
      <c r="H1965" s="21">
        <v>46204</v>
      </c>
      <c r="I1965" s="21">
        <v>46568</v>
      </c>
      <c r="J1965" s="19" t="s">
        <v>1473</v>
      </c>
      <c r="L1965" s="19">
        <v>98.482693999999995</v>
      </c>
      <c r="M1965" s="19">
        <v>98.482693999999995</v>
      </c>
      <c r="N1965" s="19" t="s">
        <v>1475</v>
      </c>
      <c r="O1965" s="20">
        <v>4</v>
      </c>
      <c r="S1965" s="19" t="s">
        <v>20</v>
      </c>
      <c r="T1965" s="19" t="s">
        <v>1471</v>
      </c>
    </row>
    <row r="1966" spans="1:20">
      <c r="A1966" s="20">
        <v>202603329944224</v>
      </c>
      <c r="B1966" s="19" t="s">
        <v>20</v>
      </c>
      <c r="C1966" s="19" t="s">
        <v>21</v>
      </c>
      <c r="D1966" s="19" t="s">
        <v>20</v>
      </c>
      <c r="E1966" s="21">
        <v>46204</v>
      </c>
      <c r="F1966" s="21">
        <v>46568</v>
      </c>
      <c r="G1966" s="21"/>
      <c r="H1966" s="21">
        <v>46204</v>
      </c>
      <c r="I1966" s="21">
        <v>46568</v>
      </c>
      <c r="J1966" s="19" t="s">
        <v>2068</v>
      </c>
      <c r="L1966" s="19">
        <v>78.776052000000007</v>
      </c>
      <c r="M1966" s="19">
        <v>78.776052000000007</v>
      </c>
      <c r="N1966" s="19" t="s">
        <v>1475</v>
      </c>
      <c r="O1966" s="20">
        <v>3</v>
      </c>
      <c r="S1966" s="19" t="s">
        <v>20</v>
      </c>
      <c r="T1966" s="19" t="s">
        <v>1471</v>
      </c>
    </row>
    <row r="1967" spans="1:20">
      <c r="A1967" s="20">
        <v>202603329944289</v>
      </c>
      <c r="B1967" s="19" t="s">
        <v>20</v>
      </c>
      <c r="C1967" s="19" t="s">
        <v>21</v>
      </c>
      <c r="D1967" s="19" t="s">
        <v>20</v>
      </c>
      <c r="E1967" s="21">
        <v>46204</v>
      </c>
      <c r="F1967" s="21">
        <v>46568</v>
      </c>
      <c r="G1967" s="21"/>
      <c r="H1967" s="21">
        <v>46204</v>
      </c>
      <c r="I1967" s="21">
        <v>46568</v>
      </c>
      <c r="J1967" s="19" t="s">
        <v>2103</v>
      </c>
      <c r="L1967" s="19">
        <v>23.968290750000001</v>
      </c>
      <c r="M1967" s="19">
        <v>23.968290750000001</v>
      </c>
      <c r="N1967" s="19" t="s">
        <v>1475</v>
      </c>
      <c r="O1967" s="20">
        <v>1</v>
      </c>
      <c r="S1967" s="19" t="s">
        <v>20</v>
      </c>
      <c r="T1967" s="19" t="s">
        <v>1471</v>
      </c>
    </row>
    <row r="1968" spans="1:20">
      <c r="A1968" s="20">
        <v>202603329944303</v>
      </c>
      <c r="B1968" s="19" t="s">
        <v>20</v>
      </c>
      <c r="C1968" s="19" t="s">
        <v>21</v>
      </c>
      <c r="D1968" s="19" t="s">
        <v>20</v>
      </c>
      <c r="E1968" s="21">
        <v>46204</v>
      </c>
      <c r="F1968" s="21">
        <v>46568</v>
      </c>
      <c r="G1968" s="21"/>
      <c r="H1968" s="21">
        <v>46204</v>
      </c>
      <c r="I1968" s="21">
        <v>46568</v>
      </c>
      <c r="J1968" s="19" t="s">
        <v>1473</v>
      </c>
      <c r="L1968" s="19">
        <v>0</v>
      </c>
      <c r="M1968" s="19">
        <v>0</v>
      </c>
      <c r="N1968" s="19" t="s">
        <v>2394</v>
      </c>
      <c r="O1968" s="20">
        <v>4</v>
      </c>
      <c r="S1968" s="19" t="s">
        <v>20</v>
      </c>
      <c r="T1968" s="19" t="s">
        <v>1471</v>
      </c>
    </row>
    <row r="1969" spans="1:20">
      <c r="A1969" s="20">
        <v>202603329944303</v>
      </c>
      <c r="B1969" s="19" t="s">
        <v>20</v>
      </c>
      <c r="C1969" s="19" t="s">
        <v>21</v>
      </c>
      <c r="D1969" s="19" t="s">
        <v>2367</v>
      </c>
      <c r="E1969" s="21">
        <v>46204</v>
      </c>
      <c r="F1969" s="21">
        <v>46568</v>
      </c>
      <c r="G1969" s="21"/>
      <c r="H1969" s="21">
        <v>46204</v>
      </c>
      <c r="I1969" s="21">
        <v>46568</v>
      </c>
      <c r="J1969" s="19" t="s">
        <v>1473</v>
      </c>
      <c r="L1969" s="19">
        <v>98.482693999999995</v>
      </c>
      <c r="M1969" s="19">
        <v>98.482693999999995</v>
      </c>
      <c r="N1969" s="19" t="s">
        <v>1467</v>
      </c>
      <c r="O1969" s="20">
        <v>4</v>
      </c>
      <c r="S1969" s="19" t="s">
        <v>20</v>
      </c>
      <c r="T1969" s="19" t="s">
        <v>1471</v>
      </c>
    </row>
    <row r="1970" spans="1:20">
      <c r="A1970" s="20">
        <v>202603329944304</v>
      </c>
      <c r="B1970" s="19" t="s">
        <v>20</v>
      </c>
      <c r="C1970" s="19" t="s">
        <v>21</v>
      </c>
      <c r="D1970" s="19" t="s">
        <v>20</v>
      </c>
      <c r="E1970" s="21">
        <v>46204</v>
      </c>
      <c r="F1970" s="21">
        <v>46568</v>
      </c>
      <c r="G1970" s="21"/>
      <c r="H1970" s="21">
        <v>46204</v>
      </c>
      <c r="I1970" s="21">
        <v>46568</v>
      </c>
      <c r="J1970" s="19" t="s">
        <v>2064</v>
      </c>
      <c r="L1970" s="19">
        <v>99.391890750000002</v>
      </c>
      <c r="M1970" s="19">
        <v>99.391890750000002</v>
      </c>
      <c r="N1970" s="19" t="s">
        <v>1475</v>
      </c>
      <c r="O1970" s="20">
        <v>3</v>
      </c>
      <c r="S1970" s="19" t="s">
        <v>20</v>
      </c>
      <c r="T1970" s="19" t="s">
        <v>1471</v>
      </c>
    </row>
    <row r="1971" spans="1:20">
      <c r="A1971" s="20">
        <v>202603329944770</v>
      </c>
      <c r="B1971" s="19" t="s">
        <v>20</v>
      </c>
      <c r="C1971" s="19" t="s">
        <v>21</v>
      </c>
      <c r="D1971" s="19" t="s">
        <v>20</v>
      </c>
      <c r="E1971" s="21">
        <v>46204</v>
      </c>
      <c r="F1971" s="21">
        <v>46568</v>
      </c>
      <c r="G1971" s="21"/>
      <c r="H1971" s="21">
        <v>46204</v>
      </c>
      <c r="I1971" s="21">
        <v>46568</v>
      </c>
      <c r="J1971" s="19" t="s">
        <v>2106</v>
      </c>
      <c r="L1971" s="19">
        <v>0</v>
      </c>
      <c r="M1971" s="19">
        <v>0</v>
      </c>
      <c r="N1971" s="19" t="s">
        <v>2394</v>
      </c>
      <c r="O1971" s="20">
        <v>5</v>
      </c>
      <c r="S1971" s="19" t="s">
        <v>20</v>
      </c>
      <c r="T1971" s="19" t="s">
        <v>1471</v>
      </c>
    </row>
    <row r="1972" spans="1:20">
      <c r="A1972" s="20">
        <v>202603329944770</v>
      </c>
      <c r="B1972" s="19" t="s">
        <v>20</v>
      </c>
      <c r="C1972" s="19" t="s">
        <v>21</v>
      </c>
      <c r="D1972" s="19" t="s">
        <v>20</v>
      </c>
      <c r="E1972" s="21">
        <v>46204</v>
      </c>
      <c r="F1972" s="21">
        <v>46568</v>
      </c>
      <c r="G1972" s="21"/>
      <c r="H1972" s="21">
        <v>46204</v>
      </c>
      <c r="I1972" s="21">
        <v>46568</v>
      </c>
      <c r="J1972" s="19" t="s">
        <v>2106</v>
      </c>
      <c r="L1972" s="19">
        <v>165.65315125000001</v>
      </c>
      <c r="M1972" s="19">
        <v>165.65315125000001</v>
      </c>
      <c r="N1972" s="19" t="s">
        <v>1475</v>
      </c>
      <c r="O1972" s="20">
        <v>5</v>
      </c>
      <c r="S1972" s="19" t="s">
        <v>20</v>
      </c>
      <c r="T1972" s="19" t="s">
        <v>1471</v>
      </c>
    </row>
    <row r="1973" spans="1:20">
      <c r="A1973" s="20">
        <v>202603329947785</v>
      </c>
      <c r="B1973" s="19" t="s">
        <v>20</v>
      </c>
      <c r="C1973" s="19" t="s">
        <v>21</v>
      </c>
      <c r="D1973" s="19" t="s">
        <v>20</v>
      </c>
      <c r="E1973" s="21">
        <v>46204</v>
      </c>
      <c r="F1973" s="21">
        <v>46568</v>
      </c>
      <c r="G1973" s="21"/>
      <c r="H1973" s="21">
        <v>46204</v>
      </c>
      <c r="I1973" s="21">
        <v>46568</v>
      </c>
      <c r="J1973" s="19" t="s">
        <v>2099</v>
      </c>
      <c r="L1973" s="19">
        <v>26.258683999999999</v>
      </c>
      <c r="M1973" s="19">
        <v>26.258683999999999</v>
      </c>
      <c r="N1973" s="19" t="s">
        <v>1475</v>
      </c>
      <c r="O1973" s="20">
        <v>1</v>
      </c>
      <c r="S1973" s="19" t="s">
        <v>20</v>
      </c>
      <c r="T1973" s="19" t="s">
        <v>1471</v>
      </c>
    </row>
    <row r="1974" spans="1:20">
      <c r="A1974" s="20">
        <v>202603329948145</v>
      </c>
      <c r="B1974" s="19" t="s">
        <v>20</v>
      </c>
      <c r="C1974" s="19" t="s">
        <v>21</v>
      </c>
      <c r="D1974" s="19" t="s">
        <v>20</v>
      </c>
      <c r="E1974" s="21">
        <v>46204</v>
      </c>
      <c r="F1974" s="21">
        <v>46568</v>
      </c>
      <c r="G1974" s="21"/>
      <c r="H1974" s="21">
        <v>46204</v>
      </c>
      <c r="I1974" s="21">
        <v>46568</v>
      </c>
      <c r="J1974" s="19" t="s">
        <v>2103</v>
      </c>
      <c r="L1974" s="19">
        <v>0</v>
      </c>
      <c r="M1974" s="19">
        <v>0</v>
      </c>
      <c r="N1974" s="19" t="s">
        <v>2394</v>
      </c>
      <c r="O1974" s="20">
        <v>2</v>
      </c>
      <c r="S1974" s="19" t="s">
        <v>20</v>
      </c>
      <c r="T1974" s="19" t="s">
        <v>1471</v>
      </c>
    </row>
    <row r="1975" spans="1:20">
      <c r="A1975" s="20">
        <v>202603329948145</v>
      </c>
      <c r="B1975" s="19" t="s">
        <v>20</v>
      </c>
      <c r="C1975" s="19" t="s">
        <v>21</v>
      </c>
      <c r="D1975" s="19" t="s">
        <v>2368</v>
      </c>
      <c r="E1975" s="21">
        <v>46204</v>
      </c>
      <c r="F1975" s="21">
        <v>46568</v>
      </c>
      <c r="G1975" s="21"/>
      <c r="H1975" s="21">
        <v>46204</v>
      </c>
      <c r="I1975" s="21">
        <v>46568</v>
      </c>
      <c r="J1975" s="19" t="s">
        <v>2103</v>
      </c>
      <c r="L1975" s="19">
        <v>47.936581500000003</v>
      </c>
      <c r="M1975" s="19">
        <v>47.936581500000003</v>
      </c>
      <c r="N1975" s="19" t="s">
        <v>1467</v>
      </c>
      <c r="O1975" s="20">
        <v>2</v>
      </c>
      <c r="S1975" s="19" t="s">
        <v>20</v>
      </c>
      <c r="T1975" s="19" t="s">
        <v>1471</v>
      </c>
    </row>
    <row r="1976" spans="1:20">
      <c r="A1976" s="20">
        <v>202603329948277</v>
      </c>
      <c r="B1976" s="19" t="s">
        <v>20</v>
      </c>
      <c r="C1976" s="19" t="s">
        <v>21</v>
      </c>
      <c r="D1976" s="19" t="s">
        <v>20</v>
      </c>
      <c r="E1976" s="21">
        <v>46204</v>
      </c>
      <c r="F1976" s="21">
        <v>46568</v>
      </c>
      <c r="G1976" s="21"/>
      <c r="H1976" s="21">
        <v>46204</v>
      </c>
      <c r="I1976" s="21">
        <v>46568</v>
      </c>
      <c r="J1976" s="19" t="s">
        <v>2092</v>
      </c>
      <c r="L1976" s="19">
        <v>0</v>
      </c>
      <c r="M1976" s="19">
        <v>0</v>
      </c>
      <c r="N1976" s="19" t="s">
        <v>2394</v>
      </c>
      <c r="O1976" s="20">
        <v>2</v>
      </c>
      <c r="S1976" s="19" t="s">
        <v>20</v>
      </c>
      <c r="T1976" s="19" t="s">
        <v>1471</v>
      </c>
    </row>
    <row r="1977" spans="1:20">
      <c r="A1977" s="20">
        <v>202603329948277</v>
      </c>
      <c r="B1977" s="19" t="s">
        <v>20</v>
      </c>
      <c r="C1977" s="19" t="s">
        <v>21</v>
      </c>
      <c r="D1977" s="19" t="s">
        <v>20</v>
      </c>
      <c r="E1977" s="21">
        <v>46204</v>
      </c>
      <c r="F1977" s="21">
        <v>46568</v>
      </c>
      <c r="G1977" s="21"/>
      <c r="H1977" s="21">
        <v>46204</v>
      </c>
      <c r="I1977" s="21">
        <v>46568</v>
      </c>
      <c r="J1977" s="19" t="s">
        <v>2092</v>
      </c>
      <c r="L1977" s="19">
        <v>77.319118000000003</v>
      </c>
      <c r="M1977" s="19">
        <v>77.319118000000003</v>
      </c>
      <c r="N1977" s="19" t="s">
        <v>1475</v>
      </c>
      <c r="O1977" s="20">
        <v>2</v>
      </c>
      <c r="S1977" s="19" t="s">
        <v>20</v>
      </c>
      <c r="T1977" s="19" t="s">
        <v>1471</v>
      </c>
    </row>
    <row r="1978" spans="1:20">
      <c r="A1978" s="20">
        <v>202603329948323</v>
      </c>
      <c r="B1978" s="19" t="s">
        <v>20</v>
      </c>
      <c r="C1978" s="19" t="s">
        <v>21</v>
      </c>
      <c r="D1978" s="19" t="s">
        <v>20</v>
      </c>
      <c r="E1978" s="21">
        <v>46204</v>
      </c>
      <c r="F1978" s="21">
        <v>46568</v>
      </c>
      <c r="G1978" s="21"/>
      <c r="H1978" s="21">
        <v>46204</v>
      </c>
      <c r="I1978" s="21">
        <v>46568</v>
      </c>
      <c r="J1978" s="19" t="s">
        <v>2068</v>
      </c>
      <c r="L1978" s="19">
        <v>0</v>
      </c>
      <c r="M1978" s="19">
        <v>0</v>
      </c>
      <c r="N1978" s="19" t="s">
        <v>2394</v>
      </c>
      <c r="O1978" s="20">
        <v>6</v>
      </c>
      <c r="S1978" s="19" t="s">
        <v>20</v>
      </c>
      <c r="T1978" s="19" t="s">
        <v>1471</v>
      </c>
    </row>
    <row r="1979" spans="1:20">
      <c r="A1979" s="20">
        <v>202603329948323</v>
      </c>
      <c r="B1979" s="19" t="s">
        <v>20</v>
      </c>
      <c r="C1979" s="19" t="s">
        <v>21</v>
      </c>
      <c r="D1979" s="19" t="s">
        <v>20</v>
      </c>
      <c r="E1979" s="21">
        <v>46204</v>
      </c>
      <c r="F1979" s="21">
        <v>46568</v>
      </c>
      <c r="G1979" s="21"/>
      <c r="H1979" s="21">
        <v>46204</v>
      </c>
      <c r="I1979" s="21">
        <v>46568</v>
      </c>
      <c r="J1979" s="19" t="s">
        <v>2068</v>
      </c>
      <c r="L1979" s="19">
        <v>157.55210400000001</v>
      </c>
      <c r="M1979" s="19">
        <v>157.55210400000001</v>
      </c>
      <c r="N1979" s="19" t="s">
        <v>1475</v>
      </c>
      <c r="O1979" s="20">
        <v>6</v>
      </c>
      <c r="S1979" s="19" t="s">
        <v>20</v>
      </c>
      <c r="T1979" s="19" t="s">
        <v>1471</v>
      </c>
    </row>
    <row r="1980" spans="1:20">
      <c r="A1980" s="20">
        <v>202603329948401</v>
      </c>
      <c r="B1980" s="19" t="s">
        <v>20</v>
      </c>
      <c r="C1980" s="19" t="s">
        <v>21</v>
      </c>
      <c r="D1980" s="19" t="s">
        <v>20</v>
      </c>
      <c r="E1980" s="21">
        <v>46204</v>
      </c>
      <c r="F1980" s="21">
        <v>46568</v>
      </c>
      <c r="G1980" s="21"/>
      <c r="H1980" s="21">
        <v>46204</v>
      </c>
      <c r="I1980" s="21">
        <v>46568</v>
      </c>
      <c r="J1980" s="19" t="s">
        <v>2087</v>
      </c>
      <c r="L1980" s="19">
        <v>0</v>
      </c>
      <c r="M1980" s="19">
        <v>0</v>
      </c>
      <c r="N1980" s="19" t="s">
        <v>2394</v>
      </c>
      <c r="O1980" s="20">
        <v>4</v>
      </c>
      <c r="S1980" s="19" t="s">
        <v>20</v>
      </c>
      <c r="T1980" s="19" t="s">
        <v>1471</v>
      </c>
    </row>
    <row r="1981" spans="1:20">
      <c r="A1981" s="20">
        <v>202603329948401</v>
      </c>
      <c r="B1981" s="19" t="s">
        <v>20</v>
      </c>
      <c r="C1981" s="19" t="s">
        <v>21</v>
      </c>
      <c r="D1981" s="19" t="s">
        <v>20</v>
      </c>
      <c r="E1981" s="21">
        <v>46204</v>
      </c>
      <c r="F1981" s="21">
        <v>46568</v>
      </c>
      <c r="G1981" s="21"/>
      <c r="H1981" s="21">
        <v>46204</v>
      </c>
      <c r="I1981" s="21">
        <v>46568</v>
      </c>
      <c r="J1981" s="19" t="s">
        <v>2087</v>
      </c>
      <c r="L1981" s="19">
        <v>132.52252100000001</v>
      </c>
      <c r="M1981" s="19">
        <v>132.52252100000001</v>
      </c>
      <c r="N1981" s="19" t="s">
        <v>1475</v>
      </c>
      <c r="O1981" s="20">
        <v>4</v>
      </c>
      <c r="S1981" s="19" t="s">
        <v>20</v>
      </c>
      <c r="T1981" s="19" t="s">
        <v>1471</v>
      </c>
    </row>
    <row r="1982" spans="1:20">
      <c r="A1982" s="20">
        <v>202603329948556</v>
      </c>
      <c r="B1982" s="19" t="s">
        <v>20</v>
      </c>
      <c r="C1982" s="19" t="s">
        <v>21</v>
      </c>
      <c r="D1982" s="19" t="s">
        <v>20</v>
      </c>
      <c r="E1982" s="21">
        <v>46204</v>
      </c>
      <c r="F1982" s="21">
        <v>46568</v>
      </c>
      <c r="G1982" s="21"/>
      <c r="H1982" s="21">
        <v>46204</v>
      </c>
      <c r="I1982" s="21">
        <v>46568</v>
      </c>
      <c r="J1982" s="19" t="s">
        <v>2159</v>
      </c>
      <c r="L1982" s="19">
        <v>0</v>
      </c>
      <c r="M1982" s="19">
        <v>0</v>
      </c>
      <c r="N1982" s="19" t="s">
        <v>2394</v>
      </c>
      <c r="O1982" s="20">
        <v>8</v>
      </c>
      <c r="S1982" s="19" t="s">
        <v>20</v>
      </c>
      <c r="T1982" s="19" t="s">
        <v>1471</v>
      </c>
    </row>
    <row r="1983" spans="1:20">
      <c r="A1983" s="20">
        <v>202603329948556</v>
      </c>
      <c r="B1983" s="19" t="s">
        <v>20</v>
      </c>
      <c r="C1983" s="19" t="s">
        <v>21</v>
      </c>
      <c r="D1983" s="19" t="s">
        <v>20</v>
      </c>
      <c r="E1983" s="21">
        <v>46204</v>
      </c>
      <c r="F1983" s="21">
        <v>46568</v>
      </c>
      <c r="G1983" s="21"/>
      <c r="H1983" s="21">
        <v>46204</v>
      </c>
      <c r="I1983" s="21">
        <v>46568</v>
      </c>
      <c r="J1983" s="19" t="s">
        <v>2159</v>
      </c>
      <c r="L1983" s="19">
        <v>265.04504200000002</v>
      </c>
      <c r="M1983" s="19">
        <v>265.04504200000002</v>
      </c>
      <c r="N1983" s="19" t="s">
        <v>1475</v>
      </c>
      <c r="O1983" s="20">
        <v>8</v>
      </c>
      <c r="S1983" s="19" t="s">
        <v>20</v>
      </c>
      <c r="T1983" s="19" t="s">
        <v>1471</v>
      </c>
    </row>
    <row r="1984" spans="1:20">
      <c r="A1984" s="20">
        <v>202603329950526</v>
      </c>
      <c r="B1984" s="19" t="s">
        <v>20</v>
      </c>
      <c r="C1984" s="19" t="s">
        <v>21</v>
      </c>
      <c r="D1984" s="19" t="s">
        <v>20</v>
      </c>
      <c r="E1984" s="21">
        <v>46204</v>
      </c>
      <c r="F1984" s="21">
        <v>46568</v>
      </c>
      <c r="G1984" s="21"/>
      <c r="H1984" s="21">
        <v>46204</v>
      </c>
      <c r="I1984" s="21">
        <v>46568</v>
      </c>
      <c r="J1984" s="19" t="s">
        <v>2083</v>
      </c>
      <c r="L1984" s="19">
        <v>0</v>
      </c>
      <c r="M1984" s="19">
        <v>0</v>
      </c>
      <c r="N1984" s="19" t="s">
        <v>2394</v>
      </c>
      <c r="O1984" s="20">
        <v>5</v>
      </c>
      <c r="S1984" s="19" t="s">
        <v>20</v>
      </c>
      <c r="T1984" s="19" t="s">
        <v>1471</v>
      </c>
    </row>
    <row r="1985" spans="1:20">
      <c r="A1985" s="20">
        <v>202603329950526</v>
      </c>
      <c r="B1985" s="19" t="s">
        <v>20</v>
      </c>
      <c r="C1985" s="19" t="s">
        <v>21</v>
      </c>
      <c r="D1985" s="19" t="s">
        <v>2369</v>
      </c>
      <c r="E1985" s="21">
        <v>46204</v>
      </c>
      <c r="F1985" s="21">
        <v>46568</v>
      </c>
      <c r="G1985" s="21"/>
      <c r="H1985" s="21">
        <v>46204</v>
      </c>
      <c r="I1985" s="21">
        <v>46568</v>
      </c>
      <c r="J1985" s="19" t="s">
        <v>2083</v>
      </c>
      <c r="L1985" s="19">
        <v>165.65315125000001</v>
      </c>
      <c r="M1985" s="19">
        <v>165.65315125000001</v>
      </c>
      <c r="N1985" s="19" t="s">
        <v>1467</v>
      </c>
      <c r="O1985" s="20">
        <v>5</v>
      </c>
      <c r="S1985" s="19" t="s">
        <v>20</v>
      </c>
      <c r="T1985" s="19" t="s">
        <v>1471</v>
      </c>
    </row>
    <row r="1986" spans="1:20">
      <c r="A1986" s="20">
        <v>202603329951033</v>
      </c>
      <c r="B1986" s="19" t="s">
        <v>20</v>
      </c>
      <c r="C1986" s="19" t="s">
        <v>21</v>
      </c>
      <c r="D1986" s="19" t="s">
        <v>20</v>
      </c>
      <c r="E1986" s="21">
        <v>46204</v>
      </c>
      <c r="F1986" s="21">
        <v>46568</v>
      </c>
      <c r="G1986" s="21"/>
      <c r="H1986" s="21">
        <v>46204</v>
      </c>
      <c r="I1986" s="21">
        <v>46568</v>
      </c>
      <c r="J1986" s="19" t="s">
        <v>2092</v>
      </c>
      <c r="L1986" s="19">
        <v>0</v>
      </c>
      <c r="M1986" s="19">
        <v>0</v>
      </c>
      <c r="N1986" s="19" t="s">
        <v>2394</v>
      </c>
      <c r="O1986" s="20">
        <v>4</v>
      </c>
      <c r="S1986" s="19" t="s">
        <v>20</v>
      </c>
      <c r="T1986" s="19" t="s">
        <v>1471</v>
      </c>
    </row>
    <row r="1987" spans="1:20">
      <c r="A1987" s="20">
        <v>202603329951033</v>
      </c>
      <c r="B1987" s="19" t="s">
        <v>20</v>
      </c>
      <c r="C1987" s="19" t="s">
        <v>21</v>
      </c>
      <c r="D1987" s="19" t="s">
        <v>20</v>
      </c>
      <c r="E1987" s="21">
        <v>46204</v>
      </c>
      <c r="F1987" s="21">
        <v>46568</v>
      </c>
      <c r="G1987" s="21"/>
      <c r="H1987" s="21">
        <v>46204</v>
      </c>
      <c r="I1987" s="21">
        <v>46568</v>
      </c>
      <c r="J1987" s="19" t="s">
        <v>2092</v>
      </c>
      <c r="L1987" s="19">
        <v>154.63823600000001</v>
      </c>
      <c r="M1987" s="19">
        <v>154.63823600000001</v>
      </c>
      <c r="N1987" s="19" t="s">
        <v>1475</v>
      </c>
      <c r="O1987" s="20">
        <v>4</v>
      </c>
      <c r="S1987" s="19" t="s">
        <v>20</v>
      </c>
      <c r="T1987" s="19" t="s">
        <v>1471</v>
      </c>
    </row>
    <row r="1988" spans="1:20">
      <c r="A1988" s="20">
        <v>202603329952077</v>
      </c>
      <c r="B1988" s="19" t="s">
        <v>20</v>
      </c>
      <c r="C1988" s="19" t="s">
        <v>21</v>
      </c>
      <c r="D1988" s="19" t="s">
        <v>20</v>
      </c>
      <c r="E1988" s="21">
        <v>46204</v>
      </c>
      <c r="F1988" s="21">
        <v>46568</v>
      </c>
      <c r="G1988" s="21"/>
      <c r="H1988" s="21">
        <v>46204</v>
      </c>
      <c r="I1988" s="21">
        <v>46568</v>
      </c>
      <c r="J1988" s="19" t="s">
        <v>2064</v>
      </c>
      <c r="L1988" s="19">
        <v>0</v>
      </c>
      <c r="M1988" s="19">
        <v>0</v>
      </c>
      <c r="N1988" s="19" t="s">
        <v>2394</v>
      </c>
      <c r="O1988" s="20">
        <v>6</v>
      </c>
      <c r="S1988" s="19" t="s">
        <v>20</v>
      </c>
      <c r="T1988" s="19" t="s">
        <v>1471</v>
      </c>
    </row>
    <row r="1989" spans="1:20">
      <c r="A1989" s="20">
        <v>202603329952077</v>
      </c>
      <c r="B1989" s="19" t="s">
        <v>20</v>
      </c>
      <c r="C1989" s="19" t="s">
        <v>21</v>
      </c>
      <c r="D1989" s="19" t="s">
        <v>20</v>
      </c>
      <c r="E1989" s="21">
        <v>46204</v>
      </c>
      <c r="F1989" s="21">
        <v>46568</v>
      </c>
      <c r="G1989" s="21"/>
      <c r="H1989" s="21">
        <v>46204</v>
      </c>
      <c r="I1989" s="21">
        <v>46568</v>
      </c>
      <c r="J1989" s="19" t="s">
        <v>2064</v>
      </c>
      <c r="L1989" s="19">
        <v>198.7837815</v>
      </c>
      <c r="M1989" s="19">
        <v>198.7837815</v>
      </c>
      <c r="N1989" s="19" t="s">
        <v>1475</v>
      </c>
      <c r="O1989" s="20">
        <v>6</v>
      </c>
      <c r="S1989" s="19" t="s">
        <v>20</v>
      </c>
      <c r="T1989" s="19" t="s">
        <v>1471</v>
      </c>
    </row>
    <row r="1990" spans="1:20">
      <c r="A1990" s="20">
        <v>202603329953793</v>
      </c>
      <c r="B1990" s="19" t="s">
        <v>20</v>
      </c>
      <c r="C1990" s="19" t="s">
        <v>21</v>
      </c>
      <c r="D1990" s="19" t="s">
        <v>20</v>
      </c>
      <c r="E1990" s="21">
        <v>46204</v>
      </c>
      <c r="F1990" s="21">
        <v>46568</v>
      </c>
      <c r="G1990" s="21"/>
      <c r="H1990" s="21">
        <v>46204</v>
      </c>
      <c r="I1990" s="21">
        <v>46568</v>
      </c>
      <c r="J1990" s="19" t="s">
        <v>2062</v>
      </c>
      <c r="L1990" s="19">
        <v>0</v>
      </c>
      <c r="M1990" s="19">
        <v>0</v>
      </c>
      <c r="N1990" s="19" t="s">
        <v>2394</v>
      </c>
      <c r="O1990" s="20">
        <v>6</v>
      </c>
      <c r="S1990" s="19" t="s">
        <v>20</v>
      </c>
      <c r="T1990" s="19" t="s">
        <v>1471</v>
      </c>
    </row>
    <row r="1991" spans="1:20">
      <c r="A1991" s="20">
        <v>202603329953793</v>
      </c>
      <c r="B1991" s="19" t="s">
        <v>20</v>
      </c>
      <c r="C1991" s="19" t="s">
        <v>21</v>
      </c>
      <c r="D1991" s="19" t="s">
        <v>20</v>
      </c>
      <c r="E1991" s="21">
        <v>46204</v>
      </c>
      <c r="F1991" s="21">
        <v>46568</v>
      </c>
      <c r="G1991" s="21"/>
      <c r="H1991" s="21">
        <v>46204</v>
      </c>
      <c r="I1991" s="21">
        <v>46568</v>
      </c>
      <c r="J1991" s="19" t="s">
        <v>2062</v>
      </c>
      <c r="L1991" s="19">
        <v>198.7837815</v>
      </c>
      <c r="M1991" s="19">
        <v>198.7837815</v>
      </c>
      <c r="N1991" s="19" t="s">
        <v>1475</v>
      </c>
      <c r="O1991" s="20">
        <v>6</v>
      </c>
      <c r="S1991" s="19" t="s">
        <v>20</v>
      </c>
      <c r="T1991" s="19" t="s">
        <v>1471</v>
      </c>
    </row>
    <row r="1992" spans="1:20">
      <c r="A1992" s="20">
        <v>202603329956011</v>
      </c>
      <c r="B1992" s="19" t="s">
        <v>20</v>
      </c>
      <c r="C1992" s="19" t="s">
        <v>21</v>
      </c>
      <c r="D1992" s="19" t="s">
        <v>20</v>
      </c>
      <c r="E1992" s="21">
        <v>46204</v>
      </c>
      <c r="F1992" s="21">
        <v>46568</v>
      </c>
      <c r="G1992" s="21"/>
      <c r="H1992" s="21">
        <v>46204</v>
      </c>
      <c r="I1992" s="21">
        <v>46568</v>
      </c>
      <c r="J1992" s="19" t="s">
        <v>2193</v>
      </c>
      <c r="L1992" s="19">
        <v>0</v>
      </c>
      <c r="M1992" s="19">
        <v>0</v>
      </c>
      <c r="N1992" s="19" t="s">
        <v>2394</v>
      </c>
      <c r="O1992" s="20">
        <v>5</v>
      </c>
      <c r="S1992" s="19" t="s">
        <v>20</v>
      </c>
      <c r="T1992" s="19" t="s">
        <v>1471</v>
      </c>
    </row>
    <row r="1993" spans="1:20">
      <c r="A1993" s="20">
        <v>202603329956011</v>
      </c>
      <c r="B1993" s="19" t="s">
        <v>20</v>
      </c>
      <c r="C1993" s="19" t="s">
        <v>21</v>
      </c>
      <c r="D1993" s="19" t="s">
        <v>2370</v>
      </c>
      <c r="E1993" s="21">
        <v>46204</v>
      </c>
      <c r="F1993" s="21">
        <v>46568</v>
      </c>
      <c r="G1993" s="21"/>
      <c r="H1993" s="21">
        <v>46204</v>
      </c>
      <c r="I1993" s="21">
        <v>46568</v>
      </c>
      <c r="J1993" s="19" t="s">
        <v>2193</v>
      </c>
      <c r="L1993" s="19">
        <v>75.272398749999994</v>
      </c>
      <c r="M1993" s="19">
        <v>75.272398749999994</v>
      </c>
      <c r="N1993" s="19" t="s">
        <v>1467</v>
      </c>
      <c r="O1993" s="20">
        <v>5</v>
      </c>
      <c r="S1993" s="19" t="s">
        <v>20</v>
      </c>
      <c r="T1993" s="19" t="s">
        <v>1471</v>
      </c>
    </row>
    <row r="1994" spans="1:20">
      <c r="A1994" s="20">
        <v>202603329956538</v>
      </c>
      <c r="B1994" s="19" t="s">
        <v>20</v>
      </c>
      <c r="C1994" s="19" t="s">
        <v>21</v>
      </c>
      <c r="D1994" s="19" t="s">
        <v>20</v>
      </c>
      <c r="E1994" s="21">
        <v>46204</v>
      </c>
      <c r="F1994" s="21">
        <v>46568</v>
      </c>
      <c r="G1994" s="21"/>
      <c r="H1994" s="21">
        <v>46204</v>
      </c>
      <c r="I1994" s="21">
        <v>46568</v>
      </c>
      <c r="J1994" s="19" t="s">
        <v>2371</v>
      </c>
      <c r="L1994" s="19">
        <v>0</v>
      </c>
      <c r="M1994" s="19">
        <v>0</v>
      </c>
      <c r="N1994" s="19" t="s">
        <v>2394</v>
      </c>
      <c r="O1994" s="20">
        <v>3</v>
      </c>
      <c r="S1994" s="19" t="s">
        <v>20</v>
      </c>
      <c r="T1994" s="19" t="s">
        <v>1471</v>
      </c>
    </row>
    <row r="1995" spans="1:20">
      <c r="A1995" s="20">
        <v>202603329956538</v>
      </c>
      <c r="B1995" s="19" t="s">
        <v>20</v>
      </c>
      <c r="C1995" s="19" t="s">
        <v>21</v>
      </c>
      <c r="D1995" s="19" t="s">
        <v>20</v>
      </c>
      <c r="E1995" s="21">
        <v>46204</v>
      </c>
      <c r="F1995" s="21">
        <v>46568</v>
      </c>
      <c r="G1995" s="21"/>
      <c r="H1995" s="21">
        <v>46204</v>
      </c>
      <c r="I1995" s="21">
        <v>46568</v>
      </c>
      <c r="J1995" s="19" t="s">
        <v>2371</v>
      </c>
      <c r="L1995" s="19">
        <v>89.452685250000002</v>
      </c>
      <c r="M1995" s="19">
        <v>89.452685250000002</v>
      </c>
      <c r="N1995" s="19" t="s">
        <v>1475</v>
      </c>
      <c r="O1995" s="20">
        <v>3</v>
      </c>
      <c r="S1995" s="19" t="s">
        <v>20</v>
      </c>
      <c r="T1995" s="19" t="s">
        <v>1471</v>
      </c>
    </row>
    <row r="1996" spans="1:20">
      <c r="A1996" s="20">
        <v>202603329957320</v>
      </c>
      <c r="B1996" s="19" t="s">
        <v>20</v>
      </c>
      <c r="C1996" s="19" t="s">
        <v>21</v>
      </c>
      <c r="D1996" s="19" t="s">
        <v>20</v>
      </c>
      <c r="E1996" s="21">
        <v>46204</v>
      </c>
      <c r="F1996" s="21">
        <v>46568</v>
      </c>
      <c r="G1996" s="21"/>
      <c r="H1996" s="21">
        <v>46204</v>
      </c>
      <c r="I1996" s="21">
        <v>46568</v>
      </c>
      <c r="J1996" s="19" t="s">
        <v>2104</v>
      </c>
      <c r="L1996" s="19">
        <v>0</v>
      </c>
      <c r="M1996" s="19">
        <v>0</v>
      </c>
      <c r="N1996" s="19" t="s">
        <v>2394</v>
      </c>
      <c r="O1996" s="20">
        <v>3</v>
      </c>
      <c r="S1996" s="19" t="s">
        <v>20</v>
      </c>
      <c r="T1996" s="19" t="s">
        <v>1471</v>
      </c>
    </row>
    <row r="1997" spans="1:20">
      <c r="A1997" s="20">
        <v>202603329957320</v>
      </c>
      <c r="B1997" s="19" t="s">
        <v>20</v>
      </c>
      <c r="C1997" s="19" t="s">
        <v>21</v>
      </c>
      <c r="D1997" s="19" t="s">
        <v>20</v>
      </c>
      <c r="E1997" s="21">
        <v>46204</v>
      </c>
      <c r="F1997" s="21">
        <v>46568</v>
      </c>
      <c r="G1997" s="21"/>
      <c r="H1997" s="21">
        <v>46204</v>
      </c>
      <c r="I1997" s="21">
        <v>46568</v>
      </c>
      <c r="J1997" s="19" t="s">
        <v>2104</v>
      </c>
      <c r="L1997" s="19">
        <v>99.391890750000002</v>
      </c>
      <c r="M1997" s="19">
        <v>99.391890750000002</v>
      </c>
      <c r="N1997" s="19" t="s">
        <v>1475</v>
      </c>
      <c r="O1997" s="20">
        <v>3</v>
      </c>
      <c r="S1997" s="19" t="s">
        <v>20</v>
      </c>
      <c r="T1997" s="19" t="s">
        <v>1471</v>
      </c>
    </row>
    <row r="1998" spans="1:20">
      <c r="A1998" s="20">
        <v>202603329958711</v>
      </c>
      <c r="B1998" s="19" t="s">
        <v>20</v>
      </c>
      <c r="C1998" s="19" t="s">
        <v>21</v>
      </c>
      <c r="D1998" s="19" t="s">
        <v>20</v>
      </c>
      <c r="E1998" s="21">
        <v>46204</v>
      </c>
      <c r="F1998" s="21">
        <v>46568</v>
      </c>
      <c r="G1998" s="21"/>
      <c r="H1998" s="21">
        <v>46204</v>
      </c>
      <c r="I1998" s="21">
        <v>46568</v>
      </c>
      <c r="J1998" s="19" t="s">
        <v>2129</v>
      </c>
      <c r="L1998" s="19">
        <v>33.130630250000003</v>
      </c>
      <c r="M1998" s="19">
        <v>33.130630250000003</v>
      </c>
      <c r="N1998" s="19" t="s">
        <v>1475</v>
      </c>
      <c r="O1998" s="20">
        <v>1</v>
      </c>
      <c r="S1998" s="19" t="s">
        <v>20</v>
      </c>
      <c r="T1998" s="19" t="s">
        <v>1471</v>
      </c>
    </row>
    <row r="1999" spans="1:20">
      <c r="A1999" s="20">
        <v>202603329958810</v>
      </c>
      <c r="B1999" s="19" t="s">
        <v>20</v>
      </c>
      <c r="C1999" s="19" t="s">
        <v>21</v>
      </c>
      <c r="D1999" s="19" t="s">
        <v>20</v>
      </c>
      <c r="E1999" s="21">
        <v>46204</v>
      </c>
      <c r="F1999" s="21">
        <v>46568</v>
      </c>
      <c r="G1999" s="21"/>
      <c r="H1999" s="21">
        <v>46204</v>
      </c>
      <c r="I1999" s="21">
        <v>46568</v>
      </c>
      <c r="J1999" s="19" t="s">
        <v>2069</v>
      </c>
      <c r="L1999" s="19">
        <v>0</v>
      </c>
      <c r="M1999" s="19">
        <v>0</v>
      </c>
      <c r="N1999" s="19" t="s">
        <v>2394</v>
      </c>
      <c r="O1999" s="20">
        <v>4</v>
      </c>
      <c r="S1999" s="19" t="s">
        <v>20</v>
      </c>
      <c r="T1999" s="19" t="s">
        <v>1471</v>
      </c>
    </row>
    <row r="2000" spans="1:20">
      <c r="A2000" s="20">
        <v>202603329958810</v>
      </c>
      <c r="B2000" s="19" t="s">
        <v>20</v>
      </c>
      <c r="C2000" s="19" t="s">
        <v>21</v>
      </c>
      <c r="D2000" s="19" t="s">
        <v>2372</v>
      </c>
      <c r="E2000" s="21">
        <v>46204</v>
      </c>
      <c r="F2000" s="21">
        <v>46568</v>
      </c>
      <c r="G2000" s="21"/>
      <c r="H2000" s="21">
        <v>46204</v>
      </c>
      <c r="I2000" s="21">
        <v>46568</v>
      </c>
      <c r="J2000" s="19" t="s">
        <v>2069</v>
      </c>
      <c r="L2000" s="19">
        <v>132.52252100000001</v>
      </c>
      <c r="M2000" s="19">
        <v>132.52252100000001</v>
      </c>
      <c r="N2000" s="19" t="s">
        <v>1467</v>
      </c>
      <c r="O2000" s="20">
        <v>4</v>
      </c>
      <c r="S2000" s="19" t="s">
        <v>20</v>
      </c>
      <c r="T2000" s="19" t="s">
        <v>1471</v>
      </c>
    </row>
    <row r="2001" spans="1:20">
      <c r="A2001" s="20">
        <v>202603329960022</v>
      </c>
      <c r="B2001" s="19" t="s">
        <v>20</v>
      </c>
      <c r="C2001" s="19" t="s">
        <v>21</v>
      </c>
      <c r="D2001" s="19" t="s">
        <v>20</v>
      </c>
      <c r="E2001" s="21">
        <v>46204</v>
      </c>
      <c r="F2001" s="21">
        <v>46568</v>
      </c>
      <c r="G2001" s="21"/>
      <c r="H2001" s="21">
        <v>46204</v>
      </c>
      <c r="I2001" s="21">
        <v>46568</v>
      </c>
      <c r="J2001" s="19" t="s">
        <v>2129</v>
      </c>
      <c r="L2001" s="19">
        <v>33.130630250000003</v>
      </c>
      <c r="M2001" s="19">
        <v>33.130630250000003</v>
      </c>
      <c r="N2001" s="19" t="s">
        <v>1475</v>
      </c>
      <c r="O2001" s="20">
        <v>1</v>
      </c>
      <c r="S2001" s="19" t="s">
        <v>20</v>
      </c>
      <c r="T2001" s="19" t="s">
        <v>1471</v>
      </c>
    </row>
    <row r="2002" spans="1:20">
      <c r="A2002" s="20">
        <v>202603329961960</v>
      </c>
      <c r="B2002" s="19" t="s">
        <v>20</v>
      </c>
      <c r="C2002" s="19" t="s">
        <v>21</v>
      </c>
      <c r="D2002" s="19" t="s">
        <v>20</v>
      </c>
      <c r="E2002" s="21">
        <v>46204</v>
      </c>
      <c r="F2002" s="21">
        <v>46568</v>
      </c>
      <c r="G2002" s="21"/>
      <c r="H2002" s="21">
        <v>46204</v>
      </c>
      <c r="I2002" s="21">
        <v>46568</v>
      </c>
      <c r="J2002" s="19" t="s">
        <v>2069</v>
      </c>
      <c r="L2002" s="19">
        <v>0</v>
      </c>
      <c r="M2002" s="19">
        <v>0</v>
      </c>
      <c r="N2002" s="19" t="s">
        <v>2394</v>
      </c>
      <c r="O2002" s="20">
        <v>4</v>
      </c>
      <c r="S2002" s="19" t="s">
        <v>20</v>
      </c>
      <c r="T2002" s="19" t="s">
        <v>1471</v>
      </c>
    </row>
    <row r="2003" spans="1:20">
      <c r="A2003" s="20">
        <v>202603329961960</v>
      </c>
      <c r="B2003" s="19" t="s">
        <v>20</v>
      </c>
      <c r="C2003" s="19" t="s">
        <v>21</v>
      </c>
      <c r="D2003" s="19" t="s">
        <v>20</v>
      </c>
      <c r="E2003" s="21">
        <v>46204</v>
      </c>
      <c r="F2003" s="21">
        <v>46568</v>
      </c>
      <c r="G2003" s="21"/>
      <c r="H2003" s="21">
        <v>46204</v>
      </c>
      <c r="I2003" s="21">
        <v>46568</v>
      </c>
      <c r="J2003" s="19" t="s">
        <v>2069</v>
      </c>
      <c r="L2003" s="19">
        <v>132.52252100000001</v>
      </c>
      <c r="M2003" s="19">
        <v>132.52252100000001</v>
      </c>
      <c r="N2003" s="19" t="s">
        <v>1475</v>
      </c>
      <c r="O2003" s="20">
        <v>4</v>
      </c>
      <c r="S2003" s="19" t="s">
        <v>20</v>
      </c>
      <c r="T2003" s="19" t="s">
        <v>1471</v>
      </c>
    </row>
    <row r="2004" spans="1:20">
      <c r="A2004" s="20">
        <v>202603329962873</v>
      </c>
      <c r="B2004" s="19" t="s">
        <v>20</v>
      </c>
      <c r="C2004" s="19" t="s">
        <v>21</v>
      </c>
      <c r="D2004" s="19" t="s">
        <v>20</v>
      </c>
      <c r="E2004" s="21">
        <v>46204</v>
      </c>
      <c r="F2004" s="21">
        <v>46568</v>
      </c>
      <c r="G2004" s="21"/>
      <c r="H2004" s="21">
        <v>46204</v>
      </c>
      <c r="I2004" s="21">
        <v>46568</v>
      </c>
      <c r="J2004" s="19" t="s">
        <v>2064</v>
      </c>
      <c r="L2004" s="19">
        <v>33.130630250000003</v>
      </c>
      <c r="M2004" s="19">
        <v>33.130630250000003</v>
      </c>
      <c r="N2004" s="19" t="s">
        <v>1475</v>
      </c>
      <c r="O2004" s="20">
        <v>1</v>
      </c>
      <c r="S2004" s="19" t="s">
        <v>20</v>
      </c>
      <c r="T2004" s="19" t="s">
        <v>1471</v>
      </c>
    </row>
    <row r="2005" spans="1:20">
      <c r="A2005" s="20">
        <v>202603329962905</v>
      </c>
      <c r="B2005" s="19" t="s">
        <v>20</v>
      </c>
      <c r="C2005" s="19" t="s">
        <v>21</v>
      </c>
      <c r="D2005" s="19" t="s">
        <v>20</v>
      </c>
      <c r="E2005" s="21">
        <v>46204</v>
      </c>
      <c r="F2005" s="21">
        <v>46568</v>
      </c>
      <c r="G2005" s="21"/>
      <c r="H2005" s="21">
        <v>46204</v>
      </c>
      <c r="I2005" s="21">
        <v>46568</v>
      </c>
      <c r="J2005" s="19" t="s">
        <v>2103</v>
      </c>
      <c r="L2005" s="19">
        <v>0</v>
      </c>
      <c r="M2005" s="19">
        <v>0</v>
      </c>
      <c r="N2005" s="19" t="s">
        <v>2394</v>
      </c>
      <c r="O2005" s="20">
        <v>2</v>
      </c>
      <c r="S2005" s="19" t="s">
        <v>20</v>
      </c>
      <c r="T2005" s="19" t="s">
        <v>1471</v>
      </c>
    </row>
    <row r="2006" spans="1:20">
      <c r="A2006" s="20">
        <v>202603329962905</v>
      </c>
      <c r="B2006" s="19" t="s">
        <v>20</v>
      </c>
      <c r="C2006" s="19" t="s">
        <v>21</v>
      </c>
      <c r="D2006" s="19" t="s">
        <v>20</v>
      </c>
      <c r="E2006" s="21">
        <v>46204</v>
      </c>
      <c r="F2006" s="21">
        <v>46568</v>
      </c>
      <c r="G2006" s="21"/>
      <c r="H2006" s="21">
        <v>46204</v>
      </c>
      <c r="I2006" s="21">
        <v>46568</v>
      </c>
      <c r="J2006" s="19" t="s">
        <v>2103</v>
      </c>
      <c r="L2006" s="19">
        <v>47.936581500000003</v>
      </c>
      <c r="M2006" s="19">
        <v>47.936581500000003</v>
      </c>
      <c r="N2006" s="19" t="s">
        <v>1475</v>
      </c>
      <c r="O2006" s="20">
        <v>2</v>
      </c>
      <c r="S2006" s="19" t="s">
        <v>20</v>
      </c>
      <c r="T2006" s="19" t="s">
        <v>1471</v>
      </c>
    </row>
    <row r="2007" spans="1:20">
      <c r="A2007" s="20">
        <v>202603329965006</v>
      </c>
      <c r="B2007" s="19" t="s">
        <v>20</v>
      </c>
      <c r="C2007" s="19" t="s">
        <v>21</v>
      </c>
      <c r="D2007" s="19" t="s">
        <v>20</v>
      </c>
      <c r="E2007" s="21">
        <v>46204</v>
      </c>
      <c r="F2007" s="21">
        <v>46568</v>
      </c>
      <c r="G2007" s="21"/>
      <c r="H2007" s="21">
        <v>46204</v>
      </c>
      <c r="I2007" s="21">
        <v>46568</v>
      </c>
      <c r="J2007" s="19" t="s">
        <v>2099</v>
      </c>
      <c r="L2007" s="19">
        <v>78.776052000000007</v>
      </c>
      <c r="M2007" s="19">
        <v>78.776052000000007</v>
      </c>
      <c r="N2007" s="19" t="s">
        <v>1475</v>
      </c>
      <c r="O2007" s="20">
        <v>3</v>
      </c>
      <c r="S2007" s="19" t="s">
        <v>20</v>
      </c>
      <c r="T2007" s="19" t="s">
        <v>1471</v>
      </c>
    </row>
    <row r="2008" spans="1:20">
      <c r="A2008" s="20">
        <v>202603329966524</v>
      </c>
      <c r="B2008" s="19" t="s">
        <v>20</v>
      </c>
      <c r="C2008" s="19" t="s">
        <v>21</v>
      </c>
      <c r="D2008" s="19" t="s">
        <v>20</v>
      </c>
      <c r="E2008" s="21">
        <v>46204</v>
      </c>
      <c r="F2008" s="21">
        <v>46568</v>
      </c>
      <c r="G2008" s="21"/>
      <c r="H2008" s="21">
        <v>46204</v>
      </c>
      <c r="I2008" s="21">
        <v>46568</v>
      </c>
      <c r="J2008" s="19" t="s">
        <v>2077</v>
      </c>
      <c r="L2008" s="19">
        <v>0</v>
      </c>
      <c r="M2008" s="19">
        <v>0</v>
      </c>
      <c r="N2008" s="19" t="s">
        <v>2394</v>
      </c>
      <c r="O2008" s="20">
        <v>4</v>
      </c>
      <c r="S2008" s="19" t="s">
        <v>20</v>
      </c>
      <c r="T2008" s="19" t="s">
        <v>1471</v>
      </c>
    </row>
    <row r="2009" spans="1:20">
      <c r="A2009" s="20">
        <v>202603329966524</v>
      </c>
      <c r="B2009" s="19" t="s">
        <v>20</v>
      </c>
      <c r="C2009" s="19" t="s">
        <v>21</v>
      </c>
      <c r="D2009" s="19" t="s">
        <v>20</v>
      </c>
      <c r="E2009" s="21">
        <v>46204</v>
      </c>
      <c r="F2009" s="21">
        <v>46568</v>
      </c>
      <c r="G2009" s="21"/>
      <c r="H2009" s="21">
        <v>46204</v>
      </c>
      <c r="I2009" s="21">
        <v>46568</v>
      </c>
      <c r="J2009" s="19" t="s">
        <v>2077</v>
      </c>
      <c r="L2009" s="19">
        <v>119.270247</v>
      </c>
      <c r="M2009" s="19">
        <v>119.270247</v>
      </c>
      <c r="N2009" s="19" t="s">
        <v>1475</v>
      </c>
      <c r="O2009" s="20">
        <v>4</v>
      </c>
      <c r="S2009" s="19" t="s">
        <v>20</v>
      </c>
      <c r="T2009" s="19" t="s">
        <v>1471</v>
      </c>
    </row>
    <row r="2010" spans="1:20">
      <c r="A2010" s="20">
        <v>202603329966531</v>
      </c>
      <c r="B2010" s="19" t="s">
        <v>20</v>
      </c>
      <c r="C2010" s="19" t="s">
        <v>21</v>
      </c>
      <c r="D2010" s="19" t="s">
        <v>20</v>
      </c>
      <c r="E2010" s="21">
        <v>46204</v>
      </c>
      <c r="F2010" s="21">
        <v>46568</v>
      </c>
      <c r="G2010" s="21"/>
      <c r="H2010" s="21">
        <v>46204</v>
      </c>
      <c r="I2010" s="21">
        <v>46568</v>
      </c>
      <c r="J2010" s="19" t="s">
        <v>2089</v>
      </c>
      <c r="L2010" s="19">
        <v>0</v>
      </c>
      <c r="M2010" s="19">
        <v>0</v>
      </c>
      <c r="N2010" s="19" t="s">
        <v>2394</v>
      </c>
      <c r="O2010" s="20">
        <v>10</v>
      </c>
      <c r="S2010" s="19" t="s">
        <v>20</v>
      </c>
      <c r="T2010" s="19" t="s">
        <v>1471</v>
      </c>
    </row>
    <row r="2011" spans="1:20">
      <c r="A2011" s="20">
        <v>202603329966531</v>
      </c>
      <c r="B2011" s="19" t="s">
        <v>20</v>
      </c>
      <c r="C2011" s="19" t="s">
        <v>21</v>
      </c>
      <c r="D2011" s="19" t="s">
        <v>2373</v>
      </c>
      <c r="E2011" s="21">
        <v>46204</v>
      </c>
      <c r="F2011" s="21">
        <v>46568</v>
      </c>
      <c r="G2011" s="21"/>
      <c r="H2011" s="21">
        <v>46204</v>
      </c>
      <c r="I2011" s="21">
        <v>46568</v>
      </c>
      <c r="J2011" s="19" t="s">
        <v>2089</v>
      </c>
      <c r="L2011" s="19">
        <v>239.6829075</v>
      </c>
      <c r="M2011" s="19">
        <v>239.6829075</v>
      </c>
      <c r="N2011" s="19" t="s">
        <v>1467</v>
      </c>
      <c r="O2011" s="20">
        <v>10</v>
      </c>
      <c r="S2011" s="19" t="s">
        <v>20</v>
      </c>
      <c r="T2011" s="19" t="s">
        <v>1471</v>
      </c>
    </row>
    <row r="2012" spans="1:20">
      <c r="A2012" s="20">
        <v>202603329967759</v>
      </c>
      <c r="B2012" s="19" t="s">
        <v>20</v>
      </c>
      <c r="C2012" s="19" t="s">
        <v>21</v>
      </c>
      <c r="D2012" s="19" t="s">
        <v>20</v>
      </c>
      <c r="E2012" s="21">
        <v>46204</v>
      </c>
      <c r="F2012" s="21">
        <v>46568</v>
      </c>
      <c r="G2012" s="21"/>
      <c r="H2012" s="21">
        <v>46204</v>
      </c>
      <c r="I2012" s="21">
        <v>46568</v>
      </c>
      <c r="J2012" s="19" t="s">
        <v>2062</v>
      </c>
      <c r="L2012" s="19">
        <v>33.130630250000003</v>
      </c>
      <c r="M2012" s="19">
        <v>33.130630250000003</v>
      </c>
      <c r="N2012" s="19" t="s">
        <v>1475</v>
      </c>
      <c r="O2012" s="20">
        <v>1</v>
      </c>
      <c r="S2012" s="19" t="s">
        <v>20</v>
      </c>
      <c r="T2012" s="19" t="s">
        <v>1471</v>
      </c>
    </row>
    <row r="2013" spans="1:20">
      <c r="A2013" s="20">
        <v>202603329968432</v>
      </c>
      <c r="B2013" s="19" t="s">
        <v>20</v>
      </c>
      <c r="C2013" s="19" t="s">
        <v>21</v>
      </c>
      <c r="D2013" s="19" t="s">
        <v>20</v>
      </c>
      <c r="E2013" s="21">
        <v>46204</v>
      </c>
      <c r="F2013" s="21">
        <v>46568</v>
      </c>
      <c r="G2013" s="21"/>
      <c r="H2013" s="21">
        <v>46204</v>
      </c>
      <c r="I2013" s="21">
        <v>46568</v>
      </c>
      <c r="J2013" s="19" t="s">
        <v>2087</v>
      </c>
      <c r="L2013" s="19">
        <v>0</v>
      </c>
      <c r="M2013" s="19">
        <v>0</v>
      </c>
      <c r="N2013" s="19" t="s">
        <v>2394</v>
      </c>
      <c r="O2013" s="20">
        <v>5</v>
      </c>
      <c r="S2013" s="19" t="s">
        <v>20</v>
      </c>
      <c r="T2013" s="19" t="s">
        <v>1471</v>
      </c>
    </row>
    <row r="2014" spans="1:20">
      <c r="A2014" s="20">
        <v>202603329968432</v>
      </c>
      <c r="B2014" s="19" t="s">
        <v>20</v>
      </c>
      <c r="C2014" s="19" t="s">
        <v>21</v>
      </c>
      <c r="D2014" s="19" t="s">
        <v>20</v>
      </c>
      <c r="E2014" s="21">
        <v>46204</v>
      </c>
      <c r="F2014" s="21">
        <v>46568</v>
      </c>
      <c r="G2014" s="21"/>
      <c r="H2014" s="21">
        <v>46204</v>
      </c>
      <c r="I2014" s="21">
        <v>46568</v>
      </c>
      <c r="J2014" s="19" t="s">
        <v>2087</v>
      </c>
      <c r="L2014" s="19">
        <v>165.65315125000001</v>
      </c>
      <c r="M2014" s="19">
        <v>165.65315125000001</v>
      </c>
      <c r="N2014" s="19" t="s">
        <v>1475</v>
      </c>
      <c r="O2014" s="20">
        <v>5</v>
      </c>
      <c r="S2014" s="19" t="s">
        <v>20</v>
      </c>
      <c r="T2014" s="19" t="s">
        <v>1471</v>
      </c>
    </row>
    <row r="2015" spans="1:20">
      <c r="A2015" s="20">
        <v>202603329969256</v>
      </c>
      <c r="B2015" s="19" t="s">
        <v>20</v>
      </c>
      <c r="C2015" s="19" t="s">
        <v>21</v>
      </c>
      <c r="D2015" s="19" t="s">
        <v>20</v>
      </c>
      <c r="E2015" s="21">
        <v>46204</v>
      </c>
      <c r="F2015" s="21">
        <v>46568</v>
      </c>
      <c r="G2015" s="21"/>
      <c r="H2015" s="21">
        <v>46204</v>
      </c>
      <c r="I2015" s="21">
        <v>46568</v>
      </c>
      <c r="J2015" s="19" t="s">
        <v>2064</v>
      </c>
      <c r="L2015" s="19">
        <v>0</v>
      </c>
      <c r="M2015" s="19">
        <v>0</v>
      </c>
      <c r="N2015" s="19" t="s">
        <v>2394</v>
      </c>
      <c r="O2015" s="20">
        <v>3</v>
      </c>
      <c r="S2015" s="19" t="s">
        <v>20</v>
      </c>
      <c r="T2015" s="19" t="s">
        <v>1471</v>
      </c>
    </row>
    <row r="2016" spans="1:20">
      <c r="A2016" s="20">
        <v>202603329969256</v>
      </c>
      <c r="B2016" s="19" t="s">
        <v>20</v>
      </c>
      <c r="C2016" s="19" t="s">
        <v>21</v>
      </c>
      <c r="D2016" s="19" t="s">
        <v>20</v>
      </c>
      <c r="E2016" s="21">
        <v>46204</v>
      </c>
      <c r="F2016" s="21">
        <v>46568</v>
      </c>
      <c r="G2016" s="21"/>
      <c r="H2016" s="21">
        <v>46204</v>
      </c>
      <c r="I2016" s="21">
        <v>46568</v>
      </c>
      <c r="J2016" s="19" t="s">
        <v>2064</v>
      </c>
      <c r="L2016" s="19">
        <v>99.391890750000002</v>
      </c>
      <c r="M2016" s="19">
        <v>99.391890750000002</v>
      </c>
      <c r="N2016" s="19" t="s">
        <v>1475</v>
      </c>
      <c r="O2016" s="20">
        <v>3</v>
      </c>
      <c r="S2016" s="19" t="s">
        <v>20</v>
      </c>
      <c r="T2016" s="19" t="s">
        <v>1471</v>
      </c>
    </row>
    <row r="2017" spans="1:20">
      <c r="A2017" s="20">
        <v>202603329970711</v>
      </c>
      <c r="B2017" s="19" t="s">
        <v>20</v>
      </c>
      <c r="C2017" s="19" t="s">
        <v>21</v>
      </c>
      <c r="D2017" s="19" t="s">
        <v>20</v>
      </c>
      <c r="E2017" s="21">
        <v>46204</v>
      </c>
      <c r="F2017" s="21">
        <v>46568</v>
      </c>
      <c r="G2017" s="21"/>
      <c r="H2017" s="21">
        <v>46204</v>
      </c>
      <c r="I2017" s="21">
        <v>46568</v>
      </c>
      <c r="J2017" s="19" t="s">
        <v>2164</v>
      </c>
      <c r="L2017" s="19">
        <v>59.863540499999999</v>
      </c>
      <c r="M2017" s="19">
        <v>59.863540499999999</v>
      </c>
      <c r="N2017" s="19" t="s">
        <v>1475</v>
      </c>
      <c r="O2017" s="20">
        <v>2</v>
      </c>
      <c r="S2017" s="19" t="s">
        <v>20</v>
      </c>
      <c r="T2017" s="19" t="s">
        <v>1471</v>
      </c>
    </row>
    <row r="2018" spans="1:20">
      <c r="A2018" s="20">
        <v>202603329971940</v>
      </c>
      <c r="B2018" s="19" t="s">
        <v>20</v>
      </c>
      <c r="C2018" s="19" t="s">
        <v>21</v>
      </c>
      <c r="D2018" s="19" t="s">
        <v>20</v>
      </c>
      <c r="E2018" s="21">
        <v>46204</v>
      </c>
      <c r="F2018" s="21">
        <v>46568</v>
      </c>
      <c r="G2018" s="21"/>
      <c r="H2018" s="21">
        <v>46204</v>
      </c>
      <c r="I2018" s="21">
        <v>46568</v>
      </c>
      <c r="J2018" s="19" t="s">
        <v>2371</v>
      </c>
      <c r="L2018" s="19">
        <v>0</v>
      </c>
      <c r="M2018" s="19">
        <v>0</v>
      </c>
      <c r="N2018" s="19" t="s">
        <v>2394</v>
      </c>
      <c r="O2018" s="20">
        <v>2</v>
      </c>
      <c r="S2018" s="19" t="s">
        <v>20</v>
      </c>
      <c r="T2018" s="19" t="s">
        <v>1471</v>
      </c>
    </row>
    <row r="2019" spans="1:20">
      <c r="A2019" s="20">
        <v>202603329971940</v>
      </c>
      <c r="B2019" s="19" t="s">
        <v>20</v>
      </c>
      <c r="C2019" s="19" t="s">
        <v>21</v>
      </c>
      <c r="D2019" s="19" t="s">
        <v>20</v>
      </c>
      <c r="E2019" s="21">
        <v>46204</v>
      </c>
      <c r="F2019" s="21">
        <v>46568</v>
      </c>
      <c r="G2019" s="21"/>
      <c r="H2019" s="21">
        <v>46204</v>
      </c>
      <c r="I2019" s="21">
        <v>46568</v>
      </c>
      <c r="J2019" s="19" t="s">
        <v>2371</v>
      </c>
      <c r="L2019" s="19">
        <v>59.635123499999999</v>
      </c>
      <c r="M2019" s="19">
        <v>59.635123499999999</v>
      </c>
      <c r="N2019" s="19" t="s">
        <v>1475</v>
      </c>
      <c r="O2019" s="20">
        <v>2</v>
      </c>
      <c r="S2019" s="19" t="s">
        <v>20</v>
      </c>
      <c r="T2019" s="19" t="s">
        <v>1471</v>
      </c>
    </row>
    <row r="2020" spans="1:20">
      <c r="A2020" s="20">
        <v>202603329972159</v>
      </c>
      <c r="B2020" s="19" t="s">
        <v>20</v>
      </c>
      <c r="C2020" s="19" t="s">
        <v>21</v>
      </c>
      <c r="D2020" s="19" t="s">
        <v>20</v>
      </c>
      <c r="E2020" s="21">
        <v>46204</v>
      </c>
      <c r="F2020" s="21">
        <v>46568</v>
      </c>
      <c r="G2020" s="21"/>
      <c r="H2020" s="21">
        <v>46204</v>
      </c>
      <c r="I2020" s="21">
        <v>46568</v>
      </c>
      <c r="J2020" s="19" t="s">
        <v>2069</v>
      </c>
      <c r="L2020" s="19">
        <v>33.130630250000003</v>
      </c>
      <c r="M2020" s="19">
        <v>33.130630250000003</v>
      </c>
      <c r="N2020" s="19" t="s">
        <v>1475</v>
      </c>
      <c r="O2020" s="20">
        <v>1</v>
      </c>
      <c r="S2020" s="19" t="s">
        <v>20</v>
      </c>
      <c r="T2020" s="19" t="s">
        <v>1471</v>
      </c>
    </row>
    <row r="2021" spans="1:20">
      <c r="A2021" s="20">
        <v>202603329972165</v>
      </c>
      <c r="B2021" s="19" t="s">
        <v>20</v>
      </c>
      <c r="C2021" s="19" t="s">
        <v>21</v>
      </c>
      <c r="D2021" s="19" t="s">
        <v>20</v>
      </c>
      <c r="E2021" s="21">
        <v>46204</v>
      </c>
      <c r="F2021" s="21">
        <v>46568</v>
      </c>
      <c r="G2021" s="21"/>
      <c r="H2021" s="21">
        <v>46204</v>
      </c>
      <c r="I2021" s="21">
        <v>46568</v>
      </c>
      <c r="J2021" s="19" t="s">
        <v>2064</v>
      </c>
      <c r="L2021" s="19">
        <v>0</v>
      </c>
      <c r="M2021" s="19">
        <v>0</v>
      </c>
      <c r="N2021" s="19" t="s">
        <v>2394</v>
      </c>
      <c r="O2021" s="20">
        <v>2</v>
      </c>
      <c r="S2021" s="19" t="s">
        <v>20</v>
      </c>
      <c r="T2021" s="19" t="s">
        <v>1471</v>
      </c>
    </row>
    <row r="2022" spans="1:20">
      <c r="A2022" s="20">
        <v>202603329972165</v>
      </c>
      <c r="B2022" s="19" t="s">
        <v>20</v>
      </c>
      <c r="C2022" s="19" t="s">
        <v>21</v>
      </c>
      <c r="D2022" s="19" t="s">
        <v>20</v>
      </c>
      <c r="E2022" s="21">
        <v>46204</v>
      </c>
      <c r="F2022" s="21">
        <v>46568</v>
      </c>
      <c r="G2022" s="21"/>
      <c r="H2022" s="21">
        <v>46204</v>
      </c>
      <c r="I2022" s="21">
        <v>46568</v>
      </c>
      <c r="J2022" s="19" t="s">
        <v>2064</v>
      </c>
      <c r="L2022" s="19">
        <v>66.261260500000006</v>
      </c>
      <c r="M2022" s="19">
        <v>66.261260500000006</v>
      </c>
      <c r="N2022" s="19" t="s">
        <v>1475</v>
      </c>
      <c r="O2022" s="20">
        <v>2</v>
      </c>
      <c r="S2022" s="19" t="s">
        <v>20</v>
      </c>
      <c r="T2022" s="19" t="s">
        <v>1471</v>
      </c>
    </row>
    <row r="2023" spans="1:20">
      <c r="A2023" s="20">
        <v>202603329975469</v>
      </c>
      <c r="B2023" s="19" t="s">
        <v>20</v>
      </c>
      <c r="C2023" s="19" t="s">
        <v>21</v>
      </c>
      <c r="D2023" s="19" t="s">
        <v>20</v>
      </c>
      <c r="E2023" s="21">
        <v>46204</v>
      </c>
      <c r="F2023" s="21">
        <v>46568</v>
      </c>
      <c r="G2023" s="21"/>
      <c r="H2023" s="21">
        <v>46204</v>
      </c>
      <c r="I2023" s="21">
        <v>46568</v>
      </c>
      <c r="J2023" s="19" t="s">
        <v>2064</v>
      </c>
      <c r="L2023" s="19">
        <v>33.130630250000003</v>
      </c>
      <c r="M2023" s="19">
        <v>33.130630250000003</v>
      </c>
      <c r="N2023" s="19" t="s">
        <v>1475</v>
      </c>
      <c r="O2023" s="20">
        <v>1</v>
      </c>
      <c r="S2023" s="19" t="s">
        <v>20</v>
      </c>
      <c r="T2023" s="19" t="s">
        <v>1471</v>
      </c>
    </row>
    <row r="2024" spans="1:20">
      <c r="A2024" s="20">
        <v>202603329975764</v>
      </c>
      <c r="B2024" s="19" t="s">
        <v>20</v>
      </c>
      <c r="C2024" s="19" t="s">
        <v>21</v>
      </c>
      <c r="D2024" s="19" t="s">
        <v>20</v>
      </c>
      <c r="E2024" s="21">
        <v>46204</v>
      </c>
      <c r="F2024" s="21">
        <v>46568</v>
      </c>
      <c r="G2024" s="21"/>
      <c r="H2024" s="21">
        <v>46204</v>
      </c>
      <c r="I2024" s="21">
        <v>46568</v>
      </c>
      <c r="J2024" s="19" t="s">
        <v>2093</v>
      </c>
      <c r="L2024" s="19">
        <v>0</v>
      </c>
      <c r="M2024" s="19">
        <v>0</v>
      </c>
      <c r="N2024" s="19" t="s">
        <v>2394</v>
      </c>
      <c r="O2024" s="20">
        <v>6</v>
      </c>
      <c r="S2024" s="19" t="s">
        <v>20</v>
      </c>
      <c r="T2024" s="19" t="s">
        <v>1471</v>
      </c>
    </row>
    <row r="2025" spans="1:20">
      <c r="A2025" s="20">
        <v>202603329975764</v>
      </c>
      <c r="B2025" s="19" t="s">
        <v>20</v>
      </c>
      <c r="C2025" s="19" t="s">
        <v>21</v>
      </c>
      <c r="D2025" s="19" t="s">
        <v>20</v>
      </c>
      <c r="E2025" s="21">
        <v>46204</v>
      </c>
      <c r="F2025" s="21">
        <v>46568</v>
      </c>
      <c r="G2025" s="21"/>
      <c r="H2025" s="21">
        <v>46204</v>
      </c>
      <c r="I2025" s="21">
        <v>46568</v>
      </c>
      <c r="J2025" s="19" t="s">
        <v>2093</v>
      </c>
      <c r="L2025" s="19">
        <v>172.6562055</v>
      </c>
      <c r="M2025" s="19">
        <v>172.6562055</v>
      </c>
      <c r="N2025" s="19" t="s">
        <v>1475</v>
      </c>
      <c r="O2025" s="20">
        <v>6</v>
      </c>
      <c r="S2025" s="19" t="s">
        <v>20</v>
      </c>
      <c r="T2025" s="19" t="s">
        <v>1471</v>
      </c>
    </row>
    <row r="2026" spans="1:20">
      <c r="A2026" s="20">
        <v>202603329978263</v>
      </c>
      <c r="B2026" s="19" t="s">
        <v>20</v>
      </c>
      <c r="C2026" s="19" t="s">
        <v>21</v>
      </c>
      <c r="D2026" s="19" t="s">
        <v>20</v>
      </c>
      <c r="E2026" s="21">
        <v>46204</v>
      </c>
      <c r="F2026" s="21">
        <v>46568</v>
      </c>
      <c r="G2026" s="21"/>
      <c r="H2026" s="21">
        <v>46204</v>
      </c>
      <c r="I2026" s="21">
        <v>46568</v>
      </c>
      <c r="J2026" s="19" t="s">
        <v>2068</v>
      </c>
      <c r="L2026" s="19">
        <v>0</v>
      </c>
      <c r="M2026" s="19">
        <v>0</v>
      </c>
      <c r="N2026" s="19" t="s">
        <v>2394</v>
      </c>
      <c r="O2026" s="20">
        <v>4</v>
      </c>
      <c r="S2026" s="19" t="s">
        <v>20</v>
      </c>
      <c r="T2026" s="19" t="s">
        <v>1471</v>
      </c>
    </row>
    <row r="2027" spans="1:20">
      <c r="A2027" s="20">
        <v>202603329978263</v>
      </c>
      <c r="B2027" s="19" t="s">
        <v>20</v>
      </c>
      <c r="C2027" s="19" t="s">
        <v>21</v>
      </c>
      <c r="D2027" s="19" t="s">
        <v>20</v>
      </c>
      <c r="E2027" s="21">
        <v>46204</v>
      </c>
      <c r="F2027" s="21">
        <v>46568</v>
      </c>
      <c r="G2027" s="21"/>
      <c r="H2027" s="21">
        <v>46204</v>
      </c>
      <c r="I2027" s="21">
        <v>46568</v>
      </c>
      <c r="J2027" s="19" t="s">
        <v>2068</v>
      </c>
      <c r="L2027" s="19">
        <v>105.034736</v>
      </c>
      <c r="M2027" s="19">
        <v>105.034736</v>
      </c>
      <c r="N2027" s="19" t="s">
        <v>1475</v>
      </c>
      <c r="O2027" s="20">
        <v>4</v>
      </c>
      <c r="S2027" s="19" t="s">
        <v>20</v>
      </c>
      <c r="T2027" s="19" t="s">
        <v>1471</v>
      </c>
    </row>
    <row r="2028" spans="1:20">
      <c r="A2028" s="20">
        <v>202603329978424</v>
      </c>
      <c r="B2028" s="19" t="s">
        <v>20</v>
      </c>
      <c r="C2028" s="19" t="s">
        <v>21</v>
      </c>
      <c r="D2028" s="19" t="s">
        <v>20</v>
      </c>
      <c r="E2028" s="21">
        <v>46204</v>
      </c>
      <c r="F2028" s="21">
        <v>46568</v>
      </c>
      <c r="G2028" s="21"/>
      <c r="H2028" s="21">
        <v>46204</v>
      </c>
      <c r="I2028" s="21">
        <v>46568</v>
      </c>
      <c r="J2028" s="19" t="s">
        <v>2083</v>
      </c>
      <c r="L2028" s="19">
        <v>0</v>
      </c>
      <c r="M2028" s="19">
        <v>0</v>
      </c>
      <c r="N2028" s="19" t="s">
        <v>2394</v>
      </c>
      <c r="O2028" s="20">
        <v>7</v>
      </c>
      <c r="S2028" s="19" t="s">
        <v>20</v>
      </c>
      <c r="T2028" s="19" t="s">
        <v>1471</v>
      </c>
    </row>
    <row r="2029" spans="1:20">
      <c r="A2029" s="20">
        <v>202603329978424</v>
      </c>
      <c r="B2029" s="19" t="s">
        <v>20</v>
      </c>
      <c r="C2029" s="19" t="s">
        <v>21</v>
      </c>
      <c r="D2029" s="19" t="s">
        <v>2374</v>
      </c>
      <c r="E2029" s="21">
        <v>46204</v>
      </c>
      <c r="F2029" s="21">
        <v>46568</v>
      </c>
      <c r="G2029" s="21"/>
      <c r="H2029" s="21">
        <v>46204</v>
      </c>
      <c r="I2029" s="21">
        <v>46568</v>
      </c>
      <c r="J2029" s="19" t="s">
        <v>2083</v>
      </c>
      <c r="L2029" s="19">
        <v>231.91441175</v>
      </c>
      <c r="M2029" s="19">
        <v>231.91441175</v>
      </c>
      <c r="N2029" s="19" t="s">
        <v>1467</v>
      </c>
      <c r="O2029" s="20">
        <v>7</v>
      </c>
      <c r="S2029" s="19" t="s">
        <v>20</v>
      </c>
      <c r="T2029" s="19" t="s">
        <v>1471</v>
      </c>
    </row>
    <row r="2030" spans="1:20">
      <c r="A2030" s="20">
        <v>202603329979037</v>
      </c>
      <c r="B2030" s="19" t="s">
        <v>20</v>
      </c>
      <c r="C2030" s="19" t="s">
        <v>21</v>
      </c>
      <c r="D2030" s="19" t="s">
        <v>20</v>
      </c>
      <c r="E2030" s="21">
        <v>46204</v>
      </c>
      <c r="F2030" s="21">
        <v>46568</v>
      </c>
      <c r="G2030" s="21"/>
      <c r="H2030" s="21">
        <v>46204</v>
      </c>
      <c r="I2030" s="21">
        <v>46568</v>
      </c>
      <c r="J2030" s="19" t="s">
        <v>2135</v>
      </c>
      <c r="L2030" s="19">
        <v>0</v>
      </c>
      <c r="M2030" s="19">
        <v>0</v>
      </c>
      <c r="N2030" s="19" t="s">
        <v>2394</v>
      </c>
      <c r="O2030" s="20">
        <v>5</v>
      </c>
      <c r="S2030" s="19" t="s">
        <v>20</v>
      </c>
      <c r="T2030" s="19" t="s">
        <v>1471</v>
      </c>
    </row>
    <row r="2031" spans="1:20">
      <c r="A2031" s="20">
        <v>202603329979037</v>
      </c>
      <c r="B2031" s="19" t="s">
        <v>20</v>
      </c>
      <c r="C2031" s="19" t="s">
        <v>21</v>
      </c>
      <c r="D2031" s="19" t="s">
        <v>20</v>
      </c>
      <c r="E2031" s="21">
        <v>46204</v>
      </c>
      <c r="F2031" s="21">
        <v>46568</v>
      </c>
      <c r="G2031" s="21"/>
      <c r="H2031" s="21">
        <v>46204</v>
      </c>
      <c r="I2031" s="21">
        <v>46568</v>
      </c>
      <c r="J2031" s="19" t="s">
        <v>2135</v>
      </c>
      <c r="L2031" s="19">
        <v>165.65315125000001</v>
      </c>
      <c r="M2031" s="19">
        <v>165.65315125000001</v>
      </c>
      <c r="N2031" s="19" t="s">
        <v>1475</v>
      </c>
      <c r="O2031" s="20">
        <v>5</v>
      </c>
      <c r="S2031" s="19" t="s">
        <v>20</v>
      </c>
      <c r="T2031" s="19" t="s">
        <v>1471</v>
      </c>
    </row>
    <row r="2032" spans="1:20">
      <c r="A2032" s="20">
        <v>202603329980142</v>
      </c>
      <c r="B2032" s="19" t="s">
        <v>20</v>
      </c>
      <c r="C2032" s="19" t="s">
        <v>21</v>
      </c>
      <c r="D2032" s="19" t="s">
        <v>20</v>
      </c>
      <c r="E2032" s="21">
        <v>46204</v>
      </c>
      <c r="F2032" s="21">
        <v>46568</v>
      </c>
      <c r="G2032" s="21"/>
      <c r="H2032" s="21">
        <v>46204</v>
      </c>
      <c r="I2032" s="21">
        <v>46568</v>
      </c>
      <c r="J2032" s="19" t="s">
        <v>2135</v>
      </c>
      <c r="L2032" s="19">
        <v>0</v>
      </c>
      <c r="M2032" s="19">
        <v>0</v>
      </c>
      <c r="N2032" s="19" t="s">
        <v>2394</v>
      </c>
      <c r="O2032" s="20">
        <v>6</v>
      </c>
      <c r="S2032" s="19" t="s">
        <v>20</v>
      </c>
      <c r="T2032" s="19" t="s">
        <v>1471</v>
      </c>
    </row>
    <row r="2033" spans="1:20">
      <c r="A2033" s="20">
        <v>202603329980142</v>
      </c>
      <c r="B2033" s="19" t="s">
        <v>20</v>
      </c>
      <c r="C2033" s="19" t="s">
        <v>21</v>
      </c>
      <c r="D2033" s="19" t="s">
        <v>20</v>
      </c>
      <c r="E2033" s="21">
        <v>46204</v>
      </c>
      <c r="F2033" s="21">
        <v>46568</v>
      </c>
      <c r="G2033" s="21"/>
      <c r="H2033" s="21">
        <v>46204</v>
      </c>
      <c r="I2033" s="21">
        <v>46568</v>
      </c>
      <c r="J2033" s="19" t="s">
        <v>2135</v>
      </c>
      <c r="L2033" s="19">
        <v>198.7837815</v>
      </c>
      <c r="M2033" s="19">
        <v>198.7837815</v>
      </c>
      <c r="N2033" s="19" t="s">
        <v>1475</v>
      </c>
      <c r="O2033" s="20">
        <v>6</v>
      </c>
      <c r="S2033" s="19" t="s">
        <v>20</v>
      </c>
      <c r="T2033" s="19" t="s">
        <v>1471</v>
      </c>
    </row>
    <row r="2034" spans="1:20">
      <c r="A2034" s="20">
        <v>202603329982797</v>
      </c>
      <c r="B2034" s="19" t="s">
        <v>20</v>
      </c>
      <c r="C2034" s="19" t="s">
        <v>21</v>
      </c>
      <c r="D2034" s="19" t="s">
        <v>20</v>
      </c>
      <c r="E2034" s="21">
        <v>46204</v>
      </c>
      <c r="F2034" s="21">
        <v>46568</v>
      </c>
      <c r="G2034" s="21"/>
      <c r="H2034" s="21">
        <v>46204</v>
      </c>
      <c r="I2034" s="21">
        <v>46568</v>
      </c>
      <c r="J2034" s="19" t="s">
        <v>2067</v>
      </c>
      <c r="L2034" s="19">
        <v>0</v>
      </c>
      <c r="M2034" s="19">
        <v>0</v>
      </c>
      <c r="N2034" s="19" t="s">
        <v>2394</v>
      </c>
      <c r="O2034" s="20">
        <v>4</v>
      </c>
      <c r="S2034" s="19" t="s">
        <v>20</v>
      </c>
      <c r="T2034" s="19" t="s">
        <v>1471</v>
      </c>
    </row>
    <row r="2035" spans="1:20">
      <c r="A2035" s="20">
        <v>202603329982797</v>
      </c>
      <c r="B2035" s="19" t="s">
        <v>20</v>
      </c>
      <c r="C2035" s="19" t="s">
        <v>21</v>
      </c>
      <c r="D2035" s="19" t="s">
        <v>20</v>
      </c>
      <c r="E2035" s="21">
        <v>46204</v>
      </c>
      <c r="F2035" s="21">
        <v>46568</v>
      </c>
      <c r="G2035" s="21"/>
      <c r="H2035" s="21">
        <v>46204</v>
      </c>
      <c r="I2035" s="21">
        <v>46568</v>
      </c>
      <c r="J2035" s="19" t="s">
        <v>2067</v>
      </c>
      <c r="L2035" s="19">
        <v>140.44375099999999</v>
      </c>
      <c r="M2035" s="19">
        <v>140.44375099999999</v>
      </c>
      <c r="N2035" s="19" t="s">
        <v>1475</v>
      </c>
      <c r="O2035" s="20">
        <v>4</v>
      </c>
      <c r="S2035" s="19" t="s">
        <v>20</v>
      </c>
      <c r="T2035" s="19" t="s">
        <v>1471</v>
      </c>
    </row>
    <row r="2036" spans="1:20">
      <c r="A2036" s="20">
        <v>202603329983393</v>
      </c>
      <c r="B2036" s="19" t="s">
        <v>20</v>
      </c>
      <c r="C2036" s="19" t="s">
        <v>21</v>
      </c>
      <c r="D2036" s="19" t="s">
        <v>20</v>
      </c>
      <c r="E2036" s="21">
        <v>46204</v>
      </c>
      <c r="F2036" s="21">
        <v>46568</v>
      </c>
      <c r="G2036" s="21"/>
      <c r="H2036" s="21">
        <v>46204</v>
      </c>
      <c r="I2036" s="21">
        <v>46568</v>
      </c>
      <c r="J2036" s="19" t="s">
        <v>2064</v>
      </c>
      <c r="L2036" s="19">
        <v>66.261260500000006</v>
      </c>
      <c r="M2036" s="19">
        <v>66.261260500000006</v>
      </c>
      <c r="N2036" s="19" t="s">
        <v>1475</v>
      </c>
      <c r="O2036" s="20">
        <v>2</v>
      </c>
      <c r="S2036" s="19" t="s">
        <v>20</v>
      </c>
      <c r="T2036" s="19" t="s">
        <v>1471</v>
      </c>
    </row>
    <row r="2037" spans="1:20">
      <c r="A2037" s="20">
        <v>202603329983971</v>
      </c>
      <c r="B2037" s="19" t="s">
        <v>20</v>
      </c>
      <c r="C2037" s="19" t="s">
        <v>21</v>
      </c>
      <c r="D2037" s="19" t="s">
        <v>20</v>
      </c>
      <c r="E2037" s="21">
        <v>46204</v>
      </c>
      <c r="F2037" s="21">
        <v>46568</v>
      </c>
      <c r="G2037" s="21"/>
      <c r="H2037" s="21">
        <v>46204</v>
      </c>
      <c r="I2037" s="21">
        <v>46568</v>
      </c>
      <c r="J2037" s="19" t="s">
        <v>2078</v>
      </c>
      <c r="L2037" s="19">
        <v>0</v>
      </c>
      <c r="M2037" s="19">
        <v>0</v>
      </c>
      <c r="N2037" s="19" t="s">
        <v>2394</v>
      </c>
      <c r="O2037" s="20">
        <v>4</v>
      </c>
      <c r="S2037" s="19" t="s">
        <v>20</v>
      </c>
      <c r="T2037" s="19" t="s">
        <v>1471</v>
      </c>
    </row>
    <row r="2038" spans="1:20">
      <c r="A2038" s="20">
        <v>202603329983971</v>
      </c>
      <c r="B2038" s="19" t="s">
        <v>20</v>
      </c>
      <c r="C2038" s="19" t="s">
        <v>21</v>
      </c>
      <c r="D2038" s="19" t="s">
        <v>20</v>
      </c>
      <c r="E2038" s="21">
        <v>46204</v>
      </c>
      <c r="F2038" s="21">
        <v>46568</v>
      </c>
      <c r="G2038" s="21"/>
      <c r="H2038" s="21">
        <v>46204</v>
      </c>
      <c r="I2038" s="21">
        <v>46568</v>
      </c>
      <c r="J2038" s="19" t="s">
        <v>2078</v>
      </c>
      <c r="L2038" s="19">
        <v>85.463509000000002</v>
      </c>
      <c r="M2038" s="19">
        <v>85.463509000000002</v>
      </c>
      <c r="N2038" s="19" t="s">
        <v>1475</v>
      </c>
      <c r="O2038" s="20">
        <v>4</v>
      </c>
      <c r="S2038" s="19" t="s">
        <v>20</v>
      </c>
      <c r="T2038" s="19" t="s">
        <v>1471</v>
      </c>
    </row>
    <row r="2039" spans="1:20">
      <c r="A2039" s="20">
        <v>202603329986151</v>
      </c>
      <c r="B2039" s="19" t="s">
        <v>20</v>
      </c>
      <c r="C2039" s="19" t="s">
        <v>21</v>
      </c>
      <c r="D2039" s="19" t="s">
        <v>2375</v>
      </c>
      <c r="E2039" s="21">
        <v>46204</v>
      </c>
      <c r="F2039" s="21">
        <v>46568</v>
      </c>
      <c r="G2039" s="21"/>
      <c r="H2039" s="21">
        <v>46204</v>
      </c>
      <c r="I2039" s="21">
        <v>46568</v>
      </c>
      <c r="J2039" s="19" t="s">
        <v>2135</v>
      </c>
      <c r="L2039" s="19">
        <v>16.727183499999999</v>
      </c>
      <c r="M2039" s="19">
        <v>16.727183499999999</v>
      </c>
      <c r="N2039" s="19" t="s">
        <v>1467</v>
      </c>
      <c r="O2039" s="20">
        <v>1</v>
      </c>
      <c r="S2039" s="19" t="s">
        <v>20</v>
      </c>
      <c r="T2039" s="19" t="s">
        <v>1471</v>
      </c>
    </row>
    <row r="2040" spans="1:20">
      <c r="A2040" s="20">
        <v>202603329986684</v>
      </c>
      <c r="B2040" s="19" t="s">
        <v>20</v>
      </c>
      <c r="C2040" s="19" t="s">
        <v>21</v>
      </c>
      <c r="D2040" s="19" t="s">
        <v>20</v>
      </c>
      <c r="E2040" s="21">
        <v>46204</v>
      </c>
      <c r="F2040" s="21">
        <v>46568</v>
      </c>
      <c r="G2040" s="21"/>
      <c r="H2040" s="21">
        <v>46204</v>
      </c>
      <c r="I2040" s="21">
        <v>46568</v>
      </c>
      <c r="J2040" s="19" t="s">
        <v>2120</v>
      </c>
      <c r="L2040" s="19">
        <v>0</v>
      </c>
      <c r="M2040" s="19">
        <v>0</v>
      </c>
      <c r="N2040" s="19" t="s">
        <v>2394</v>
      </c>
      <c r="O2040" s="20">
        <v>5</v>
      </c>
      <c r="S2040" s="19" t="s">
        <v>20</v>
      </c>
      <c r="T2040" s="19" t="s">
        <v>1471</v>
      </c>
    </row>
    <row r="2041" spans="1:20">
      <c r="A2041" s="20">
        <v>202603329986684</v>
      </c>
      <c r="B2041" s="19" t="s">
        <v>20</v>
      </c>
      <c r="C2041" s="19" t="s">
        <v>21</v>
      </c>
      <c r="D2041" s="19" t="s">
        <v>20</v>
      </c>
      <c r="E2041" s="21">
        <v>46204</v>
      </c>
      <c r="F2041" s="21">
        <v>46568</v>
      </c>
      <c r="G2041" s="21"/>
      <c r="H2041" s="21">
        <v>46204</v>
      </c>
      <c r="I2041" s="21">
        <v>46568</v>
      </c>
      <c r="J2041" s="19" t="s">
        <v>2120</v>
      </c>
      <c r="L2041" s="19">
        <v>189.73977500000001</v>
      </c>
      <c r="M2041" s="19">
        <v>189.73977500000001</v>
      </c>
      <c r="N2041" s="19" t="s">
        <v>1475</v>
      </c>
      <c r="O2041" s="20">
        <v>5</v>
      </c>
      <c r="S2041" s="19" t="s">
        <v>20</v>
      </c>
      <c r="T2041" s="19" t="s">
        <v>1471</v>
      </c>
    </row>
    <row r="2042" spans="1:20">
      <c r="A2042" s="20">
        <v>202603329988401</v>
      </c>
      <c r="B2042" s="19" t="s">
        <v>20</v>
      </c>
      <c r="C2042" s="19" t="s">
        <v>21</v>
      </c>
      <c r="D2042" s="19" t="s">
        <v>20</v>
      </c>
      <c r="E2042" s="21">
        <v>46204</v>
      </c>
      <c r="F2042" s="21">
        <v>46568</v>
      </c>
      <c r="G2042" s="21"/>
      <c r="H2042" s="21">
        <v>46204</v>
      </c>
      <c r="I2042" s="21">
        <v>46568</v>
      </c>
      <c r="J2042" s="19" t="s">
        <v>2151</v>
      </c>
      <c r="L2042" s="19">
        <v>0</v>
      </c>
      <c r="M2042" s="19">
        <v>0</v>
      </c>
      <c r="N2042" s="19" t="s">
        <v>2394</v>
      </c>
      <c r="O2042" s="20">
        <v>4</v>
      </c>
      <c r="S2042" s="19" t="s">
        <v>20</v>
      </c>
      <c r="T2042" s="19" t="s">
        <v>1471</v>
      </c>
    </row>
    <row r="2043" spans="1:20">
      <c r="A2043" s="20">
        <v>202603329988401</v>
      </c>
      <c r="B2043" s="19" t="s">
        <v>20</v>
      </c>
      <c r="C2043" s="19" t="s">
        <v>21</v>
      </c>
      <c r="D2043" s="19" t="s">
        <v>20</v>
      </c>
      <c r="E2043" s="21">
        <v>46204</v>
      </c>
      <c r="F2043" s="21">
        <v>46568</v>
      </c>
      <c r="G2043" s="21"/>
      <c r="H2043" s="21">
        <v>46204</v>
      </c>
      <c r="I2043" s="21">
        <v>46568</v>
      </c>
      <c r="J2043" s="19" t="s">
        <v>2151</v>
      </c>
      <c r="L2043" s="19">
        <v>132.52252100000001</v>
      </c>
      <c r="M2043" s="19">
        <v>132.52252100000001</v>
      </c>
      <c r="N2043" s="19" t="s">
        <v>1475</v>
      </c>
      <c r="O2043" s="20">
        <v>4</v>
      </c>
      <c r="S2043" s="19" t="s">
        <v>20</v>
      </c>
      <c r="T2043" s="19" t="s">
        <v>1471</v>
      </c>
    </row>
    <row r="2044" spans="1:20">
      <c r="A2044" s="20">
        <v>202603329988932</v>
      </c>
      <c r="B2044" s="19" t="s">
        <v>20</v>
      </c>
      <c r="C2044" s="19" t="s">
        <v>21</v>
      </c>
      <c r="D2044" s="19" t="s">
        <v>20</v>
      </c>
      <c r="E2044" s="21">
        <v>46204</v>
      </c>
      <c r="F2044" s="21">
        <v>46568</v>
      </c>
      <c r="G2044" s="21"/>
      <c r="H2044" s="21">
        <v>46204</v>
      </c>
      <c r="I2044" s="21">
        <v>46568</v>
      </c>
      <c r="J2044" s="19" t="s">
        <v>2086</v>
      </c>
      <c r="L2044" s="19">
        <v>0</v>
      </c>
      <c r="M2044" s="19">
        <v>0</v>
      </c>
      <c r="N2044" s="19" t="s">
        <v>2394</v>
      </c>
      <c r="O2044" s="20">
        <v>2</v>
      </c>
      <c r="S2044" s="19" t="s">
        <v>20</v>
      </c>
      <c r="T2044" s="19" t="s">
        <v>1471</v>
      </c>
    </row>
    <row r="2045" spans="1:20">
      <c r="A2045" s="20">
        <v>202603329988932</v>
      </c>
      <c r="B2045" s="19" t="s">
        <v>20</v>
      </c>
      <c r="C2045" s="19" t="s">
        <v>21</v>
      </c>
      <c r="D2045" s="19" t="s">
        <v>20</v>
      </c>
      <c r="E2045" s="21">
        <v>46204</v>
      </c>
      <c r="F2045" s="21">
        <v>46568</v>
      </c>
      <c r="G2045" s="21"/>
      <c r="H2045" s="21">
        <v>46204</v>
      </c>
      <c r="I2045" s="21">
        <v>46568</v>
      </c>
      <c r="J2045" s="19" t="s">
        <v>2086</v>
      </c>
      <c r="L2045" s="19">
        <v>66.261260500000006</v>
      </c>
      <c r="M2045" s="19">
        <v>66.261260500000006</v>
      </c>
      <c r="N2045" s="19" t="s">
        <v>1475</v>
      </c>
      <c r="O2045" s="20">
        <v>2</v>
      </c>
      <c r="S2045" s="19" t="s">
        <v>20</v>
      </c>
      <c r="T2045" s="19" t="s">
        <v>1471</v>
      </c>
    </row>
    <row r="2046" spans="1:20">
      <c r="A2046" s="20">
        <v>202603329989137</v>
      </c>
      <c r="B2046" s="19" t="s">
        <v>20</v>
      </c>
      <c r="C2046" s="19" t="s">
        <v>21</v>
      </c>
      <c r="D2046" s="19" t="s">
        <v>2376</v>
      </c>
      <c r="E2046" s="21">
        <v>46204</v>
      </c>
      <c r="F2046" s="21">
        <v>46568</v>
      </c>
      <c r="G2046" s="21"/>
      <c r="H2046" s="21">
        <v>46204</v>
      </c>
      <c r="I2046" s="21">
        <v>46568</v>
      </c>
      <c r="J2046" s="19" t="s">
        <v>2155</v>
      </c>
      <c r="L2046" s="19">
        <v>33.130630250000003</v>
      </c>
      <c r="M2046" s="19">
        <v>33.130630250000003</v>
      </c>
      <c r="N2046" s="19" t="s">
        <v>1467</v>
      </c>
      <c r="O2046" s="20">
        <v>1</v>
      </c>
      <c r="S2046" s="19" t="s">
        <v>20</v>
      </c>
      <c r="T2046" s="19" t="s">
        <v>1471</v>
      </c>
    </row>
    <row r="2047" spans="1:20">
      <c r="A2047" s="20">
        <v>202603329989487</v>
      </c>
      <c r="B2047" s="19" t="s">
        <v>20</v>
      </c>
      <c r="C2047" s="19" t="s">
        <v>21</v>
      </c>
      <c r="D2047" s="19" t="s">
        <v>20</v>
      </c>
      <c r="E2047" s="21">
        <v>46204</v>
      </c>
      <c r="F2047" s="21">
        <v>46568</v>
      </c>
      <c r="G2047" s="21"/>
      <c r="H2047" s="21">
        <v>46204</v>
      </c>
      <c r="I2047" s="21">
        <v>46568</v>
      </c>
      <c r="J2047" s="19" t="s">
        <v>2085</v>
      </c>
      <c r="L2047" s="19">
        <v>24.620673499999999</v>
      </c>
      <c r="M2047" s="19">
        <v>24.620673499999999</v>
      </c>
      <c r="N2047" s="19" t="s">
        <v>1475</v>
      </c>
      <c r="O2047" s="20">
        <v>1</v>
      </c>
      <c r="S2047" s="19" t="s">
        <v>20</v>
      </c>
      <c r="T2047" s="19" t="s">
        <v>1471</v>
      </c>
    </row>
    <row r="2048" spans="1:20">
      <c r="A2048" s="20">
        <v>202603329991691</v>
      </c>
      <c r="B2048" s="19" t="s">
        <v>20</v>
      </c>
      <c r="C2048" s="19" t="s">
        <v>21</v>
      </c>
      <c r="D2048" s="19" t="s">
        <v>20</v>
      </c>
      <c r="E2048" s="21">
        <v>46204</v>
      </c>
      <c r="F2048" s="21">
        <v>46568</v>
      </c>
      <c r="G2048" s="21"/>
      <c r="H2048" s="21">
        <v>46204</v>
      </c>
      <c r="I2048" s="21">
        <v>46568</v>
      </c>
      <c r="J2048" s="19" t="s">
        <v>2064</v>
      </c>
      <c r="L2048" s="19">
        <v>0</v>
      </c>
      <c r="M2048" s="19">
        <v>0</v>
      </c>
      <c r="N2048" s="19" t="s">
        <v>2394</v>
      </c>
      <c r="O2048" s="20">
        <v>3</v>
      </c>
      <c r="S2048" s="19" t="s">
        <v>20</v>
      </c>
      <c r="T2048" s="19" t="s">
        <v>1471</v>
      </c>
    </row>
    <row r="2049" spans="1:20">
      <c r="A2049" s="20">
        <v>202603329991691</v>
      </c>
      <c r="B2049" s="19" t="s">
        <v>20</v>
      </c>
      <c r="C2049" s="19" t="s">
        <v>21</v>
      </c>
      <c r="D2049" s="19" t="s">
        <v>20</v>
      </c>
      <c r="E2049" s="21">
        <v>46204</v>
      </c>
      <c r="F2049" s="21">
        <v>46568</v>
      </c>
      <c r="G2049" s="21"/>
      <c r="H2049" s="21">
        <v>46204</v>
      </c>
      <c r="I2049" s="21">
        <v>46568</v>
      </c>
      <c r="J2049" s="19" t="s">
        <v>2064</v>
      </c>
      <c r="L2049" s="19">
        <v>99.391890750000002</v>
      </c>
      <c r="M2049" s="19">
        <v>99.391890750000002</v>
      </c>
      <c r="N2049" s="19" t="s">
        <v>1475</v>
      </c>
      <c r="O2049" s="20">
        <v>3</v>
      </c>
      <c r="S2049" s="19" t="s">
        <v>20</v>
      </c>
      <c r="T2049" s="19" t="s">
        <v>1471</v>
      </c>
    </row>
    <row r="2050" spans="1:20">
      <c r="A2050" s="20">
        <v>202603329994649</v>
      </c>
      <c r="B2050" s="19" t="s">
        <v>20</v>
      </c>
      <c r="C2050" s="19" t="s">
        <v>21</v>
      </c>
      <c r="D2050" s="19" t="s">
        <v>20</v>
      </c>
      <c r="E2050" s="21">
        <v>46204</v>
      </c>
      <c r="F2050" s="21">
        <v>46568</v>
      </c>
      <c r="G2050" s="21"/>
      <c r="H2050" s="21">
        <v>46204</v>
      </c>
      <c r="I2050" s="21">
        <v>46568</v>
      </c>
      <c r="J2050" s="19" t="s">
        <v>2068</v>
      </c>
      <c r="L2050" s="19">
        <v>26.258683999999999</v>
      </c>
      <c r="M2050" s="19">
        <v>26.258683999999999</v>
      </c>
      <c r="N2050" s="19" t="s">
        <v>1475</v>
      </c>
      <c r="O2050" s="20">
        <v>1</v>
      </c>
      <c r="S2050" s="19" t="s">
        <v>20</v>
      </c>
      <c r="T2050" s="19" t="s">
        <v>1471</v>
      </c>
    </row>
    <row r="2051" spans="1:20">
      <c r="A2051" s="20">
        <v>202603330001194</v>
      </c>
      <c r="B2051" s="19" t="s">
        <v>20</v>
      </c>
      <c r="C2051" s="19" t="s">
        <v>21</v>
      </c>
      <c r="D2051" s="19" t="s">
        <v>20</v>
      </c>
      <c r="E2051" s="21">
        <v>46204</v>
      </c>
      <c r="F2051" s="21">
        <v>46568</v>
      </c>
      <c r="G2051" s="21"/>
      <c r="H2051" s="21">
        <v>46204</v>
      </c>
      <c r="I2051" s="21">
        <v>46568</v>
      </c>
      <c r="J2051" s="19" t="s">
        <v>2068</v>
      </c>
      <c r="L2051" s="19">
        <v>0</v>
      </c>
      <c r="M2051" s="19">
        <v>0</v>
      </c>
      <c r="N2051" s="19" t="s">
        <v>2394</v>
      </c>
      <c r="O2051" s="20">
        <v>6</v>
      </c>
      <c r="S2051" s="19" t="s">
        <v>20</v>
      </c>
      <c r="T2051" s="19" t="s">
        <v>1471</v>
      </c>
    </row>
    <row r="2052" spans="1:20">
      <c r="A2052" s="20">
        <v>202603330001194</v>
      </c>
      <c r="B2052" s="19" t="s">
        <v>20</v>
      </c>
      <c r="C2052" s="19" t="s">
        <v>21</v>
      </c>
      <c r="D2052" s="19" t="s">
        <v>20</v>
      </c>
      <c r="E2052" s="21">
        <v>46204</v>
      </c>
      <c r="F2052" s="21">
        <v>46568</v>
      </c>
      <c r="G2052" s="21"/>
      <c r="H2052" s="21">
        <v>46204</v>
      </c>
      <c r="I2052" s="21">
        <v>46568</v>
      </c>
      <c r="J2052" s="19" t="s">
        <v>2068</v>
      </c>
      <c r="L2052" s="19">
        <v>157.55210400000001</v>
      </c>
      <c r="M2052" s="19">
        <v>157.55210400000001</v>
      </c>
      <c r="N2052" s="19" t="s">
        <v>1475</v>
      </c>
      <c r="O2052" s="20">
        <v>6</v>
      </c>
      <c r="S2052" s="19" t="s">
        <v>20</v>
      </c>
      <c r="T2052" s="19" t="s">
        <v>1471</v>
      </c>
    </row>
    <row r="2053" spans="1:20">
      <c r="A2053" s="20">
        <v>202603330001732</v>
      </c>
      <c r="B2053" s="19" t="s">
        <v>20</v>
      </c>
      <c r="C2053" s="19" t="s">
        <v>21</v>
      </c>
      <c r="D2053" s="19" t="s">
        <v>20</v>
      </c>
      <c r="E2053" s="21">
        <v>46204</v>
      </c>
      <c r="F2053" s="21">
        <v>46568</v>
      </c>
      <c r="G2053" s="21"/>
      <c r="H2053" s="21">
        <v>46204</v>
      </c>
      <c r="I2053" s="21">
        <v>46568</v>
      </c>
      <c r="J2053" s="19" t="s">
        <v>2087</v>
      </c>
      <c r="L2053" s="19">
        <v>0</v>
      </c>
      <c r="M2053" s="19">
        <v>0</v>
      </c>
      <c r="N2053" s="19" t="s">
        <v>2394</v>
      </c>
      <c r="O2053" s="20">
        <v>5</v>
      </c>
      <c r="S2053" s="19" t="s">
        <v>20</v>
      </c>
      <c r="T2053" s="19" t="s">
        <v>1471</v>
      </c>
    </row>
    <row r="2054" spans="1:20">
      <c r="A2054" s="20">
        <v>202603330001732</v>
      </c>
      <c r="B2054" s="19" t="s">
        <v>20</v>
      </c>
      <c r="C2054" s="19" t="s">
        <v>21</v>
      </c>
      <c r="D2054" s="19" t="s">
        <v>20</v>
      </c>
      <c r="E2054" s="21">
        <v>46204</v>
      </c>
      <c r="F2054" s="21">
        <v>46568</v>
      </c>
      <c r="G2054" s="21"/>
      <c r="H2054" s="21">
        <v>46204</v>
      </c>
      <c r="I2054" s="21">
        <v>46568</v>
      </c>
      <c r="J2054" s="19" t="s">
        <v>2087</v>
      </c>
      <c r="L2054" s="19">
        <v>165.65315125000001</v>
      </c>
      <c r="M2054" s="19">
        <v>165.65315125000001</v>
      </c>
      <c r="N2054" s="19" t="s">
        <v>1475</v>
      </c>
      <c r="O2054" s="20">
        <v>5</v>
      </c>
      <c r="S2054" s="19" t="s">
        <v>20</v>
      </c>
      <c r="T2054" s="19" t="s">
        <v>1471</v>
      </c>
    </row>
    <row r="2055" spans="1:20">
      <c r="A2055" s="20">
        <v>202603330002380</v>
      </c>
      <c r="B2055" s="19" t="s">
        <v>20</v>
      </c>
      <c r="C2055" s="19" t="s">
        <v>21</v>
      </c>
      <c r="D2055" s="19" t="s">
        <v>20</v>
      </c>
      <c r="E2055" s="21">
        <v>46204</v>
      </c>
      <c r="F2055" s="21">
        <v>46568</v>
      </c>
      <c r="G2055" s="21"/>
      <c r="H2055" s="21">
        <v>46204</v>
      </c>
      <c r="I2055" s="21">
        <v>46568</v>
      </c>
      <c r="J2055" s="19" t="s">
        <v>2132</v>
      </c>
      <c r="L2055" s="19">
        <v>0</v>
      </c>
      <c r="M2055" s="19">
        <v>0</v>
      </c>
      <c r="N2055" s="19" t="s">
        <v>2394</v>
      </c>
      <c r="O2055" s="20">
        <v>3</v>
      </c>
      <c r="S2055" s="19" t="s">
        <v>20</v>
      </c>
      <c r="T2055" s="19" t="s">
        <v>1471</v>
      </c>
    </row>
    <row r="2056" spans="1:20">
      <c r="A2056" s="20">
        <v>202603330002380</v>
      </c>
      <c r="B2056" s="19" t="s">
        <v>20</v>
      </c>
      <c r="C2056" s="19" t="s">
        <v>21</v>
      </c>
      <c r="D2056" s="19" t="s">
        <v>20</v>
      </c>
      <c r="E2056" s="21">
        <v>46204</v>
      </c>
      <c r="F2056" s="21">
        <v>46568</v>
      </c>
      <c r="G2056" s="21"/>
      <c r="H2056" s="21">
        <v>46204</v>
      </c>
      <c r="I2056" s="21">
        <v>46568</v>
      </c>
      <c r="J2056" s="19" t="s">
        <v>2132</v>
      </c>
      <c r="L2056" s="19">
        <v>89.452685250000002</v>
      </c>
      <c r="M2056" s="19">
        <v>89.452685250000002</v>
      </c>
      <c r="N2056" s="19" t="s">
        <v>1475</v>
      </c>
      <c r="O2056" s="20">
        <v>3</v>
      </c>
      <c r="S2056" s="19" t="s">
        <v>20</v>
      </c>
      <c r="T2056" s="19" t="s">
        <v>1471</v>
      </c>
    </row>
    <row r="2057" spans="1:20">
      <c r="A2057" s="20">
        <v>202603330003325</v>
      </c>
      <c r="B2057" s="19" t="s">
        <v>20</v>
      </c>
      <c r="C2057" s="19" t="s">
        <v>21</v>
      </c>
      <c r="D2057" s="19" t="s">
        <v>20</v>
      </c>
      <c r="E2057" s="21">
        <v>46204</v>
      </c>
      <c r="F2057" s="21">
        <v>46568</v>
      </c>
      <c r="G2057" s="21"/>
      <c r="H2057" s="21">
        <v>46204</v>
      </c>
      <c r="I2057" s="21">
        <v>46568</v>
      </c>
      <c r="J2057" s="19" t="s">
        <v>2071</v>
      </c>
      <c r="L2057" s="19">
        <v>0</v>
      </c>
      <c r="M2057" s="19">
        <v>0</v>
      </c>
      <c r="N2057" s="19" t="s">
        <v>2394</v>
      </c>
      <c r="O2057" s="20">
        <v>2</v>
      </c>
      <c r="S2057" s="19" t="s">
        <v>20</v>
      </c>
      <c r="T2057" s="19" t="s">
        <v>1471</v>
      </c>
    </row>
    <row r="2058" spans="1:20">
      <c r="A2058" s="20">
        <v>202603330003325</v>
      </c>
      <c r="B2058" s="19" t="s">
        <v>20</v>
      </c>
      <c r="C2058" s="19" t="s">
        <v>21</v>
      </c>
      <c r="D2058" s="19" t="s">
        <v>20</v>
      </c>
      <c r="E2058" s="21">
        <v>46204</v>
      </c>
      <c r="F2058" s="21">
        <v>46568</v>
      </c>
      <c r="G2058" s="21"/>
      <c r="H2058" s="21">
        <v>46204</v>
      </c>
      <c r="I2058" s="21">
        <v>46568</v>
      </c>
      <c r="J2058" s="19" t="s">
        <v>2071</v>
      </c>
      <c r="L2058" s="19">
        <v>77.319118000000003</v>
      </c>
      <c r="M2058" s="19">
        <v>77.319118000000003</v>
      </c>
      <c r="N2058" s="19" t="s">
        <v>1475</v>
      </c>
      <c r="O2058" s="20">
        <v>2</v>
      </c>
      <c r="S2058" s="19" t="s">
        <v>20</v>
      </c>
      <c r="T2058" s="19" t="s">
        <v>1471</v>
      </c>
    </row>
    <row r="2059" spans="1:20">
      <c r="A2059" s="20">
        <v>202603330003710</v>
      </c>
      <c r="B2059" s="19" t="s">
        <v>20</v>
      </c>
      <c r="C2059" s="19" t="s">
        <v>21</v>
      </c>
      <c r="D2059" s="19" t="s">
        <v>20</v>
      </c>
      <c r="E2059" s="21">
        <v>46204</v>
      </c>
      <c r="F2059" s="21">
        <v>46568</v>
      </c>
      <c r="G2059" s="21"/>
      <c r="H2059" s="21">
        <v>46204</v>
      </c>
      <c r="I2059" s="21">
        <v>46568</v>
      </c>
      <c r="J2059" s="19" t="s">
        <v>2068</v>
      </c>
      <c r="L2059" s="19">
        <v>0</v>
      </c>
      <c r="M2059" s="19">
        <v>0</v>
      </c>
      <c r="N2059" s="19" t="s">
        <v>2394</v>
      </c>
      <c r="O2059" s="20">
        <v>3</v>
      </c>
      <c r="S2059" s="19" t="s">
        <v>20</v>
      </c>
      <c r="T2059" s="19" t="s">
        <v>1471</v>
      </c>
    </row>
    <row r="2060" spans="1:20">
      <c r="A2060" s="20">
        <v>202603330003710</v>
      </c>
      <c r="B2060" s="19" t="s">
        <v>20</v>
      </c>
      <c r="C2060" s="19" t="s">
        <v>21</v>
      </c>
      <c r="D2060" s="19" t="s">
        <v>20</v>
      </c>
      <c r="E2060" s="21">
        <v>46204</v>
      </c>
      <c r="F2060" s="21">
        <v>46568</v>
      </c>
      <c r="G2060" s="21"/>
      <c r="H2060" s="21">
        <v>46204</v>
      </c>
      <c r="I2060" s="21">
        <v>46568</v>
      </c>
      <c r="J2060" s="19" t="s">
        <v>2068</v>
      </c>
      <c r="L2060" s="19">
        <v>78.776052000000007</v>
      </c>
      <c r="M2060" s="19">
        <v>78.776052000000007</v>
      </c>
      <c r="N2060" s="19" t="s">
        <v>1475</v>
      </c>
      <c r="O2060" s="20">
        <v>3</v>
      </c>
      <c r="S2060" s="19" t="s">
        <v>20</v>
      </c>
      <c r="T2060" s="19" t="s">
        <v>1471</v>
      </c>
    </row>
    <row r="2061" spans="1:20">
      <c r="A2061" s="20">
        <v>202603330003885</v>
      </c>
      <c r="B2061" s="19" t="s">
        <v>20</v>
      </c>
      <c r="C2061" s="19" t="s">
        <v>21</v>
      </c>
      <c r="D2061" s="19" t="s">
        <v>20</v>
      </c>
      <c r="E2061" s="21">
        <v>46204</v>
      </c>
      <c r="F2061" s="21">
        <v>46568</v>
      </c>
      <c r="G2061" s="21"/>
      <c r="H2061" s="21">
        <v>46204</v>
      </c>
      <c r="I2061" s="21">
        <v>46568</v>
      </c>
      <c r="J2061" s="19" t="s">
        <v>2105</v>
      </c>
      <c r="L2061" s="19">
        <v>52.517367999999998</v>
      </c>
      <c r="M2061" s="19">
        <v>52.517367999999998</v>
      </c>
      <c r="N2061" s="19" t="s">
        <v>1475</v>
      </c>
      <c r="O2061" s="20">
        <v>2</v>
      </c>
      <c r="S2061" s="19" t="s">
        <v>20</v>
      </c>
      <c r="T2061" s="19" t="s">
        <v>1471</v>
      </c>
    </row>
    <row r="2062" spans="1:20">
      <c r="A2062" s="20">
        <v>202603330004564</v>
      </c>
      <c r="B2062" s="19" t="s">
        <v>20</v>
      </c>
      <c r="C2062" s="19" t="s">
        <v>21</v>
      </c>
      <c r="D2062" s="19" t="s">
        <v>20</v>
      </c>
      <c r="E2062" s="21">
        <v>46204</v>
      </c>
      <c r="F2062" s="21">
        <v>46568</v>
      </c>
      <c r="G2062" s="21"/>
      <c r="H2062" s="21">
        <v>46204</v>
      </c>
      <c r="I2062" s="21">
        <v>46568</v>
      </c>
      <c r="J2062" s="19" t="s">
        <v>2068</v>
      </c>
      <c r="L2062" s="19">
        <v>0</v>
      </c>
      <c r="M2062" s="19">
        <v>0</v>
      </c>
      <c r="N2062" s="19" t="s">
        <v>2394</v>
      </c>
      <c r="O2062" s="20">
        <v>3</v>
      </c>
      <c r="S2062" s="19" t="s">
        <v>20</v>
      </c>
      <c r="T2062" s="19" t="s">
        <v>1471</v>
      </c>
    </row>
    <row r="2063" spans="1:20">
      <c r="A2063" s="20">
        <v>202603330004564</v>
      </c>
      <c r="B2063" s="19" t="s">
        <v>20</v>
      </c>
      <c r="C2063" s="19" t="s">
        <v>21</v>
      </c>
      <c r="D2063" s="19" t="s">
        <v>20</v>
      </c>
      <c r="E2063" s="21">
        <v>46204</v>
      </c>
      <c r="F2063" s="21">
        <v>46568</v>
      </c>
      <c r="G2063" s="21"/>
      <c r="H2063" s="21">
        <v>46204</v>
      </c>
      <c r="I2063" s="21">
        <v>46568</v>
      </c>
      <c r="J2063" s="19" t="s">
        <v>2068</v>
      </c>
      <c r="L2063" s="19">
        <v>78.776052000000007</v>
      </c>
      <c r="M2063" s="19">
        <v>78.776052000000007</v>
      </c>
      <c r="N2063" s="19" t="s">
        <v>1475</v>
      </c>
      <c r="O2063" s="20">
        <v>3</v>
      </c>
      <c r="S2063" s="19" t="s">
        <v>20</v>
      </c>
      <c r="T2063" s="19" t="s">
        <v>1471</v>
      </c>
    </row>
    <row r="2064" spans="1:20">
      <c r="A2064" s="20">
        <v>202603330007728</v>
      </c>
      <c r="B2064" s="19" t="s">
        <v>20</v>
      </c>
      <c r="C2064" s="19" t="s">
        <v>21</v>
      </c>
      <c r="D2064" s="19" t="s">
        <v>20</v>
      </c>
      <c r="E2064" s="21">
        <v>46204</v>
      </c>
      <c r="F2064" s="21">
        <v>46568</v>
      </c>
      <c r="G2064" s="21"/>
      <c r="H2064" s="21">
        <v>46204</v>
      </c>
      <c r="I2064" s="21">
        <v>46568</v>
      </c>
      <c r="J2064" s="19" t="s">
        <v>2104</v>
      </c>
      <c r="L2064" s="19">
        <v>0</v>
      </c>
      <c r="M2064" s="19">
        <v>0</v>
      </c>
      <c r="N2064" s="19" t="s">
        <v>2394</v>
      </c>
      <c r="O2064" s="20">
        <v>2</v>
      </c>
      <c r="S2064" s="19" t="s">
        <v>20</v>
      </c>
      <c r="T2064" s="19" t="s">
        <v>1471</v>
      </c>
    </row>
    <row r="2065" spans="1:20">
      <c r="A2065" s="20">
        <v>202603330007728</v>
      </c>
      <c r="B2065" s="19" t="s">
        <v>20</v>
      </c>
      <c r="C2065" s="19" t="s">
        <v>21</v>
      </c>
      <c r="D2065" s="19" t="s">
        <v>20</v>
      </c>
      <c r="E2065" s="21">
        <v>46204</v>
      </c>
      <c r="F2065" s="21">
        <v>46568</v>
      </c>
      <c r="G2065" s="21"/>
      <c r="H2065" s="21">
        <v>46204</v>
      </c>
      <c r="I2065" s="21">
        <v>46568</v>
      </c>
      <c r="J2065" s="19" t="s">
        <v>2104</v>
      </c>
      <c r="L2065" s="19">
        <v>66.261260500000006</v>
      </c>
      <c r="M2065" s="19">
        <v>66.261260500000006</v>
      </c>
      <c r="N2065" s="19" t="s">
        <v>1475</v>
      </c>
      <c r="O2065" s="20">
        <v>2</v>
      </c>
      <c r="S2065" s="19" t="s">
        <v>20</v>
      </c>
      <c r="T2065" s="19" t="s">
        <v>1471</v>
      </c>
    </row>
    <row r="2066" spans="1:20">
      <c r="A2066" s="20">
        <v>202603330009873</v>
      </c>
      <c r="B2066" s="19" t="s">
        <v>20</v>
      </c>
      <c r="C2066" s="19" t="s">
        <v>21</v>
      </c>
      <c r="D2066" s="19" t="s">
        <v>20</v>
      </c>
      <c r="E2066" s="21">
        <v>46204</v>
      </c>
      <c r="F2066" s="21">
        <v>46568</v>
      </c>
      <c r="G2066" s="21"/>
      <c r="H2066" s="21">
        <v>46204</v>
      </c>
      <c r="I2066" s="21">
        <v>46568</v>
      </c>
      <c r="J2066" s="19" t="s">
        <v>2078</v>
      </c>
      <c r="L2066" s="19">
        <v>0</v>
      </c>
      <c r="M2066" s="19">
        <v>0</v>
      </c>
      <c r="N2066" s="19" t="s">
        <v>2394</v>
      </c>
      <c r="O2066" s="20">
        <v>3</v>
      </c>
      <c r="S2066" s="19" t="s">
        <v>20</v>
      </c>
      <c r="T2066" s="19" t="s">
        <v>1471</v>
      </c>
    </row>
    <row r="2067" spans="1:20">
      <c r="A2067" s="20">
        <v>202603330009873</v>
      </c>
      <c r="B2067" s="19" t="s">
        <v>20</v>
      </c>
      <c r="C2067" s="19" t="s">
        <v>21</v>
      </c>
      <c r="D2067" s="19" t="s">
        <v>20</v>
      </c>
      <c r="E2067" s="21">
        <v>46204</v>
      </c>
      <c r="F2067" s="21">
        <v>46568</v>
      </c>
      <c r="G2067" s="21"/>
      <c r="H2067" s="21">
        <v>46204</v>
      </c>
      <c r="I2067" s="21">
        <v>46568</v>
      </c>
      <c r="J2067" s="19" t="s">
        <v>2078</v>
      </c>
      <c r="L2067" s="19">
        <v>64.097631750000005</v>
      </c>
      <c r="M2067" s="19">
        <v>64.097631750000005</v>
      </c>
      <c r="N2067" s="19" t="s">
        <v>1475</v>
      </c>
      <c r="O2067" s="20">
        <v>3</v>
      </c>
      <c r="S2067" s="19" t="s">
        <v>20</v>
      </c>
      <c r="T2067" s="19" t="s">
        <v>1471</v>
      </c>
    </row>
    <row r="2068" spans="1:20">
      <c r="A2068" s="20">
        <v>202603330010057</v>
      </c>
      <c r="B2068" s="19" t="s">
        <v>20</v>
      </c>
      <c r="C2068" s="19" t="s">
        <v>21</v>
      </c>
      <c r="D2068" s="19" t="s">
        <v>20</v>
      </c>
      <c r="E2068" s="21">
        <v>46204</v>
      </c>
      <c r="F2068" s="21">
        <v>46568</v>
      </c>
      <c r="G2068" s="21"/>
      <c r="H2068" s="21">
        <v>46204</v>
      </c>
      <c r="I2068" s="21">
        <v>46568</v>
      </c>
      <c r="J2068" s="19" t="s">
        <v>2104</v>
      </c>
      <c r="L2068" s="19">
        <v>0</v>
      </c>
      <c r="M2068" s="19">
        <v>0</v>
      </c>
      <c r="N2068" s="19" t="s">
        <v>2394</v>
      </c>
      <c r="O2068" s="20">
        <v>2</v>
      </c>
      <c r="S2068" s="19" t="s">
        <v>20</v>
      </c>
      <c r="T2068" s="19" t="s">
        <v>1471</v>
      </c>
    </row>
    <row r="2069" spans="1:20">
      <c r="A2069" s="20">
        <v>202603330010057</v>
      </c>
      <c r="B2069" s="19" t="s">
        <v>20</v>
      </c>
      <c r="C2069" s="19" t="s">
        <v>21</v>
      </c>
      <c r="D2069" s="19" t="s">
        <v>20</v>
      </c>
      <c r="E2069" s="21">
        <v>46204</v>
      </c>
      <c r="F2069" s="21">
        <v>46568</v>
      </c>
      <c r="G2069" s="21"/>
      <c r="H2069" s="21">
        <v>46204</v>
      </c>
      <c r="I2069" s="21">
        <v>46568</v>
      </c>
      <c r="J2069" s="19" t="s">
        <v>2104</v>
      </c>
      <c r="L2069" s="19">
        <v>66.261260500000006</v>
      </c>
      <c r="M2069" s="19">
        <v>66.261260500000006</v>
      </c>
      <c r="N2069" s="19" t="s">
        <v>1475</v>
      </c>
      <c r="O2069" s="20">
        <v>2</v>
      </c>
      <c r="S2069" s="19" t="s">
        <v>20</v>
      </c>
      <c r="T2069" s="19" t="s">
        <v>1471</v>
      </c>
    </row>
    <row r="2070" spans="1:20">
      <c r="A2070" s="20">
        <v>202603330010846</v>
      </c>
      <c r="B2070" s="19" t="s">
        <v>20</v>
      </c>
      <c r="C2070" s="19" t="s">
        <v>21</v>
      </c>
      <c r="D2070" s="19" t="s">
        <v>20</v>
      </c>
      <c r="E2070" s="21">
        <v>46204</v>
      </c>
      <c r="F2070" s="21">
        <v>46568</v>
      </c>
      <c r="G2070" s="21"/>
      <c r="H2070" s="21">
        <v>46204</v>
      </c>
      <c r="I2070" s="21">
        <v>46568</v>
      </c>
      <c r="J2070" s="19" t="s">
        <v>2064</v>
      </c>
      <c r="L2070" s="19">
        <v>0</v>
      </c>
      <c r="M2070" s="19">
        <v>0</v>
      </c>
      <c r="N2070" s="19" t="s">
        <v>2394</v>
      </c>
      <c r="O2070" s="20">
        <v>2</v>
      </c>
      <c r="S2070" s="19" t="s">
        <v>20</v>
      </c>
      <c r="T2070" s="19" t="s">
        <v>1471</v>
      </c>
    </row>
    <row r="2071" spans="1:20">
      <c r="A2071" s="20">
        <v>202603330010846</v>
      </c>
      <c r="B2071" s="19" t="s">
        <v>20</v>
      </c>
      <c r="C2071" s="19" t="s">
        <v>21</v>
      </c>
      <c r="D2071" s="19" t="s">
        <v>20</v>
      </c>
      <c r="E2071" s="21">
        <v>46204</v>
      </c>
      <c r="F2071" s="21">
        <v>46568</v>
      </c>
      <c r="G2071" s="21"/>
      <c r="H2071" s="21">
        <v>46204</v>
      </c>
      <c r="I2071" s="21">
        <v>46568</v>
      </c>
      <c r="J2071" s="19" t="s">
        <v>2064</v>
      </c>
      <c r="L2071" s="19">
        <v>66.261260500000006</v>
      </c>
      <c r="M2071" s="19">
        <v>66.261260500000006</v>
      </c>
      <c r="N2071" s="19" t="s">
        <v>1475</v>
      </c>
      <c r="O2071" s="20">
        <v>2</v>
      </c>
      <c r="S2071" s="19" t="s">
        <v>20</v>
      </c>
      <c r="T2071" s="19" t="s">
        <v>1471</v>
      </c>
    </row>
    <row r="2072" spans="1:20">
      <c r="A2072" s="20">
        <v>202603330011695</v>
      </c>
      <c r="B2072" s="19" t="s">
        <v>20</v>
      </c>
      <c r="C2072" s="19" t="s">
        <v>21</v>
      </c>
      <c r="D2072" s="19" t="s">
        <v>2377</v>
      </c>
      <c r="E2072" s="21">
        <v>46204</v>
      </c>
      <c r="F2072" s="21">
        <v>46568</v>
      </c>
      <c r="G2072" s="21"/>
      <c r="H2072" s="21">
        <v>46204</v>
      </c>
      <c r="I2072" s="21">
        <v>46568</v>
      </c>
      <c r="J2072" s="19" t="s">
        <v>2193</v>
      </c>
      <c r="L2072" s="19">
        <v>29.817561749999999</v>
      </c>
      <c r="M2072" s="19">
        <v>29.817561749999999</v>
      </c>
      <c r="N2072" s="19" t="s">
        <v>1467</v>
      </c>
      <c r="O2072" s="20">
        <v>1</v>
      </c>
      <c r="S2072" s="19" t="s">
        <v>20</v>
      </c>
      <c r="T2072" s="19" t="s">
        <v>1471</v>
      </c>
    </row>
    <row r="2073" spans="1:20">
      <c r="A2073" s="20">
        <v>202603330011807</v>
      </c>
      <c r="B2073" s="19" t="s">
        <v>20</v>
      </c>
      <c r="C2073" s="19" t="s">
        <v>21</v>
      </c>
      <c r="D2073" s="19" t="s">
        <v>20</v>
      </c>
      <c r="E2073" s="21">
        <v>46204</v>
      </c>
      <c r="F2073" s="21">
        <v>46568</v>
      </c>
      <c r="G2073" s="21"/>
      <c r="H2073" s="21">
        <v>46204</v>
      </c>
      <c r="I2073" s="21">
        <v>46568</v>
      </c>
      <c r="J2073" s="19" t="s">
        <v>2068</v>
      </c>
      <c r="L2073" s="19">
        <v>0</v>
      </c>
      <c r="M2073" s="19">
        <v>0</v>
      </c>
      <c r="N2073" s="19" t="s">
        <v>2394</v>
      </c>
      <c r="O2073" s="20">
        <v>3</v>
      </c>
      <c r="S2073" s="19" t="s">
        <v>20</v>
      </c>
      <c r="T2073" s="19" t="s">
        <v>1471</v>
      </c>
    </row>
    <row r="2074" spans="1:20">
      <c r="A2074" s="20">
        <v>202603330011807</v>
      </c>
      <c r="B2074" s="19" t="s">
        <v>20</v>
      </c>
      <c r="C2074" s="19" t="s">
        <v>21</v>
      </c>
      <c r="D2074" s="19" t="s">
        <v>20</v>
      </c>
      <c r="E2074" s="21">
        <v>46204</v>
      </c>
      <c r="F2074" s="21">
        <v>46568</v>
      </c>
      <c r="G2074" s="21"/>
      <c r="H2074" s="21">
        <v>46204</v>
      </c>
      <c r="I2074" s="21">
        <v>46568</v>
      </c>
      <c r="J2074" s="19" t="s">
        <v>2068</v>
      </c>
      <c r="L2074" s="19">
        <v>78.776052000000007</v>
      </c>
      <c r="M2074" s="19">
        <v>78.776052000000007</v>
      </c>
      <c r="N2074" s="19" t="s">
        <v>1475</v>
      </c>
      <c r="O2074" s="20">
        <v>3</v>
      </c>
      <c r="S2074" s="19" t="s">
        <v>20</v>
      </c>
      <c r="T2074" s="19" t="s">
        <v>1471</v>
      </c>
    </row>
    <row r="2075" spans="1:20">
      <c r="A2075" s="20">
        <v>202603330011892</v>
      </c>
      <c r="B2075" s="19" t="s">
        <v>20</v>
      </c>
      <c r="C2075" s="19" t="s">
        <v>21</v>
      </c>
      <c r="D2075" s="19" t="s">
        <v>20</v>
      </c>
      <c r="E2075" s="21">
        <v>46204</v>
      </c>
      <c r="F2075" s="21">
        <v>46568</v>
      </c>
      <c r="G2075" s="21"/>
      <c r="H2075" s="21">
        <v>46204</v>
      </c>
      <c r="I2075" s="21">
        <v>46568</v>
      </c>
      <c r="J2075" s="19" t="s">
        <v>2068</v>
      </c>
      <c r="L2075" s="19">
        <v>0</v>
      </c>
      <c r="M2075" s="19">
        <v>0</v>
      </c>
      <c r="N2075" s="19" t="s">
        <v>2394</v>
      </c>
      <c r="O2075" s="20">
        <v>3</v>
      </c>
      <c r="S2075" s="19" t="s">
        <v>20</v>
      </c>
      <c r="T2075" s="19" t="s">
        <v>1471</v>
      </c>
    </row>
    <row r="2076" spans="1:20">
      <c r="A2076" s="20">
        <v>202603330011892</v>
      </c>
      <c r="B2076" s="19" t="s">
        <v>20</v>
      </c>
      <c r="C2076" s="19" t="s">
        <v>21</v>
      </c>
      <c r="D2076" s="19" t="s">
        <v>20</v>
      </c>
      <c r="E2076" s="21">
        <v>46204</v>
      </c>
      <c r="F2076" s="21">
        <v>46568</v>
      </c>
      <c r="G2076" s="21"/>
      <c r="H2076" s="21">
        <v>46204</v>
      </c>
      <c r="I2076" s="21">
        <v>46568</v>
      </c>
      <c r="J2076" s="19" t="s">
        <v>2068</v>
      </c>
      <c r="L2076" s="19">
        <v>78.776052000000007</v>
      </c>
      <c r="M2076" s="19">
        <v>78.776052000000007</v>
      </c>
      <c r="N2076" s="19" t="s">
        <v>1475</v>
      </c>
      <c r="O2076" s="20">
        <v>3</v>
      </c>
      <c r="S2076" s="19" t="s">
        <v>20</v>
      </c>
      <c r="T2076" s="19" t="s">
        <v>1471</v>
      </c>
    </row>
    <row r="2077" spans="1:20">
      <c r="A2077" s="20">
        <v>202603330012978</v>
      </c>
      <c r="B2077" s="19" t="s">
        <v>20</v>
      </c>
      <c r="C2077" s="19" t="s">
        <v>21</v>
      </c>
      <c r="D2077" s="19" t="s">
        <v>20</v>
      </c>
      <c r="E2077" s="21">
        <v>46204</v>
      </c>
      <c r="F2077" s="21">
        <v>46568</v>
      </c>
      <c r="G2077" s="21"/>
      <c r="H2077" s="21">
        <v>46204</v>
      </c>
      <c r="I2077" s="21">
        <v>46568</v>
      </c>
      <c r="J2077" s="19" t="s">
        <v>2086</v>
      </c>
      <c r="L2077" s="19">
        <v>0</v>
      </c>
      <c r="M2077" s="19">
        <v>0</v>
      </c>
      <c r="N2077" s="19" t="s">
        <v>2394</v>
      </c>
      <c r="O2077" s="20">
        <v>3</v>
      </c>
      <c r="S2077" s="19" t="s">
        <v>20</v>
      </c>
      <c r="T2077" s="19" t="s">
        <v>1471</v>
      </c>
    </row>
    <row r="2078" spans="1:20">
      <c r="A2078" s="20">
        <v>202603330012978</v>
      </c>
      <c r="B2078" s="19" t="s">
        <v>20</v>
      </c>
      <c r="C2078" s="19" t="s">
        <v>21</v>
      </c>
      <c r="D2078" s="19" t="s">
        <v>20</v>
      </c>
      <c r="E2078" s="21">
        <v>46204</v>
      </c>
      <c r="F2078" s="21">
        <v>46568</v>
      </c>
      <c r="G2078" s="21"/>
      <c r="H2078" s="21">
        <v>46204</v>
      </c>
      <c r="I2078" s="21">
        <v>46568</v>
      </c>
      <c r="J2078" s="19" t="s">
        <v>2086</v>
      </c>
      <c r="L2078" s="19">
        <v>99.391890750000002</v>
      </c>
      <c r="M2078" s="19">
        <v>99.391890750000002</v>
      </c>
      <c r="N2078" s="19" t="s">
        <v>1475</v>
      </c>
      <c r="O2078" s="20">
        <v>3</v>
      </c>
      <c r="S2078" s="19" t="s">
        <v>20</v>
      </c>
      <c r="T2078" s="19" t="s">
        <v>1471</v>
      </c>
    </row>
    <row r="2079" spans="1:20">
      <c r="A2079" s="20">
        <v>202603330016915</v>
      </c>
      <c r="B2079" s="19" t="s">
        <v>20</v>
      </c>
      <c r="C2079" s="19" t="s">
        <v>21</v>
      </c>
      <c r="D2079" s="19" t="s">
        <v>20</v>
      </c>
      <c r="E2079" s="21">
        <v>46204</v>
      </c>
      <c r="F2079" s="21">
        <v>46568</v>
      </c>
      <c r="G2079" s="21"/>
      <c r="H2079" s="21">
        <v>46204</v>
      </c>
      <c r="I2079" s="21">
        <v>46568</v>
      </c>
      <c r="J2079" s="19" t="s">
        <v>2064</v>
      </c>
      <c r="L2079" s="19">
        <v>33.130630250000003</v>
      </c>
      <c r="M2079" s="19">
        <v>33.130630250000003</v>
      </c>
      <c r="N2079" s="19" t="s">
        <v>1475</v>
      </c>
      <c r="O2079" s="20">
        <v>1</v>
      </c>
      <c r="S2079" s="19" t="s">
        <v>20</v>
      </c>
      <c r="T2079" s="19" t="s">
        <v>1471</v>
      </c>
    </row>
    <row r="2080" spans="1:20">
      <c r="A2080" s="20">
        <v>202603330017229</v>
      </c>
      <c r="B2080" s="19" t="s">
        <v>20</v>
      </c>
      <c r="C2080" s="19" t="s">
        <v>21</v>
      </c>
      <c r="D2080" s="19" t="s">
        <v>20</v>
      </c>
      <c r="E2080" s="21">
        <v>46204</v>
      </c>
      <c r="F2080" s="21">
        <v>46568</v>
      </c>
      <c r="G2080" s="21"/>
      <c r="H2080" s="21">
        <v>46204</v>
      </c>
      <c r="I2080" s="21">
        <v>46568</v>
      </c>
      <c r="J2080" s="19" t="s">
        <v>2068</v>
      </c>
      <c r="L2080" s="19">
        <v>78.776052000000007</v>
      </c>
      <c r="M2080" s="19">
        <v>78.776052000000007</v>
      </c>
      <c r="N2080" s="19" t="s">
        <v>1475</v>
      </c>
      <c r="O2080" s="20">
        <v>3</v>
      </c>
      <c r="S2080" s="19" t="s">
        <v>20</v>
      </c>
      <c r="T2080" s="19" t="s">
        <v>1471</v>
      </c>
    </row>
    <row r="2081" spans="1:20">
      <c r="A2081" s="20">
        <v>202603330017788</v>
      </c>
      <c r="B2081" s="19" t="s">
        <v>20</v>
      </c>
      <c r="C2081" s="19" t="s">
        <v>21</v>
      </c>
      <c r="D2081" s="19" t="s">
        <v>2378</v>
      </c>
      <c r="E2081" s="21">
        <v>46204</v>
      </c>
      <c r="F2081" s="21">
        <v>46568</v>
      </c>
      <c r="G2081" s="21"/>
      <c r="H2081" s="21">
        <v>46204</v>
      </c>
      <c r="I2081" s="21">
        <v>46568</v>
      </c>
      <c r="J2081" s="19" t="s">
        <v>2092</v>
      </c>
      <c r="L2081" s="19">
        <v>38.659559000000002</v>
      </c>
      <c r="M2081" s="19">
        <v>38.659559000000002</v>
      </c>
      <c r="N2081" s="19" t="s">
        <v>1467</v>
      </c>
      <c r="O2081" s="20">
        <v>1</v>
      </c>
      <c r="S2081" s="19" t="s">
        <v>20</v>
      </c>
      <c r="T2081" s="19" t="s">
        <v>1471</v>
      </c>
    </row>
    <row r="2082" spans="1:20">
      <c r="A2082" s="20">
        <v>202603330018095</v>
      </c>
      <c r="B2082" s="19" t="s">
        <v>20</v>
      </c>
      <c r="C2082" s="19" t="s">
        <v>21</v>
      </c>
      <c r="D2082" s="19" t="s">
        <v>20</v>
      </c>
      <c r="E2082" s="21">
        <v>46204</v>
      </c>
      <c r="F2082" s="21">
        <v>46568</v>
      </c>
      <c r="G2082" s="21"/>
      <c r="H2082" s="21">
        <v>46204</v>
      </c>
      <c r="I2082" s="21">
        <v>46568</v>
      </c>
      <c r="J2082" s="19" t="s">
        <v>2064</v>
      </c>
      <c r="L2082" s="19">
        <v>0</v>
      </c>
      <c r="M2082" s="19">
        <v>0</v>
      </c>
      <c r="N2082" s="19" t="s">
        <v>2394</v>
      </c>
      <c r="O2082" s="20">
        <v>2</v>
      </c>
      <c r="S2082" s="19" t="s">
        <v>20</v>
      </c>
      <c r="T2082" s="19" t="s">
        <v>1471</v>
      </c>
    </row>
    <row r="2083" spans="1:20">
      <c r="A2083" s="20">
        <v>202603330018095</v>
      </c>
      <c r="B2083" s="19" t="s">
        <v>20</v>
      </c>
      <c r="C2083" s="19" t="s">
        <v>21</v>
      </c>
      <c r="D2083" s="19" t="s">
        <v>20</v>
      </c>
      <c r="E2083" s="21">
        <v>46204</v>
      </c>
      <c r="F2083" s="21">
        <v>46568</v>
      </c>
      <c r="G2083" s="21"/>
      <c r="H2083" s="21">
        <v>46204</v>
      </c>
      <c r="I2083" s="21">
        <v>46568</v>
      </c>
      <c r="J2083" s="19" t="s">
        <v>2064</v>
      </c>
      <c r="L2083" s="19">
        <v>66.261260500000006</v>
      </c>
      <c r="M2083" s="19">
        <v>66.261260500000006</v>
      </c>
      <c r="N2083" s="19" t="s">
        <v>1475</v>
      </c>
      <c r="O2083" s="20">
        <v>2</v>
      </c>
      <c r="S2083" s="19" t="s">
        <v>20</v>
      </c>
      <c r="T2083" s="19" t="s">
        <v>1471</v>
      </c>
    </row>
    <row r="2084" spans="1:20">
      <c r="A2084" s="20">
        <v>202603330019024</v>
      </c>
      <c r="B2084" s="19" t="s">
        <v>20</v>
      </c>
      <c r="C2084" s="19" t="s">
        <v>21</v>
      </c>
      <c r="D2084" s="19" t="s">
        <v>20</v>
      </c>
      <c r="E2084" s="21">
        <v>46204</v>
      </c>
      <c r="F2084" s="21">
        <v>46568</v>
      </c>
      <c r="G2084" s="21"/>
      <c r="H2084" s="21">
        <v>46204</v>
      </c>
      <c r="I2084" s="21">
        <v>46568</v>
      </c>
      <c r="J2084" s="19" t="s">
        <v>2135</v>
      </c>
      <c r="L2084" s="19">
        <v>0</v>
      </c>
      <c r="M2084" s="19">
        <v>0</v>
      </c>
      <c r="N2084" s="19" t="s">
        <v>2394</v>
      </c>
      <c r="O2084" s="20">
        <v>5</v>
      </c>
      <c r="S2084" s="19" t="s">
        <v>20</v>
      </c>
      <c r="T2084" s="19" t="s">
        <v>1471</v>
      </c>
    </row>
    <row r="2085" spans="1:20">
      <c r="A2085" s="20">
        <v>202603330019024</v>
      </c>
      <c r="B2085" s="19" t="s">
        <v>20</v>
      </c>
      <c r="C2085" s="19" t="s">
        <v>21</v>
      </c>
      <c r="D2085" s="19" t="s">
        <v>20</v>
      </c>
      <c r="E2085" s="21">
        <v>46204</v>
      </c>
      <c r="F2085" s="21">
        <v>46568</v>
      </c>
      <c r="G2085" s="21"/>
      <c r="H2085" s="21">
        <v>46204</v>
      </c>
      <c r="I2085" s="21">
        <v>46568</v>
      </c>
      <c r="J2085" s="19" t="s">
        <v>2135</v>
      </c>
      <c r="L2085" s="19">
        <v>165.65315125000001</v>
      </c>
      <c r="M2085" s="19">
        <v>165.65315125000001</v>
      </c>
      <c r="N2085" s="19" t="s">
        <v>1475</v>
      </c>
      <c r="O2085" s="20">
        <v>5</v>
      </c>
      <c r="S2085" s="19" t="s">
        <v>20</v>
      </c>
      <c r="T2085" s="19" t="s">
        <v>1471</v>
      </c>
    </row>
    <row r="2086" spans="1:20">
      <c r="A2086" s="20">
        <v>202603330019613</v>
      </c>
      <c r="B2086" s="19" t="s">
        <v>20</v>
      </c>
      <c r="C2086" s="19" t="s">
        <v>21</v>
      </c>
      <c r="D2086" s="19" t="s">
        <v>20</v>
      </c>
      <c r="E2086" s="21">
        <v>46204</v>
      </c>
      <c r="F2086" s="21">
        <v>46568</v>
      </c>
      <c r="G2086" s="21"/>
      <c r="H2086" s="21">
        <v>46204</v>
      </c>
      <c r="I2086" s="21">
        <v>46568</v>
      </c>
      <c r="J2086" s="19" t="s">
        <v>2069</v>
      </c>
      <c r="L2086" s="19">
        <v>0</v>
      </c>
      <c r="M2086" s="19">
        <v>0</v>
      </c>
      <c r="N2086" s="19" t="s">
        <v>2394</v>
      </c>
      <c r="O2086" s="20">
        <v>3</v>
      </c>
      <c r="S2086" s="19" t="s">
        <v>20</v>
      </c>
      <c r="T2086" s="19" t="s">
        <v>1471</v>
      </c>
    </row>
    <row r="2087" spans="1:20">
      <c r="A2087" s="20">
        <v>202603330019613</v>
      </c>
      <c r="B2087" s="19" t="s">
        <v>20</v>
      </c>
      <c r="C2087" s="19" t="s">
        <v>21</v>
      </c>
      <c r="D2087" s="19" t="s">
        <v>20</v>
      </c>
      <c r="E2087" s="21">
        <v>46204</v>
      </c>
      <c r="F2087" s="21">
        <v>46568</v>
      </c>
      <c r="G2087" s="21"/>
      <c r="H2087" s="21">
        <v>46204</v>
      </c>
      <c r="I2087" s="21">
        <v>46568</v>
      </c>
      <c r="J2087" s="19" t="s">
        <v>2069</v>
      </c>
      <c r="L2087" s="19">
        <v>99.391890750000002</v>
      </c>
      <c r="M2087" s="19">
        <v>99.391890750000002</v>
      </c>
      <c r="N2087" s="19" t="s">
        <v>1475</v>
      </c>
      <c r="O2087" s="20">
        <v>3</v>
      </c>
      <c r="S2087" s="19" t="s">
        <v>20</v>
      </c>
      <c r="T2087" s="19" t="s">
        <v>1471</v>
      </c>
    </row>
    <row r="2088" spans="1:20">
      <c r="A2088" s="20">
        <v>202603330020029</v>
      </c>
      <c r="B2088" s="19" t="s">
        <v>20</v>
      </c>
      <c r="C2088" s="19" t="s">
        <v>21</v>
      </c>
      <c r="D2088" s="19" t="s">
        <v>20</v>
      </c>
      <c r="E2088" s="21">
        <v>46204</v>
      </c>
      <c r="F2088" s="21">
        <v>46568</v>
      </c>
      <c r="G2088" s="21"/>
      <c r="H2088" s="21">
        <v>46204</v>
      </c>
      <c r="I2088" s="21">
        <v>46568</v>
      </c>
      <c r="J2088" s="19" t="s">
        <v>2187</v>
      </c>
      <c r="L2088" s="19">
        <v>0</v>
      </c>
      <c r="M2088" s="19">
        <v>0</v>
      </c>
      <c r="N2088" s="19" t="s">
        <v>2394</v>
      </c>
      <c r="O2088" s="20">
        <v>2</v>
      </c>
      <c r="S2088" s="19" t="s">
        <v>20</v>
      </c>
      <c r="T2088" s="19" t="s">
        <v>1471</v>
      </c>
    </row>
    <row r="2089" spans="1:20">
      <c r="A2089" s="20">
        <v>202603330020029</v>
      </c>
      <c r="B2089" s="19" t="s">
        <v>20</v>
      </c>
      <c r="C2089" s="19" t="s">
        <v>21</v>
      </c>
      <c r="D2089" s="19" t="s">
        <v>20</v>
      </c>
      <c r="E2089" s="21">
        <v>46204</v>
      </c>
      <c r="F2089" s="21">
        <v>46568</v>
      </c>
      <c r="G2089" s="21"/>
      <c r="H2089" s="21">
        <v>46204</v>
      </c>
      <c r="I2089" s="21">
        <v>46568</v>
      </c>
      <c r="J2089" s="19" t="s">
        <v>2187</v>
      </c>
      <c r="L2089" s="19">
        <v>76.579591500000006</v>
      </c>
      <c r="M2089" s="19">
        <v>76.579591500000006</v>
      </c>
      <c r="N2089" s="19" t="s">
        <v>1475</v>
      </c>
      <c r="O2089" s="20">
        <v>2</v>
      </c>
      <c r="S2089" s="19" t="s">
        <v>20</v>
      </c>
      <c r="T2089" s="19" t="s">
        <v>1471</v>
      </c>
    </row>
    <row r="2090" spans="1:20">
      <c r="A2090" s="20">
        <v>202603330020237</v>
      </c>
      <c r="B2090" s="19" t="s">
        <v>20</v>
      </c>
      <c r="C2090" s="19" t="s">
        <v>21</v>
      </c>
      <c r="D2090" s="19" t="s">
        <v>20</v>
      </c>
      <c r="E2090" s="21">
        <v>46204</v>
      </c>
      <c r="F2090" s="21">
        <v>46568</v>
      </c>
      <c r="G2090" s="21"/>
      <c r="H2090" s="21">
        <v>46204</v>
      </c>
      <c r="I2090" s="21">
        <v>46568</v>
      </c>
      <c r="J2090" s="19" t="s">
        <v>2101</v>
      </c>
      <c r="L2090" s="19">
        <v>0</v>
      </c>
      <c r="M2090" s="19">
        <v>0</v>
      </c>
      <c r="N2090" s="19" t="s">
        <v>2394</v>
      </c>
      <c r="O2090" s="20">
        <v>4</v>
      </c>
      <c r="S2090" s="19" t="s">
        <v>20</v>
      </c>
      <c r="T2090" s="19" t="s">
        <v>1471</v>
      </c>
    </row>
    <row r="2091" spans="1:20">
      <c r="A2091" s="20">
        <v>202603330020237</v>
      </c>
      <c r="B2091" s="19" t="s">
        <v>20</v>
      </c>
      <c r="C2091" s="19" t="s">
        <v>21</v>
      </c>
      <c r="D2091" s="19" t="s">
        <v>20</v>
      </c>
      <c r="E2091" s="21">
        <v>46204</v>
      </c>
      <c r="F2091" s="21">
        <v>46568</v>
      </c>
      <c r="G2091" s="21"/>
      <c r="H2091" s="21">
        <v>46204</v>
      </c>
      <c r="I2091" s="21">
        <v>46568</v>
      </c>
      <c r="J2091" s="19" t="s">
        <v>2101</v>
      </c>
      <c r="L2091" s="19">
        <v>119.270247</v>
      </c>
      <c r="M2091" s="19">
        <v>119.270247</v>
      </c>
      <c r="N2091" s="19" t="s">
        <v>1475</v>
      </c>
      <c r="O2091" s="20">
        <v>4</v>
      </c>
      <c r="S2091" s="19" t="s">
        <v>20</v>
      </c>
      <c r="T2091" s="19" t="s">
        <v>1471</v>
      </c>
    </row>
    <row r="2092" spans="1:20">
      <c r="A2092" s="20">
        <v>202603330020667</v>
      </c>
      <c r="B2092" s="19" t="s">
        <v>20</v>
      </c>
      <c r="C2092" s="19" t="s">
        <v>21</v>
      </c>
      <c r="D2092" s="19" t="s">
        <v>20</v>
      </c>
      <c r="E2092" s="21">
        <v>46204</v>
      </c>
      <c r="F2092" s="21">
        <v>46568</v>
      </c>
      <c r="G2092" s="21"/>
      <c r="H2092" s="21">
        <v>46204</v>
      </c>
      <c r="I2092" s="21">
        <v>46568</v>
      </c>
      <c r="J2092" s="19" t="s">
        <v>2120</v>
      </c>
      <c r="L2092" s="19">
        <v>113.84386499999999</v>
      </c>
      <c r="M2092" s="19">
        <v>113.84386499999999</v>
      </c>
      <c r="N2092" s="19" t="s">
        <v>1475</v>
      </c>
      <c r="O2092" s="20">
        <v>3</v>
      </c>
      <c r="S2092" s="19" t="s">
        <v>20</v>
      </c>
      <c r="T2092" s="19" t="s">
        <v>1471</v>
      </c>
    </row>
    <row r="2093" spans="1:20">
      <c r="A2093" s="20">
        <v>202603330020715</v>
      </c>
      <c r="B2093" s="19" t="s">
        <v>20</v>
      </c>
      <c r="C2093" s="19" t="s">
        <v>21</v>
      </c>
      <c r="D2093" s="19" t="s">
        <v>20</v>
      </c>
      <c r="E2093" s="21">
        <v>46204</v>
      </c>
      <c r="F2093" s="21">
        <v>46568</v>
      </c>
      <c r="G2093" s="21"/>
      <c r="H2093" s="21">
        <v>46204</v>
      </c>
      <c r="I2093" s="21">
        <v>46568</v>
      </c>
      <c r="J2093" s="19" t="s">
        <v>2130</v>
      </c>
      <c r="L2093" s="19">
        <v>0</v>
      </c>
      <c r="M2093" s="19">
        <v>0</v>
      </c>
      <c r="N2093" s="19" t="s">
        <v>2394</v>
      </c>
      <c r="O2093" s="20">
        <v>5</v>
      </c>
      <c r="S2093" s="19" t="s">
        <v>20</v>
      </c>
      <c r="T2093" s="19" t="s">
        <v>1471</v>
      </c>
    </row>
    <row r="2094" spans="1:20">
      <c r="A2094" s="20">
        <v>202603330020715</v>
      </c>
      <c r="B2094" s="19" t="s">
        <v>20</v>
      </c>
      <c r="C2094" s="19" t="s">
        <v>21</v>
      </c>
      <c r="D2094" s="19" t="s">
        <v>20</v>
      </c>
      <c r="E2094" s="21">
        <v>46204</v>
      </c>
      <c r="F2094" s="21">
        <v>46568</v>
      </c>
      <c r="G2094" s="21"/>
      <c r="H2094" s="21">
        <v>46204</v>
      </c>
      <c r="I2094" s="21">
        <v>46568</v>
      </c>
      <c r="J2094" s="19" t="s">
        <v>2130</v>
      </c>
      <c r="L2094" s="19">
        <v>90.800411249999996</v>
      </c>
      <c r="M2094" s="19">
        <v>90.800411249999996</v>
      </c>
      <c r="N2094" s="19" t="s">
        <v>1475</v>
      </c>
      <c r="O2094" s="20">
        <v>5</v>
      </c>
      <c r="S2094" s="19" t="s">
        <v>20</v>
      </c>
      <c r="T2094" s="19" t="s">
        <v>1471</v>
      </c>
    </row>
    <row r="2095" spans="1:20">
      <c r="A2095" s="20">
        <v>202603330021832</v>
      </c>
      <c r="B2095" s="19" t="s">
        <v>20</v>
      </c>
      <c r="C2095" s="19" t="s">
        <v>21</v>
      </c>
      <c r="D2095" s="19" t="s">
        <v>20</v>
      </c>
      <c r="E2095" s="21">
        <v>46204</v>
      </c>
      <c r="F2095" s="21">
        <v>46568</v>
      </c>
      <c r="G2095" s="21"/>
      <c r="H2095" s="21">
        <v>46204</v>
      </c>
      <c r="I2095" s="21">
        <v>46568</v>
      </c>
      <c r="J2095" s="19" t="s">
        <v>2064</v>
      </c>
      <c r="L2095" s="19">
        <v>33.130630250000003</v>
      </c>
      <c r="M2095" s="19">
        <v>33.130630250000003</v>
      </c>
      <c r="N2095" s="19" t="s">
        <v>1475</v>
      </c>
      <c r="O2095" s="20">
        <v>1</v>
      </c>
      <c r="S2095" s="19" t="s">
        <v>20</v>
      </c>
      <c r="T2095" s="19" t="s">
        <v>1471</v>
      </c>
    </row>
    <row r="2096" spans="1:20">
      <c r="A2096" s="20">
        <v>202603330025781</v>
      </c>
      <c r="B2096" s="19" t="s">
        <v>20</v>
      </c>
      <c r="C2096" s="19" t="s">
        <v>21</v>
      </c>
      <c r="D2096" s="19" t="s">
        <v>20</v>
      </c>
      <c r="E2096" s="21">
        <v>46204</v>
      </c>
      <c r="F2096" s="21">
        <v>46568</v>
      </c>
      <c r="G2096" s="21"/>
      <c r="H2096" s="21">
        <v>46204</v>
      </c>
      <c r="I2096" s="21">
        <v>46568</v>
      </c>
      <c r="J2096" s="19" t="s">
        <v>2085</v>
      </c>
      <c r="L2096" s="19">
        <v>24.620673499999999</v>
      </c>
      <c r="M2096" s="19">
        <v>24.620673499999999</v>
      </c>
      <c r="N2096" s="19" t="s">
        <v>1475</v>
      </c>
      <c r="O2096" s="20">
        <v>1</v>
      </c>
      <c r="S2096" s="19" t="s">
        <v>20</v>
      </c>
      <c r="T2096" s="19" t="s">
        <v>1471</v>
      </c>
    </row>
    <row r="2097" spans="1:20">
      <c r="A2097" s="20">
        <v>202603330025784</v>
      </c>
      <c r="B2097" s="19" t="s">
        <v>20</v>
      </c>
      <c r="C2097" s="19" t="s">
        <v>21</v>
      </c>
      <c r="D2097" s="19" t="s">
        <v>20</v>
      </c>
      <c r="E2097" s="21">
        <v>46204</v>
      </c>
      <c r="F2097" s="21">
        <v>46568</v>
      </c>
      <c r="G2097" s="21"/>
      <c r="H2097" s="21">
        <v>46204</v>
      </c>
      <c r="I2097" s="21">
        <v>46568</v>
      </c>
      <c r="J2097" s="19" t="s">
        <v>2087</v>
      </c>
      <c r="L2097" s="19">
        <v>0</v>
      </c>
      <c r="M2097" s="19">
        <v>0</v>
      </c>
      <c r="N2097" s="19" t="s">
        <v>2394</v>
      </c>
      <c r="O2097" s="20">
        <v>3</v>
      </c>
      <c r="S2097" s="19" t="s">
        <v>20</v>
      </c>
      <c r="T2097" s="19" t="s">
        <v>1471</v>
      </c>
    </row>
    <row r="2098" spans="1:20">
      <c r="A2098" s="20">
        <v>202603330025784</v>
      </c>
      <c r="B2098" s="19" t="s">
        <v>20</v>
      </c>
      <c r="C2098" s="19" t="s">
        <v>21</v>
      </c>
      <c r="D2098" s="19" t="s">
        <v>20</v>
      </c>
      <c r="E2098" s="21">
        <v>46204</v>
      </c>
      <c r="F2098" s="21">
        <v>46568</v>
      </c>
      <c r="G2098" s="21"/>
      <c r="H2098" s="21">
        <v>46204</v>
      </c>
      <c r="I2098" s="21">
        <v>46568</v>
      </c>
      <c r="J2098" s="19" t="s">
        <v>2087</v>
      </c>
      <c r="L2098" s="19">
        <v>99.391890750000002</v>
      </c>
      <c r="M2098" s="19">
        <v>99.391890750000002</v>
      </c>
      <c r="N2098" s="19" t="s">
        <v>1475</v>
      </c>
      <c r="O2098" s="20">
        <v>3</v>
      </c>
      <c r="S2098" s="19" t="s">
        <v>20</v>
      </c>
      <c r="T2098" s="19" t="s">
        <v>1471</v>
      </c>
    </row>
    <row r="2099" spans="1:20">
      <c r="A2099" s="20">
        <v>202603330026169</v>
      </c>
      <c r="B2099" s="19" t="s">
        <v>20</v>
      </c>
      <c r="C2099" s="19" t="s">
        <v>21</v>
      </c>
      <c r="D2099" s="19" t="s">
        <v>20</v>
      </c>
      <c r="E2099" s="21">
        <v>46204</v>
      </c>
      <c r="F2099" s="21">
        <v>46568</v>
      </c>
      <c r="G2099" s="21"/>
      <c r="H2099" s="21">
        <v>46204</v>
      </c>
      <c r="I2099" s="21">
        <v>46568</v>
      </c>
      <c r="J2099" s="19" t="s">
        <v>2159</v>
      </c>
      <c r="L2099" s="19">
        <v>33.130630250000003</v>
      </c>
      <c r="M2099" s="19">
        <v>33.130630250000003</v>
      </c>
      <c r="N2099" s="19" t="s">
        <v>1475</v>
      </c>
      <c r="O2099" s="20">
        <v>1</v>
      </c>
      <c r="S2099" s="19" t="s">
        <v>20</v>
      </c>
      <c r="T2099" s="19" t="s">
        <v>1471</v>
      </c>
    </row>
    <row r="2100" spans="1:20">
      <c r="A2100" s="20">
        <v>202603330027473</v>
      </c>
      <c r="B2100" s="19" t="s">
        <v>20</v>
      </c>
      <c r="C2100" s="19" t="s">
        <v>21</v>
      </c>
      <c r="D2100" s="19" t="s">
        <v>20</v>
      </c>
      <c r="E2100" s="21">
        <v>46204</v>
      </c>
      <c r="F2100" s="21">
        <v>46568</v>
      </c>
      <c r="G2100" s="21"/>
      <c r="H2100" s="21">
        <v>46204</v>
      </c>
      <c r="I2100" s="21">
        <v>46568</v>
      </c>
      <c r="J2100" s="19" t="s">
        <v>2064</v>
      </c>
      <c r="L2100" s="19">
        <v>132.52252100000001</v>
      </c>
      <c r="M2100" s="19">
        <v>132.52252100000001</v>
      </c>
      <c r="N2100" s="19" t="s">
        <v>1475</v>
      </c>
      <c r="O2100" s="20">
        <v>4</v>
      </c>
      <c r="S2100" s="19" t="s">
        <v>20</v>
      </c>
      <c r="T2100" s="19" t="s">
        <v>1471</v>
      </c>
    </row>
    <row r="2101" spans="1:20">
      <c r="A2101" s="20">
        <v>202603330029511</v>
      </c>
      <c r="B2101" s="19" t="s">
        <v>20</v>
      </c>
      <c r="C2101" s="19" t="s">
        <v>21</v>
      </c>
      <c r="D2101" s="19" t="s">
        <v>20</v>
      </c>
      <c r="E2101" s="21">
        <v>46204</v>
      </c>
      <c r="F2101" s="21">
        <v>46568</v>
      </c>
      <c r="G2101" s="21"/>
      <c r="H2101" s="21">
        <v>46204</v>
      </c>
      <c r="I2101" s="21">
        <v>46568</v>
      </c>
      <c r="J2101" s="19" t="s">
        <v>2209</v>
      </c>
      <c r="L2101" s="19">
        <v>0</v>
      </c>
      <c r="M2101" s="19">
        <v>0</v>
      </c>
      <c r="N2101" s="19" t="s">
        <v>2394</v>
      </c>
      <c r="O2101" s="20">
        <v>3</v>
      </c>
      <c r="S2101" s="19" t="s">
        <v>20</v>
      </c>
      <c r="T2101" s="19" t="s">
        <v>1471</v>
      </c>
    </row>
    <row r="2102" spans="1:20">
      <c r="A2102" s="20">
        <v>202603330029511</v>
      </c>
      <c r="B2102" s="19" t="s">
        <v>20</v>
      </c>
      <c r="C2102" s="19" t="s">
        <v>21</v>
      </c>
      <c r="D2102" s="19" t="s">
        <v>20</v>
      </c>
      <c r="E2102" s="21">
        <v>46204</v>
      </c>
      <c r="F2102" s="21">
        <v>46568</v>
      </c>
      <c r="G2102" s="21"/>
      <c r="H2102" s="21">
        <v>46204</v>
      </c>
      <c r="I2102" s="21">
        <v>46568</v>
      </c>
      <c r="J2102" s="19" t="s">
        <v>2209</v>
      </c>
      <c r="L2102" s="19">
        <v>99.391890750000002</v>
      </c>
      <c r="M2102" s="19">
        <v>99.391890750000002</v>
      </c>
      <c r="N2102" s="19" t="s">
        <v>1475</v>
      </c>
      <c r="O2102" s="20">
        <v>3</v>
      </c>
      <c r="S2102" s="19" t="s">
        <v>20</v>
      </c>
      <c r="T2102" s="19" t="s">
        <v>1471</v>
      </c>
    </row>
    <row r="2103" spans="1:20">
      <c r="A2103" s="20">
        <v>202603330029628</v>
      </c>
      <c r="B2103" s="19" t="s">
        <v>20</v>
      </c>
      <c r="C2103" s="19" t="s">
        <v>21</v>
      </c>
      <c r="D2103" s="19" t="s">
        <v>20</v>
      </c>
      <c r="E2103" s="21">
        <v>46204</v>
      </c>
      <c r="F2103" s="21">
        <v>46568</v>
      </c>
      <c r="G2103" s="21"/>
      <c r="H2103" s="21">
        <v>46204</v>
      </c>
      <c r="I2103" s="21">
        <v>46568</v>
      </c>
      <c r="J2103" s="19" t="s">
        <v>2151</v>
      </c>
      <c r="L2103" s="19">
        <v>0</v>
      </c>
      <c r="M2103" s="19">
        <v>0</v>
      </c>
      <c r="N2103" s="19" t="s">
        <v>2394</v>
      </c>
      <c r="O2103" s="20">
        <v>5</v>
      </c>
      <c r="S2103" s="19" t="s">
        <v>20</v>
      </c>
      <c r="T2103" s="19" t="s">
        <v>1471</v>
      </c>
    </row>
    <row r="2104" spans="1:20">
      <c r="A2104" s="20">
        <v>202603330029628</v>
      </c>
      <c r="B2104" s="19" t="s">
        <v>20</v>
      </c>
      <c r="C2104" s="19" t="s">
        <v>21</v>
      </c>
      <c r="D2104" s="19" t="s">
        <v>20</v>
      </c>
      <c r="E2104" s="21">
        <v>46204</v>
      </c>
      <c r="F2104" s="21">
        <v>46568</v>
      </c>
      <c r="G2104" s="21"/>
      <c r="H2104" s="21">
        <v>46204</v>
      </c>
      <c r="I2104" s="21">
        <v>46568</v>
      </c>
      <c r="J2104" s="19" t="s">
        <v>2151</v>
      </c>
      <c r="L2104" s="19">
        <v>165.65315125000001</v>
      </c>
      <c r="M2104" s="19">
        <v>165.65315125000001</v>
      </c>
      <c r="N2104" s="19" t="s">
        <v>1475</v>
      </c>
      <c r="O2104" s="20">
        <v>5</v>
      </c>
      <c r="S2104" s="19" t="s">
        <v>20</v>
      </c>
      <c r="T2104" s="19" t="s">
        <v>1471</v>
      </c>
    </row>
    <row r="2105" spans="1:20">
      <c r="A2105" s="20">
        <v>202603330029673</v>
      </c>
      <c r="B2105" s="19" t="s">
        <v>20</v>
      </c>
      <c r="C2105" s="19" t="s">
        <v>21</v>
      </c>
      <c r="D2105" s="19" t="s">
        <v>20</v>
      </c>
      <c r="E2105" s="21">
        <v>46204</v>
      </c>
      <c r="F2105" s="21">
        <v>46568</v>
      </c>
      <c r="G2105" s="21"/>
      <c r="H2105" s="21">
        <v>46204</v>
      </c>
      <c r="I2105" s="21">
        <v>46568</v>
      </c>
      <c r="J2105" s="19" t="s">
        <v>2066</v>
      </c>
      <c r="L2105" s="19">
        <v>0</v>
      </c>
      <c r="M2105" s="19">
        <v>0</v>
      </c>
      <c r="N2105" s="19" t="s">
        <v>2394</v>
      </c>
      <c r="O2105" s="20">
        <v>6</v>
      </c>
      <c r="S2105" s="19" t="s">
        <v>20</v>
      </c>
      <c r="T2105" s="19" t="s">
        <v>1471</v>
      </c>
    </row>
    <row r="2106" spans="1:20">
      <c r="A2106" s="20">
        <v>202603330029673</v>
      </c>
      <c r="B2106" s="19" t="s">
        <v>20</v>
      </c>
      <c r="C2106" s="19" t="s">
        <v>21</v>
      </c>
      <c r="D2106" s="19" t="s">
        <v>20</v>
      </c>
      <c r="E2106" s="21">
        <v>46204</v>
      </c>
      <c r="F2106" s="21">
        <v>46568</v>
      </c>
      <c r="G2106" s="21"/>
      <c r="H2106" s="21">
        <v>46204</v>
      </c>
      <c r="I2106" s="21">
        <v>46568</v>
      </c>
      <c r="J2106" s="19" t="s">
        <v>2066</v>
      </c>
      <c r="L2106" s="19">
        <v>198.7837815</v>
      </c>
      <c r="M2106" s="19">
        <v>198.7837815</v>
      </c>
      <c r="N2106" s="19" t="s">
        <v>1475</v>
      </c>
      <c r="O2106" s="20">
        <v>6</v>
      </c>
      <c r="S2106" s="19" t="s">
        <v>20</v>
      </c>
      <c r="T2106" s="19" t="s">
        <v>1471</v>
      </c>
    </row>
    <row r="2107" spans="1:20">
      <c r="A2107" s="20">
        <v>202603330030424</v>
      </c>
      <c r="B2107" s="19" t="s">
        <v>20</v>
      </c>
      <c r="C2107" s="19" t="s">
        <v>21</v>
      </c>
      <c r="D2107" s="19" t="s">
        <v>20</v>
      </c>
      <c r="E2107" s="21">
        <v>46204</v>
      </c>
      <c r="F2107" s="21">
        <v>46568</v>
      </c>
      <c r="G2107" s="21"/>
      <c r="H2107" s="21">
        <v>46204</v>
      </c>
      <c r="I2107" s="21">
        <v>46568</v>
      </c>
      <c r="J2107" s="19" t="s">
        <v>2243</v>
      </c>
      <c r="L2107" s="19">
        <v>0</v>
      </c>
      <c r="M2107" s="19">
        <v>0</v>
      </c>
      <c r="N2107" s="19" t="s">
        <v>2394</v>
      </c>
      <c r="O2107" s="20">
        <v>2</v>
      </c>
      <c r="S2107" s="19" t="s">
        <v>20</v>
      </c>
      <c r="T2107" s="19" t="s">
        <v>1471</v>
      </c>
    </row>
    <row r="2108" spans="1:20">
      <c r="A2108" s="20">
        <v>202603330030424</v>
      </c>
      <c r="B2108" s="19" t="s">
        <v>20</v>
      </c>
      <c r="C2108" s="19" t="s">
        <v>21</v>
      </c>
      <c r="D2108" s="19" t="s">
        <v>20</v>
      </c>
      <c r="E2108" s="21">
        <v>46204</v>
      </c>
      <c r="F2108" s="21">
        <v>46568</v>
      </c>
      <c r="G2108" s="21"/>
      <c r="H2108" s="21">
        <v>46204</v>
      </c>
      <c r="I2108" s="21">
        <v>46568</v>
      </c>
      <c r="J2108" s="19" t="s">
        <v>2243</v>
      </c>
      <c r="L2108" s="19">
        <v>66.261260500000006</v>
      </c>
      <c r="M2108" s="19">
        <v>66.261260500000006</v>
      </c>
      <c r="N2108" s="19" t="s">
        <v>1475</v>
      </c>
      <c r="O2108" s="20">
        <v>2</v>
      </c>
      <c r="S2108" s="19" t="s">
        <v>20</v>
      </c>
      <c r="T2108" s="19" t="s">
        <v>1471</v>
      </c>
    </row>
    <row r="2109" spans="1:20">
      <c r="A2109" s="20">
        <v>202603330031160</v>
      </c>
      <c r="B2109" s="19" t="s">
        <v>20</v>
      </c>
      <c r="C2109" s="19" t="s">
        <v>21</v>
      </c>
      <c r="D2109" s="19" t="s">
        <v>20</v>
      </c>
      <c r="E2109" s="21">
        <v>46204</v>
      </c>
      <c r="F2109" s="21">
        <v>46568</v>
      </c>
      <c r="G2109" s="21"/>
      <c r="H2109" s="21">
        <v>46204</v>
      </c>
      <c r="I2109" s="21">
        <v>46568</v>
      </c>
      <c r="J2109" s="19" t="s">
        <v>2064</v>
      </c>
      <c r="L2109" s="19">
        <v>33.130630250000003</v>
      </c>
      <c r="M2109" s="19">
        <v>33.130630250000003</v>
      </c>
      <c r="N2109" s="19" t="s">
        <v>1475</v>
      </c>
      <c r="O2109" s="20">
        <v>1</v>
      </c>
      <c r="S2109" s="19" t="s">
        <v>20</v>
      </c>
      <c r="T2109" s="19" t="s">
        <v>1471</v>
      </c>
    </row>
    <row r="2110" spans="1:20">
      <c r="A2110" s="20">
        <v>202603330036623</v>
      </c>
      <c r="B2110" s="19" t="s">
        <v>20</v>
      </c>
      <c r="C2110" s="19" t="s">
        <v>21</v>
      </c>
      <c r="D2110" s="19" t="s">
        <v>20</v>
      </c>
      <c r="E2110" s="21">
        <v>46204</v>
      </c>
      <c r="F2110" s="21">
        <v>46568</v>
      </c>
      <c r="G2110" s="21"/>
      <c r="H2110" s="21">
        <v>46204</v>
      </c>
      <c r="I2110" s="21">
        <v>46568</v>
      </c>
      <c r="J2110" s="19" t="s">
        <v>2064</v>
      </c>
      <c r="L2110" s="19">
        <v>0</v>
      </c>
      <c r="M2110" s="19">
        <v>0</v>
      </c>
      <c r="N2110" s="19" t="s">
        <v>2394</v>
      </c>
      <c r="O2110" s="20">
        <v>5</v>
      </c>
      <c r="S2110" s="19" t="s">
        <v>20</v>
      </c>
      <c r="T2110" s="19" t="s">
        <v>1471</v>
      </c>
    </row>
    <row r="2111" spans="1:20">
      <c r="A2111" s="20">
        <v>202603330036623</v>
      </c>
      <c r="B2111" s="19" t="s">
        <v>20</v>
      </c>
      <c r="C2111" s="19" t="s">
        <v>21</v>
      </c>
      <c r="D2111" s="19" t="s">
        <v>20</v>
      </c>
      <c r="E2111" s="21">
        <v>46204</v>
      </c>
      <c r="F2111" s="21">
        <v>46568</v>
      </c>
      <c r="G2111" s="21"/>
      <c r="H2111" s="21">
        <v>46204</v>
      </c>
      <c r="I2111" s="21">
        <v>46568</v>
      </c>
      <c r="J2111" s="19" t="s">
        <v>2064</v>
      </c>
      <c r="L2111" s="19">
        <v>165.65315125000001</v>
      </c>
      <c r="M2111" s="19">
        <v>165.65315125000001</v>
      </c>
      <c r="N2111" s="19" t="s">
        <v>1475</v>
      </c>
      <c r="O2111" s="20">
        <v>5</v>
      </c>
      <c r="S2111" s="19" t="s">
        <v>20</v>
      </c>
      <c r="T2111" s="19" t="s">
        <v>1471</v>
      </c>
    </row>
    <row r="2112" spans="1:20">
      <c r="A2112" s="20">
        <v>202603330036696</v>
      </c>
      <c r="B2112" s="19" t="s">
        <v>20</v>
      </c>
      <c r="C2112" s="19" t="s">
        <v>21</v>
      </c>
      <c r="D2112" s="19" t="s">
        <v>20</v>
      </c>
      <c r="E2112" s="21">
        <v>46204</v>
      </c>
      <c r="F2112" s="21">
        <v>46568</v>
      </c>
      <c r="G2112" s="21"/>
      <c r="H2112" s="21">
        <v>46204</v>
      </c>
      <c r="I2112" s="21">
        <v>46568</v>
      </c>
      <c r="J2112" s="19" t="s">
        <v>2087</v>
      </c>
      <c r="L2112" s="19">
        <v>33.130630250000003</v>
      </c>
      <c r="M2112" s="19">
        <v>33.130630250000003</v>
      </c>
      <c r="N2112" s="19" t="s">
        <v>1475</v>
      </c>
      <c r="O2112" s="20">
        <v>1</v>
      </c>
      <c r="S2112" s="19" t="s">
        <v>20</v>
      </c>
      <c r="T2112" s="19" t="s">
        <v>1471</v>
      </c>
    </row>
    <row r="2113" spans="1:20">
      <c r="A2113" s="20">
        <v>202603330037336</v>
      </c>
      <c r="B2113" s="19" t="s">
        <v>20</v>
      </c>
      <c r="C2113" s="19" t="s">
        <v>21</v>
      </c>
      <c r="D2113" s="19" t="s">
        <v>20</v>
      </c>
      <c r="E2113" s="21">
        <v>46204</v>
      </c>
      <c r="F2113" s="21">
        <v>46568</v>
      </c>
      <c r="G2113" s="21"/>
      <c r="H2113" s="21">
        <v>46204</v>
      </c>
      <c r="I2113" s="21">
        <v>46568</v>
      </c>
      <c r="J2113" s="19" t="s">
        <v>1473</v>
      </c>
      <c r="L2113" s="19">
        <v>0</v>
      </c>
      <c r="M2113" s="19">
        <v>0</v>
      </c>
      <c r="N2113" s="19" t="s">
        <v>2394</v>
      </c>
      <c r="O2113" s="20">
        <v>6</v>
      </c>
      <c r="S2113" s="19" t="s">
        <v>20</v>
      </c>
      <c r="T2113" s="19" t="s">
        <v>1471</v>
      </c>
    </row>
    <row r="2114" spans="1:20">
      <c r="A2114" s="20">
        <v>202603330037336</v>
      </c>
      <c r="B2114" s="19" t="s">
        <v>20</v>
      </c>
      <c r="C2114" s="19" t="s">
        <v>21</v>
      </c>
      <c r="D2114" s="19" t="s">
        <v>2379</v>
      </c>
      <c r="E2114" s="21">
        <v>46204</v>
      </c>
      <c r="F2114" s="21">
        <v>46568</v>
      </c>
      <c r="G2114" s="21"/>
      <c r="H2114" s="21">
        <v>46204</v>
      </c>
      <c r="I2114" s="21">
        <v>46568</v>
      </c>
      <c r="J2114" s="19" t="s">
        <v>1473</v>
      </c>
      <c r="L2114" s="19">
        <v>147.724041</v>
      </c>
      <c r="M2114" s="19">
        <v>147.724041</v>
      </c>
      <c r="N2114" s="19" t="s">
        <v>1467</v>
      </c>
      <c r="O2114" s="20">
        <v>6</v>
      </c>
      <c r="S2114" s="19" t="s">
        <v>20</v>
      </c>
      <c r="T2114" s="19" t="s">
        <v>1471</v>
      </c>
    </row>
    <row r="2115" spans="1:20">
      <c r="A2115" s="20">
        <v>202603330038538</v>
      </c>
      <c r="B2115" s="19" t="s">
        <v>20</v>
      </c>
      <c r="C2115" s="19" t="s">
        <v>21</v>
      </c>
      <c r="D2115" s="19" t="s">
        <v>20</v>
      </c>
      <c r="E2115" s="21">
        <v>46204</v>
      </c>
      <c r="F2115" s="21">
        <v>46568</v>
      </c>
      <c r="G2115" s="21"/>
      <c r="H2115" s="21">
        <v>46204</v>
      </c>
      <c r="I2115" s="21">
        <v>46568</v>
      </c>
      <c r="J2115" s="19" t="s">
        <v>2064</v>
      </c>
      <c r="L2115" s="19">
        <v>0</v>
      </c>
      <c r="M2115" s="19">
        <v>0</v>
      </c>
      <c r="N2115" s="19" t="s">
        <v>2394</v>
      </c>
      <c r="O2115" s="20">
        <v>4</v>
      </c>
      <c r="S2115" s="19" t="s">
        <v>20</v>
      </c>
      <c r="T2115" s="19" t="s">
        <v>1471</v>
      </c>
    </row>
    <row r="2116" spans="1:20">
      <c r="A2116" s="20">
        <v>202603330038538</v>
      </c>
      <c r="B2116" s="19" t="s">
        <v>20</v>
      </c>
      <c r="C2116" s="19" t="s">
        <v>21</v>
      </c>
      <c r="D2116" s="19" t="s">
        <v>20</v>
      </c>
      <c r="E2116" s="21">
        <v>46204</v>
      </c>
      <c r="F2116" s="21">
        <v>46568</v>
      </c>
      <c r="G2116" s="21"/>
      <c r="H2116" s="21">
        <v>46204</v>
      </c>
      <c r="I2116" s="21">
        <v>46568</v>
      </c>
      <c r="J2116" s="19" t="s">
        <v>2064</v>
      </c>
      <c r="L2116" s="19">
        <v>132.52252100000001</v>
      </c>
      <c r="M2116" s="19">
        <v>132.52252100000001</v>
      </c>
      <c r="N2116" s="19" t="s">
        <v>1475</v>
      </c>
      <c r="O2116" s="20">
        <v>4</v>
      </c>
      <c r="S2116" s="19" t="s">
        <v>20</v>
      </c>
      <c r="T2116" s="19" t="s">
        <v>1471</v>
      </c>
    </row>
    <row r="2117" spans="1:20">
      <c r="A2117" s="20">
        <v>202603330038864</v>
      </c>
      <c r="B2117" s="19" t="s">
        <v>20</v>
      </c>
      <c r="C2117" s="19" t="s">
        <v>21</v>
      </c>
      <c r="D2117" s="19" t="s">
        <v>20</v>
      </c>
      <c r="E2117" s="21">
        <v>46204</v>
      </c>
      <c r="F2117" s="21">
        <v>46568</v>
      </c>
      <c r="G2117" s="21"/>
      <c r="H2117" s="21">
        <v>46204</v>
      </c>
      <c r="I2117" s="21">
        <v>46568</v>
      </c>
      <c r="J2117" s="19" t="s">
        <v>2135</v>
      </c>
      <c r="L2117" s="19">
        <v>33.130630250000003</v>
      </c>
      <c r="M2117" s="19">
        <v>33.130630250000003</v>
      </c>
      <c r="N2117" s="19" t="s">
        <v>1475</v>
      </c>
      <c r="O2117" s="20">
        <v>1</v>
      </c>
      <c r="S2117" s="19" t="s">
        <v>20</v>
      </c>
      <c r="T2117" s="19" t="s">
        <v>1471</v>
      </c>
    </row>
    <row r="2118" spans="1:20">
      <c r="A2118" s="20">
        <v>202603330038900</v>
      </c>
      <c r="B2118" s="19" t="s">
        <v>20</v>
      </c>
      <c r="C2118" s="19" t="s">
        <v>21</v>
      </c>
      <c r="D2118" s="19" t="s">
        <v>20</v>
      </c>
      <c r="E2118" s="21">
        <v>46204</v>
      </c>
      <c r="F2118" s="21">
        <v>46568</v>
      </c>
      <c r="G2118" s="21"/>
      <c r="H2118" s="21">
        <v>46204</v>
      </c>
      <c r="I2118" s="21">
        <v>46568</v>
      </c>
      <c r="J2118" s="19" t="s">
        <v>1473</v>
      </c>
      <c r="L2118" s="19">
        <v>0</v>
      </c>
      <c r="M2118" s="19">
        <v>0</v>
      </c>
      <c r="N2118" s="19" t="s">
        <v>2394</v>
      </c>
      <c r="O2118" s="20">
        <v>4</v>
      </c>
      <c r="S2118" s="19" t="s">
        <v>20</v>
      </c>
      <c r="T2118" s="19" t="s">
        <v>1471</v>
      </c>
    </row>
    <row r="2119" spans="1:20">
      <c r="A2119" s="20">
        <v>202603330038900</v>
      </c>
      <c r="B2119" s="19" t="s">
        <v>20</v>
      </c>
      <c r="C2119" s="19" t="s">
        <v>21</v>
      </c>
      <c r="D2119" s="19" t="s">
        <v>20</v>
      </c>
      <c r="E2119" s="21">
        <v>46204</v>
      </c>
      <c r="F2119" s="21">
        <v>46568</v>
      </c>
      <c r="G2119" s="21"/>
      <c r="H2119" s="21">
        <v>46204</v>
      </c>
      <c r="I2119" s="21">
        <v>46568</v>
      </c>
      <c r="J2119" s="19" t="s">
        <v>1473</v>
      </c>
      <c r="L2119" s="19">
        <v>98.482693999999995</v>
      </c>
      <c r="M2119" s="19">
        <v>98.482693999999995</v>
      </c>
      <c r="N2119" s="19" t="s">
        <v>1475</v>
      </c>
      <c r="O2119" s="20">
        <v>4</v>
      </c>
      <c r="S2119" s="19" t="s">
        <v>20</v>
      </c>
      <c r="T2119" s="19" t="s">
        <v>1471</v>
      </c>
    </row>
    <row r="2120" spans="1:20">
      <c r="A2120" s="20">
        <v>202603330039270</v>
      </c>
      <c r="B2120" s="19" t="s">
        <v>20</v>
      </c>
      <c r="C2120" s="19" t="s">
        <v>21</v>
      </c>
      <c r="D2120" s="19" t="s">
        <v>20</v>
      </c>
      <c r="E2120" s="21">
        <v>46204</v>
      </c>
      <c r="F2120" s="21">
        <v>46568</v>
      </c>
      <c r="G2120" s="21"/>
      <c r="H2120" s="21">
        <v>46204</v>
      </c>
      <c r="I2120" s="21">
        <v>46568</v>
      </c>
      <c r="J2120" s="19" t="s">
        <v>2064</v>
      </c>
      <c r="L2120" s="19">
        <v>0</v>
      </c>
      <c r="M2120" s="19">
        <v>0</v>
      </c>
      <c r="N2120" s="19" t="s">
        <v>2394</v>
      </c>
      <c r="O2120" s="20">
        <v>5</v>
      </c>
      <c r="S2120" s="19" t="s">
        <v>20</v>
      </c>
      <c r="T2120" s="19" t="s">
        <v>1471</v>
      </c>
    </row>
    <row r="2121" spans="1:20">
      <c r="A2121" s="20">
        <v>202603330039270</v>
      </c>
      <c r="B2121" s="19" t="s">
        <v>20</v>
      </c>
      <c r="C2121" s="19" t="s">
        <v>21</v>
      </c>
      <c r="D2121" s="19" t="s">
        <v>20</v>
      </c>
      <c r="E2121" s="21">
        <v>46204</v>
      </c>
      <c r="F2121" s="21">
        <v>46568</v>
      </c>
      <c r="G2121" s="21"/>
      <c r="H2121" s="21">
        <v>46204</v>
      </c>
      <c r="I2121" s="21">
        <v>46568</v>
      </c>
      <c r="J2121" s="19" t="s">
        <v>2064</v>
      </c>
      <c r="L2121" s="19">
        <v>165.65315125000001</v>
      </c>
      <c r="M2121" s="19">
        <v>165.65315125000001</v>
      </c>
      <c r="N2121" s="19" t="s">
        <v>1475</v>
      </c>
      <c r="O2121" s="20">
        <v>5</v>
      </c>
      <c r="S2121" s="19" t="s">
        <v>20</v>
      </c>
      <c r="T2121" s="19" t="s">
        <v>1471</v>
      </c>
    </row>
    <row r="2122" spans="1:20">
      <c r="A2122" s="20">
        <v>202603330046816</v>
      </c>
      <c r="B2122" s="19" t="s">
        <v>20</v>
      </c>
      <c r="C2122" s="19" t="s">
        <v>21</v>
      </c>
      <c r="D2122" s="19" t="s">
        <v>20</v>
      </c>
      <c r="E2122" s="21">
        <v>46204</v>
      </c>
      <c r="F2122" s="21">
        <v>46568</v>
      </c>
      <c r="G2122" s="21"/>
      <c r="H2122" s="21">
        <v>46204</v>
      </c>
      <c r="I2122" s="21">
        <v>46568</v>
      </c>
      <c r="J2122" s="19" t="s">
        <v>2118</v>
      </c>
      <c r="L2122" s="19">
        <v>0</v>
      </c>
      <c r="M2122" s="19">
        <v>0</v>
      </c>
      <c r="N2122" s="19" t="s">
        <v>2394</v>
      </c>
      <c r="O2122" s="20">
        <v>5</v>
      </c>
      <c r="S2122" s="19" t="s">
        <v>20</v>
      </c>
      <c r="T2122" s="19" t="s">
        <v>1471</v>
      </c>
    </row>
    <row r="2123" spans="1:20">
      <c r="A2123" s="20">
        <v>202603330046816</v>
      </c>
      <c r="B2123" s="19" t="s">
        <v>20</v>
      </c>
      <c r="C2123" s="19" t="s">
        <v>21</v>
      </c>
      <c r="D2123" s="19" t="s">
        <v>20</v>
      </c>
      <c r="E2123" s="21">
        <v>46204</v>
      </c>
      <c r="F2123" s="21">
        <v>46568</v>
      </c>
      <c r="G2123" s="21"/>
      <c r="H2123" s="21">
        <v>46204</v>
      </c>
      <c r="I2123" s="21">
        <v>46568</v>
      </c>
      <c r="J2123" s="19" t="s">
        <v>2118</v>
      </c>
      <c r="L2123" s="19">
        <v>165.65315125000001</v>
      </c>
      <c r="M2123" s="19">
        <v>165.65315125000001</v>
      </c>
      <c r="N2123" s="19" t="s">
        <v>1475</v>
      </c>
      <c r="O2123" s="20">
        <v>5</v>
      </c>
      <c r="S2123" s="19" t="s">
        <v>20</v>
      </c>
      <c r="T2123" s="19" t="s">
        <v>1471</v>
      </c>
    </row>
    <row r="2124" spans="1:20">
      <c r="A2124" s="20">
        <v>202603330049298</v>
      </c>
      <c r="B2124" s="19" t="s">
        <v>20</v>
      </c>
      <c r="C2124" s="19" t="s">
        <v>21</v>
      </c>
      <c r="D2124" s="19" t="s">
        <v>20</v>
      </c>
      <c r="E2124" s="21">
        <v>46204</v>
      </c>
      <c r="F2124" s="21">
        <v>46568</v>
      </c>
      <c r="G2124" s="21"/>
      <c r="H2124" s="21">
        <v>46204</v>
      </c>
      <c r="I2124" s="21">
        <v>46568</v>
      </c>
      <c r="J2124" s="19" t="s">
        <v>2222</v>
      </c>
      <c r="L2124" s="19">
        <v>0</v>
      </c>
      <c r="M2124" s="19">
        <v>0</v>
      </c>
      <c r="N2124" s="19" t="s">
        <v>2394</v>
      </c>
      <c r="O2124" s="20">
        <v>4</v>
      </c>
      <c r="S2124" s="19" t="s">
        <v>20</v>
      </c>
      <c r="T2124" s="19" t="s">
        <v>1471</v>
      </c>
    </row>
    <row r="2125" spans="1:20">
      <c r="A2125" s="20">
        <v>202603330049298</v>
      </c>
      <c r="B2125" s="19" t="s">
        <v>20</v>
      </c>
      <c r="C2125" s="19" t="s">
        <v>21</v>
      </c>
      <c r="D2125" s="19" t="s">
        <v>20</v>
      </c>
      <c r="E2125" s="21">
        <v>46204</v>
      </c>
      <c r="F2125" s="21">
        <v>46568</v>
      </c>
      <c r="G2125" s="21"/>
      <c r="H2125" s="21">
        <v>46204</v>
      </c>
      <c r="I2125" s="21">
        <v>46568</v>
      </c>
      <c r="J2125" s="19" t="s">
        <v>2222</v>
      </c>
      <c r="L2125" s="19">
        <v>154.63823600000001</v>
      </c>
      <c r="M2125" s="19">
        <v>154.63823600000001</v>
      </c>
      <c r="N2125" s="19" t="s">
        <v>1475</v>
      </c>
      <c r="O2125" s="20">
        <v>4</v>
      </c>
      <c r="S2125" s="19" t="s">
        <v>20</v>
      </c>
      <c r="T2125" s="19" t="s">
        <v>1471</v>
      </c>
    </row>
    <row r="2126" spans="1:20">
      <c r="A2126" s="20">
        <v>202603330049993</v>
      </c>
      <c r="B2126" s="19" t="s">
        <v>20</v>
      </c>
      <c r="C2126" s="19" t="s">
        <v>21</v>
      </c>
      <c r="D2126" s="19" t="s">
        <v>20</v>
      </c>
      <c r="E2126" s="21">
        <v>46204</v>
      </c>
      <c r="F2126" s="21">
        <v>46568</v>
      </c>
      <c r="G2126" s="21"/>
      <c r="H2126" s="21">
        <v>46204</v>
      </c>
      <c r="I2126" s="21">
        <v>46568</v>
      </c>
      <c r="J2126" s="19" t="s">
        <v>2129</v>
      </c>
      <c r="L2126" s="19">
        <v>0</v>
      </c>
      <c r="M2126" s="19">
        <v>0</v>
      </c>
      <c r="N2126" s="19" t="s">
        <v>2394</v>
      </c>
      <c r="O2126" s="20">
        <v>5</v>
      </c>
      <c r="S2126" s="19" t="s">
        <v>20</v>
      </c>
      <c r="T2126" s="19" t="s">
        <v>1471</v>
      </c>
    </row>
    <row r="2127" spans="1:20">
      <c r="A2127" s="20">
        <v>202603330049993</v>
      </c>
      <c r="B2127" s="19" t="s">
        <v>20</v>
      </c>
      <c r="C2127" s="19" t="s">
        <v>21</v>
      </c>
      <c r="D2127" s="19" t="s">
        <v>20</v>
      </c>
      <c r="E2127" s="21">
        <v>46204</v>
      </c>
      <c r="F2127" s="21">
        <v>46568</v>
      </c>
      <c r="G2127" s="21"/>
      <c r="H2127" s="21">
        <v>46204</v>
      </c>
      <c r="I2127" s="21">
        <v>46568</v>
      </c>
      <c r="J2127" s="19" t="s">
        <v>2129</v>
      </c>
      <c r="L2127" s="19">
        <v>165.65315125000001</v>
      </c>
      <c r="M2127" s="19">
        <v>165.65315125000001</v>
      </c>
      <c r="N2127" s="19" t="s">
        <v>1475</v>
      </c>
      <c r="O2127" s="20">
        <v>5</v>
      </c>
      <c r="S2127" s="19" t="s">
        <v>20</v>
      </c>
      <c r="T2127" s="19" t="s">
        <v>1471</v>
      </c>
    </row>
    <row r="2128" spans="1:20">
      <c r="A2128" s="20">
        <v>202603330051291</v>
      </c>
      <c r="B2128" s="19" t="s">
        <v>20</v>
      </c>
      <c r="C2128" s="19" t="s">
        <v>21</v>
      </c>
      <c r="D2128" s="19" t="s">
        <v>20</v>
      </c>
      <c r="E2128" s="21">
        <v>46204</v>
      </c>
      <c r="F2128" s="21">
        <v>46568</v>
      </c>
      <c r="G2128" s="21"/>
      <c r="H2128" s="21">
        <v>46204</v>
      </c>
      <c r="I2128" s="21">
        <v>46568</v>
      </c>
      <c r="J2128" s="19" t="s">
        <v>2085</v>
      </c>
      <c r="L2128" s="19">
        <v>0</v>
      </c>
      <c r="M2128" s="19">
        <v>0</v>
      </c>
      <c r="N2128" s="19" t="s">
        <v>2394</v>
      </c>
      <c r="O2128" s="20">
        <v>4</v>
      </c>
      <c r="S2128" s="19" t="s">
        <v>20</v>
      </c>
      <c r="T2128" s="19" t="s">
        <v>1471</v>
      </c>
    </row>
    <row r="2129" spans="1:20">
      <c r="A2129" s="20">
        <v>202603330051291</v>
      </c>
      <c r="B2129" s="19" t="s">
        <v>20</v>
      </c>
      <c r="C2129" s="19" t="s">
        <v>21</v>
      </c>
      <c r="D2129" s="19" t="s">
        <v>20</v>
      </c>
      <c r="E2129" s="21">
        <v>46204</v>
      </c>
      <c r="F2129" s="21">
        <v>46568</v>
      </c>
      <c r="G2129" s="21"/>
      <c r="H2129" s="21">
        <v>46204</v>
      </c>
      <c r="I2129" s="21">
        <v>46568</v>
      </c>
      <c r="J2129" s="19" t="s">
        <v>2085</v>
      </c>
      <c r="L2129" s="19">
        <v>98.482693999999995</v>
      </c>
      <c r="M2129" s="19">
        <v>98.482693999999995</v>
      </c>
      <c r="N2129" s="19" t="s">
        <v>1475</v>
      </c>
      <c r="O2129" s="20">
        <v>4</v>
      </c>
      <c r="S2129" s="19" t="s">
        <v>20</v>
      </c>
      <c r="T2129" s="19" t="s">
        <v>1471</v>
      </c>
    </row>
    <row r="2130" spans="1:20">
      <c r="A2130" s="20">
        <v>202603330051977</v>
      </c>
      <c r="B2130" s="19" t="s">
        <v>20</v>
      </c>
      <c r="C2130" s="19" t="s">
        <v>21</v>
      </c>
      <c r="D2130" s="19" t="s">
        <v>20</v>
      </c>
      <c r="E2130" s="21">
        <v>46204</v>
      </c>
      <c r="F2130" s="21">
        <v>46568</v>
      </c>
      <c r="G2130" s="21"/>
      <c r="H2130" s="21">
        <v>46204</v>
      </c>
      <c r="I2130" s="21">
        <v>46568</v>
      </c>
      <c r="J2130" s="19" t="s">
        <v>2068</v>
      </c>
      <c r="L2130" s="19">
        <v>78.776052000000007</v>
      </c>
      <c r="M2130" s="19">
        <v>78.776052000000007</v>
      </c>
      <c r="N2130" s="19" t="s">
        <v>1475</v>
      </c>
      <c r="O2130" s="20">
        <v>3</v>
      </c>
      <c r="S2130" s="19" t="s">
        <v>20</v>
      </c>
      <c r="T2130" s="19" t="s">
        <v>1471</v>
      </c>
    </row>
    <row r="2131" spans="1:20">
      <c r="A2131" s="20">
        <v>202603330055824</v>
      </c>
      <c r="B2131" s="19" t="s">
        <v>20</v>
      </c>
      <c r="C2131" s="19" t="s">
        <v>21</v>
      </c>
      <c r="D2131" s="19" t="s">
        <v>20</v>
      </c>
      <c r="E2131" s="21">
        <v>46204</v>
      </c>
      <c r="F2131" s="21">
        <v>46568</v>
      </c>
      <c r="G2131" s="21"/>
      <c r="H2131" s="21">
        <v>46204</v>
      </c>
      <c r="I2131" s="21">
        <v>46568</v>
      </c>
      <c r="J2131" s="19" t="s">
        <v>2130</v>
      </c>
      <c r="L2131" s="19">
        <v>0</v>
      </c>
      <c r="M2131" s="19">
        <v>0</v>
      </c>
      <c r="N2131" s="19" t="s">
        <v>2394</v>
      </c>
      <c r="O2131" s="20">
        <v>6</v>
      </c>
      <c r="S2131" s="19" t="s">
        <v>20</v>
      </c>
      <c r="T2131" s="19" t="s">
        <v>1471</v>
      </c>
    </row>
    <row r="2132" spans="1:20">
      <c r="A2132" s="20">
        <v>202603330055824</v>
      </c>
      <c r="B2132" s="19" t="s">
        <v>20</v>
      </c>
      <c r="C2132" s="19" t="s">
        <v>21</v>
      </c>
      <c r="D2132" s="19" t="s">
        <v>20</v>
      </c>
      <c r="E2132" s="21">
        <v>46204</v>
      </c>
      <c r="F2132" s="21">
        <v>46568</v>
      </c>
      <c r="G2132" s="21"/>
      <c r="H2132" s="21">
        <v>46204</v>
      </c>
      <c r="I2132" s="21">
        <v>46568</v>
      </c>
      <c r="J2132" s="19" t="s">
        <v>2130</v>
      </c>
      <c r="L2132" s="19">
        <v>108.9604935</v>
      </c>
      <c r="M2132" s="19">
        <v>108.9604935</v>
      </c>
      <c r="N2132" s="19" t="s">
        <v>1475</v>
      </c>
      <c r="O2132" s="20">
        <v>6</v>
      </c>
      <c r="S2132" s="19" t="s">
        <v>20</v>
      </c>
      <c r="T2132" s="19" t="s">
        <v>1471</v>
      </c>
    </row>
    <row r="2133" spans="1:20">
      <c r="A2133" s="20">
        <v>202603330055942</v>
      </c>
      <c r="B2133" s="19" t="s">
        <v>20</v>
      </c>
      <c r="C2133" s="19" t="s">
        <v>21</v>
      </c>
      <c r="D2133" s="19" t="s">
        <v>20</v>
      </c>
      <c r="E2133" s="21">
        <v>46204</v>
      </c>
      <c r="F2133" s="21">
        <v>46568</v>
      </c>
      <c r="G2133" s="21"/>
      <c r="H2133" s="21">
        <v>46204</v>
      </c>
      <c r="I2133" s="21">
        <v>46568</v>
      </c>
      <c r="J2133" s="19" t="s">
        <v>2077</v>
      </c>
      <c r="L2133" s="19">
        <v>0</v>
      </c>
      <c r="M2133" s="19">
        <v>0</v>
      </c>
      <c r="N2133" s="19" t="s">
        <v>2394</v>
      </c>
      <c r="O2133" s="20">
        <v>2</v>
      </c>
      <c r="S2133" s="19" t="s">
        <v>20</v>
      </c>
      <c r="T2133" s="19" t="s">
        <v>1471</v>
      </c>
    </row>
    <row r="2134" spans="1:20">
      <c r="A2134" s="20">
        <v>202603330055942</v>
      </c>
      <c r="B2134" s="19" t="s">
        <v>20</v>
      </c>
      <c r="C2134" s="19" t="s">
        <v>21</v>
      </c>
      <c r="D2134" s="19" t="s">
        <v>20</v>
      </c>
      <c r="E2134" s="21">
        <v>46204</v>
      </c>
      <c r="F2134" s="21">
        <v>46568</v>
      </c>
      <c r="G2134" s="21"/>
      <c r="H2134" s="21">
        <v>46204</v>
      </c>
      <c r="I2134" s="21">
        <v>46568</v>
      </c>
      <c r="J2134" s="19" t="s">
        <v>2077</v>
      </c>
      <c r="L2134" s="19">
        <v>59.635123499999999</v>
      </c>
      <c r="M2134" s="19">
        <v>59.635123499999999</v>
      </c>
      <c r="N2134" s="19" t="s">
        <v>1475</v>
      </c>
      <c r="O2134" s="20">
        <v>2</v>
      </c>
      <c r="S2134" s="19" t="s">
        <v>20</v>
      </c>
      <c r="T2134" s="19" t="s">
        <v>1471</v>
      </c>
    </row>
    <row r="2135" spans="1:20">
      <c r="A2135" s="20">
        <v>202603330056512</v>
      </c>
      <c r="B2135" s="19" t="s">
        <v>20</v>
      </c>
      <c r="C2135" s="19" t="s">
        <v>21</v>
      </c>
      <c r="D2135" s="19" t="s">
        <v>20</v>
      </c>
      <c r="E2135" s="21">
        <v>46204</v>
      </c>
      <c r="F2135" s="21">
        <v>46568</v>
      </c>
      <c r="G2135" s="21"/>
      <c r="H2135" s="21">
        <v>46204</v>
      </c>
      <c r="I2135" s="21">
        <v>46568</v>
      </c>
      <c r="J2135" s="19" t="s">
        <v>2380</v>
      </c>
      <c r="L2135" s="19">
        <v>33.130630250000003</v>
      </c>
      <c r="M2135" s="19">
        <v>33.130630250000003</v>
      </c>
      <c r="N2135" s="19" t="s">
        <v>1475</v>
      </c>
      <c r="O2135" s="20">
        <v>1</v>
      </c>
      <c r="S2135" s="19" t="s">
        <v>20</v>
      </c>
      <c r="T2135" s="19" t="s">
        <v>1471</v>
      </c>
    </row>
    <row r="2136" spans="1:20">
      <c r="A2136" s="20">
        <v>202603330056537</v>
      </c>
      <c r="B2136" s="19" t="s">
        <v>20</v>
      </c>
      <c r="C2136" s="19" t="s">
        <v>21</v>
      </c>
      <c r="D2136" s="19" t="s">
        <v>20</v>
      </c>
      <c r="E2136" s="21">
        <v>46204</v>
      </c>
      <c r="F2136" s="21">
        <v>46568</v>
      </c>
      <c r="G2136" s="21"/>
      <c r="H2136" s="21">
        <v>46204</v>
      </c>
      <c r="I2136" s="21">
        <v>46568</v>
      </c>
      <c r="J2136" s="19" t="s">
        <v>2073</v>
      </c>
      <c r="L2136" s="19">
        <v>0</v>
      </c>
      <c r="M2136" s="19">
        <v>0</v>
      </c>
      <c r="N2136" s="19" t="s">
        <v>2394</v>
      </c>
      <c r="O2136" s="20">
        <v>2</v>
      </c>
      <c r="S2136" s="19" t="s">
        <v>20</v>
      </c>
      <c r="T2136" s="19" t="s">
        <v>1471</v>
      </c>
    </row>
    <row r="2137" spans="1:20">
      <c r="A2137" s="20">
        <v>202603330056537</v>
      </c>
      <c r="B2137" s="19" t="s">
        <v>20</v>
      </c>
      <c r="C2137" s="19" t="s">
        <v>21</v>
      </c>
      <c r="D2137" s="19" t="s">
        <v>20</v>
      </c>
      <c r="E2137" s="21">
        <v>46204</v>
      </c>
      <c r="F2137" s="21">
        <v>46568</v>
      </c>
      <c r="G2137" s="21"/>
      <c r="H2137" s="21">
        <v>46204</v>
      </c>
      <c r="I2137" s="21">
        <v>46568</v>
      </c>
      <c r="J2137" s="19" t="s">
        <v>2073</v>
      </c>
      <c r="L2137" s="19">
        <v>52.517367999999998</v>
      </c>
      <c r="M2137" s="19">
        <v>52.517367999999998</v>
      </c>
      <c r="N2137" s="19" t="s">
        <v>1475</v>
      </c>
      <c r="O2137" s="20">
        <v>2</v>
      </c>
      <c r="S2137" s="19" t="s">
        <v>20</v>
      </c>
      <c r="T2137" s="19" t="s">
        <v>1471</v>
      </c>
    </row>
    <row r="2138" spans="1:20">
      <c r="A2138" s="20">
        <v>202603330056662</v>
      </c>
      <c r="B2138" s="19" t="s">
        <v>20</v>
      </c>
      <c r="C2138" s="19" t="s">
        <v>21</v>
      </c>
      <c r="D2138" s="19" t="s">
        <v>20</v>
      </c>
      <c r="E2138" s="21">
        <v>46204</v>
      </c>
      <c r="F2138" s="21">
        <v>46568</v>
      </c>
      <c r="G2138" s="21"/>
      <c r="H2138" s="21">
        <v>46204</v>
      </c>
      <c r="I2138" s="21">
        <v>46568</v>
      </c>
      <c r="J2138" s="19" t="s">
        <v>2064</v>
      </c>
      <c r="L2138" s="19">
        <v>33.130630250000003</v>
      </c>
      <c r="M2138" s="19">
        <v>33.130630250000003</v>
      </c>
      <c r="N2138" s="19" t="s">
        <v>1475</v>
      </c>
      <c r="O2138" s="20">
        <v>1</v>
      </c>
      <c r="S2138" s="19" t="s">
        <v>20</v>
      </c>
      <c r="T2138" s="19" t="s">
        <v>1471</v>
      </c>
    </row>
    <row r="2139" spans="1:20">
      <c r="A2139" s="20">
        <v>202603330056703</v>
      </c>
      <c r="B2139" s="19" t="s">
        <v>20</v>
      </c>
      <c r="C2139" s="19" t="s">
        <v>21</v>
      </c>
      <c r="D2139" s="19" t="s">
        <v>20</v>
      </c>
      <c r="E2139" s="21">
        <v>46204</v>
      </c>
      <c r="F2139" s="21">
        <v>46568</v>
      </c>
      <c r="G2139" s="21"/>
      <c r="H2139" s="21">
        <v>46204</v>
      </c>
      <c r="I2139" s="21">
        <v>46568</v>
      </c>
      <c r="J2139" s="19" t="s">
        <v>2135</v>
      </c>
      <c r="L2139" s="19">
        <v>0</v>
      </c>
      <c r="M2139" s="19">
        <v>0</v>
      </c>
      <c r="N2139" s="19" t="s">
        <v>2394</v>
      </c>
      <c r="O2139" s="20">
        <v>4</v>
      </c>
      <c r="S2139" s="19" t="s">
        <v>20</v>
      </c>
      <c r="T2139" s="19" t="s">
        <v>1471</v>
      </c>
    </row>
    <row r="2140" spans="1:20">
      <c r="A2140" s="20">
        <v>202603330056703</v>
      </c>
      <c r="B2140" s="19" t="s">
        <v>20</v>
      </c>
      <c r="C2140" s="19" t="s">
        <v>21</v>
      </c>
      <c r="D2140" s="19" t="s">
        <v>20</v>
      </c>
      <c r="E2140" s="21">
        <v>46204</v>
      </c>
      <c r="F2140" s="21">
        <v>46568</v>
      </c>
      <c r="G2140" s="21"/>
      <c r="H2140" s="21">
        <v>46204</v>
      </c>
      <c r="I2140" s="21">
        <v>46568</v>
      </c>
      <c r="J2140" s="19" t="s">
        <v>2135</v>
      </c>
      <c r="L2140" s="19">
        <v>132.52252100000001</v>
      </c>
      <c r="M2140" s="19">
        <v>132.52252100000001</v>
      </c>
      <c r="N2140" s="19" t="s">
        <v>1475</v>
      </c>
      <c r="O2140" s="20">
        <v>4</v>
      </c>
      <c r="S2140" s="19" t="s">
        <v>20</v>
      </c>
      <c r="T2140" s="19" t="s">
        <v>1471</v>
      </c>
    </row>
    <row r="2141" spans="1:20">
      <c r="A2141" s="20">
        <v>202603330057858</v>
      </c>
      <c r="B2141" s="19" t="s">
        <v>20</v>
      </c>
      <c r="C2141" s="19" t="s">
        <v>21</v>
      </c>
      <c r="D2141" s="19" t="s">
        <v>20</v>
      </c>
      <c r="E2141" s="21">
        <v>46204</v>
      </c>
      <c r="F2141" s="21">
        <v>46568</v>
      </c>
      <c r="G2141" s="21"/>
      <c r="H2141" s="21">
        <v>46204</v>
      </c>
      <c r="I2141" s="21">
        <v>46568</v>
      </c>
      <c r="J2141" s="19" t="s">
        <v>2093</v>
      </c>
      <c r="L2141" s="19">
        <v>0</v>
      </c>
      <c r="M2141" s="19">
        <v>0</v>
      </c>
      <c r="N2141" s="19" t="s">
        <v>2394</v>
      </c>
      <c r="O2141" s="20">
        <v>6</v>
      </c>
      <c r="S2141" s="19" t="s">
        <v>20</v>
      </c>
      <c r="T2141" s="19" t="s">
        <v>1471</v>
      </c>
    </row>
    <row r="2142" spans="1:20">
      <c r="A2142" s="20">
        <v>202603330057858</v>
      </c>
      <c r="B2142" s="19" t="s">
        <v>20</v>
      </c>
      <c r="C2142" s="19" t="s">
        <v>21</v>
      </c>
      <c r="D2142" s="19" t="s">
        <v>20</v>
      </c>
      <c r="E2142" s="21">
        <v>46204</v>
      </c>
      <c r="F2142" s="21">
        <v>46568</v>
      </c>
      <c r="G2142" s="21"/>
      <c r="H2142" s="21">
        <v>46204</v>
      </c>
      <c r="I2142" s="21">
        <v>46568</v>
      </c>
      <c r="J2142" s="19" t="s">
        <v>2093</v>
      </c>
      <c r="L2142" s="19">
        <v>172.6562055</v>
      </c>
      <c r="M2142" s="19">
        <v>172.6562055</v>
      </c>
      <c r="N2142" s="19" t="s">
        <v>1475</v>
      </c>
      <c r="O2142" s="20">
        <v>6</v>
      </c>
      <c r="S2142" s="19" t="s">
        <v>20</v>
      </c>
      <c r="T2142" s="19" t="s">
        <v>1471</v>
      </c>
    </row>
    <row r="2143" spans="1:20">
      <c r="A2143" s="20">
        <v>202603330059962</v>
      </c>
      <c r="B2143" s="19" t="s">
        <v>20</v>
      </c>
      <c r="C2143" s="19" t="s">
        <v>21</v>
      </c>
      <c r="D2143" s="19" t="s">
        <v>20</v>
      </c>
      <c r="E2143" s="21">
        <v>46204</v>
      </c>
      <c r="F2143" s="21">
        <v>46568</v>
      </c>
      <c r="G2143" s="21"/>
      <c r="H2143" s="21">
        <v>46204</v>
      </c>
      <c r="I2143" s="21">
        <v>46568</v>
      </c>
      <c r="J2143" s="19" t="s">
        <v>2068</v>
      </c>
      <c r="L2143" s="19">
        <v>26.258683999999999</v>
      </c>
      <c r="M2143" s="19">
        <v>26.258683999999999</v>
      </c>
      <c r="N2143" s="19" t="s">
        <v>1475</v>
      </c>
      <c r="O2143" s="20">
        <v>1</v>
      </c>
      <c r="S2143" s="19" t="s">
        <v>20</v>
      </c>
      <c r="T2143" s="19" t="s">
        <v>1471</v>
      </c>
    </row>
    <row r="2144" spans="1:20">
      <c r="A2144" s="20">
        <v>202603330060136</v>
      </c>
      <c r="B2144" s="19" t="s">
        <v>20</v>
      </c>
      <c r="C2144" s="19" t="s">
        <v>21</v>
      </c>
      <c r="D2144" s="19" t="s">
        <v>20</v>
      </c>
      <c r="E2144" s="21">
        <v>46204</v>
      </c>
      <c r="F2144" s="21">
        <v>46568</v>
      </c>
      <c r="G2144" s="21"/>
      <c r="H2144" s="21">
        <v>46204</v>
      </c>
      <c r="I2144" s="21">
        <v>46568</v>
      </c>
      <c r="J2144" s="19" t="s">
        <v>2104</v>
      </c>
      <c r="L2144" s="19">
        <v>66.261260500000006</v>
      </c>
      <c r="M2144" s="19">
        <v>66.261260500000006</v>
      </c>
      <c r="N2144" s="19" t="s">
        <v>1475</v>
      </c>
      <c r="O2144" s="20">
        <v>2</v>
      </c>
      <c r="S2144" s="19" t="s">
        <v>20</v>
      </c>
      <c r="T2144" s="19" t="s">
        <v>1471</v>
      </c>
    </row>
    <row r="2145" spans="1:20">
      <c r="A2145" s="20">
        <v>202603330061730</v>
      </c>
      <c r="B2145" s="19" t="s">
        <v>20</v>
      </c>
      <c r="C2145" s="19" t="s">
        <v>21</v>
      </c>
      <c r="D2145" s="19" t="s">
        <v>20</v>
      </c>
      <c r="E2145" s="21">
        <v>46204</v>
      </c>
      <c r="F2145" s="21">
        <v>46568</v>
      </c>
      <c r="G2145" s="21"/>
      <c r="H2145" s="21">
        <v>46204</v>
      </c>
      <c r="I2145" s="21">
        <v>46568</v>
      </c>
      <c r="J2145" s="19" t="s">
        <v>2135</v>
      </c>
      <c r="L2145" s="19">
        <v>33.130630250000003</v>
      </c>
      <c r="M2145" s="19">
        <v>33.130630250000003</v>
      </c>
      <c r="N2145" s="19" t="s">
        <v>1475</v>
      </c>
      <c r="O2145" s="20">
        <v>1</v>
      </c>
      <c r="S2145" s="19" t="s">
        <v>20</v>
      </c>
      <c r="T2145" s="19" t="s">
        <v>1471</v>
      </c>
    </row>
    <row r="2146" spans="1:20">
      <c r="A2146" s="20">
        <v>202603330062877</v>
      </c>
      <c r="B2146" s="19" t="s">
        <v>20</v>
      </c>
      <c r="C2146" s="19" t="s">
        <v>21</v>
      </c>
      <c r="D2146" s="19" t="s">
        <v>20</v>
      </c>
      <c r="E2146" s="21">
        <v>46204</v>
      </c>
      <c r="F2146" s="21">
        <v>46568</v>
      </c>
      <c r="G2146" s="21"/>
      <c r="H2146" s="21">
        <v>46204</v>
      </c>
      <c r="I2146" s="21">
        <v>46568</v>
      </c>
      <c r="J2146" s="19" t="s">
        <v>2272</v>
      </c>
      <c r="L2146" s="19">
        <v>0</v>
      </c>
      <c r="M2146" s="19">
        <v>0</v>
      </c>
      <c r="N2146" s="19" t="s">
        <v>2394</v>
      </c>
      <c r="O2146" s="20">
        <v>4</v>
      </c>
      <c r="S2146" s="19" t="s">
        <v>20</v>
      </c>
      <c r="T2146" s="19" t="s">
        <v>1471</v>
      </c>
    </row>
    <row r="2147" spans="1:20">
      <c r="A2147" s="20">
        <v>202603330062877</v>
      </c>
      <c r="B2147" s="19" t="s">
        <v>20</v>
      </c>
      <c r="C2147" s="19" t="s">
        <v>21</v>
      </c>
      <c r="D2147" s="19" t="s">
        <v>20</v>
      </c>
      <c r="E2147" s="21">
        <v>46204</v>
      </c>
      <c r="F2147" s="21">
        <v>46568</v>
      </c>
      <c r="G2147" s="21"/>
      <c r="H2147" s="21">
        <v>46204</v>
      </c>
      <c r="I2147" s="21">
        <v>46568</v>
      </c>
      <c r="J2147" s="19" t="s">
        <v>2272</v>
      </c>
      <c r="L2147" s="19">
        <v>132.52252100000001</v>
      </c>
      <c r="M2147" s="19">
        <v>132.52252100000001</v>
      </c>
      <c r="N2147" s="19" t="s">
        <v>1475</v>
      </c>
      <c r="O2147" s="20">
        <v>4</v>
      </c>
      <c r="S2147" s="19" t="s">
        <v>20</v>
      </c>
      <c r="T2147" s="19" t="s">
        <v>1471</v>
      </c>
    </row>
    <row r="2148" spans="1:20">
      <c r="A2148" s="20">
        <v>202603330064146</v>
      </c>
      <c r="B2148" s="19" t="s">
        <v>20</v>
      </c>
      <c r="C2148" s="19" t="s">
        <v>21</v>
      </c>
      <c r="D2148" s="19" t="s">
        <v>20</v>
      </c>
      <c r="E2148" s="21">
        <v>46204</v>
      </c>
      <c r="F2148" s="21">
        <v>46568</v>
      </c>
      <c r="G2148" s="21"/>
      <c r="H2148" s="21">
        <v>46204</v>
      </c>
      <c r="I2148" s="21">
        <v>46568</v>
      </c>
      <c r="J2148" s="19" t="s">
        <v>2077</v>
      </c>
      <c r="L2148" s="19">
        <v>0</v>
      </c>
      <c r="M2148" s="19">
        <v>0</v>
      </c>
      <c r="N2148" s="19" t="s">
        <v>2394</v>
      </c>
      <c r="O2148" s="20">
        <v>6</v>
      </c>
      <c r="S2148" s="19" t="s">
        <v>20</v>
      </c>
      <c r="T2148" s="19" t="s">
        <v>1471</v>
      </c>
    </row>
    <row r="2149" spans="1:20">
      <c r="A2149" s="20">
        <v>202603330064146</v>
      </c>
      <c r="B2149" s="19" t="s">
        <v>20</v>
      </c>
      <c r="C2149" s="19" t="s">
        <v>21</v>
      </c>
      <c r="D2149" s="19" t="s">
        <v>20</v>
      </c>
      <c r="E2149" s="21">
        <v>46204</v>
      </c>
      <c r="F2149" s="21">
        <v>46568</v>
      </c>
      <c r="G2149" s="21"/>
      <c r="H2149" s="21">
        <v>46204</v>
      </c>
      <c r="I2149" s="21">
        <v>46568</v>
      </c>
      <c r="J2149" s="19" t="s">
        <v>2077</v>
      </c>
      <c r="L2149" s="19">
        <v>178.9053705</v>
      </c>
      <c r="M2149" s="19">
        <v>178.9053705</v>
      </c>
      <c r="N2149" s="19" t="s">
        <v>1475</v>
      </c>
      <c r="O2149" s="20">
        <v>6</v>
      </c>
      <c r="S2149" s="19" t="s">
        <v>20</v>
      </c>
      <c r="T2149" s="19" t="s">
        <v>1471</v>
      </c>
    </row>
    <row r="2150" spans="1:20">
      <c r="A2150" s="20">
        <v>202603330066060</v>
      </c>
      <c r="B2150" s="19" t="s">
        <v>20</v>
      </c>
      <c r="C2150" s="19" t="s">
        <v>21</v>
      </c>
      <c r="D2150" s="19" t="s">
        <v>20</v>
      </c>
      <c r="E2150" s="21">
        <v>46204</v>
      </c>
      <c r="F2150" s="21">
        <v>46568</v>
      </c>
      <c r="G2150" s="21"/>
      <c r="H2150" s="21">
        <v>46204</v>
      </c>
      <c r="I2150" s="21">
        <v>46568</v>
      </c>
      <c r="J2150" s="19" t="s">
        <v>2062</v>
      </c>
      <c r="L2150" s="19">
        <v>0</v>
      </c>
      <c r="M2150" s="19">
        <v>0</v>
      </c>
      <c r="N2150" s="19" t="s">
        <v>2394</v>
      </c>
      <c r="O2150" s="20">
        <v>6</v>
      </c>
      <c r="S2150" s="19" t="s">
        <v>20</v>
      </c>
      <c r="T2150" s="19" t="s">
        <v>1471</v>
      </c>
    </row>
    <row r="2151" spans="1:20">
      <c r="A2151" s="20">
        <v>202603330066060</v>
      </c>
      <c r="B2151" s="19" t="s">
        <v>20</v>
      </c>
      <c r="C2151" s="19" t="s">
        <v>21</v>
      </c>
      <c r="D2151" s="19" t="s">
        <v>20</v>
      </c>
      <c r="E2151" s="21">
        <v>46204</v>
      </c>
      <c r="F2151" s="21">
        <v>46568</v>
      </c>
      <c r="G2151" s="21"/>
      <c r="H2151" s="21">
        <v>46204</v>
      </c>
      <c r="I2151" s="21">
        <v>46568</v>
      </c>
      <c r="J2151" s="19" t="s">
        <v>2062</v>
      </c>
      <c r="L2151" s="19">
        <v>198.7837815</v>
      </c>
      <c r="M2151" s="19">
        <v>198.7837815</v>
      </c>
      <c r="N2151" s="19" t="s">
        <v>1475</v>
      </c>
      <c r="O2151" s="20">
        <v>6</v>
      </c>
      <c r="S2151" s="19" t="s">
        <v>20</v>
      </c>
      <c r="T2151" s="19" t="s">
        <v>1471</v>
      </c>
    </row>
    <row r="2152" spans="1:20">
      <c r="A2152" s="20">
        <v>202603330068022</v>
      </c>
      <c r="B2152" s="19" t="s">
        <v>20</v>
      </c>
      <c r="C2152" s="19" t="s">
        <v>21</v>
      </c>
      <c r="D2152" s="19" t="s">
        <v>20</v>
      </c>
      <c r="E2152" s="21">
        <v>46204</v>
      </c>
      <c r="F2152" s="21">
        <v>46568</v>
      </c>
      <c r="G2152" s="21"/>
      <c r="H2152" s="21">
        <v>46204</v>
      </c>
      <c r="I2152" s="21">
        <v>46568</v>
      </c>
      <c r="J2152" s="19" t="s">
        <v>2104</v>
      </c>
      <c r="L2152" s="19">
        <v>66.261260500000006</v>
      </c>
      <c r="M2152" s="19">
        <v>66.261260500000006</v>
      </c>
      <c r="N2152" s="19" t="s">
        <v>1475</v>
      </c>
      <c r="O2152" s="20">
        <v>2</v>
      </c>
      <c r="S2152" s="19" t="s">
        <v>20</v>
      </c>
      <c r="T2152" s="19" t="s">
        <v>1471</v>
      </c>
    </row>
    <row r="2153" spans="1:20">
      <c r="A2153" s="20">
        <v>202603330070887</v>
      </c>
      <c r="B2153" s="19" t="s">
        <v>20</v>
      </c>
      <c r="C2153" s="19" t="s">
        <v>21</v>
      </c>
      <c r="D2153" s="19" t="s">
        <v>20</v>
      </c>
      <c r="E2153" s="21">
        <v>46204</v>
      </c>
      <c r="F2153" s="21">
        <v>46568</v>
      </c>
      <c r="G2153" s="21"/>
      <c r="H2153" s="21">
        <v>46204</v>
      </c>
      <c r="I2153" s="21">
        <v>46568</v>
      </c>
      <c r="J2153" s="19" t="s">
        <v>2064</v>
      </c>
      <c r="L2153" s="19">
        <v>0</v>
      </c>
      <c r="M2153" s="19">
        <v>0</v>
      </c>
      <c r="N2153" s="19" t="s">
        <v>2394</v>
      </c>
      <c r="O2153" s="20">
        <v>4</v>
      </c>
      <c r="S2153" s="19" t="s">
        <v>20</v>
      </c>
      <c r="T2153" s="19" t="s">
        <v>1471</v>
      </c>
    </row>
    <row r="2154" spans="1:20">
      <c r="A2154" s="20">
        <v>202603330070887</v>
      </c>
      <c r="B2154" s="19" t="s">
        <v>20</v>
      </c>
      <c r="C2154" s="19" t="s">
        <v>21</v>
      </c>
      <c r="D2154" s="19" t="s">
        <v>20</v>
      </c>
      <c r="E2154" s="21">
        <v>46204</v>
      </c>
      <c r="F2154" s="21">
        <v>46568</v>
      </c>
      <c r="G2154" s="21"/>
      <c r="H2154" s="21">
        <v>46204</v>
      </c>
      <c r="I2154" s="21">
        <v>46568</v>
      </c>
      <c r="J2154" s="19" t="s">
        <v>2064</v>
      </c>
      <c r="L2154" s="19">
        <v>132.52252100000001</v>
      </c>
      <c r="M2154" s="19">
        <v>132.52252100000001</v>
      </c>
      <c r="N2154" s="19" t="s">
        <v>1475</v>
      </c>
      <c r="O2154" s="20">
        <v>4</v>
      </c>
      <c r="S2154" s="19" t="s">
        <v>20</v>
      </c>
      <c r="T2154" s="19" t="s">
        <v>1471</v>
      </c>
    </row>
    <row r="2155" spans="1:20">
      <c r="A2155" s="20">
        <v>202603330071274</v>
      </c>
      <c r="B2155" s="19" t="s">
        <v>20</v>
      </c>
      <c r="C2155" s="19" t="s">
        <v>21</v>
      </c>
      <c r="D2155" s="19" t="s">
        <v>20</v>
      </c>
      <c r="E2155" s="21">
        <v>46204</v>
      </c>
      <c r="F2155" s="21">
        <v>46568</v>
      </c>
      <c r="G2155" s="21"/>
      <c r="H2155" s="21">
        <v>46204</v>
      </c>
      <c r="I2155" s="21">
        <v>46568</v>
      </c>
      <c r="J2155" s="19" t="s">
        <v>2064</v>
      </c>
      <c r="L2155" s="19">
        <v>0</v>
      </c>
      <c r="M2155" s="19">
        <v>0</v>
      </c>
      <c r="N2155" s="19" t="s">
        <v>2394</v>
      </c>
      <c r="O2155" s="20">
        <v>3</v>
      </c>
      <c r="S2155" s="19" t="s">
        <v>20</v>
      </c>
      <c r="T2155" s="19" t="s">
        <v>1471</v>
      </c>
    </row>
    <row r="2156" spans="1:20">
      <c r="A2156" s="20">
        <v>202603330071274</v>
      </c>
      <c r="B2156" s="19" t="s">
        <v>20</v>
      </c>
      <c r="C2156" s="19" t="s">
        <v>21</v>
      </c>
      <c r="D2156" s="19" t="s">
        <v>20</v>
      </c>
      <c r="E2156" s="21">
        <v>46204</v>
      </c>
      <c r="F2156" s="21">
        <v>46568</v>
      </c>
      <c r="G2156" s="21"/>
      <c r="H2156" s="21">
        <v>46204</v>
      </c>
      <c r="I2156" s="21">
        <v>46568</v>
      </c>
      <c r="J2156" s="19" t="s">
        <v>2064</v>
      </c>
      <c r="L2156" s="19">
        <v>99.391890750000002</v>
      </c>
      <c r="M2156" s="19">
        <v>99.391890750000002</v>
      </c>
      <c r="N2156" s="19" t="s">
        <v>1475</v>
      </c>
      <c r="O2156" s="20">
        <v>3</v>
      </c>
      <c r="S2156" s="19" t="s">
        <v>20</v>
      </c>
      <c r="T2156" s="19" t="s">
        <v>1471</v>
      </c>
    </row>
    <row r="2157" spans="1:20">
      <c r="A2157" s="20">
        <v>202603330071915</v>
      </c>
      <c r="B2157" s="19" t="s">
        <v>20</v>
      </c>
      <c r="C2157" s="19" t="s">
        <v>21</v>
      </c>
      <c r="D2157" s="19" t="s">
        <v>20</v>
      </c>
      <c r="E2157" s="21">
        <v>46204</v>
      </c>
      <c r="F2157" s="21">
        <v>46568</v>
      </c>
      <c r="G2157" s="21"/>
      <c r="H2157" s="21">
        <v>46204</v>
      </c>
      <c r="I2157" s="21">
        <v>46568</v>
      </c>
      <c r="J2157" s="19" t="s">
        <v>2062</v>
      </c>
      <c r="L2157" s="19">
        <v>0</v>
      </c>
      <c r="M2157" s="19">
        <v>0</v>
      </c>
      <c r="N2157" s="19" t="s">
        <v>2394</v>
      </c>
      <c r="O2157" s="20">
        <v>2</v>
      </c>
      <c r="S2157" s="19" t="s">
        <v>20</v>
      </c>
      <c r="T2157" s="19" t="s">
        <v>1471</v>
      </c>
    </row>
    <row r="2158" spans="1:20">
      <c r="A2158" s="20">
        <v>202603330071915</v>
      </c>
      <c r="B2158" s="19" t="s">
        <v>20</v>
      </c>
      <c r="C2158" s="19" t="s">
        <v>21</v>
      </c>
      <c r="D2158" s="19" t="s">
        <v>20</v>
      </c>
      <c r="E2158" s="21">
        <v>46204</v>
      </c>
      <c r="F2158" s="21">
        <v>46568</v>
      </c>
      <c r="G2158" s="21"/>
      <c r="H2158" s="21">
        <v>46204</v>
      </c>
      <c r="I2158" s="21">
        <v>46568</v>
      </c>
      <c r="J2158" s="19" t="s">
        <v>2062</v>
      </c>
      <c r="L2158" s="19">
        <v>66.261260500000006</v>
      </c>
      <c r="M2158" s="19">
        <v>66.261260500000006</v>
      </c>
      <c r="N2158" s="19" t="s">
        <v>1475</v>
      </c>
      <c r="O2158" s="20">
        <v>2</v>
      </c>
      <c r="S2158" s="19" t="s">
        <v>20</v>
      </c>
      <c r="T2158" s="19" t="s">
        <v>1471</v>
      </c>
    </row>
    <row r="2159" spans="1:20">
      <c r="A2159" s="20">
        <v>202603330074845</v>
      </c>
      <c r="B2159" s="19" t="s">
        <v>20</v>
      </c>
      <c r="C2159" s="19" t="s">
        <v>21</v>
      </c>
      <c r="D2159" s="19" t="s">
        <v>20</v>
      </c>
      <c r="E2159" s="21">
        <v>46204</v>
      </c>
      <c r="F2159" s="21">
        <v>46568</v>
      </c>
      <c r="G2159" s="21"/>
      <c r="H2159" s="21">
        <v>46204</v>
      </c>
      <c r="I2159" s="21">
        <v>46568</v>
      </c>
      <c r="J2159" s="19" t="s">
        <v>2104</v>
      </c>
      <c r="L2159" s="19">
        <v>0</v>
      </c>
      <c r="M2159" s="19">
        <v>0</v>
      </c>
      <c r="N2159" s="19" t="s">
        <v>2394</v>
      </c>
      <c r="O2159" s="20">
        <v>4</v>
      </c>
      <c r="S2159" s="19" t="s">
        <v>20</v>
      </c>
      <c r="T2159" s="19" t="s">
        <v>1471</v>
      </c>
    </row>
    <row r="2160" spans="1:20">
      <c r="A2160" s="20">
        <v>202603330074845</v>
      </c>
      <c r="B2160" s="19" t="s">
        <v>20</v>
      </c>
      <c r="C2160" s="19" t="s">
        <v>21</v>
      </c>
      <c r="D2160" s="19" t="s">
        <v>20</v>
      </c>
      <c r="E2160" s="21">
        <v>46204</v>
      </c>
      <c r="F2160" s="21">
        <v>46568</v>
      </c>
      <c r="G2160" s="21"/>
      <c r="H2160" s="21">
        <v>46204</v>
      </c>
      <c r="I2160" s="21">
        <v>46568</v>
      </c>
      <c r="J2160" s="19" t="s">
        <v>2104</v>
      </c>
      <c r="L2160" s="19">
        <v>132.52252100000001</v>
      </c>
      <c r="M2160" s="19">
        <v>132.52252100000001</v>
      </c>
      <c r="N2160" s="19" t="s">
        <v>1475</v>
      </c>
      <c r="O2160" s="20">
        <v>4</v>
      </c>
      <c r="S2160" s="19" t="s">
        <v>20</v>
      </c>
      <c r="T2160" s="19" t="s">
        <v>1471</v>
      </c>
    </row>
    <row r="2161" spans="1:20">
      <c r="A2161" s="20">
        <v>202603330074936</v>
      </c>
      <c r="B2161" s="19" t="s">
        <v>20</v>
      </c>
      <c r="C2161" s="19" t="s">
        <v>21</v>
      </c>
      <c r="D2161" s="19" t="s">
        <v>20</v>
      </c>
      <c r="E2161" s="21">
        <v>46204</v>
      </c>
      <c r="F2161" s="21">
        <v>46568</v>
      </c>
      <c r="G2161" s="21"/>
      <c r="H2161" s="21">
        <v>46204</v>
      </c>
      <c r="I2161" s="21">
        <v>46568</v>
      </c>
      <c r="J2161" s="19" t="s">
        <v>2128</v>
      </c>
      <c r="L2161" s="19">
        <v>29.817561749999999</v>
      </c>
      <c r="M2161" s="19">
        <v>29.817561749999999</v>
      </c>
      <c r="N2161" s="19" t="s">
        <v>1475</v>
      </c>
      <c r="O2161" s="20">
        <v>1</v>
      </c>
      <c r="S2161" s="19" t="s">
        <v>20</v>
      </c>
      <c r="T2161" s="19" t="s">
        <v>1471</v>
      </c>
    </row>
    <row r="2162" spans="1:20">
      <c r="A2162" s="20">
        <v>202603330075016</v>
      </c>
      <c r="B2162" s="19" t="s">
        <v>20</v>
      </c>
      <c r="C2162" s="19" t="s">
        <v>21</v>
      </c>
      <c r="D2162" s="19" t="s">
        <v>20</v>
      </c>
      <c r="E2162" s="21">
        <v>46204</v>
      </c>
      <c r="F2162" s="21">
        <v>46568</v>
      </c>
      <c r="G2162" s="21"/>
      <c r="H2162" s="21">
        <v>46204</v>
      </c>
      <c r="I2162" s="21">
        <v>46568</v>
      </c>
      <c r="J2162" s="19" t="s">
        <v>2092</v>
      </c>
      <c r="L2162" s="19">
        <v>0</v>
      </c>
      <c r="M2162" s="19">
        <v>0</v>
      </c>
      <c r="N2162" s="19" t="s">
        <v>2394</v>
      </c>
      <c r="O2162" s="20">
        <v>3</v>
      </c>
      <c r="S2162" s="19" t="s">
        <v>20</v>
      </c>
      <c r="T2162" s="19" t="s">
        <v>1471</v>
      </c>
    </row>
    <row r="2163" spans="1:20">
      <c r="A2163" s="20">
        <v>202603330075016</v>
      </c>
      <c r="B2163" s="19" t="s">
        <v>20</v>
      </c>
      <c r="C2163" s="19" t="s">
        <v>21</v>
      </c>
      <c r="D2163" s="19" t="s">
        <v>20</v>
      </c>
      <c r="E2163" s="21">
        <v>46204</v>
      </c>
      <c r="F2163" s="21">
        <v>46568</v>
      </c>
      <c r="G2163" s="21"/>
      <c r="H2163" s="21">
        <v>46204</v>
      </c>
      <c r="I2163" s="21">
        <v>46568</v>
      </c>
      <c r="J2163" s="19" t="s">
        <v>2092</v>
      </c>
      <c r="L2163" s="19">
        <v>115.978677</v>
      </c>
      <c r="M2163" s="19">
        <v>115.978677</v>
      </c>
      <c r="N2163" s="19" t="s">
        <v>1475</v>
      </c>
      <c r="O2163" s="20">
        <v>3</v>
      </c>
      <c r="S2163" s="19" t="s">
        <v>20</v>
      </c>
      <c r="T2163" s="19" t="s">
        <v>1471</v>
      </c>
    </row>
    <row r="2164" spans="1:20">
      <c r="A2164" s="20">
        <v>202603330076709</v>
      </c>
      <c r="B2164" s="19" t="s">
        <v>20</v>
      </c>
      <c r="C2164" s="19" t="s">
        <v>21</v>
      </c>
      <c r="D2164" s="19" t="s">
        <v>20</v>
      </c>
      <c r="E2164" s="21">
        <v>46204</v>
      </c>
      <c r="F2164" s="21">
        <v>46568</v>
      </c>
      <c r="G2164" s="21"/>
      <c r="H2164" s="21">
        <v>46204</v>
      </c>
      <c r="I2164" s="21">
        <v>46568</v>
      </c>
      <c r="J2164" s="19" t="s">
        <v>2067</v>
      </c>
      <c r="L2164" s="19">
        <v>0</v>
      </c>
      <c r="M2164" s="19">
        <v>0</v>
      </c>
      <c r="N2164" s="19" t="s">
        <v>2394</v>
      </c>
      <c r="O2164" s="20">
        <v>2</v>
      </c>
      <c r="S2164" s="19" t="s">
        <v>20</v>
      </c>
      <c r="T2164" s="19" t="s">
        <v>1471</v>
      </c>
    </row>
    <row r="2165" spans="1:20">
      <c r="A2165" s="20">
        <v>202603330076709</v>
      </c>
      <c r="B2165" s="19" t="s">
        <v>20</v>
      </c>
      <c r="C2165" s="19" t="s">
        <v>21</v>
      </c>
      <c r="D2165" s="19" t="s">
        <v>20</v>
      </c>
      <c r="E2165" s="21">
        <v>46204</v>
      </c>
      <c r="F2165" s="21">
        <v>46568</v>
      </c>
      <c r="G2165" s="21"/>
      <c r="H2165" s="21">
        <v>46204</v>
      </c>
      <c r="I2165" s="21">
        <v>46568</v>
      </c>
      <c r="J2165" s="19" t="s">
        <v>2067</v>
      </c>
      <c r="L2165" s="19">
        <v>70.221875499999996</v>
      </c>
      <c r="M2165" s="19">
        <v>70.221875499999996</v>
      </c>
      <c r="N2165" s="19" t="s">
        <v>1475</v>
      </c>
      <c r="O2165" s="20">
        <v>2</v>
      </c>
      <c r="S2165" s="19" t="s">
        <v>20</v>
      </c>
      <c r="T2165" s="19" t="s">
        <v>1471</v>
      </c>
    </row>
    <row r="2166" spans="1:20">
      <c r="A2166" s="20">
        <v>202603330077021</v>
      </c>
      <c r="B2166" s="19" t="s">
        <v>20</v>
      </c>
      <c r="C2166" s="19" t="s">
        <v>21</v>
      </c>
      <c r="D2166" s="19" t="s">
        <v>20</v>
      </c>
      <c r="E2166" s="21">
        <v>46204</v>
      </c>
      <c r="F2166" s="21">
        <v>46568</v>
      </c>
      <c r="G2166" s="21"/>
      <c r="H2166" s="21">
        <v>46204</v>
      </c>
      <c r="I2166" s="21">
        <v>46568</v>
      </c>
      <c r="J2166" s="19" t="s">
        <v>2064</v>
      </c>
      <c r="L2166" s="19">
        <v>0</v>
      </c>
      <c r="M2166" s="19">
        <v>0</v>
      </c>
      <c r="N2166" s="19" t="s">
        <v>2394</v>
      </c>
      <c r="O2166" s="20">
        <v>2</v>
      </c>
      <c r="S2166" s="19" t="s">
        <v>20</v>
      </c>
      <c r="T2166" s="19" t="s">
        <v>1471</v>
      </c>
    </row>
    <row r="2167" spans="1:20">
      <c r="A2167" s="20">
        <v>202603330077021</v>
      </c>
      <c r="B2167" s="19" t="s">
        <v>20</v>
      </c>
      <c r="C2167" s="19" t="s">
        <v>21</v>
      </c>
      <c r="D2167" s="19" t="s">
        <v>20</v>
      </c>
      <c r="E2167" s="21">
        <v>46204</v>
      </c>
      <c r="F2167" s="21">
        <v>46568</v>
      </c>
      <c r="G2167" s="21"/>
      <c r="H2167" s="21">
        <v>46204</v>
      </c>
      <c r="I2167" s="21">
        <v>46568</v>
      </c>
      <c r="J2167" s="19" t="s">
        <v>2064</v>
      </c>
      <c r="L2167" s="19">
        <v>66.261260500000006</v>
      </c>
      <c r="M2167" s="19">
        <v>66.261260500000006</v>
      </c>
      <c r="N2167" s="19" t="s">
        <v>1475</v>
      </c>
      <c r="O2167" s="20">
        <v>2</v>
      </c>
      <c r="S2167" s="19" t="s">
        <v>20</v>
      </c>
      <c r="T2167" s="19" t="s">
        <v>1471</v>
      </c>
    </row>
    <row r="2168" spans="1:20">
      <c r="A2168" s="20">
        <v>202603330077166</v>
      </c>
      <c r="B2168" s="19" t="s">
        <v>20</v>
      </c>
      <c r="C2168" s="19" t="s">
        <v>21</v>
      </c>
      <c r="D2168" s="19" t="s">
        <v>20</v>
      </c>
      <c r="E2168" s="21">
        <v>46204</v>
      </c>
      <c r="F2168" s="21">
        <v>46568</v>
      </c>
      <c r="G2168" s="21"/>
      <c r="H2168" s="21">
        <v>46204</v>
      </c>
      <c r="I2168" s="21">
        <v>46568</v>
      </c>
      <c r="J2168" s="19" t="s">
        <v>2080</v>
      </c>
      <c r="L2168" s="19">
        <v>33.130630250000003</v>
      </c>
      <c r="M2168" s="19">
        <v>33.130630250000003</v>
      </c>
      <c r="N2168" s="19" t="s">
        <v>1475</v>
      </c>
      <c r="O2168" s="20">
        <v>1</v>
      </c>
      <c r="S2168" s="19" t="s">
        <v>20</v>
      </c>
      <c r="T2168" s="19" t="s">
        <v>1471</v>
      </c>
    </row>
    <row r="2169" spans="1:20">
      <c r="A2169" s="20">
        <v>202603330077961</v>
      </c>
      <c r="B2169" s="19" t="s">
        <v>20</v>
      </c>
      <c r="C2169" s="19" t="s">
        <v>21</v>
      </c>
      <c r="D2169" s="19" t="s">
        <v>20</v>
      </c>
      <c r="E2169" s="21">
        <v>46204</v>
      </c>
      <c r="F2169" s="21">
        <v>46568</v>
      </c>
      <c r="G2169" s="21"/>
      <c r="H2169" s="21">
        <v>46204</v>
      </c>
      <c r="I2169" s="21">
        <v>46568</v>
      </c>
      <c r="J2169" s="19" t="s">
        <v>2135</v>
      </c>
      <c r="L2169" s="19">
        <v>66.261260500000006</v>
      </c>
      <c r="M2169" s="19">
        <v>66.261260500000006</v>
      </c>
      <c r="N2169" s="19" t="s">
        <v>1475</v>
      </c>
      <c r="O2169" s="20">
        <v>2</v>
      </c>
      <c r="S2169" s="19" t="s">
        <v>20</v>
      </c>
      <c r="T2169" s="19" t="s">
        <v>1471</v>
      </c>
    </row>
    <row r="2170" spans="1:20">
      <c r="A2170" s="20">
        <v>202603330079061</v>
      </c>
      <c r="B2170" s="19" t="s">
        <v>20</v>
      </c>
      <c r="C2170" s="19" t="s">
        <v>21</v>
      </c>
      <c r="D2170" s="19" t="s">
        <v>20</v>
      </c>
      <c r="E2170" s="21">
        <v>46204</v>
      </c>
      <c r="F2170" s="21">
        <v>46568</v>
      </c>
      <c r="G2170" s="21"/>
      <c r="H2170" s="21">
        <v>46204</v>
      </c>
      <c r="I2170" s="21">
        <v>46568</v>
      </c>
      <c r="J2170" s="19" t="s">
        <v>2182</v>
      </c>
      <c r="L2170" s="19">
        <v>23.968290750000001</v>
      </c>
      <c r="M2170" s="19">
        <v>23.968290750000001</v>
      </c>
      <c r="N2170" s="19" t="s">
        <v>1475</v>
      </c>
      <c r="O2170" s="20">
        <v>1</v>
      </c>
      <c r="S2170" s="19" t="s">
        <v>20</v>
      </c>
      <c r="T2170" s="19" t="s">
        <v>1471</v>
      </c>
    </row>
    <row r="2171" spans="1:20">
      <c r="A2171" s="20">
        <v>202603330080373</v>
      </c>
      <c r="B2171" s="19" t="s">
        <v>20</v>
      </c>
      <c r="C2171" s="19" t="s">
        <v>21</v>
      </c>
      <c r="D2171" s="19" t="s">
        <v>20</v>
      </c>
      <c r="E2171" s="21">
        <v>46204</v>
      </c>
      <c r="F2171" s="21">
        <v>46568</v>
      </c>
      <c r="G2171" s="21"/>
      <c r="H2171" s="21">
        <v>46204</v>
      </c>
      <c r="I2171" s="21">
        <v>46568</v>
      </c>
      <c r="J2171" s="19" t="s">
        <v>2272</v>
      </c>
      <c r="L2171" s="19">
        <v>33.130630250000003</v>
      </c>
      <c r="M2171" s="19">
        <v>33.130630250000003</v>
      </c>
      <c r="N2171" s="19" t="s">
        <v>1475</v>
      </c>
      <c r="O2171" s="20">
        <v>1</v>
      </c>
      <c r="S2171" s="19" t="s">
        <v>20</v>
      </c>
      <c r="T2171" s="19" t="s">
        <v>1471</v>
      </c>
    </row>
    <row r="2172" spans="1:20">
      <c r="A2172" s="20">
        <v>202603330080378</v>
      </c>
      <c r="B2172" s="19" t="s">
        <v>20</v>
      </c>
      <c r="C2172" s="19" t="s">
        <v>21</v>
      </c>
      <c r="D2172" s="19" t="s">
        <v>20</v>
      </c>
      <c r="E2172" s="21">
        <v>46204</v>
      </c>
      <c r="F2172" s="21">
        <v>46568</v>
      </c>
      <c r="G2172" s="21"/>
      <c r="H2172" s="21">
        <v>46204</v>
      </c>
      <c r="I2172" s="21">
        <v>46568</v>
      </c>
      <c r="J2172" s="19" t="s">
        <v>2077</v>
      </c>
      <c r="L2172" s="19">
        <v>29.817561749999999</v>
      </c>
      <c r="M2172" s="19">
        <v>29.817561749999999</v>
      </c>
      <c r="N2172" s="19" t="s">
        <v>1475</v>
      </c>
      <c r="O2172" s="20">
        <v>1</v>
      </c>
      <c r="S2172" s="19" t="s">
        <v>20</v>
      </c>
      <c r="T2172" s="19" t="s">
        <v>1471</v>
      </c>
    </row>
    <row r="2173" spans="1:20">
      <c r="A2173" s="20">
        <v>202603330081834</v>
      </c>
      <c r="B2173" s="19" t="s">
        <v>20</v>
      </c>
      <c r="C2173" s="19" t="s">
        <v>21</v>
      </c>
      <c r="D2173" s="19" t="s">
        <v>20</v>
      </c>
      <c r="E2173" s="21">
        <v>46204</v>
      </c>
      <c r="F2173" s="21">
        <v>46568</v>
      </c>
      <c r="G2173" s="21"/>
      <c r="H2173" s="21">
        <v>46204</v>
      </c>
      <c r="I2173" s="21">
        <v>46568</v>
      </c>
      <c r="J2173" s="19" t="s">
        <v>2073</v>
      </c>
      <c r="L2173" s="19">
        <v>52.517367999999998</v>
      </c>
      <c r="M2173" s="19">
        <v>52.517367999999998</v>
      </c>
      <c r="N2173" s="19" t="s">
        <v>1475</v>
      </c>
      <c r="O2173" s="20">
        <v>2</v>
      </c>
      <c r="S2173" s="19" t="s">
        <v>20</v>
      </c>
      <c r="T2173" s="19" t="s">
        <v>1471</v>
      </c>
    </row>
    <row r="2174" spans="1:20">
      <c r="A2174" s="20">
        <v>202603330081863</v>
      </c>
      <c r="B2174" s="19" t="s">
        <v>20</v>
      </c>
      <c r="C2174" s="19" t="s">
        <v>21</v>
      </c>
      <c r="D2174" s="19" t="s">
        <v>20</v>
      </c>
      <c r="E2174" s="21">
        <v>46204</v>
      </c>
      <c r="F2174" s="21">
        <v>46568</v>
      </c>
      <c r="G2174" s="21"/>
      <c r="H2174" s="21">
        <v>46204</v>
      </c>
      <c r="I2174" s="21">
        <v>46568</v>
      </c>
      <c r="J2174" s="19" t="s">
        <v>2085</v>
      </c>
      <c r="L2174" s="19">
        <v>0</v>
      </c>
      <c r="M2174" s="19">
        <v>0</v>
      </c>
      <c r="N2174" s="19" t="s">
        <v>2394</v>
      </c>
      <c r="O2174" s="20">
        <v>2</v>
      </c>
      <c r="S2174" s="19" t="s">
        <v>20</v>
      </c>
      <c r="T2174" s="19" t="s">
        <v>1471</v>
      </c>
    </row>
    <row r="2175" spans="1:20">
      <c r="A2175" s="20">
        <v>202603330081863</v>
      </c>
      <c r="B2175" s="19" t="s">
        <v>20</v>
      </c>
      <c r="C2175" s="19" t="s">
        <v>21</v>
      </c>
      <c r="D2175" s="19" t="s">
        <v>20</v>
      </c>
      <c r="E2175" s="21">
        <v>46204</v>
      </c>
      <c r="F2175" s="21">
        <v>46568</v>
      </c>
      <c r="G2175" s="21"/>
      <c r="H2175" s="21">
        <v>46204</v>
      </c>
      <c r="I2175" s="21">
        <v>46568</v>
      </c>
      <c r="J2175" s="19" t="s">
        <v>2085</v>
      </c>
      <c r="L2175" s="19">
        <v>49.241346999999998</v>
      </c>
      <c r="M2175" s="19">
        <v>49.241346999999998</v>
      </c>
      <c r="N2175" s="19" t="s">
        <v>1475</v>
      </c>
      <c r="O2175" s="20">
        <v>2</v>
      </c>
      <c r="S2175" s="19" t="s">
        <v>20</v>
      </c>
      <c r="T2175" s="19" t="s">
        <v>1471</v>
      </c>
    </row>
    <row r="2176" spans="1:20">
      <c r="A2176" s="20">
        <v>202603330083716</v>
      </c>
      <c r="B2176" s="19" t="s">
        <v>20</v>
      </c>
      <c r="C2176" s="19" t="s">
        <v>21</v>
      </c>
      <c r="D2176" s="19" t="s">
        <v>20</v>
      </c>
      <c r="E2176" s="21">
        <v>46204</v>
      </c>
      <c r="F2176" s="21">
        <v>46568</v>
      </c>
      <c r="G2176" s="21"/>
      <c r="H2176" s="21">
        <v>46204</v>
      </c>
      <c r="I2176" s="21">
        <v>46568</v>
      </c>
      <c r="J2176" s="19" t="s">
        <v>2083</v>
      </c>
      <c r="L2176" s="19">
        <v>33.130630250000003</v>
      </c>
      <c r="M2176" s="19">
        <v>33.130630250000003</v>
      </c>
      <c r="N2176" s="19" t="s">
        <v>1475</v>
      </c>
      <c r="O2176" s="20">
        <v>1</v>
      </c>
      <c r="S2176" s="19" t="s">
        <v>20</v>
      </c>
      <c r="T2176" s="19" t="s">
        <v>1471</v>
      </c>
    </row>
    <row r="2177" spans="1:20">
      <c r="A2177" s="20">
        <v>202603330083724</v>
      </c>
      <c r="B2177" s="19" t="s">
        <v>20</v>
      </c>
      <c r="C2177" s="19" t="s">
        <v>21</v>
      </c>
      <c r="D2177" s="19" t="s">
        <v>20</v>
      </c>
      <c r="E2177" s="21">
        <v>46204</v>
      </c>
      <c r="F2177" s="21">
        <v>46568</v>
      </c>
      <c r="G2177" s="21"/>
      <c r="H2177" s="21">
        <v>46204</v>
      </c>
      <c r="I2177" s="21">
        <v>46568</v>
      </c>
      <c r="J2177" s="19" t="s">
        <v>2109</v>
      </c>
      <c r="L2177" s="19">
        <v>89.452685250000002</v>
      </c>
      <c r="M2177" s="19">
        <v>89.452685250000002</v>
      </c>
      <c r="N2177" s="19" t="s">
        <v>1475</v>
      </c>
      <c r="O2177" s="20">
        <v>3</v>
      </c>
      <c r="S2177" s="19" t="s">
        <v>20</v>
      </c>
      <c r="T2177" s="19" t="s">
        <v>1471</v>
      </c>
    </row>
    <row r="2178" spans="1:20">
      <c r="A2178" s="20">
        <v>202603330084431</v>
      </c>
      <c r="B2178" s="19" t="s">
        <v>20</v>
      </c>
      <c r="C2178" s="19" t="s">
        <v>21</v>
      </c>
      <c r="D2178" s="19" t="s">
        <v>2381</v>
      </c>
      <c r="E2178" s="21">
        <v>46204</v>
      </c>
      <c r="F2178" s="21">
        <v>46568</v>
      </c>
      <c r="G2178" s="21"/>
      <c r="H2178" s="21">
        <v>46204</v>
      </c>
      <c r="I2178" s="21">
        <v>46568</v>
      </c>
      <c r="J2178" s="19" t="s">
        <v>2283</v>
      </c>
      <c r="L2178" s="19">
        <v>33.130630250000003</v>
      </c>
      <c r="M2178" s="19">
        <v>33.130630250000003</v>
      </c>
      <c r="N2178" s="19" t="s">
        <v>1467</v>
      </c>
      <c r="O2178" s="20">
        <v>1</v>
      </c>
      <c r="S2178" s="19" t="s">
        <v>20</v>
      </c>
      <c r="T2178" s="19" t="s">
        <v>1471</v>
      </c>
    </row>
    <row r="2179" spans="1:20">
      <c r="A2179" s="20">
        <v>202603330088800</v>
      </c>
      <c r="B2179" s="19" t="s">
        <v>20</v>
      </c>
      <c r="C2179" s="19" t="s">
        <v>21</v>
      </c>
      <c r="D2179" s="19" t="s">
        <v>20</v>
      </c>
      <c r="E2179" s="21">
        <v>46204</v>
      </c>
      <c r="F2179" s="21">
        <v>46568</v>
      </c>
      <c r="G2179" s="21"/>
      <c r="H2179" s="21">
        <v>46204</v>
      </c>
      <c r="I2179" s="21">
        <v>46568</v>
      </c>
      <c r="J2179" s="19" t="s">
        <v>2129</v>
      </c>
      <c r="L2179" s="19">
        <v>66.261260500000006</v>
      </c>
      <c r="M2179" s="19">
        <v>66.261260500000006</v>
      </c>
      <c r="N2179" s="19" t="s">
        <v>1475</v>
      </c>
      <c r="O2179" s="20">
        <v>2</v>
      </c>
      <c r="S2179" s="19" t="s">
        <v>20</v>
      </c>
      <c r="T2179" s="19" t="s">
        <v>1471</v>
      </c>
    </row>
    <row r="2180" spans="1:20">
      <c r="A2180" s="20">
        <v>202603330089512</v>
      </c>
      <c r="B2180" s="19" t="s">
        <v>20</v>
      </c>
      <c r="C2180" s="19" t="s">
        <v>21</v>
      </c>
      <c r="D2180" s="19" t="s">
        <v>20</v>
      </c>
      <c r="E2180" s="21">
        <v>46204</v>
      </c>
      <c r="F2180" s="21">
        <v>46568</v>
      </c>
      <c r="G2180" s="21"/>
      <c r="H2180" s="21">
        <v>46204</v>
      </c>
      <c r="I2180" s="21">
        <v>46568</v>
      </c>
      <c r="J2180" s="19" t="s">
        <v>2334</v>
      </c>
      <c r="L2180" s="19">
        <v>0</v>
      </c>
      <c r="M2180" s="19">
        <v>0</v>
      </c>
      <c r="N2180" s="19" t="s">
        <v>2394</v>
      </c>
      <c r="O2180" s="20">
        <v>2</v>
      </c>
      <c r="S2180" s="19" t="s">
        <v>20</v>
      </c>
      <c r="T2180" s="19" t="s">
        <v>1471</v>
      </c>
    </row>
    <row r="2181" spans="1:20">
      <c r="A2181" s="20">
        <v>202603330089512</v>
      </c>
      <c r="B2181" s="19" t="s">
        <v>20</v>
      </c>
      <c r="C2181" s="19" t="s">
        <v>21</v>
      </c>
      <c r="D2181" s="19" t="s">
        <v>2382</v>
      </c>
      <c r="E2181" s="21">
        <v>46204</v>
      </c>
      <c r="F2181" s="21">
        <v>46568</v>
      </c>
      <c r="G2181" s="21"/>
      <c r="H2181" s="21">
        <v>46204</v>
      </c>
      <c r="I2181" s="21">
        <v>46568</v>
      </c>
      <c r="J2181" s="19" t="s">
        <v>2334</v>
      </c>
      <c r="L2181" s="19">
        <v>36.320164499999997</v>
      </c>
      <c r="M2181" s="19">
        <v>36.320164499999997</v>
      </c>
      <c r="N2181" s="19" t="s">
        <v>1467</v>
      </c>
      <c r="O2181" s="20">
        <v>2</v>
      </c>
      <c r="S2181" s="19" t="s">
        <v>20</v>
      </c>
      <c r="T2181" s="19" t="s">
        <v>1471</v>
      </c>
    </row>
    <row r="2182" spans="1:20">
      <c r="A2182" s="20">
        <v>202603330090531</v>
      </c>
      <c r="B2182" s="19" t="s">
        <v>20</v>
      </c>
      <c r="C2182" s="19" t="s">
        <v>21</v>
      </c>
      <c r="D2182" s="19" t="s">
        <v>20</v>
      </c>
      <c r="E2182" s="21">
        <v>46204</v>
      </c>
      <c r="F2182" s="21">
        <v>46568</v>
      </c>
      <c r="G2182" s="21"/>
      <c r="H2182" s="21">
        <v>46204</v>
      </c>
      <c r="I2182" s="21">
        <v>46568</v>
      </c>
      <c r="J2182" s="19" t="s">
        <v>2083</v>
      </c>
      <c r="L2182" s="19">
        <v>0</v>
      </c>
      <c r="M2182" s="19">
        <v>0</v>
      </c>
      <c r="N2182" s="19" t="s">
        <v>2394</v>
      </c>
      <c r="O2182" s="20">
        <v>7</v>
      </c>
      <c r="S2182" s="19" t="s">
        <v>20</v>
      </c>
      <c r="T2182" s="19" t="s">
        <v>1471</v>
      </c>
    </row>
    <row r="2183" spans="1:20">
      <c r="A2183" s="20">
        <v>202603330090531</v>
      </c>
      <c r="B2183" s="19" t="s">
        <v>20</v>
      </c>
      <c r="C2183" s="19" t="s">
        <v>21</v>
      </c>
      <c r="D2183" s="19" t="s">
        <v>20</v>
      </c>
      <c r="E2183" s="21">
        <v>46204</v>
      </c>
      <c r="F2183" s="21">
        <v>46568</v>
      </c>
      <c r="G2183" s="21"/>
      <c r="H2183" s="21">
        <v>46204</v>
      </c>
      <c r="I2183" s="21">
        <v>46568</v>
      </c>
      <c r="J2183" s="19" t="s">
        <v>2083</v>
      </c>
      <c r="L2183" s="19">
        <v>231.91441175</v>
      </c>
      <c r="M2183" s="19">
        <v>231.91441175</v>
      </c>
      <c r="N2183" s="19" t="s">
        <v>1475</v>
      </c>
      <c r="O2183" s="20">
        <v>7</v>
      </c>
      <c r="S2183" s="19" t="s">
        <v>20</v>
      </c>
      <c r="T2183" s="19" t="s">
        <v>1471</v>
      </c>
    </row>
    <row r="2184" spans="1:20">
      <c r="A2184" s="20">
        <v>202603330091328</v>
      </c>
      <c r="B2184" s="19" t="s">
        <v>20</v>
      </c>
      <c r="C2184" s="19" t="s">
        <v>21</v>
      </c>
      <c r="D2184" s="19" t="s">
        <v>20</v>
      </c>
      <c r="E2184" s="21">
        <v>46204</v>
      </c>
      <c r="F2184" s="21">
        <v>46568</v>
      </c>
      <c r="G2184" s="21"/>
      <c r="H2184" s="21">
        <v>46204</v>
      </c>
      <c r="I2184" s="21">
        <v>46568</v>
      </c>
      <c r="J2184" s="19" t="s">
        <v>2064</v>
      </c>
      <c r="L2184" s="19">
        <v>33.130630250000003</v>
      </c>
      <c r="M2184" s="19">
        <v>33.130630250000003</v>
      </c>
      <c r="N2184" s="19" t="s">
        <v>1475</v>
      </c>
      <c r="O2184" s="20">
        <v>1</v>
      </c>
      <c r="S2184" s="19" t="s">
        <v>20</v>
      </c>
      <c r="T2184" s="19" t="s">
        <v>1471</v>
      </c>
    </row>
    <row r="2185" spans="1:20">
      <c r="A2185" s="20">
        <v>202603330092850</v>
      </c>
      <c r="B2185" s="19" t="s">
        <v>20</v>
      </c>
      <c r="C2185" s="19" t="s">
        <v>21</v>
      </c>
      <c r="D2185" s="19" t="s">
        <v>20</v>
      </c>
      <c r="E2185" s="21">
        <v>46204</v>
      </c>
      <c r="F2185" s="21">
        <v>46568</v>
      </c>
      <c r="G2185" s="21"/>
      <c r="H2185" s="21">
        <v>46204</v>
      </c>
      <c r="I2185" s="21">
        <v>46568</v>
      </c>
      <c r="J2185" s="19" t="s">
        <v>2383</v>
      </c>
      <c r="L2185" s="19">
        <v>71.904872249999997</v>
      </c>
      <c r="M2185" s="19">
        <v>71.904872249999997</v>
      </c>
      <c r="N2185" s="19" t="s">
        <v>1475</v>
      </c>
      <c r="O2185" s="20">
        <v>3</v>
      </c>
      <c r="S2185" s="19" t="s">
        <v>20</v>
      </c>
      <c r="T2185" s="19" t="s">
        <v>1471</v>
      </c>
    </row>
    <row r="2186" spans="1:20">
      <c r="A2186" s="20">
        <v>202603330093527</v>
      </c>
      <c r="B2186" s="19" t="s">
        <v>20</v>
      </c>
      <c r="C2186" s="19" t="s">
        <v>21</v>
      </c>
      <c r="D2186" s="19" t="s">
        <v>20</v>
      </c>
      <c r="E2186" s="21">
        <v>46204</v>
      </c>
      <c r="F2186" s="21">
        <v>46568</v>
      </c>
      <c r="G2186" s="21"/>
      <c r="H2186" s="21">
        <v>46204</v>
      </c>
      <c r="I2186" s="21">
        <v>46568</v>
      </c>
      <c r="J2186" s="19" t="s">
        <v>2095</v>
      </c>
      <c r="L2186" s="19">
        <v>66.261260500000006</v>
      </c>
      <c r="M2186" s="19">
        <v>66.261260500000006</v>
      </c>
      <c r="N2186" s="19" t="s">
        <v>1475</v>
      </c>
      <c r="O2186" s="20">
        <v>2</v>
      </c>
      <c r="S2186" s="19" t="s">
        <v>20</v>
      </c>
      <c r="T2186" s="19" t="s">
        <v>1471</v>
      </c>
    </row>
    <row r="2187" spans="1:20">
      <c r="A2187" s="20">
        <v>202603330093653</v>
      </c>
      <c r="B2187" s="19" t="s">
        <v>20</v>
      </c>
      <c r="C2187" s="19" t="s">
        <v>21</v>
      </c>
      <c r="D2187" s="19" t="s">
        <v>20</v>
      </c>
      <c r="E2187" s="21">
        <v>46204</v>
      </c>
      <c r="F2187" s="21">
        <v>46568</v>
      </c>
      <c r="G2187" s="21"/>
      <c r="H2187" s="21">
        <v>46204</v>
      </c>
      <c r="I2187" s="21">
        <v>46568</v>
      </c>
      <c r="J2187" s="19" t="s">
        <v>2068</v>
      </c>
      <c r="L2187" s="19">
        <v>0</v>
      </c>
      <c r="M2187" s="19">
        <v>0</v>
      </c>
      <c r="N2187" s="19" t="s">
        <v>2394</v>
      </c>
      <c r="O2187" s="20">
        <v>4</v>
      </c>
      <c r="S2187" s="19" t="s">
        <v>20</v>
      </c>
      <c r="T2187" s="19" t="s">
        <v>1471</v>
      </c>
    </row>
    <row r="2188" spans="1:20">
      <c r="A2188" s="20">
        <v>202603330093653</v>
      </c>
      <c r="B2188" s="19" t="s">
        <v>20</v>
      </c>
      <c r="C2188" s="19" t="s">
        <v>21</v>
      </c>
      <c r="D2188" s="19" t="s">
        <v>20</v>
      </c>
      <c r="E2188" s="21">
        <v>46204</v>
      </c>
      <c r="F2188" s="21">
        <v>46568</v>
      </c>
      <c r="G2188" s="21"/>
      <c r="H2188" s="21">
        <v>46204</v>
      </c>
      <c r="I2188" s="21">
        <v>46568</v>
      </c>
      <c r="J2188" s="19" t="s">
        <v>2068</v>
      </c>
      <c r="L2188" s="19">
        <v>105.034736</v>
      </c>
      <c r="M2188" s="19">
        <v>105.034736</v>
      </c>
      <c r="N2188" s="19" t="s">
        <v>1475</v>
      </c>
      <c r="O2188" s="20">
        <v>4</v>
      </c>
      <c r="S2188" s="19" t="s">
        <v>20</v>
      </c>
      <c r="T2188" s="19" t="s">
        <v>1471</v>
      </c>
    </row>
    <row r="2189" spans="1:20">
      <c r="A2189" s="20">
        <v>202603330093761</v>
      </c>
      <c r="B2189" s="19" t="s">
        <v>20</v>
      </c>
      <c r="C2189" s="19" t="s">
        <v>21</v>
      </c>
      <c r="D2189" s="19" t="s">
        <v>20</v>
      </c>
      <c r="E2189" s="21">
        <v>46204</v>
      </c>
      <c r="F2189" s="21">
        <v>46568</v>
      </c>
      <c r="G2189" s="21"/>
      <c r="H2189" s="21">
        <v>46204</v>
      </c>
      <c r="I2189" s="21">
        <v>46568</v>
      </c>
      <c r="J2189" s="19" t="s">
        <v>2069</v>
      </c>
      <c r="L2189" s="19">
        <v>0</v>
      </c>
      <c r="M2189" s="19">
        <v>0</v>
      </c>
      <c r="N2189" s="19" t="s">
        <v>2394</v>
      </c>
      <c r="O2189" s="20">
        <v>2</v>
      </c>
      <c r="S2189" s="19" t="s">
        <v>20</v>
      </c>
      <c r="T2189" s="19" t="s">
        <v>1471</v>
      </c>
    </row>
    <row r="2190" spans="1:20">
      <c r="A2190" s="20">
        <v>202603330093761</v>
      </c>
      <c r="B2190" s="19" t="s">
        <v>20</v>
      </c>
      <c r="C2190" s="19" t="s">
        <v>21</v>
      </c>
      <c r="D2190" s="19" t="s">
        <v>20</v>
      </c>
      <c r="E2190" s="21">
        <v>46204</v>
      </c>
      <c r="F2190" s="21">
        <v>46568</v>
      </c>
      <c r="G2190" s="21"/>
      <c r="H2190" s="21">
        <v>46204</v>
      </c>
      <c r="I2190" s="21">
        <v>46568</v>
      </c>
      <c r="J2190" s="19" t="s">
        <v>2069</v>
      </c>
      <c r="L2190" s="19">
        <v>66.261260500000006</v>
      </c>
      <c r="M2190" s="19">
        <v>66.261260500000006</v>
      </c>
      <c r="N2190" s="19" t="s">
        <v>1475</v>
      </c>
      <c r="O2190" s="20">
        <v>2</v>
      </c>
      <c r="S2190" s="19" t="s">
        <v>20</v>
      </c>
      <c r="T2190" s="19" t="s">
        <v>1471</v>
      </c>
    </row>
    <row r="2191" spans="1:20">
      <c r="A2191" s="20">
        <v>202603330094262</v>
      </c>
      <c r="B2191" s="19" t="s">
        <v>20</v>
      </c>
      <c r="C2191" s="19" t="s">
        <v>21</v>
      </c>
      <c r="D2191" s="19" t="s">
        <v>20</v>
      </c>
      <c r="E2191" s="21">
        <v>46204</v>
      </c>
      <c r="F2191" s="21">
        <v>46568</v>
      </c>
      <c r="G2191" s="21"/>
      <c r="H2191" s="21">
        <v>46204</v>
      </c>
      <c r="I2191" s="21">
        <v>46568</v>
      </c>
      <c r="J2191" s="19" t="s">
        <v>2068</v>
      </c>
      <c r="L2191" s="19">
        <v>0</v>
      </c>
      <c r="M2191" s="19">
        <v>0</v>
      </c>
      <c r="N2191" s="19" t="s">
        <v>2394</v>
      </c>
      <c r="O2191" s="20">
        <v>3</v>
      </c>
      <c r="S2191" s="19" t="s">
        <v>20</v>
      </c>
      <c r="T2191" s="19" t="s">
        <v>1471</v>
      </c>
    </row>
    <row r="2192" spans="1:20">
      <c r="A2192" s="20">
        <v>202603330094262</v>
      </c>
      <c r="B2192" s="19" t="s">
        <v>20</v>
      </c>
      <c r="C2192" s="19" t="s">
        <v>21</v>
      </c>
      <c r="D2192" s="19" t="s">
        <v>20</v>
      </c>
      <c r="E2192" s="21">
        <v>46204</v>
      </c>
      <c r="F2192" s="21">
        <v>46568</v>
      </c>
      <c r="G2192" s="21"/>
      <c r="H2192" s="21">
        <v>46204</v>
      </c>
      <c r="I2192" s="21">
        <v>46568</v>
      </c>
      <c r="J2192" s="19" t="s">
        <v>2068</v>
      </c>
      <c r="L2192" s="19">
        <v>78.776052000000007</v>
      </c>
      <c r="M2192" s="19">
        <v>78.776052000000007</v>
      </c>
      <c r="N2192" s="19" t="s">
        <v>1475</v>
      </c>
      <c r="O2192" s="20">
        <v>3</v>
      </c>
      <c r="S2192" s="19" t="s">
        <v>20</v>
      </c>
      <c r="T2192" s="19" t="s">
        <v>1471</v>
      </c>
    </row>
    <row r="2193" spans="1:20">
      <c r="A2193" s="20">
        <v>202603330096624</v>
      </c>
      <c r="B2193" s="19" t="s">
        <v>20</v>
      </c>
      <c r="C2193" s="19" t="s">
        <v>21</v>
      </c>
      <c r="D2193" s="19" t="s">
        <v>20</v>
      </c>
      <c r="E2193" s="21">
        <v>46204</v>
      </c>
      <c r="F2193" s="21">
        <v>46568</v>
      </c>
      <c r="G2193" s="21"/>
      <c r="H2193" s="21">
        <v>46204</v>
      </c>
      <c r="I2193" s="21">
        <v>46568</v>
      </c>
      <c r="J2193" s="19" t="s">
        <v>2135</v>
      </c>
      <c r="L2193" s="19">
        <v>33.130630250000003</v>
      </c>
      <c r="M2193" s="19">
        <v>33.130630250000003</v>
      </c>
      <c r="N2193" s="19" t="s">
        <v>1475</v>
      </c>
      <c r="O2193" s="20">
        <v>1</v>
      </c>
      <c r="S2193" s="19" t="s">
        <v>20</v>
      </c>
      <c r="T2193" s="19" t="s">
        <v>1471</v>
      </c>
    </row>
    <row r="2194" spans="1:20">
      <c r="A2194" s="20">
        <v>202603330097171</v>
      </c>
      <c r="B2194" s="19" t="s">
        <v>20</v>
      </c>
      <c r="C2194" s="19" t="s">
        <v>21</v>
      </c>
      <c r="D2194" s="19" t="s">
        <v>20</v>
      </c>
      <c r="E2194" s="21">
        <v>46204</v>
      </c>
      <c r="F2194" s="21">
        <v>46568</v>
      </c>
      <c r="G2194" s="21"/>
      <c r="H2194" s="21">
        <v>46204</v>
      </c>
      <c r="I2194" s="21">
        <v>46568</v>
      </c>
      <c r="J2194" s="19" t="s">
        <v>2085</v>
      </c>
      <c r="L2194" s="19">
        <v>24.620673499999999</v>
      </c>
      <c r="M2194" s="19">
        <v>24.620673499999999</v>
      </c>
      <c r="N2194" s="19" t="s">
        <v>1475</v>
      </c>
      <c r="O2194" s="20">
        <v>1</v>
      </c>
      <c r="S2194" s="19" t="s">
        <v>20</v>
      </c>
      <c r="T2194" s="19" t="s">
        <v>1471</v>
      </c>
    </row>
    <row r="2195" spans="1:20">
      <c r="A2195" s="20">
        <v>202603330098193</v>
      </c>
      <c r="B2195" s="19" t="s">
        <v>20</v>
      </c>
      <c r="C2195" s="19" t="s">
        <v>21</v>
      </c>
      <c r="D2195" s="19" t="s">
        <v>20</v>
      </c>
      <c r="E2195" s="21">
        <v>46204</v>
      </c>
      <c r="F2195" s="21">
        <v>46568</v>
      </c>
      <c r="G2195" s="21"/>
      <c r="H2195" s="21">
        <v>46204</v>
      </c>
      <c r="I2195" s="21">
        <v>46568</v>
      </c>
      <c r="J2195" s="19" t="s">
        <v>2064</v>
      </c>
      <c r="L2195" s="19">
        <v>0</v>
      </c>
      <c r="M2195" s="19">
        <v>0</v>
      </c>
      <c r="N2195" s="19" t="s">
        <v>2394</v>
      </c>
      <c r="O2195" s="20">
        <v>2</v>
      </c>
      <c r="S2195" s="19" t="s">
        <v>20</v>
      </c>
      <c r="T2195" s="19" t="s">
        <v>1471</v>
      </c>
    </row>
    <row r="2196" spans="1:20">
      <c r="A2196" s="20">
        <v>202603330098193</v>
      </c>
      <c r="B2196" s="19" t="s">
        <v>20</v>
      </c>
      <c r="C2196" s="19" t="s">
        <v>21</v>
      </c>
      <c r="D2196" s="19" t="s">
        <v>20</v>
      </c>
      <c r="E2196" s="21">
        <v>46204</v>
      </c>
      <c r="F2196" s="21">
        <v>46568</v>
      </c>
      <c r="G2196" s="21"/>
      <c r="H2196" s="21">
        <v>46204</v>
      </c>
      <c r="I2196" s="21">
        <v>46568</v>
      </c>
      <c r="J2196" s="19" t="s">
        <v>2064</v>
      </c>
      <c r="L2196" s="19">
        <v>66.261260500000006</v>
      </c>
      <c r="M2196" s="19">
        <v>66.261260500000006</v>
      </c>
      <c r="N2196" s="19" t="s">
        <v>1475</v>
      </c>
      <c r="O2196" s="20">
        <v>2</v>
      </c>
      <c r="S2196" s="19" t="s">
        <v>20</v>
      </c>
      <c r="T2196" s="19" t="s">
        <v>1471</v>
      </c>
    </row>
    <row r="2197" spans="1:20">
      <c r="A2197" s="20">
        <v>202603330100654</v>
      </c>
      <c r="B2197" s="19" t="s">
        <v>20</v>
      </c>
      <c r="C2197" s="19" t="s">
        <v>21</v>
      </c>
      <c r="D2197" s="19" t="s">
        <v>20</v>
      </c>
      <c r="E2197" s="21">
        <v>46204</v>
      </c>
      <c r="F2197" s="21">
        <v>46568</v>
      </c>
      <c r="G2197" s="21"/>
      <c r="H2197" s="21">
        <v>46204</v>
      </c>
      <c r="I2197" s="21">
        <v>46568</v>
      </c>
      <c r="J2197" s="19" t="s">
        <v>2064</v>
      </c>
      <c r="L2197" s="19">
        <v>0</v>
      </c>
      <c r="M2197" s="19">
        <v>0</v>
      </c>
      <c r="N2197" s="19" t="s">
        <v>2394</v>
      </c>
      <c r="O2197" s="20">
        <v>2</v>
      </c>
      <c r="S2197" s="19" t="s">
        <v>20</v>
      </c>
      <c r="T2197" s="19" t="s">
        <v>1471</v>
      </c>
    </row>
    <row r="2198" spans="1:20">
      <c r="A2198" s="20">
        <v>202603330100654</v>
      </c>
      <c r="B2198" s="19" t="s">
        <v>20</v>
      </c>
      <c r="C2198" s="19" t="s">
        <v>21</v>
      </c>
      <c r="D2198" s="19" t="s">
        <v>20</v>
      </c>
      <c r="E2198" s="21">
        <v>46204</v>
      </c>
      <c r="F2198" s="21">
        <v>46568</v>
      </c>
      <c r="G2198" s="21"/>
      <c r="H2198" s="21">
        <v>46204</v>
      </c>
      <c r="I2198" s="21">
        <v>46568</v>
      </c>
      <c r="J2198" s="19" t="s">
        <v>2064</v>
      </c>
      <c r="L2198" s="19">
        <v>66.261260500000006</v>
      </c>
      <c r="M2198" s="19">
        <v>66.261260500000006</v>
      </c>
      <c r="N2198" s="19" t="s">
        <v>1475</v>
      </c>
      <c r="O2198" s="20">
        <v>2</v>
      </c>
      <c r="S2198" s="19" t="s">
        <v>20</v>
      </c>
      <c r="T2198" s="19" t="s">
        <v>1471</v>
      </c>
    </row>
    <row r="2199" spans="1:20">
      <c r="A2199" s="20">
        <v>202603330100975</v>
      </c>
      <c r="B2199" s="19" t="s">
        <v>20</v>
      </c>
      <c r="C2199" s="19" t="s">
        <v>21</v>
      </c>
      <c r="D2199" s="19" t="s">
        <v>20</v>
      </c>
      <c r="E2199" s="21">
        <v>46204</v>
      </c>
      <c r="F2199" s="21">
        <v>46568</v>
      </c>
      <c r="G2199" s="21"/>
      <c r="H2199" s="21">
        <v>46204</v>
      </c>
      <c r="I2199" s="21">
        <v>46568</v>
      </c>
      <c r="J2199" s="19" t="s">
        <v>2135</v>
      </c>
      <c r="L2199" s="19">
        <v>66.261260500000006</v>
      </c>
      <c r="M2199" s="19">
        <v>66.261260500000006</v>
      </c>
      <c r="N2199" s="19" t="s">
        <v>1475</v>
      </c>
      <c r="O2199" s="20">
        <v>2</v>
      </c>
      <c r="S2199" s="19" t="s">
        <v>20</v>
      </c>
      <c r="T2199" s="19" t="s">
        <v>1471</v>
      </c>
    </row>
    <row r="2200" spans="1:20">
      <c r="A2200" s="20">
        <v>202603330101107</v>
      </c>
      <c r="B2200" s="19" t="s">
        <v>20</v>
      </c>
      <c r="C2200" s="19" t="s">
        <v>21</v>
      </c>
      <c r="D2200" s="19" t="s">
        <v>20</v>
      </c>
      <c r="E2200" s="21">
        <v>46204</v>
      </c>
      <c r="F2200" s="21">
        <v>46568</v>
      </c>
      <c r="G2200" s="21"/>
      <c r="H2200" s="21">
        <v>46204</v>
      </c>
      <c r="I2200" s="21">
        <v>46568</v>
      </c>
      <c r="J2200" s="19" t="s">
        <v>2104</v>
      </c>
      <c r="L2200" s="19">
        <v>0</v>
      </c>
      <c r="M2200" s="19">
        <v>0</v>
      </c>
      <c r="N2200" s="19" t="s">
        <v>2394</v>
      </c>
      <c r="O2200" s="20">
        <v>4</v>
      </c>
      <c r="S2200" s="19" t="s">
        <v>20</v>
      </c>
      <c r="T2200" s="19" t="s">
        <v>1471</v>
      </c>
    </row>
    <row r="2201" spans="1:20">
      <c r="A2201" s="20">
        <v>202603330101107</v>
      </c>
      <c r="B2201" s="19" t="s">
        <v>20</v>
      </c>
      <c r="C2201" s="19" t="s">
        <v>21</v>
      </c>
      <c r="D2201" s="19" t="s">
        <v>20</v>
      </c>
      <c r="E2201" s="21">
        <v>46204</v>
      </c>
      <c r="F2201" s="21">
        <v>46568</v>
      </c>
      <c r="G2201" s="21"/>
      <c r="H2201" s="21">
        <v>46204</v>
      </c>
      <c r="I2201" s="21">
        <v>46568</v>
      </c>
      <c r="J2201" s="19" t="s">
        <v>2104</v>
      </c>
      <c r="L2201" s="19">
        <v>132.52252100000001</v>
      </c>
      <c r="M2201" s="19">
        <v>132.52252100000001</v>
      </c>
      <c r="N2201" s="19" t="s">
        <v>1475</v>
      </c>
      <c r="O2201" s="20">
        <v>4</v>
      </c>
      <c r="S2201" s="19" t="s">
        <v>20</v>
      </c>
      <c r="T2201" s="19" t="s">
        <v>1471</v>
      </c>
    </row>
    <row r="2202" spans="1:20">
      <c r="A2202" s="20">
        <v>202603330101154</v>
      </c>
      <c r="B2202" s="19" t="s">
        <v>20</v>
      </c>
      <c r="C2202" s="19" t="s">
        <v>21</v>
      </c>
      <c r="D2202" s="19" t="s">
        <v>20</v>
      </c>
      <c r="E2202" s="21">
        <v>46204</v>
      </c>
      <c r="F2202" s="21">
        <v>46568</v>
      </c>
      <c r="G2202" s="21"/>
      <c r="H2202" s="21">
        <v>46204</v>
      </c>
      <c r="I2202" s="21">
        <v>46568</v>
      </c>
      <c r="J2202" s="19" t="s">
        <v>2064</v>
      </c>
      <c r="L2202" s="19">
        <v>0</v>
      </c>
      <c r="M2202" s="19">
        <v>0</v>
      </c>
      <c r="N2202" s="19" t="s">
        <v>2394</v>
      </c>
      <c r="O2202" s="20">
        <v>4</v>
      </c>
      <c r="S2202" s="19" t="s">
        <v>20</v>
      </c>
      <c r="T2202" s="19" t="s">
        <v>1471</v>
      </c>
    </row>
    <row r="2203" spans="1:20">
      <c r="A2203" s="20">
        <v>202603330101154</v>
      </c>
      <c r="B2203" s="19" t="s">
        <v>20</v>
      </c>
      <c r="C2203" s="19" t="s">
        <v>21</v>
      </c>
      <c r="D2203" s="19" t="s">
        <v>20</v>
      </c>
      <c r="E2203" s="21">
        <v>46204</v>
      </c>
      <c r="F2203" s="21">
        <v>46568</v>
      </c>
      <c r="G2203" s="21"/>
      <c r="H2203" s="21">
        <v>46204</v>
      </c>
      <c r="I2203" s="21">
        <v>46568</v>
      </c>
      <c r="J2203" s="19" t="s">
        <v>2064</v>
      </c>
      <c r="L2203" s="19">
        <v>132.52252100000001</v>
      </c>
      <c r="M2203" s="19">
        <v>132.52252100000001</v>
      </c>
      <c r="N2203" s="19" t="s">
        <v>1475</v>
      </c>
      <c r="O2203" s="20">
        <v>4</v>
      </c>
      <c r="S2203" s="19" t="s">
        <v>20</v>
      </c>
      <c r="T2203" s="19" t="s">
        <v>1471</v>
      </c>
    </row>
    <row r="2204" spans="1:20">
      <c r="A2204" s="20">
        <v>202603330101194</v>
      </c>
      <c r="B2204" s="19" t="s">
        <v>20</v>
      </c>
      <c r="C2204" s="19" t="s">
        <v>21</v>
      </c>
      <c r="D2204" s="19" t="s">
        <v>20</v>
      </c>
      <c r="E2204" s="21">
        <v>46204</v>
      </c>
      <c r="F2204" s="21">
        <v>46568</v>
      </c>
      <c r="G2204" s="21"/>
      <c r="H2204" s="21">
        <v>46204</v>
      </c>
      <c r="I2204" s="21">
        <v>46568</v>
      </c>
      <c r="J2204" s="19" t="s">
        <v>2062</v>
      </c>
      <c r="L2204" s="19">
        <v>0</v>
      </c>
      <c r="M2204" s="19">
        <v>0</v>
      </c>
      <c r="N2204" s="19" t="s">
        <v>2394</v>
      </c>
      <c r="O2204" s="20">
        <v>5</v>
      </c>
      <c r="S2204" s="19" t="s">
        <v>20</v>
      </c>
      <c r="T2204" s="19" t="s">
        <v>1471</v>
      </c>
    </row>
    <row r="2205" spans="1:20">
      <c r="A2205" s="20">
        <v>202603330101194</v>
      </c>
      <c r="B2205" s="19" t="s">
        <v>20</v>
      </c>
      <c r="C2205" s="19" t="s">
        <v>21</v>
      </c>
      <c r="D2205" s="19" t="s">
        <v>2384</v>
      </c>
      <c r="E2205" s="21">
        <v>46204</v>
      </c>
      <c r="F2205" s="21">
        <v>46568</v>
      </c>
      <c r="G2205" s="21"/>
      <c r="H2205" s="21">
        <v>46204</v>
      </c>
      <c r="I2205" s="21">
        <v>46568</v>
      </c>
      <c r="J2205" s="19" t="s">
        <v>2062</v>
      </c>
      <c r="L2205" s="19">
        <v>165.65315125000001</v>
      </c>
      <c r="M2205" s="19">
        <v>165.65315125000001</v>
      </c>
      <c r="N2205" s="19" t="s">
        <v>1467</v>
      </c>
      <c r="O2205" s="20">
        <v>5</v>
      </c>
      <c r="S2205" s="19" t="s">
        <v>20</v>
      </c>
      <c r="T2205" s="19" t="s">
        <v>1471</v>
      </c>
    </row>
    <row r="2206" spans="1:20">
      <c r="A2206" s="20">
        <v>202603330102200</v>
      </c>
      <c r="B2206" s="19" t="s">
        <v>20</v>
      </c>
      <c r="C2206" s="19" t="s">
        <v>21</v>
      </c>
      <c r="D2206" s="19" t="s">
        <v>20</v>
      </c>
      <c r="E2206" s="21">
        <v>46204</v>
      </c>
      <c r="F2206" s="21">
        <v>46568</v>
      </c>
      <c r="G2206" s="21"/>
      <c r="H2206" s="21">
        <v>46204</v>
      </c>
      <c r="I2206" s="21">
        <v>46568</v>
      </c>
      <c r="J2206" s="19" t="s">
        <v>2064</v>
      </c>
      <c r="L2206" s="19">
        <v>33.130630250000003</v>
      </c>
      <c r="M2206" s="19">
        <v>33.130630250000003</v>
      </c>
      <c r="N2206" s="19" t="s">
        <v>1475</v>
      </c>
      <c r="O2206" s="20">
        <v>1</v>
      </c>
      <c r="S2206" s="19" t="s">
        <v>20</v>
      </c>
      <c r="T2206" s="19" t="s">
        <v>1471</v>
      </c>
    </row>
    <row r="2207" spans="1:20">
      <c r="A2207" s="20">
        <v>202603330102360</v>
      </c>
      <c r="B2207" s="19" t="s">
        <v>20</v>
      </c>
      <c r="C2207" s="19" t="s">
        <v>21</v>
      </c>
      <c r="D2207" s="19" t="s">
        <v>20</v>
      </c>
      <c r="E2207" s="21">
        <v>46204</v>
      </c>
      <c r="F2207" s="21">
        <v>46568</v>
      </c>
      <c r="G2207" s="21"/>
      <c r="H2207" s="21">
        <v>46204</v>
      </c>
      <c r="I2207" s="21">
        <v>46568</v>
      </c>
      <c r="J2207" s="19" t="s">
        <v>2105</v>
      </c>
      <c r="L2207" s="19">
        <v>0</v>
      </c>
      <c r="M2207" s="19">
        <v>0</v>
      </c>
      <c r="N2207" s="19" t="s">
        <v>2394</v>
      </c>
      <c r="O2207" s="20">
        <v>4</v>
      </c>
      <c r="S2207" s="19" t="s">
        <v>20</v>
      </c>
      <c r="T2207" s="19" t="s">
        <v>1471</v>
      </c>
    </row>
    <row r="2208" spans="1:20">
      <c r="A2208" s="20">
        <v>202603330102360</v>
      </c>
      <c r="B2208" s="19" t="s">
        <v>20</v>
      </c>
      <c r="C2208" s="19" t="s">
        <v>21</v>
      </c>
      <c r="D2208" s="19" t="s">
        <v>20</v>
      </c>
      <c r="E2208" s="21">
        <v>46204</v>
      </c>
      <c r="F2208" s="21">
        <v>46568</v>
      </c>
      <c r="G2208" s="21"/>
      <c r="H2208" s="21">
        <v>46204</v>
      </c>
      <c r="I2208" s="21">
        <v>46568</v>
      </c>
      <c r="J2208" s="19" t="s">
        <v>2105</v>
      </c>
      <c r="L2208" s="19">
        <v>105.034736</v>
      </c>
      <c r="M2208" s="19">
        <v>105.034736</v>
      </c>
      <c r="N2208" s="19" t="s">
        <v>1475</v>
      </c>
      <c r="O2208" s="20">
        <v>4</v>
      </c>
      <c r="S2208" s="19" t="s">
        <v>20</v>
      </c>
      <c r="T2208" s="19" t="s">
        <v>1471</v>
      </c>
    </row>
    <row r="2209" spans="1:20">
      <c r="A2209" s="20">
        <v>202603330102895</v>
      </c>
      <c r="B2209" s="19" t="s">
        <v>20</v>
      </c>
      <c r="C2209" s="19" t="s">
        <v>21</v>
      </c>
      <c r="D2209" s="19" t="s">
        <v>20</v>
      </c>
      <c r="E2209" s="21">
        <v>46204</v>
      </c>
      <c r="F2209" s="21">
        <v>46568</v>
      </c>
      <c r="G2209" s="21"/>
      <c r="H2209" s="21">
        <v>46204</v>
      </c>
      <c r="I2209" s="21">
        <v>46568</v>
      </c>
      <c r="J2209" s="19" t="s">
        <v>2190</v>
      </c>
      <c r="L2209" s="19">
        <v>0</v>
      </c>
      <c r="M2209" s="19">
        <v>0</v>
      </c>
      <c r="N2209" s="19" t="s">
        <v>2394</v>
      </c>
      <c r="O2209" s="20">
        <v>2</v>
      </c>
      <c r="S2209" s="19" t="s">
        <v>20</v>
      </c>
      <c r="T2209" s="19" t="s">
        <v>1471</v>
      </c>
    </row>
    <row r="2210" spans="1:20">
      <c r="A2210" s="20">
        <v>202603330102895</v>
      </c>
      <c r="B2210" s="19" t="s">
        <v>20</v>
      </c>
      <c r="C2210" s="19" t="s">
        <v>21</v>
      </c>
      <c r="D2210" s="19" t="s">
        <v>20</v>
      </c>
      <c r="E2210" s="21">
        <v>46204</v>
      </c>
      <c r="F2210" s="21">
        <v>46568</v>
      </c>
      <c r="G2210" s="21"/>
      <c r="H2210" s="21">
        <v>46204</v>
      </c>
      <c r="I2210" s="21">
        <v>46568</v>
      </c>
      <c r="J2210" s="19" t="s">
        <v>2190</v>
      </c>
      <c r="L2210" s="19">
        <v>66.261260500000006</v>
      </c>
      <c r="M2210" s="19">
        <v>66.261260500000006</v>
      </c>
      <c r="N2210" s="19" t="s">
        <v>1475</v>
      </c>
      <c r="O2210" s="20">
        <v>2</v>
      </c>
      <c r="S2210" s="19" t="s">
        <v>20</v>
      </c>
      <c r="T2210" s="19" t="s">
        <v>1471</v>
      </c>
    </row>
    <row r="2211" spans="1:20">
      <c r="A2211" s="20">
        <v>202603330103033</v>
      </c>
      <c r="B2211" s="19" t="s">
        <v>20</v>
      </c>
      <c r="C2211" s="19" t="s">
        <v>21</v>
      </c>
      <c r="D2211" s="19" t="s">
        <v>20</v>
      </c>
      <c r="E2211" s="21">
        <v>46204</v>
      </c>
      <c r="F2211" s="21">
        <v>46568</v>
      </c>
      <c r="G2211" s="21"/>
      <c r="H2211" s="21">
        <v>46204</v>
      </c>
      <c r="I2211" s="21">
        <v>46568</v>
      </c>
      <c r="J2211" s="19" t="s">
        <v>2159</v>
      </c>
      <c r="L2211" s="19">
        <v>0</v>
      </c>
      <c r="M2211" s="19">
        <v>0</v>
      </c>
      <c r="N2211" s="19" t="s">
        <v>2394</v>
      </c>
      <c r="O2211" s="20">
        <v>2</v>
      </c>
      <c r="S2211" s="19" t="s">
        <v>20</v>
      </c>
      <c r="T2211" s="19" t="s">
        <v>1471</v>
      </c>
    </row>
    <row r="2212" spans="1:20">
      <c r="A2212" s="20">
        <v>202603330103033</v>
      </c>
      <c r="B2212" s="19" t="s">
        <v>20</v>
      </c>
      <c r="C2212" s="19" t="s">
        <v>21</v>
      </c>
      <c r="D2212" s="19" t="s">
        <v>20</v>
      </c>
      <c r="E2212" s="21">
        <v>46204</v>
      </c>
      <c r="F2212" s="21">
        <v>46568</v>
      </c>
      <c r="G2212" s="21"/>
      <c r="H2212" s="21">
        <v>46204</v>
      </c>
      <c r="I2212" s="21">
        <v>46568</v>
      </c>
      <c r="J2212" s="19" t="s">
        <v>2159</v>
      </c>
      <c r="L2212" s="19">
        <v>66.261260500000006</v>
      </c>
      <c r="M2212" s="19">
        <v>66.261260500000006</v>
      </c>
      <c r="N2212" s="19" t="s">
        <v>1475</v>
      </c>
      <c r="O2212" s="20">
        <v>2</v>
      </c>
      <c r="S2212" s="19" t="s">
        <v>20</v>
      </c>
      <c r="T2212" s="19" t="s">
        <v>1471</v>
      </c>
    </row>
    <row r="2213" spans="1:20">
      <c r="A2213" s="20">
        <v>202603330103211</v>
      </c>
      <c r="B2213" s="19" t="s">
        <v>20</v>
      </c>
      <c r="C2213" s="19" t="s">
        <v>21</v>
      </c>
      <c r="D2213" s="19" t="s">
        <v>20</v>
      </c>
      <c r="E2213" s="21">
        <v>46204</v>
      </c>
      <c r="F2213" s="21">
        <v>46568</v>
      </c>
      <c r="G2213" s="21"/>
      <c r="H2213" s="21">
        <v>46204</v>
      </c>
      <c r="I2213" s="21">
        <v>46568</v>
      </c>
      <c r="J2213" s="19" t="s">
        <v>2064</v>
      </c>
      <c r="L2213" s="19">
        <v>33.130630250000003</v>
      </c>
      <c r="M2213" s="19">
        <v>33.130630250000003</v>
      </c>
      <c r="N2213" s="19" t="s">
        <v>1475</v>
      </c>
      <c r="O2213" s="20">
        <v>1</v>
      </c>
      <c r="S2213" s="19" t="s">
        <v>20</v>
      </c>
      <c r="T2213" s="19" t="s">
        <v>1471</v>
      </c>
    </row>
    <row r="2214" spans="1:20">
      <c r="A2214" s="20">
        <v>202603330105211</v>
      </c>
      <c r="B2214" s="19" t="s">
        <v>20</v>
      </c>
      <c r="C2214" s="19" t="s">
        <v>21</v>
      </c>
      <c r="D2214" s="19" t="s">
        <v>20</v>
      </c>
      <c r="E2214" s="21">
        <v>46204</v>
      </c>
      <c r="F2214" s="21">
        <v>46568</v>
      </c>
      <c r="G2214" s="21"/>
      <c r="H2214" s="21">
        <v>46204</v>
      </c>
      <c r="I2214" s="21">
        <v>46568</v>
      </c>
      <c r="J2214" s="19" t="s">
        <v>2064</v>
      </c>
      <c r="L2214" s="19">
        <v>0</v>
      </c>
      <c r="M2214" s="19">
        <v>0</v>
      </c>
      <c r="N2214" s="19" t="s">
        <v>2394</v>
      </c>
      <c r="O2214" s="20">
        <v>4</v>
      </c>
      <c r="S2214" s="19" t="s">
        <v>20</v>
      </c>
      <c r="T2214" s="19" t="s">
        <v>1471</v>
      </c>
    </row>
    <row r="2215" spans="1:20">
      <c r="A2215" s="20">
        <v>202603330105211</v>
      </c>
      <c r="B2215" s="19" t="s">
        <v>20</v>
      </c>
      <c r="C2215" s="19" t="s">
        <v>21</v>
      </c>
      <c r="D2215" s="19" t="s">
        <v>20</v>
      </c>
      <c r="E2215" s="21">
        <v>46204</v>
      </c>
      <c r="F2215" s="21">
        <v>46568</v>
      </c>
      <c r="G2215" s="21"/>
      <c r="H2215" s="21">
        <v>46204</v>
      </c>
      <c r="I2215" s="21">
        <v>46568</v>
      </c>
      <c r="J2215" s="19" t="s">
        <v>2064</v>
      </c>
      <c r="L2215" s="19">
        <v>132.52252100000001</v>
      </c>
      <c r="M2215" s="19">
        <v>132.52252100000001</v>
      </c>
      <c r="N2215" s="19" t="s">
        <v>1475</v>
      </c>
      <c r="O2215" s="20">
        <v>4</v>
      </c>
      <c r="S2215" s="19" t="s">
        <v>20</v>
      </c>
      <c r="T2215" s="19" t="s">
        <v>1471</v>
      </c>
    </row>
    <row r="2216" spans="1:20">
      <c r="A2216" s="20">
        <v>202603330106266</v>
      </c>
      <c r="B2216" s="19" t="s">
        <v>20</v>
      </c>
      <c r="C2216" s="19" t="s">
        <v>21</v>
      </c>
      <c r="D2216" s="19" t="s">
        <v>20</v>
      </c>
      <c r="E2216" s="21">
        <v>46204</v>
      </c>
      <c r="F2216" s="21">
        <v>46568</v>
      </c>
      <c r="G2216" s="21"/>
      <c r="H2216" s="21">
        <v>46204</v>
      </c>
      <c r="I2216" s="21">
        <v>46568</v>
      </c>
      <c r="J2216" s="19" t="s">
        <v>2085</v>
      </c>
      <c r="L2216" s="19">
        <v>24.620673499999999</v>
      </c>
      <c r="M2216" s="19">
        <v>24.620673499999999</v>
      </c>
      <c r="N2216" s="19" t="s">
        <v>1475</v>
      </c>
      <c r="O2216" s="20">
        <v>1</v>
      </c>
      <c r="S2216" s="19" t="s">
        <v>20</v>
      </c>
      <c r="T2216" s="19" t="s">
        <v>1471</v>
      </c>
    </row>
    <row r="2217" spans="1:20">
      <c r="A2217" s="20">
        <v>202603330106419</v>
      </c>
      <c r="B2217" s="19" t="s">
        <v>20</v>
      </c>
      <c r="C2217" s="19" t="s">
        <v>21</v>
      </c>
      <c r="D2217" s="19" t="s">
        <v>20</v>
      </c>
      <c r="E2217" s="21">
        <v>46204</v>
      </c>
      <c r="F2217" s="21">
        <v>46568</v>
      </c>
      <c r="G2217" s="21"/>
      <c r="H2217" s="21">
        <v>46204</v>
      </c>
      <c r="I2217" s="21">
        <v>46568</v>
      </c>
      <c r="J2217" s="19" t="s">
        <v>2086</v>
      </c>
      <c r="L2217" s="19">
        <v>0</v>
      </c>
      <c r="M2217" s="19">
        <v>0</v>
      </c>
      <c r="N2217" s="19" t="s">
        <v>2394</v>
      </c>
      <c r="O2217" s="20">
        <v>3</v>
      </c>
      <c r="S2217" s="19" t="s">
        <v>20</v>
      </c>
      <c r="T2217" s="19" t="s">
        <v>1471</v>
      </c>
    </row>
    <row r="2218" spans="1:20">
      <c r="A2218" s="20">
        <v>202603330106419</v>
      </c>
      <c r="B2218" s="19" t="s">
        <v>20</v>
      </c>
      <c r="C2218" s="19" t="s">
        <v>21</v>
      </c>
      <c r="D2218" s="19" t="s">
        <v>20</v>
      </c>
      <c r="E2218" s="21">
        <v>46204</v>
      </c>
      <c r="F2218" s="21">
        <v>46568</v>
      </c>
      <c r="G2218" s="21"/>
      <c r="H2218" s="21">
        <v>46204</v>
      </c>
      <c r="I2218" s="21">
        <v>46568</v>
      </c>
      <c r="J2218" s="19" t="s">
        <v>2086</v>
      </c>
      <c r="L2218" s="19">
        <v>99.391890750000002</v>
      </c>
      <c r="M2218" s="19">
        <v>99.391890750000002</v>
      </c>
      <c r="N2218" s="19" t="s">
        <v>1475</v>
      </c>
      <c r="O2218" s="20">
        <v>3</v>
      </c>
      <c r="S2218" s="19" t="s">
        <v>20</v>
      </c>
      <c r="T2218" s="19" t="s">
        <v>1471</v>
      </c>
    </row>
    <row r="2219" spans="1:20">
      <c r="A2219" s="20">
        <v>202603330107653</v>
      </c>
      <c r="B2219" s="19" t="s">
        <v>20</v>
      </c>
      <c r="C2219" s="19" t="s">
        <v>21</v>
      </c>
      <c r="D2219" s="19" t="s">
        <v>20</v>
      </c>
      <c r="E2219" s="21">
        <v>46204</v>
      </c>
      <c r="F2219" s="21">
        <v>46568</v>
      </c>
      <c r="G2219" s="21"/>
      <c r="H2219" s="21">
        <v>46204</v>
      </c>
      <c r="I2219" s="21">
        <v>46568</v>
      </c>
      <c r="J2219" s="19" t="s">
        <v>2243</v>
      </c>
      <c r="L2219" s="19">
        <v>99.391890750000002</v>
      </c>
      <c r="M2219" s="19">
        <v>99.391890750000002</v>
      </c>
      <c r="N2219" s="19" t="s">
        <v>1475</v>
      </c>
      <c r="O2219" s="20">
        <v>3</v>
      </c>
      <c r="S2219" s="19" t="s">
        <v>20</v>
      </c>
      <c r="T2219" s="19" t="s">
        <v>1471</v>
      </c>
    </row>
    <row r="2220" spans="1:20">
      <c r="A2220" s="20">
        <v>202603330109320</v>
      </c>
      <c r="B2220" s="19" t="s">
        <v>20</v>
      </c>
      <c r="C2220" s="19" t="s">
        <v>21</v>
      </c>
      <c r="D2220" s="19" t="s">
        <v>20</v>
      </c>
      <c r="E2220" s="21">
        <v>46204</v>
      </c>
      <c r="F2220" s="21">
        <v>46568</v>
      </c>
      <c r="G2220" s="21"/>
      <c r="H2220" s="21">
        <v>46204</v>
      </c>
      <c r="I2220" s="21">
        <v>46568</v>
      </c>
      <c r="J2220" s="19" t="s">
        <v>2068</v>
      </c>
      <c r="L2220" s="19">
        <v>0</v>
      </c>
      <c r="M2220" s="19">
        <v>0</v>
      </c>
      <c r="N2220" s="19" t="s">
        <v>2394</v>
      </c>
      <c r="O2220" s="20">
        <v>2</v>
      </c>
      <c r="S2220" s="19" t="s">
        <v>20</v>
      </c>
      <c r="T2220" s="19" t="s">
        <v>1471</v>
      </c>
    </row>
    <row r="2221" spans="1:20">
      <c r="A2221" s="20">
        <v>202603330109320</v>
      </c>
      <c r="B2221" s="19" t="s">
        <v>20</v>
      </c>
      <c r="C2221" s="19" t="s">
        <v>21</v>
      </c>
      <c r="D2221" s="19" t="s">
        <v>20</v>
      </c>
      <c r="E2221" s="21">
        <v>46204</v>
      </c>
      <c r="F2221" s="21">
        <v>46568</v>
      </c>
      <c r="G2221" s="21"/>
      <c r="H2221" s="21">
        <v>46204</v>
      </c>
      <c r="I2221" s="21">
        <v>46568</v>
      </c>
      <c r="J2221" s="19" t="s">
        <v>2068</v>
      </c>
      <c r="L2221" s="19">
        <v>52.517367999999998</v>
      </c>
      <c r="M2221" s="19">
        <v>52.517367999999998</v>
      </c>
      <c r="N2221" s="19" t="s">
        <v>1475</v>
      </c>
      <c r="O2221" s="20">
        <v>2</v>
      </c>
      <c r="S2221" s="19" t="s">
        <v>20</v>
      </c>
      <c r="T2221" s="19" t="s">
        <v>1471</v>
      </c>
    </row>
    <row r="2222" spans="1:20">
      <c r="A2222" s="20">
        <v>202603330109489</v>
      </c>
      <c r="B2222" s="19" t="s">
        <v>20</v>
      </c>
      <c r="C2222" s="19" t="s">
        <v>21</v>
      </c>
      <c r="D2222" s="19" t="s">
        <v>20</v>
      </c>
      <c r="E2222" s="21">
        <v>46204</v>
      </c>
      <c r="F2222" s="21">
        <v>46568</v>
      </c>
      <c r="G2222" s="21"/>
      <c r="H2222" s="21">
        <v>46204</v>
      </c>
      <c r="I2222" s="21">
        <v>46568</v>
      </c>
      <c r="J2222" s="19" t="s">
        <v>2069</v>
      </c>
      <c r="L2222" s="19">
        <v>0</v>
      </c>
      <c r="M2222" s="19">
        <v>0</v>
      </c>
      <c r="N2222" s="19" t="s">
        <v>2394</v>
      </c>
      <c r="O2222" s="20">
        <v>2</v>
      </c>
      <c r="S2222" s="19" t="s">
        <v>20</v>
      </c>
      <c r="T2222" s="19" t="s">
        <v>1471</v>
      </c>
    </row>
    <row r="2223" spans="1:20">
      <c r="A2223" s="20">
        <v>202603330109489</v>
      </c>
      <c r="B2223" s="19" t="s">
        <v>20</v>
      </c>
      <c r="C2223" s="19" t="s">
        <v>21</v>
      </c>
      <c r="D2223" s="19" t="s">
        <v>20</v>
      </c>
      <c r="E2223" s="21">
        <v>46204</v>
      </c>
      <c r="F2223" s="21">
        <v>46568</v>
      </c>
      <c r="G2223" s="21"/>
      <c r="H2223" s="21">
        <v>46204</v>
      </c>
      <c r="I2223" s="21">
        <v>46568</v>
      </c>
      <c r="J2223" s="19" t="s">
        <v>2069</v>
      </c>
      <c r="L2223" s="19">
        <v>66.261260500000006</v>
      </c>
      <c r="M2223" s="19">
        <v>66.261260500000006</v>
      </c>
      <c r="N2223" s="19" t="s">
        <v>1475</v>
      </c>
      <c r="O2223" s="20">
        <v>2</v>
      </c>
      <c r="S2223" s="19" t="s">
        <v>20</v>
      </c>
      <c r="T2223" s="19" t="s">
        <v>1471</v>
      </c>
    </row>
    <row r="2224" spans="1:20">
      <c r="A2224" s="20">
        <v>202603330109702</v>
      </c>
      <c r="B2224" s="19" t="s">
        <v>20</v>
      </c>
      <c r="C2224" s="19" t="s">
        <v>21</v>
      </c>
      <c r="D2224" s="19" t="s">
        <v>20</v>
      </c>
      <c r="E2224" s="21">
        <v>46204</v>
      </c>
      <c r="F2224" s="21">
        <v>46568</v>
      </c>
      <c r="G2224" s="21"/>
      <c r="H2224" s="21">
        <v>46204</v>
      </c>
      <c r="I2224" s="21">
        <v>46568</v>
      </c>
      <c r="J2224" s="19" t="s">
        <v>2087</v>
      </c>
      <c r="L2224" s="19">
        <v>66.261260500000006</v>
      </c>
      <c r="M2224" s="19">
        <v>66.261260500000006</v>
      </c>
      <c r="N2224" s="19" t="s">
        <v>1475</v>
      </c>
      <c r="O2224" s="20">
        <v>2</v>
      </c>
      <c r="S2224" s="19" t="s">
        <v>20</v>
      </c>
      <c r="T2224" s="19" t="s">
        <v>1471</v>
      </c>
    </row>
    <row r="2225" spans="1:20">
      <c r="A2225" s="20">
        <v>202603330111876</v>
      </c>
      <c r="B2225" s="19" t="s">
        <v>20</v>
      </c>
      <c r="C2225" s="19" t="s">
        <v>21</v>
      </c>
      <c r="D2225" s="19" t="s">
        <v>20</v>
      </c>
      <c r="E2225" s="21">
        <v>46204</v>
      </c>
      <c r="F2225" s="21">
        <v>46568</v>
      </c>
      <c r="G2225" s="21"/>
      <c r="H2225" s="21">
        <v>46204</v>
      </c>
      <c r="I2225" s="21">
        <v>46568</v>
      </c>
      <c r="J2225" s="19" t="s">
        <v>2209</v>
      </c>
      <c r="L2225" s="19">
        <v>0</v>
      </c>
      <c r="M2225" s="19">
        <v>0</v>
      </c>
      <c r="N2225" s="19" t="s">
        <v>2394</v>
      </c>
      <c r="O2225" s="20">
        <v>2</v>
      </c>
      <c r="S2225" s="19" t="s">
        <v>20</v>
      </c>
      <c r="T2225" s="19" t="s">
        <v>1471</v>
      </c>
    </row>
    <row r="2226" spans="1:20">
      <c r="A2226" s="20">
        <v>202603330111876</v>
      </c>
      <c r="B2226" s="19" t="s">
        <v>20</v>
      </c>
      <c r="C2226" s="19" t="s">
        <v>21</v>
      </c>
      <c r="D2226" s="19" t="s">
        <v>2385</v>
      </c>
      <c r="E2226" s="21">
        <v>46204</v>
      </c>
      <c r="F2226" s="21">
        <v>46568</v>
      </c>
      <c r="G2226" s="21"/>
      <c r="H2226" s="21">
        <v>46204</v>
      </c>
      <c r="I2226" s="21">
        <v>46568</v>
      </c>
      <c r="J2226" s="19" t="s">
        <v>2209</v>
      </c>
      <c r="L2226" s="19">
        <v>66.261260500000006</v>
      </c>
      <c r="M2226" s="19">
        <v>66.261260500000006</v>
      </c>
      <c r="N2226" s="19" t="s">
        <v>1467</v>
      </c>
      <c r="O2226" s="20">
        <v>2</v>
      </c>
      <c r="S2226" s="19" t="s">
        <v>20</v>
      </c>
      <c r="T2226" s="19" t="s">
        <v>1471</v>
      </c>
    </row>
    <row r="2227" spans="1:20">
      <c r="A2227" s="20">
        <v>202603330112591</v>
      </c>
      <c r="B2227" s="19" t="s">
        <v>20</v>
      </c>
      <c r="C2227" s="19" t="s">
        <v>21</v>
      </c>
      <c r="D2227" s="19" t="s">
        <v>20</v>
      </c>
      <c r="E2227" s="21">
        <v>46204</v>
      </c>
      <c r="F2227" s="21">
        <v>46568</v>
      </c>
      <c r="G2227" s="21"/>
      <c r="H2227" s="21">
        <v>46204</v>
      </c>
      <c r="I2227" s="21">
        <v>46568</v>
      </c>
      <c r="J2227" s="19" t="s">
        <v>2068</v>
      </c>
      <c r="L2227" s="19">
        <v>0</v>
      </c>
      <c r="M2227" s="19">
        <v>0</v>
      </c>
      <c r="N2227" s="19" t="s">
        <v>2394</v>
      </c>
      <c r="O2227" s="20">
        <v>2</v>
      </c>
      <c r="S2227" s="19" t="s">
        <v>20</v>
      </c>
      <c r="T2227" s="19" t="s">
        <v>1471</v>
      </c>
    </row>
    <row r="2228" spans="1:20">
      <c r="A2228" s="20">
        <v>202603330112591</v>
      </c>
      <c r="B2228" s="19" t="s">
        <v>20</v>
      </c>
      <c r="C2228" s="19" t="s">
        <v>21</v>
      </c>
      <c r="D2228" s="19" t="s">
        <v>20</v>
      </c>
      <c r="E2228" s="21">
        <v>46204</v>
      </c>
      <c r="F2228" s="21">
        <v>46568</v>
      </c>
      <c r="G2228" s="21"/>
      <c r="H2228" s="21">
        <v>46204</v>
      </c>
      <c r="I2228" s="21">
        <v>46568</v>
      </c>
      <c r="J2228" s="19" t="s">
        <v>2068</v>
      </c>
      <c r="L2228" s="19">
        <v>52.517367999999998</v>
      </c>
      <c r="M2228" s="19">
        <v>52.517367999999998</v>
      </c>
      <c r="N2228" s="19" t="s">
        <v>1475</v>
      </c>
      <c r="O2228" s="20">
        <v>2</v>
      </c>
      <c r="S2228" s="19" t="s">
        <v>20</v>
      </c>
      <c r="T2228" s="19" t="s">
        <v>1471</v>
      </c>
    </row>
    <row r="2229" spans="1:20">
      <c r="A2229" s="20">
        <v>202603330113181</v>
      </c>
      <c r="B2229" s="19" t="s">
        <v>20</v>
      </c>
      <c r="C2229" s="19" t="s">
        <v>21</v>
      </c>
      <c r="D2229" s="19" t="s">
        <v>20</v>
      </c>
      <c r="E2229" s="21">
        <v>46204</v>
      </c>
      <c r="F2229" s="21">
        <v>46568</v>
      </c>
      <c r="G2229" s="21"/>
      <c r="H2229" s="21">
        <v>46204</v>
      </c>
      <c r="I2229" s="21">
        <v>46568</v>
      </c>
      <c r="J2229" s="19" t="s">
        <v>2086</v>
      </c>
      <c r="L2229" s="19">
        <v>99.391890750000002</v>
      </c>
      <c r="M2229" s="19">
        <v>99.391890750000002</v>
      </c>
      <c r="N2229" s="19" t="s">
        <v>1475</v>
      </c>
      <c r="O2229" s="20">
        <v>3</v>
      </c>
      <c r="S2229" s="19" t="s">
        <v>20</v>
      </c>
      <c r="T2229" s="19" t="s">
        <v>1471</v>
      </c>
    </row>
    <row r="2230" spans="1:20">
      <c r="A2230" s="20">
        <v>202603330113310</v>
      </c>
      <c r="B2230" s="19" t="s">
        <v>20</v>
      </c>
      <c r="C2230" s="19" t="s">
        <v>21</v>
      </c>
      <c r="D2230" s="19" t="s">
        <v>20</v>
      </c>
      <c r="E2230" s="21">
        <v>46204</v>
      </c>
      <c r="F2230" s="21">
        <v>46568</v>
      </c>
      <c r="G2230" s="21"/>
      <c r="H2230" s="21">
        <v>46204</v>
      </c>
      <c r="I2230" s="21">
        <v>46568</v>
      </c>
      <c r="J2230" s="19" t="s">
        <v>2069</v>
      </c>
      <c r="L2230" s="19">
        <v>0</v>
      </c>
      <c r="M2230" s="19">
        <v>0</v>
      </c>
      <c r="N2230" s="19" t="s">
        <v>2394</v>
      </c>
      <c r="O2230" s="20">
        <v>3</v>
      </c>
      <c r="S2230" s="19" t="s">
        <v>20</v>
      </c>
      <c r="T2230" s="19" t="s">
        <v>1471</v>
      </c>
    </row>
    <row r="2231" spans="1:20">
      <c r="A2231" s="20">
        <v>202603330113310</v>
      </c>
      <c r="B2231" s="19" t="s">
        <v>20</v>
      </c>
      <c r="C2231" s="19" t="s">
        <v>21</v>
      </c>
      <c r="D2231" s="19" t="s">
        <v>20</v>
      </c>
      <c r="E2231" s="21">
        <v>46204</v>
      </c>
      <c r="F2231" s="21">
        <v>46568</v>
      </c>
      <c r="G2231" s="21"/>
      <c r="H2231" s="21">
        <v>46204</v>
      </c>
      <c r="I2231" s="21">
        <v>46568</v>
      </c>
      <c r="J2231" s="19" t="s">
        <v>2069</v>
      </c>
      <c r="L2231" s="19">
        <v>99.391890750000002</v>
      </c>
      <c r="M2231" s="19">
        <v>99.391890750000002</v>
      </c>
      <c r="N2231" s="19" t="s">
        <v>1475</v>
      </c>
      <c r="O2231" s="20">
        <v>3</v>
      </c>
      <c r="S2231" s="19" t="s">
        <v>20</v>
      </c>
      <c r="T2231" s="19" t="s">
        <v>1471</v>
      </c>
    </row>
    <row r="2232" spans="1:20">
      <c r="A2232" s="20">
        <v>202603330114656</v>
      </c>
      <c r="B2232" s="19" t="s">
        <v>20</v>
      </c>
      <c r="C2232" s="19" t="s">
        <v>21</v>
      </c>
      <c r="D2232" s="19" t="s">
        <v>20</v>
      </c>
      <c r="E2232" s="21">
        <v>46204</v>
      </c>
      <c r="F2232" s="21">
        <v>46568</v>
      </c>
      <c r="G2232" s="21"/>
      <c r="H2232" s="21">
        <v>46204</v>
      </c>
      <c r="I2232" s="21">
        <v>46568</v>
      </c>
      <c r="J2232" s="19" t="s">
        <v>2087</v>
      </c>
      <c r="L2232" s="19">
        <v>0</v>
      </c>
      <c r="M2232" s="19">
        <v>0</v>
      </c>
      <c r="N2232" s="19" t="s">
        <v>2394</v>
      </c>
      <c r="O2232" s="20">
        <v>3</v>
      </c>
      <c r="S2232" s="19" t="s">
        <v>20</v>
      </c>
      <c r="T2232" s="19" t="s">
        <v>1471</v>
      </c>
    </row>
    <row r="2233" spans="1:20">
      <c r="A2233" s="20">
        <v>202603330114656</v>
      </c>
      <c r="B2233" s="19" t="s">
        <v>20</v>
      </c>
      <c r="C2233" s="19" t="s">
        <v>21</v>
      </c>
      <c r="D2233" s="19" t="s">
        <v>20</v>
      </c>
      <c r="E2233" s="21">
        <v>46204</v>
      </c>
      <c r="F2233" s="21">
        <v>46568</v>
      </c>
      <c r="G2233" s="21"/>
      <c r="H2233" s="21">
        <v>46204</v>
      </c>
      <c r="I2233" s="21">
        <v>46568</v>
      </c>
      <c r="J2233" s="19" t="s">
        <v>2087</v>
      </c>
      <c r="L2233" s="19">
        <v>99.391890750000002</v>
      </c>
      <c r="M2233" s="19">
        <v>99.391890750000002</v>
      </c>
      <c r="N2233" s="19" t="s">
        <v>1475</v>
      </c>
      <c r="O2233" s="20">
        <v>3</v>
      </c>
      <c r="S2233" s="19" t="s">
        <v>20</v>
      </c>
      <c r="T2233" s="19" t="s">
        <v>1471</v>
      </c>
    </row>
    <row r="2234" spans="1:20">
      <c r="A2234" s="20">
        <v>202603330114931</v>
      </c>
      <c r="B2234" s="19" t="s">
        <v>20</v>
      </c>
      <c r="C2234" s="19" t="s">
        <v>21</v>
      </c>
      <c r="D2234" s="19" t="s">
        <v>20</v>
      </c>
      <c r="E2234" s="21">
        <v>46204</v>
      </c>
      <c r="F2234" s="21">
        <v>46568</v>
      </c>
      <c r="G2234" s="21"/>
      <c r="H2234" s="21">
        <v>46204</v>
      </c>
      <c r="I2234" s="21">
        <v>46568</v>
      </c>
      <c r="J2234" s="19" t="s">
        <v>2243</v>
      </c>
      <c r="L2234" s="19">
        <v>0</v>
      </c>
      <c r="M2234" s="19">
        <v>0</v>
      </c>
      <c r="N2234" s="19" t="s">
        <v>2394</v>
      </c>
      <c r="O2234" s="20">
        <v>3</v>
      </c>
      <c r="S2234" s="19" t="s">
        <v>20</v>
      </c>
      <c r="T2234" s="19" t="s">
        <v>1471</v>
      </c>
    </row>
    <row r="2235" spans="1:20">
      <c r="A2235" s="20">
        <v>202603330114931</v>
      </c>
      <c r="B2235" s="19" t="s">
        <v>20</v>
      </c>
      <c r="C2235" s="19" t="s">
        <v>21</v>
      </c>
      <c r="D2235" s="19" t="s">
        <v>20</v>
      </c>
      <c r="E2235" s="21">
        <v>46204</v>
      </c>
      <c r="F2235" s="21">
        <v>46568</v>
      </c>
      <c r="G2235" s="21"/>
      <c r="H2235" s="21">
        <v>46204</v>
      </c>
      <c r="I2235" s="21">
        <v>46568</v>
      </c>
      <c r="J2235" s="19" t="s">
        <v>2243</v>
      </c>
      <c r="L2235" s="19">
        <v>99.391890750000002</v>
      </c>
      <c r="M2235" s="19">
        <v>99.391890750000002</v>
      </c>
      <c r="N2235" s="19" t="s">
        <v>1475</v>
      </c>
      <c r="O2235" s="20">
        <v>3</v>
      </c>
      <c r="S2235" s="19" t="s">
        <v>20</v>
      </c>
      <c r="T2235" s="19" t="s">
        <v>1471</v>
      </c>
    </row>
    <row r="2236" spans="1:20">
      <c r="A2236" s="20">
        <v>202603330115138</v>
      </c>
      <c r="B2236" s="19" t="s">
        <v>20</v>
      </c>
      <c r="C2236" s="19" t="s">
        <v>21</v>
      </c>
      <c r="D2236" s="19" t="s">
        <v>20</v>
      </c>
      <c r="E2236" s="21">
        <v>46204</v>
      </c>
      <c r="F2236" s="21">
        <v>46568</v>
      </c>
      <c r="G2236" s="21"/>
      <c r="H2236" s="21">
        <v>46204</v>
      </c>
      <c r="I2236" s="21">
        <v>46568</v>
      </c>
      <c r="J2236" s="19" t="s">
        <v>2068</v>
      </c>
      <c r="L2236" s="19">
        <v>0</v>
      </c>
      <c r="M2236" s="19">
        <v>0</v>
      </c>
      <c r="N2236" s="19" t="s">
        <v>2394</v>
      </c>
      <c r="O2236" s="20">
        <v>5</v>
      </c>
      <c r="S2236" s="19" t="s">
        <v>20</v>
      </c>
      <c r="T2236" s="19" t="s">
        <v>1471</v>
      </c>
    </row>
    <row r="2237" spans="1:20">
      <c r="A2237" s="20">
        <v>202603330115138</v>
      </c>
      <c r="B2237" s="19" t="s">
        <v>20</v>
      </c>
      <c r="C2237" s="19" t="s">
        <v>21</v>
      </c>
      <c r="D2237" s="19" t="s">
        <v>20</v>
      </c>
      <c r="E2237" s="21">
        <v>46204</v>
      </c>
      <c r="F2237" s="21">
        <v>46568</v>
      </c>
      <c r="G2237" s="21"/>
      <c r="H2237" s="21">
        <v>46204</v>
      </c>
      <c r="I2237" s="21">
        <v>46568</v>
      </c>
      <c r="J2237" s="19" t="s">
        <v>2068</v>
      </c>
      <c r="L2237" s="19">
        <v>131.29342</v>
      </c>
      <c r="M2237" s="19">
        <v>131.29342</v>
      </c>
      <c r="N2237" s="19" t="s">
        <v>1475</v>
      </c>
      <c r="O2237" s="20">
        <v>5</v>
      </c>
      <c r="S2237" s="19" t="s">
        <v>20</v>
      </c>
      <c r="T2237" s="19" t="s">
        <v>1471</v>
      </c>
    </row>
    <row r="2238" spans="1:20">
      <c r="A2238" s="20">
        <v>202603330115323</v>
      </c>
      <c r="B2238" s="19" t="s">
        <v>20</v>
      </c>
      <c r="C2238" s="19" t="s">
        <v>21</v>
      </c>
      <c r="D2238" s="19" t="s">
        <v>20</v>
      </c>
      <c r="E2238" s="21">
        <v>46204</v>
      </c>
      <c r="F2238" s="21">
        <v>46568</v>
      </c>
      <c r="G2238" s="21"/>
      <c r="H2238" s="21">
        <v>46204</v>
      </c>
      <c r="I2238" s="21">
        <v>46568</v>
      </c>
      <c r="J2238" s="19" t="s">
        <v>2068</v>
      </c>
      <c r="L2238" s="19">
        <v>26.258683999999999</v>
      </c>
      <c r="M2238" s="19">
        <v>26.258683999999999</v>
      </c>
      <c r="N2238" s="19" t="s">
        <v>1475</v>
      </c>
      <c r="O2238" s="20">
        <v>1</v>
      </c>
      <c r="S2238" s="19" t="s">
        <v>20</v>
      </c>
      <c r="T2238" s="19" t="s">
        <v>1471</v>
      </c>
    </row>
    <row r="2239" spans="1:20">
      <c r="A2239" s="20">
        <v>202603330115326</v>
      </c>
      <c r="B2239" s="19" t="s">
        <v>20</v>
      </c>
      <c r="C2239" s="19" t="s">
        <v>21</v>
      </c>
      <c r="D2239" s="19" t="s">
        <v>20</v>
      </c>
      <c r="E2239" s="21">
        <v>46204</v>
      </c>
      <c r="F2239" s="21">
        <v>46568</v>
      </c>
      <c r="G2239" s="21"/>
      <c r="H2239" s="21">
        <v>46204</v>
      </c>
      <c r="I2239" s="21">
        <v>46568</v>
      </c>
      <c r="J2239" s="19" t="s">
        <v>2085</v>
      </c>
      <c r="L2239" s="19">
        <v>0</v>
      </c>
      <c r="M2239" s="19">
        <v>0</v>
      </c>
      <c r="N2239" s="19" t="s">
        <v>2394</v>
      </c>
      <c r="O2239" s="20">
        <v>4</v>
      </c>
      <c r="S2239" s="19" t="s">
        <v>20</v>
      </c>
      <c r="T2239" s="19" t="s">
        <v>1471</v>
      </c>
    </row>
    <row r="2240" spans="1:20">
      <c r="A2240" s="20">
        <v>202603330115326</v>
      </c>
      <c r="B2240" s="19" t="s">
        <v>20</v>
      </c>
      <c r="C2240" s="19" t="s">
        <v>21</v>
      </c>
      <c r="D2240" s="19" t="s">
        <v>20</v>
      </c>
      <c r="E2240" s="21">
        <v>46204</v>
      </c>
      <c r="F2240" s="21">
        <v>46568</v>
      </c>
      <c r="G2240" s="21"/>
      <c r="H2240" s="21">
        <v>46204</v>
      </c>
      <c r="I2240" s="21">
        <v>46568</v>
      </c>
      <c r="J2240" s="19" t="s">
        <v>2085</v>
      </c>
      <c r="L2240" s="19">
        <v>98.482693999999995</v>
      </c>
      <c r="M2240" s="19">
        <v>98.482693999999995</v>
      </c>
      <c r="N2240" s="19" t="s">
        <v>1475</v>
      </c>
      <c r="O2240" s="20">
        <v>4</v>
      </c>
      <c r="S2240" s="19" t="s">
        <v>20</v>
      </c>
      <c r="T2240" s="19" t="s">
        <v>1471</v>
      </c>
    </row>
    <row r="2241" spans="1:20">
      <c r="A2241" s="20">
        <v>202603330115614</v>
      </c>
      <c r="B2241" s="19" t="s">
        <v>20</v>
      </c>
      <c r="C2241" s="19" t="s">
        <v>21</v>
      </c>
      <c r="D2241" s="19" t="s">
        <v>20</v>
      </c>
      <c r="E2241" s="21">
        <v>46204</v>
      </c>
      <c r="F2241" s="21">
        <v>46568</v>
      </c>
      <c r="G2241" s="21"/>
      <c r="H2241" s="21">
        <v>46204</v>
      </c>
      <c r="I2241" s="21">
        <v>46568</v>
      </c>
      <c r="J2241" s="19" t="s">
        <v>2064</v>
      </c>
      <c r="L2241" s="19">
        <v>33.130630250000003</v>
      </c>
      <c r="M2241" s="19">
        <v>33.130630250000003</v>
      </c>
      <c r="N2241" s="19" t="s">
        <v>1475</v>
      </c>
      <c r="O2241" s="20">
        <v>1</v>
      </c>
      <c r="S2241" s="19" t="s">
        <v>20</v>
      </c>
      <c r="T2241" s="19" t="s">
        <v>1471</v>
      </c>
    </row>
    <row r="2242" spans="1:20">
      <c r="A2242" s="20">
        <v>202603330115976</v>
      </c>
      <c r="B2242" s="19" t="s">
        <v>20</v>
      </c>
      <c r="C2242" s="19" t="s">
        <v>21</v>
      </c>
      <c r="D2242" s="19" t="s">
        <v>20</v>
      </c>
      <c r="E2242" s="21">
        <v>46204</v>
      </c>
      <c r="F2242" s="21">
        <v>46568</v>
      </c>
      <c r="G2242" s="21"/>
      <c r="H2242" s="21">
        <v>46204</v>
      </c>
      <c r="I2242" s="21">
        <v>46568</v>
      </c>
      <c r="J2242" s="19" t="s">
        <v>2074</v>
      </c>
      <c r="L2242" s="19">
        <v>0</v>
      </c>
      <c r="M2242" s="19">
        <v>0</v>
      </c>
      <c r="N2242" s="19" t="s">
        <v>2394</v>
      </c>
      <c r="O2242" s="20">
        <v>4</v>
      </c>
      <c r="S2242" s="19" t="s">
        <v>20</v>
      </c>
      <c r="T2242" s="19" t="s">
        <v>1471</v>
      </c>
    </row>
    <row r="2243" spans="1:20">
      <c r="A2243" s="20">
        <v>202603330115976</v>
      </c>
      <c r="B2243" s="19" t="s">
        <v>20</v>
      </c>
      <c r="C2243" s="19" t="s">
        <v>21</v>
      </c>
      <c r="D2243" s="19" t="s">
        <v>2386</v>
      </c>
      <c r="E2243" s="21">
        <v>46204</v>
      </c>
      <c r="F2243" s="21">
        <v>46568</v>
      </c>
      <c r="G2243" s="21"/>
      <c r="H2243" s="21">
        <v>46204</v>
      </c>
      <c r="I2243" s="21">
        <v>46568</v>
      </c>
      <c r="J2243" s="19" t="s">
        <v>2074</v>
      </c>
      <c r="L2243" s="19">
        <v>53.526958</v>
      </c>
      <c r="M2243" s="19">
        <v>53.526958</v>
      </c>
      <c r="N2243" s="19" t="s">
        <v>1467</v>
      </c>
      <c r="O2243" s="20">
        <v>4</v>
      </c>
      <c r="S2243" s="19" t="s">
        <v>20</v>
      </c>
      <c r="T2243" s="19" t="s">
        <v>1471</v>
      </c>
    </row>
    <row r="2244" spans="1:20">
      <c r="A2244" s="20">
        <v>202603330116167</v>
      </c>
      <c r="B2244" s="19" t="s">
        <v>20</v>
      </c>
      <c r="C2244" s="19" t="s">
        <v>21</v>
      </c>
      <c r="D2244" s="19" t="s">
        <v>20</v>
      </c>
      <c r="E2244" s="21">
        <v>46204</v>
      </c>
      <c r="F2244" s="21">
        <v>46568</v>
      </c>
      <c r="G2244" s="21"/>
      <c r="H2244" s="21">
        <v>46204</v>
      </c>
      <c r="I2244" s="21">
        <v>46568</v>
      </c>
      <c r="J2244" s="19" t="s">
        <v>2104</v>
      </c>
      <c r="L2244" s="19">
        <v>99.391890750000002</v>
      </c>
      <c r="M2244" s="19">
        <v>99.391890750000002</v>
      </c>
      <c r="N2244" s="19" t="s">
        <v>1475</v>
      </c>
      <c r="O2244" s="20">
        <v>3</v>
      </c>
      <c r="S2244" s="19" t="s">
        <v>20</v>
      </c>
      <c r="T2244" s="19" t="s">
        <v>1471</v>
      </c>
    </row>
    <row r="2245" spans="1:20">
      <c r="A2245" s="20">
        <v>202603330117010</v>
      </c>
      <c r="B2245" s="19" t="s">
        <v>20</v>
      </c>
      <c r="C2245" s="19" t="s">
        <v>21</v>
      </c>
      <c r="D2245" s="19" t="s">
        <v>20</v>
      </c>
      <c r="E2245" s="21">
        <v>46204</v>
      </c>
      <c r="F2245" s="21">
        <v>46568</v>
      </c>
      <c r="G2245" s="21"/>
      <c r="H2245" s="21">
        <v>46204</v>
      </c>
      <c r="I2245" s="21">
        <v>46568</v>
      </c>
      <c r="J2245" s="19" t="s">
        <v>2064</v>
      </c>
      <c r="L2245" s="19">
        <v>33.130630250000003</v>
      </c>
      <c r="M2245" s="19">
        <v>33.130630250000003</v>
      </c>
      <c r="N2245" s="19" t="s">
        <v>1475</v>
      </c>
      <c r="O2245" s="20">
        <v>1</v>
      </c>
      <c r="S2245" s="19" t="s">
        <v>20</v>
      </c>
      <c r="T2245" s="19" t="s">
        <v>1471</v>
      </c>
    </row>
    <row r="2246" spans="1:20">
      <c r="A2246" s="20">
        <v>202603330117611</v>
      </c>
      <c r="B2246" s="19" t="s">
        <v>20</v>
      </c>
      <c r="C2246" s="19" t="s">
        <v>21</v>
      </c>
      <c r="D2246" s="19" t="s">
        <v>20</v>
      </c>
      <c r="E2246" s="21">
        <v>46204</v>
      </c>
      <c r="F2246" s="21">
        <v>46568</v>
      </c>
      <c r="G2246" s="21"/>
      <c r="H2246" s="21">
        <v>46204</v>
      </c>
      <c r="I2246" s="21">
        <v>46568</v>
      </c>
      <c r="J2246" s="19" t="s">
        <v>1473</v>
      </c>
      <c r="L2246" s="19">
        <v>24.620673499999999</v>
      </c>
      <c r="M2246" s="19">
        <v>24.620673499999999</v>
      </c>
      <c r="N2246" s="19" t="s">
        <v>1475</v>
      </c>
      <c r="O2246" s="20">
        <v>1</v>
      </c>
      <c r="S2246" s="19" t="s">
        <v>20</v>
      </c>
      <c r="T2246" s="19" t="s">
        <v>1471</v>
      </c>
    </row>
    <row r="2247" spans="1:20">
      <c r="A2247" s="20">
        <v>202603330118456</v>
      </c>
      <c r="B2247" s="19" t="s">
        <v>20</v>
      </c>
      <c r="C2247" s="19" t="s">
        <v>21</v>
      </c>
      <c r="D2247" s="19" t="s">
        <v>20</v>
      </c>
      <c r="E2247" s="21">
        <v>46204</v>
      </c>
      <c r="F2247" s="21">
        <v>46568</v>
      </c>
      <c r="G2247" s="21"/>
      <c r="H2247" s="21">
        <v>46204</v>
      </c>
      <c r="I2247" s="21">
        <v>46568</v>
      </c>
      <c r="J2247" s="19" t="s">
        <v>2068</v>
      </c>
      <c r="L2247" s="19">
        <v>0</v>
      </c>
      <c r="M2247" s="19">
        <v>0</v>
      </c>
      <c r="N2247" s="19" t="s">
        <v>2394</v>
      </c>
      <c r="O2247" s="20">
        <v>6</v>
      </c>
      <c r="S2247" s="19" t="s">
        <v>20</v>
      </c>
      <c r="T2247" s="19" t="s">
        <v>1471</v>
      </c>
    </row>
    <row r="2248" spans="1:20">
      <c r="A2248" s="20">
        <v>202603330118456</v>
      </c>
      <c r="B2248" s="19" t="s">
        <v>20</v>
      </c>
      <c r="C2248" s="19" t="s">
        <v>21</v>
      </c>
      <c r="D2248" s="19" t="s">
        <v>20</v>
      </c>
      <c r="E2248" s="21">
        <v>46204</v>
      </c>
      <c r="F2248" s="21">
        <v>46568</v>
      </c>
      <c r="G2248" s="21"/>
      <c r="H2248" s="21">
        <v>46204</v>
      </c>
      <c r="I2248" s="21">
        <v>46568</v>
      </c>
      <c r="J2248" s="19" t="s">
        <v>2068</v>
      </c>
      <c r="L2248" s="19">
        <v>157.55210400000001</v>
      </c>
      <c r="M2248" s="19">
        <v>157.55210400000001</v>
      </c>
      <c r="N2248" s="19" t="s">
        <v>1475</v>
      </c>
      <c r="O2248" s="20">
        <v>6</v>
      </c>
      <c r="S2248" s="19" t="s">
        <v>20</v>
      </c>
      <c r="T2248" s="19" t="s">
        <v>1471</v>
      </c>
    </row>
    <row r="2249" spans="1:20">
      <c r="A2249" s="20">
        <v>202603330119143</v>
      </c>
      <c r="B2249" s="19" t="s">
        <v>20</v>
      </c>
      <c r="C2249" s="19" t="s">
        <v>21</v>
      </c>
      <c r="D2249" s="19" t="s">
        <v>20</v>
      </c>
      <c r="E2249" s="21">
        <v>46204</v>
      </c>
      <c r="F2249" s="21">
        <v>46568</v>
      </c>
      <c r="G2249" s="21"/>
      <c r="H2249" s="21">
        <v>46204</v>
      </c>
      <c r="I2249" s="21">
        <v>46568</v>
      </c>
      <c r="J2249" s="19" t="s">
        <v>2064</v>
      </c>
      <c r="L2249" s="19">
        <v>33.130630250000003</v>
      </c>
      <c r="M2249" s="19">
        <v>33.130630250000003</v>
      </c>
      <c r="N2249" s="19" t="s">
        <v>1475</v>
      </c>
      <c r="O2249" s="20">
        <v>1</v>
      </c>
      <c r="S2249" s="19" t="s">
        <v>20</v>
      </c>
      <c r="T2249" s="19" t="s">
        <v>1471</v>
      </c>
    </row>
    <row r="2250" spans="1:20">
      <c r="A2250" s="20">
        <v>202603330119884</v>
      </c>
      <c r="B2250" s="19" t="s">
        <v>20</v>
      </c>
      <c r="C2250" s="19" t="s">
        <v>21</v>
      </c>
      <c r="D2250" s="19" t="s">
        <v>20</v>
      </c>
      <c r="E2250" s="21">
        <v>46204</v>
      </c>
      <c r="F2250" s="21">
        <v>46568</v>
      </c>
      <c r="G2250" s="21"/>
      <c r="H2250" s="21">
        <v>46204</v>
      </c>
      <c r="I2250" s="21">
        <v>46568</v>
      </c>
      <c r="J2250" s="19" t="s">
        <v>2272</v>
      </c>
      <c r="L2250" s="19">
        <v>33.130630250000003</v>
      </c>
      <c r="M2250" s="19">
        <v>33.130630250000003</v>
      </c>
      <c r="N2250" s="19" t="s">
        <v>1475</v>
      </c>
      <c r="O2250" s="20">
        <v>1</v>
      </c>
      <c r="S2250" s="19" t="s">
        <v>20</v>
      </c>
      <c r="T2250" s="19" t="s">
        <v>1471</v>
      </c>
    </row>
    <row r="2251" spans="1:20">
      <c r="A2251" s="20">
        <v>202603330120558</v>
      </c>
      <c r="B2251" s="19" t="s">
        <v>20</v>
      </c>
      <c r="C2251" s="19" t="s">
        <v>21</v>
      </c>
      <c r="D2251" s="19" t="s">
        <v>20</v>
      </c>
      <c r="E2251" s="21">
        <v>46204</v>
      </c>
      <c r="F2251" s="21">
        <v>46568</v>
      </c>
      <c r="G2251" s="21"/>
      <c r="H2251" s="21">
        <v>46204</v>
      </c>
      <c r="I2251" s="21">
        <v>46568</v>
      </c>
      <c r="J2251" s="19" t="s">
        <v>2062</v>
      </c>
      <c r="L2251" s="19">
        <v>0</v>
      </c>
      <c r="M2251" s="19">
        <v>0</v>
      </c>
      <c r="N2251" s="19" t="s">
        <v>2394</v>
      </c>
      <c r="O2251" s="20">
        <v>3</v>
      </c>
      <c r="S2251" s="19" t="s">
        <v>20</v>
      </c>
      <c r="T2251" s="19" t="s">
        <v>1471</v>
      </c>
    </row>
    <row r="2252" spans="1:20">
      <c r="A2252" s="20">
        <v>202603330120558</v>
      </c>
      <c r="B2252" s="19" t="s">
        <v>20</v>
      </c>
      <c r="C2252" s="19" t="s">
        <v>21</v>
      </c>
      <c r="D2252" s="19" t="s">
        <v>20</v>
      </c>
      <c r="E2252" s="21">
        <v>46204</v>
      </c>
      <c r="F2252" s="21">
        <v>46568</v>
      </c>
      <c r="G2252" s="21"/>
      <c r="H2252" s="21">
        <v>46204</v>
      </c>
      <c r="I2252" s="21">
        <v>46568</v>
      </c>
      <c r="J2252" s="19" t="s">
        <v>2062</v>
      </c>
      <c r="L2252" s="19">
        <v>99.391890750000002</v>
      </c>
      <c r="M2252" s="19">
        <v>99.391890750000002</v>
      </c>
      <c r="N2252" s="19" t="s">
        <v>1475</v>
      </c>
      <c r="O2252" s="20">
        <v>3</v>
      </c>
      <c r="S2252" s="19" t="s">
        <v>20</v>
      </c>
      <c r="T2252" s="19" t="s">
        <v>1471</v>
      </c>
    </row>
    <row r="2253" spans="1:20">
      <c r="A2253" s="20">
        <v>202603330120561</v>
      </c>
      <c r="B2253" s="19" t="s">
        <v>20</v>
      </c>
      <c r="C2253" s="19" t="s">
        <v>21</v>
      </c>
      <c r="D2253" s="19" t="s">
        <v>20</v>
      </c>
      <c r="E2253" s="21">
        <v>46204</v>
      </c>
      <c r="F2253" s="21">
        <v>46568</v>
      </c>
      <c r="G2253" s="21"/>
      <c r="H2253" s="21">
        <v>46204</v>
      </c>
      <c r="I2253" s="21">
        <v>46568</v>
      </c>
      <c r="J2253" s="19" t="s">
        <v>2283</v>
      </c>
      <c r="L2253" s="19">
        <v>0</v>
      </c>
      <c r="M2253" s="19">
        <v>0</v>
      </c>
      <c r="N2253" s="19" t="s">
        <v>2394</v>
      </c>
      <c r="O2253" s="20">
        <v>3</v>
      </c>
      <c r="S2253" s="19" t="s">
        <v>20</v>
      </c>
      <c r="T2253" s="19" t="s">
        <v>1471</v>
      </c>
    </row>
    <row r="2254" spans="1:20">
      <c r="A2254" s="20">
        <v>202603330120561</v>
      </c>
      <c r="B2254" s="19" t="s">
        <v>20</v>
      </c>
      <c r="C2254" s="19" t="s">
        <v>21</v>
      </c>
      <c r="D2254" s="19" t="s">
        <v>20</v>
      </c>
      <c r="E2254" s="21">
        <v>46204</v>
      </c>
      <c r="F2254" s="21">
        <v>46568</v>
      </c>
      <c r="G2254" s="21"/>
      <c r="H2254" s="21">
        <v>46204</v>
      </c>
      <c r="I2254" s="21">
        <v>46568</v>
      </c>
      <c r="J2254" s="19" t="s">
        <v>2283</v>
      </c>
      <c r="L2254" s="19">
        <v>99.391890750000002</v>
      </c>
      <c r="M2254" s="19">
        <v>99.391890750000002</v>
      </c>
      <c r="N2254" s="19" t="s">
        <v>1475</v>
      </c>
      <c r="O2254" s="20">
        <v>3</v>
      </c>
      <c r="S2254" s="19" t="s">
        <v>20</v>
      </c>
      <c r="T2254" s="19" t="s">
        <v>1471</v>
      </c>
    </row>
    <row r="2255" spans="1:20">
      <c r="A2255" s="20">
        <v>202603330122945</v>
      </c>
      <c r="B2255" s="19" t="s">
        <v>20</v>
      </c>
      <c r="C2255" s="19" t="s">
        <v>21</v>
      </c>
      <c r="D2255" s="19" t="s">
        <v>20</v>
      </c>
      <c r="E2255" s="21">
        <v>46204</v>
      </c>
      <c r="F2255" s="21">
        <v>46568</v>
      </c>
      <c r="G2255" s="21"/>
      <c r="H2255" s="21">
        <v>46204</v>
      </c>
      <c r="I2255" s="21">
        <v>46568</v>
      </c>
      <c r="J2255" s="19" t="s">
        <v>2064</v>
      </c>
      <c r="L2255" s="19">
        <v>33.130630250000003</v>
      </c>
      <c r="M2255" s="19">
        <v>33.130630250000003</v>
      </c>
      <c r="N2255" s="19" t="s">
        <v>1475</v>
      </c>
      <c r="O2255" s="20">
        <v>1</v>
      </c>
      <c r="S2255" s="19" t="s">
        <v>20</v>
      </c>
      <c r="T2255" s="19" t="s">
        <v>1471</v>
      </c>
    </row>
    <row r="2256" spans="1:20">
      <c r="A2256" s="20">
        <v>202603330125183</v>
      </c>
      <c r="B2256" s="19" t="s">
        <v>20</v>
      </c>
      <c r="C2256" s="19" t="s">
        <v>21</v>
      </c>
      <c r="D2256" s="19" t="s">
        <v>20</v>
      </c>
      <c r="E2256" s="21">
        <v>46204</v>
      </c>
      <c r="F2256" s="21">
        <v>46568</v>
      </c>
      <c r="G2256" s="21"/>
      <c r="H2256" s="21">
        <v>46204</v>
      </c>
      <c r="I2256" s="21">
        <v>46568</v>
      </c>
      <c r="J2256" s="19" t="s">
        <v>2068</v>
      </c>
      <c r="L2256" s="19">
        <v>0</v>
      </c>
      <c r="M2256" s="19">
        <v>0</v>
      </c>
      <c r="N2256" s="19" t="s">
        <v>2394</v>
      </c>
      <c r="O2256" s="20">
        <v>3</v>
      </c>
      <c r="S2256" s="19" t="s">
        <v>20</v>
      </c>
      <c r="T2256" s="19" t="s">
        <v>1471</v>
      </c>
    </row>
    <row r="2257" spans="1:20">
      <c r="A2257" s="20">
        <v>202603330125183</v>
      </c>
      <c r="B2257" s="19" t="s">
        <v>20</v>
      </c>
      <c r="C2257" s="19" t="s">
        <v>21</v>
      </c>
      <c r="D2257" s="19" t="s">
        <v>20</v>
      </c>
      <c r="E2257" s="21">
        <v>46204</v>
      </c>
      <c r="F2257" s="21">
        <v>46568</v>
      </c>
      <c r="G2257" s="21"/>
      <c r="H2257" s="21">
        <v>46204</v>
      </c>
      <c r="I2257" s="21">
        <v>46568</v>
      </c>
      <c r="J2257" s="19" t="s">
        <v>2068</v>
      </c>
      <c r="L2257" s="19">
        <v>78.776052000000007</v>
      </c>
      <c r="M2257" s="19">
        <v>78.776052000000007</v>
      </c>
      <c r="N2257" s="19" t="s">
        <v>1475</v>
      </c>
      <c r="O2257" s="20">
        <v>3</v>
      </c>
      <c r="S2257" s="19" t="s">
        <v>20</v>
      </c>
      <c r="T2257" s="19" t="s">
        <v>1471</v>
      </c>
    </row>
    <row r="2258" spans="1:20">
      <c r="A2258" s="20">
        <v>202603330125931</v>
      </c>
      <c r="B2258" s="19" t="s">
        <v>20</v>
      </c>
      <c r="C2258" s="19" t="s">
        <v>21</v>
      </c>
      <c r="D2258" s="19" t="s">
        <v>20</v>
      </c>
      <c r="E2258" s="21">
        <v>46204</v>
      </c>
      <c r="F2258" s="21">
        <v>46568</v>
      </c>
      <c r="G2258" s="21"/>
      <c r="H2258" s="21">
        <v>46204</v>
      </c>
      <c r="I2258" s="21">
        <v>46568</v>
      </c>
      <c r="J2258" s="19" t="s">
        <v>1473</v>
      </c>
      <c r="L2258" s="19">
        <v>0</v>
      </c>
      <c r="M2258" s="19">
        <v>0</v>
      </c>
      <c r="N2258" s="19" t="s">
        <v>2394</v>
      </c>
      <c r="O2258" s="20">
        <v>5</v>
      </c>
      <c r="S2258" s="19" t="s">
        <v>20</v>
      </c>
      <c r="T2258" s="19" t="s">
        <v>1471</v>
      </c>
    </row>
    <row r="2259" spans="1:20">
      <c r="A2259" s="20">
        <v>202603330125931</v>
      </c>
      <c r="B2259" s="19" t="s">
        <v>20</v>
      </c>
      <c r="C2259" s="19" t="s">
        <v>21</v>
      </c>
      <c r="D2259" s="19" t="s">
        <v>2387</v>
      </c>
      <c r="E2259" s="21">
        <v>46204</v>
      </c>
      <c r="F2259" s="21">
        <v>46568</v>
      </c>
      <c r="G2259" s="21"/>
      <c r="H2259" s="21">
        <v>46204</v>
      </c>
      <c r="I2259" s="21">
        <v>46568</v>
      </c>
      <c r="J2259" s="19" t="s">
        <v>1473</v>
      </c>
      <c r="L2259" s="19">
        <v>123.1033675</v>
      </c>
      <c r="M2259" s="19">
        <v>123.1033675</v>
      </c>
      <c r="N2259" s="19" t="s">
        <v>1467</v>
      </c>
      <c r="O2259" s="20">
        <v>5</v>
      </c>
      <c r="S2259" s="19" t="s">
        <v>20</v>
      </c>
      <c r="T2259" s="19" t="s">
        <v>1471</v>
      </c>
    </row>
    <row r="2260" spans="1:20">
      <c r="A2260" s="20">
        <v>202603330125984</v>
      </c>
      <c r="B2260" s="19" t="s">
        <v>20</v>
      </c>
      <c r="C2260" s="19" t="s">
        <v>21</v>
      </c>
      <c r="D2260" s="19" t="s">
        <v>20</v>
      </c>
      <c r="E2260" s="21">
        <v>46204</v>
      </c>
      <c r="F2260" s="21">
        <v>46568</v>
      </c>
      <c r="G2260" s="21"/>
      <c r="H2260" s="21">
        <v>46204</v>
      </c>
      <c r="I2260" s="21">
        <v>46568</v>
      </c>
      <c r="J2260" s="19" t="s">
        <v>2129</v>
      </c>
      <c r="L2260" s="19">
        <v>0</v>
      </c>
      <c r="M2260" s="19">
        <v>0</v>
      </c>
      <c r="N2260" s="19" t="s">
        <v>2394</v>
      </c>
      <c r="O2260" s="20">
        <v>3</v>
      </c>
      <c r="S2260" s="19" t="s">
        <v>20</v>
      </c>
      <c r="T2260" s="19" t="s">
        <v>1471</v>
      </c>
    </row>
    <row r="2261" spans="1:20">
      <c r="A2261" s="20">
        <v>202603330125984</v>
      </c>
      <c r="B2261" s="19" t="s">
        <v>20</v>
      </c>
      <c r="C2261" s="19" t="s">
        <v>21</v>
      </c>
      <c r="D2261" s="19" t="s">
        <v>2388</v>
      </c>
      <c r="E2261" s="21">
        <v>46204</v>
      </c>
      <c r="F2261" s="21">
        <v>46568</v>
      </c>
      <c r="G2261" s="21"/>
      <c r="H2261" s="21">
        <v>46204</v>
      </c>
      <c r="I2261" s="21">
        <v>46568</v>
      </c>
      <c r="J2261" s="19" t="s">
        <v>2129</v>
      </c>
      <c r="L2261" s="19">
        <v>99.391890750000002</v>
      </c>
      <c r="M2261" s="19">
        <v>99.391890750000002</v>
      </c>
      <c r="N2261" s="19" t="s">
        <v>1467</v>
      </c>
      <c r="O2261" s="20">
        <v>3</v>
      </c>
      <c r="S2261" s="19" t="s">
        <v>20</v>
      </c>
      <c r="T2261" s="19" t="s">
        <v>1471</v>
      </c>
    </row>
    <row r="2262" spans="1:20">
      <c r="A2262" s="20">
        <v>202603330126307</v>
      </c>
      <c r="B2262" s="19" t="s">
        <v>20</v>
      </c>
      <c r="C2262" s="19" t="s">
        <v>21</v>
      </c>
      <c r="D2262" s="19" t="s">
        <v>20</v>
      </c>
      <c r="E2262" s="21">
        <v>46204</v>
      </c>
      <c r="F2262" s="21">
        <v>46568</v>
      </c>
      <c r="G2262" s="21"/>
      <c r="H2262" s="21">
        <v>46204</v>
      </c>
      <c r="I2262" s="21">
        <v>46568</v>
      </c>
      <c r="J2262" s="19" t="s">
        <v>2069</v>
      </c>
      <c r="L2262" s="19">
        <v>0</v>
      </c>
      <c r="M2262" s="19">
        <v>0</v>
      </c>
      <c r="N2262" s="19" t="s">
        <v>2394</v>
      </c>
      <c r="O2262" s="20">
        <v>4</v>
      </c>
      <c r="S2262" s="19" t="s">
        <v>20</v>
      </c>
      <c r="T2262" s="19" t="s">
        <v>1471</v>
      </c>
    </row>
    <row r="2263" spans="1:20">
      <c r="A2263" s="20">
        <v>202603330126307</v>
      </c>
      <c r="B2263" s="19" t="s">
        <v>20</v>
      </c>
      <c r="C2263" s="19" t="s">
        <v>21</v>
      </c>
      <c r="D2263" s="19" t="s">
        <v>2389</v>
      </c>
      <c r="E2263" s="21">
        <v>46204</v>
      </c>
      <c r="F2263" s="21">
        <v>46568</v>
      </c>
      <c r="G2263" s="21"/>
      <c r="H2263" s="21">
        <v>46204</v>
      </c>
      <c r="I2263" s="21">
        <v>46568</v>
      </c>
      <c r="J2263" s="19" t="s">
        <v>2069</v>
      </c>
      <c r="L2263" s="19">
        <v>132.52252100000001</v>
      </c>
      <c r="M2263" s="19">
        <v>132.52252100000001</v>
      </c>
      <c r="N2263" s="19" t="s">
        <v>1467</v>
      </c>
      <c r="O2263" s="20">
        <v>4</v>
      </c>
      <c r="S2263" s="19" t="s">
        <v>20</v>
      </c>
      <c r="T2263" s="19" t="s">
        <v>1471</v>
      </c>
    </row>
    <row r="2264" spans="1:20">
      <c r="A2264" s="20">
        <v>202603330127622</v>
      </c>
      <c r="B2264" s="19" t="s">
        <v>20</v>
      </c>
      <c r="C2264" s="19" t="s">
        <v>21</v>
      </c>
      <c r="D2264" s="19" t="s">
        <v>20</v>
      </c>
      <c r="E2264" s="21">
        <v>46204</v>
      </c>
      <c r="F2264" s="21">
        <v>46568</v>
      </c>
      <c r="G2264" s="21"/>
      <c r="H2264" s="21">
        <v>46204</v>
      </c>
      <c r="I2264" s="21">
        <v>46568</v>
      </c>
      <c r="J2264" s="19" t="s">
        <v>2087</v>
      </c>
      <c r="L2264" s="19">
        <v>0</v>
      </c>
      <c r="M2264" s="19">
        <v>0</v>
      </c>
      <c r="N2264" s="19" t="s">
        <v>2394</v>
      </c>
      <c r="O2264" s="20">
        <v>5</v>
      </c>
      <c r="S2264" s="19" t="s">
        <v>20</v>
      </c>
      <c r="T2264" s="19" t="s">
        <v>1471</v>
      </c>
    </row>
    <row r="2265" spans="1:20">
      <c r="A2265" s="20">
        <v>202603330127622</v>
      </c>
      <c r="B2265" s="19" t="s">
        <v>20</v>
      </c>
      <c r="C2265" s="19" t="s">
        <v>21</v>
      </c>
      <c r="D2265" s="19" t="s">
        <v>20</v>
      </c>
      <c r="E2265" s="21">
        <v>46204</v>
      </c>
      <c r="F2265" s="21">
        <v>46568</v>
      </c>
      <c r="G2265" s="21"/>
      <c r="H2265" s="21">
        <v>46204</v>
      </c>
      <c r="I2265" s="21">
        <v>46568</v>
      </c>
      <c r="J2265" s="19" t="s">
        <v>2087</v>
      </c>
      <c r="L2265" s="19">
        <v>165.65315125000001</v>
      </c>
      <c r="M2265" s="19">
        <v>165.65315125000001</v>
      </c>
      <c r="N2265" s="19" t="s">
        <v>1475</v>
      </c>
      <c r="O2265" s="20">
        <v>5</v>
      </c>
      <c r="S2265" s="19" t="s">
        <v>20</v>
      </c>
      <c r="T2265" s="19" t="s">
        <v>1471</v>
      </c>
    </row>
    <row r="2266" spans="1:20">
      <c r="A2266" s="20">
        <v>202603330127987</v>
      </c>
      <c r="B2266" s="19" t="s">
        <v>20</v>
      </c>
      <c r="C2266" s="19" t="s">
        <v>21</v>
      </c>
      <c r="D2266" s="19" t="s">
        <v>20</v>
      </c>
      <c r="E2266" s="21">
        <v>46204</v>
      </c>
      <c r="F2266" s="21">
        <v>46568</v>
      </c>
      <c r="G2266" s="21"/>
      <c r="H2266" s="21">
        <v>46204</v>
      </c>
      <c r="I2266" s="21">
        <v>46568</v>
      </c>
      <c r="J2266" s="19" t="s">
        <v>2087</v>
      </c>
      <c r="L2266" s="19">
        <v>66.261260500000006</v>
      </c>
      <c r="M2266" s="19">
        <v>66.261260500000006</v>
      </c>
      <c r="N2266" s="19" t="s">
        <v>1475</v>
      </c>
      <c r="O2266" s="20">
        <v>2</v>
      </c>
      <c r="S2266" s="19" t="s">
        <v>20</v>
      </c>
      <c r="T2266" s="19" t="s">
        <v>1471</v>
      </c>
    </row>
    <row r="2267" spans="1:20">
      <c r="A2267" s="20">
        <v>202603330128026</v>
      </c>
      <c r="B2267" s="19" t="s">
        <v>20</v>
      </c>
      <c r="C2267" s="19" t="s">
        <v>21</v>
      </c>
      <c r="D2267" s="19" t="s">
        <v>20</v>
      </c>
      <c r="E2267" s="21">
        <v>46204</v>
      </c>
      <c r="F2267" s="21">
        <v>46568</v>
      </c>
      <c r="G2267" s="21"/>
      <c r="H2267" s="21">
        <v>46204</v>
      </c>
      <c r="I2267" s="21">
        <v>46568</v>
      </c>
      <c r="J2267" s="19" t="s">
        <v>2142</v>
      </c>
      <c r="L2267" s="19">
        <v>0</v>
      </c>
      <c r="M2267" s="19">
        <v>0</v>
      </c>
      <c r="N2267" s="19" t="s">
        <v>2394</v>
      </c>
      <c r="O2267" s="20">
        <v>4</v>
      </c>
      <c r="S2267" s="19" t="s">
        <v>20</v>
      </c>
      <c r="T2267" s="19" t="s">
        <v>1471</v>
      </c>
    </row>
    <row r="2268" spans="1:20">
      <c r="A2268" s="20">
        <v>202603330128026</v>
      </c>
      <c r="B2268" s="19" t="s">
        <v>20</v>
      </c>
      <c r="C2268" s="19" t="s">
        <v>21</v>
      </c>
      <c r="D2268" s="19" t="s">
        <v>2390</v>
      </c>
      <c r="E2268" s="21">
        <v>46204</v>
      </c>
      <c r="F2268" s="21">
        <v>46568</v>
      </c>
      <c r="G2268" s="21"/>
      <c r="H2268" s="21">
        <v>46204</v>
      </c>
      <c r="I2268" s="21">
        <v>46568</v>
      </c>
      <c r="J2268" s="19" t="s">
        <v>2142</v>
      </c>
      <c r="L2268" s="19">
        <v>120.13318</v>
      </c>
      <c r="M2268" s="19">
        <v>120.13318</v>
      </c>
      <c r="N2268" s="19" t="s">
        <v>1467</v>
      </c>
      <c r="O2268" s="20">
        <v>4</v>
      </c>
      <c r="S2268" s="19" t="s">
        <v>20</v>
      </c>
      <c r="T2268" s="19" t="s">
        <v>1471</v>
      </c>
    </row>
    <row r="2269" spans="1:20">
      <c r="A2269" s="20">
        <v>202604332420715</v>
      </c>
      <c r="B2269" s="19" t="s">
        <v>20</v>
      </c>
      <c r="C2269" s="19" t="s">
        <v>21</v>
      </c>
      <c r="D2269" s="19" t="s">
        <v>20</v>
      </c>
      <c r="E2269" s="21">
        <v>46235</v>
      </c>
      <c r="F2269" s="21">
        <v>46599</v>
      </c>
      <c r="G2269" s="21"/>
      <c r="H2269" s="21">
        <v>46235</v>
      </c>
      <c r="I2269" s="21">
        <v>46599</v>
      </c>
      <c r="J2269" s="19" t="s">
        <v>2114</v>
      </c>
      <c r="L2269" s="19">
        <v>33.130630250000003</v>
      </c>
      <c r="M2269" s="19">
        <v>33.130630250000003</v>
      </c>
      <c r="N2269" s="19" t="s">
        <v>1475</v>
      </c>
      <c r="O2269" s="20">
        <v>1</v>
      </c>
      <c r="S2269" s="19" t="s">
        <v>20</v>
      </c>
      <c r="T2269" s="19" t="s">
        <v>1471</v>
      </c>
    </row>
    <row r="2270" spans="1:20">
      <c r="A2270" s="20">
        <v>202604332422179</v>
      </c>
      <c r="B2270" s="19" t="s">
        <v>20</v>
      </c>
      <c r="C2270" s="19" t="s">
        <v>21</v>
      </c>
      <c r="D2270" s="19" t="s">
        <v>20</v>
      </c>
      <c r="E2270" s="21">
        <v>46235</v>
      </c>
      <c r="F2270" s="21">
        <v>46599</v>
      </c>
      <c r="G2270" s="21"/>
      <c r="H2270" s="21">
        <v>46235</v>
      </c>
      <c r="I2270" s="21">
        <v>46599</v>
      </c>
      <c r="J2270" s="19" t="s">
        <v>2315</v>
      </c>
      <c r="L2270" s="19">
        <v>0</v>
      </c>
      <c r="M2270" s="19">
        <v>0</v>
      </c>
      <c r="N2270" s="19" t="s">
        <v>2394</v>
      </c>
      <c r="O2270" s="20">
        <v>4</v>
      </c>
      <c r="S2270" s="19" t="s">
        <v>20</v>
      </c>
      <c r="T2270" s="19" t="s">
        <v>1471</v>
      </c>
    </row>
    <row r="2271" spans="1:20">
      <c r="A2271" s="20">
        <v>202604332422179</v>
      </c>
      <c r="B2271" s="19" t="s">
        <v>20</v>
      </c>
      <c r="C2271" s="19" t="s">
        <v>21</v>
      </c>
      <c r="D2271" s="19" t="s">
        <v>2512</v>
      </c>
      <c r="E2271" s="21">
        <v>46235</v>
      </c>
      <c r="F2271" s="21">
        <v>46599</v>
      </c>
      <c r="G2271" s="21"/>
      <c r="H2271" s="21">
        <v>46235</v>
      </c>
      <c r="I2271" s="21">
        <v>46599</v>
      </c>
      <c r="J2271" s="19" t="s">
        <v>2315</v>
      </c>
      <c r="L2271" s="19">
        <v>119.270247</v>
      </c>
      <c r="M2271" s="19">
        <v>119.270247</v>
      </c>
      <c r="N2271" s="19" t="s">
        <v>1467</v>
      </c>
      <c r="O2271" s="20">
        <v>4</v>
      </c>
      <c r="S2271" s="19" t="s">
        <v>20</v>
      </c>
      <c r="T2271" s="19" t="s">
        <v>1471</v>
      </c>
    </row>
    <row r="2272" spans="1:20">
      <c r="A2272" s="20">
        <v>202604332422286</v>
      </c>
      <c r="B2272" s="19" t="s">
        <v>20</v>
      </c>
      <c r="C2272" s="19" t="s">
        <v>21</v>
      </c>
      <c r="D2272" s="19" t="s">
        <v>20</v>
      </c>
      <c r="E2272" s="21">
        <v>46235</v>
      </c>
      <c r="F2272" s="21">
        <v>46599</v>
      </c>
      <c r="G2272" s="21"/>
      <c r="H2272" s="21">
        <v>46235</v>
      </c>
      <c r="I2272" s="21">
        <v>46599</v>
      </c>
      <c r="J2272" s="19" t="s">
        <v>2274</v>
      </c>
      <c r="L2272" s="19">
        <v>0</v>
      </c>
      <c r="M2272" s="19">
        <v>0</v>
      </c>
      <c r="N2272" s="19" t="s">
        <v>2394</v>
      </c>
      <c r="O2272" s="20">
        <v>5</v>
      </c>
      <c r="S2272" s="19" t="s">
        <v>20</v>
      </c>
      <c r="T2272" s="19" t="s">
        <v>1471</v>
      </c>
    </row>
    <row r="2273" spans="1:20">
      <c r="A2273" s="20">
        <v>202604332422286</v>
      </c>
      <c r="B2273" s="19" t="s">
        <v>20</v>
      </c>
      <c r="C2273" s="19" t="s">
        <v>21</v>
      </c>
      <c r="D2273" s="19" t="s">
        <v>20</v>
      </c>
      <c r="E2273" s="21">
        <v>46235</v>
      </c>
      <c r="F2273" s="21">
        <v>46599</v>
      </c>
      <c r="G2273" s="21"/>
      <c r="H2273" s="21">
        <v>46235</v>
      </c>
      <c r="I2273" s="21">
        <v>46599</v>
      </c>
      <c r="J2273" s="19" t="s">
        <v>2274</v>
      </c>
      <c r="L2273" s="19">
        <v>193.29779500000001</v>
      </c>
      <c r="M2273" s="19">
        <v>193.29779500000001</v>
      </c>
      <c r="N2273" s="19" t="s">
        <v>1475</v>
      </c>
      <c r="O2273" s="20">
        <v>5</v>
      </c>
      <c r="S2273" s="19" t="s">
        <v>20</v>
      </c>
      <c r="T2273" s="19" t="s">
        <v>1471</v>
      </c>
    </row>
    <row r="2274" spans="1:20">
      <c r="A2274" s="20">
        <v>202604332423980</v>
      </c>
      <c r="B2274" s="19" t="s">
        <v>20</v>
      </c>
      <c r="C2274" s="19" t="s">
        <v>21</v>
      </c>
      <c r="D2274" s="19" t="s">
        <v>20</v>
      </c>
      <c r="E2274" s="21">
        <v>46235</v>
      </c>
      <c r="F2274" s="21">
        <v>46599</v>
      </c>
      <c r="G2274" s="21"/>
      <c r="H2274" s="21">
        <v>46235</v>
      </c>
      <c r="I2274" s="21">
        <v>46599</v>
      </c>
      <c r="J2274" s="19" t="s">
        <v>2104</v>
      </c>
      <c r="L2274" s="19">
        <v>0</v>
      </c>
      <c r="M2274" s="19">
        <v>0</v>
      </c>
      <c r="N2274" s="19" t="s">
        <v>2394</v>
      </c>
      <c r="O2274" s="20">
        <v>4</v>
      </c>
      <c r="S2274" s="19" t="s">
        <v>20</v>
      </c>
      <c r="T2274" s="19" t="s">
        <v>1471</v>
      </c>
    </row>
    <row r="2275" spans="1:20">
      <c r="A2275" s="20">
        <v>202604332423980</v>
      </c>
      <c r="B2275" s="19" t="s">
        <v>20</v>
      </c>
      <c r="C2275" s="19" t="s">
        <v>21</v>
      </c>
      <c r="D2275" s="19" t="s">
        <v>20</v>
      </c>
      <c r="E2275" s="21">
        <v>46235</v>
      </c>
      <c r="F2275" s="21">
        <v>46599</v>
      </c>
      <c r="G2275" s="21"/>
      <c r="H2275" s="21">
        <v>46235</v>
      </c>
      <c r="I2275" s="21">
        <v>46599</v>
      </c>
      <c r="J2275" s="19" t="s">
        <v>2104</v>
      </c>
      <c r="L2275" s="19">
        <v>132.52252100000001</v>
      </c>
      <c r="M2275" s="19">
        <v>132.52252100000001</v>
      </c>
      <c r="N2275" s="19" t="s">
        <v>1475</v>
      </c>
      <c r="O2275" s="20">
        <v>4</v>
      </c>
      <c r="S2275" s="19" t="s">
        <v>20</v>
      </c>
      <c r="T2275" s="19" t="s">
        <v>1471</v>
      </c>
    </row>
    <row r="2276" spans="1:20">
      <c r="A2276" s="20">
        <v>202604332424058</v>
      </c>
      <c r="B2276" s="19" t="s">
        <v>20</v>
      </c>
      <c r="C2276" s="19" t="s">
        <v>21</v>
      </c>
      <c r="D2276" s="19" t="s">
        <v>20</v>
      </c>
      <c r="E2276" s="21">
        <v>46235</v>
      </c>
      <c r="F2276" s="21">
        <v>46599</v>
      </c>
      <c r="G2276" s="21"/>
      <c r="H2276" s="21">
        <v>46235</v>
      </c>
      <c r="I2276" s="21">
        <v>46599</v>
      </c>
      <c r="J2276" s="19" t="s">
        <v>2166</v>
      </c>
      <c r="L2276" s="19">
        <v>53.008986499999999</v>
      </c>
      <c r="M2276" s="19">
        <v>53.008986499999999</v>
      </c>
      <c r="N2276" s="19" t="s">
        <v>1475</v>
      </c>
      <c r="O2276" s="20">
        <v>2</v>
      </c>
      <c r="S2276" s="19" t="s">
        <v>20</v>
      </c>
      <c r="T2276" s="19" t="s">
        <v>1471</v>
      </c>
    </row>
    <row r="2277" spans="1:20">
      <c r="A2277" s="20">
        <v>202604332426224</v>
      </c>
      <c r="B2277" s="19" t="s">
        <v>20</v>
      </c>
      <c r="C2277" s="19" t="s">
        <v>21</v>
      </c>
      <c r="D2277" s="19" t="s">
        <v>20</v>
      </c>
      <c r="E2277" s="21">
        <v>46235</v>
      </c>
      <c r="F2277" s="21">
        <v>46599</v>
      </c>
      <c r="G2277" s="21"/>
      <c r="H2277" s="21">
        <v>46235</v>
      </c>
      <c r="I2277" s="21">
        <v>46599</v>
      </c>
      <c r="J2277" s="19" t="s">
        <v>2244</v>
      </c>
      <c r="L2277" s="19">
        <v>29.817561749999999</v>
      </c>
      <c r="M2277" s="19">
        <v>29.817561749999999</v>
      </c>
      <c r="N2277" s="19" t="s">
        <v>1475</v>
      </c>
      <c r="O2277" s="20">
        <v>1</v>
      </c>
      <c r="S2277" s="19" t="s">
        <v>20</v>
      </c>
      <c r="T2277" s="19" t="s">
        <v>1471</v>
      </c>
    </row>
    <row r="2278" spans="1:20">
      <c r="A2278" s="20">
        <v>202604332426457</v>
      </c>
      <c r="B2278" s="19" t="s">
        <v>20</v>
      </c>
      <c r="C2278" s="19" t="s">
        <v>21</v>
      </c>
      <c r="D2278" s="19" t="s">
        <v>20</v>
      </c>
      <c r="E2278" s="21">
        <v>46235</v>
      </c>
      <c r="F2278" s="21">
        <v>46599</v>
      </c>
      <c r="G2278" s="21"/>
      <c r="H2278" s="21">
        <v>46235</v>
      </c>
      <c r="I2278" s="21">
        <v>46599</v>
      </c>
      <c r="J2278" s="19" t="s">
        <v>2243</v>
      </c>
      <c r="L2278" s="19">
        <v>0</v>
      </c>
      <c r="M2278" s="19">
        <v>0</v>
      </c>
      <c r="N2278" s="19" t="s">
        <v>2394</v>
      </c>
      <c r="O2278" s="20">
        <v>3</v>
      </c>
      <c r="S2278" s="19" t="s">
        <v>20</v>
      </c>
      <c r="T2278" s="19" t="s">
        <v>1471</v>
      </c>
    </row>
    <row r="2279" spans="1:20">
      <c r="A2279" s="20">
        <v>202604332426457</v>
      </c>
      <c r="B2279" s="19" t="s">
        <v>20</v>
      </c>
      <c r="C2279" s="19" t="s">
        <v>21</v>
      </c>
      <c r="D2279" s="19" t="s">
        <v>20</v>
      </c>
      <c r="E2279" s="21">
        <v>46235</v>
      </c>
      <c r="F2279" s="21">
        <v>46599</v>
      </c>
      <c r="G2279" s="21"/>
      <c r="H2279" s="21">
        <v>46235</v>
      </c>
      <c r="I2279" s="21">
        <v>46599</v>
      </c>
      <c r="J2279" s="19" t="s">
        <v>2243</v>
      </c>
      <c r="L2279" s="19">
        <v>99.391890750000002</v>
      </c>
      <c r="M2279" s="19">
        <v>99.391890750000002</v>
      </c>
      <c r="N2279" s="19" t="s">
        <v>1475</v>
      </c>
      <c r="O2279" s="20">
        <v>3</v>
      </c>
      <c r="S2279" s="19" t="s">
        <v>20</v>
      </c>
      <c r="T2279" s="19" t="s">
        <v>1471</v>
      </c>
    </row>
    <row r="2280" spans="1:20">
      <c r="A2280" s="20">
        <v>202604332426675</v>
      </c>
      <c r="B2280" s="19" t="s">
        <v>20</v>
      </c>
      <c r="C2280" s="19" t="s">
        <v>21</v>
      </c>
      <c r="D2280" s="19" t="s">
        <v>20</v>
      </c>
      <c r="E2280" s="21">
        <v>46235</v>
      </c>
      <c r="F2280" s="21">
        <v>46599</v>
      </c>
      <c r="G2280" s="21"/>
      <c r="H2280" s="21">
        <v>46235</v>
      </c>
      <c r="I2280" s="21">
        <v>46599</v>
      </c>
      <c r="J2280" s="19" t="s">
        <v>2118</v>
      </c>
      <c r="L2280" s="19">
        <v>33.130630250000003</v>
      </c>
      <c r="M2280" s="19">
        <v>33.130630250000003</v>
      </c>
      <c r="N2280" s="19" t="s">
        <v>1475</v>
      </c>
      <c r="O2280" s="20">
        <v>1</v>
      </c>
      <c r="S2280" s="19" t="s">
        <v>20</v>
      </c>
      <c r="T2280" s="19" t="s">
        <v>1471</v>
      </c>
    </row>
    <row r="2281" spans="1:20">
      <c r="A2281" s="20">
        <v>202604332426682</v>
      </c>
      <c r="B2281" s="19" t="s">
        <v>20</v>
      </c>
      <c r="C2281" s="19" t="s">
        <v>21</v>
      </c>
      <c r="D2281" s="19" t="s">
        <v>20</v>
      </c>
      <c r="E2281" s="21">
        <v>46235</v>
      </c>
      <c r="F2281" s="21">
        <v>46599</v>
      </c>
      <c r="G2281" s="21"/>
      <c r="H2281" s="21">
        <v>46235</v>
      </c>
      <c r="I2281" s="21">
        <v>46599</v>
      </c>
      <c r="J2281" s="19" t="s">
        <v>2238</v>
      </c>
      <c r="L2281" s="19">
        <v>0</v>
      </c>
      <c r="M2281" s="19">
        <v>0</v>
      </c>
      <c r="N2281" s="19" t="s">
        <v>2394</v>
      </c>
      <c r="O2281" s="20">
        <v>2</v>
      </c>
      <c r="S2281" s="19" t="s">
        <v>20</v>
      </c>
      <c r="T2281" s="19" t="s">
        <v>1471</v>
      </c>
    </row>
    <row r="2282" spans="1:20">
      <c r="A2282" s="20">
        <v>202604332426682</v>
      </c>
      <c r="B2282" s="19" t="s">
        <v>20</v>
      </c>
      <c r="C2282" s="19" t="s">
        <v>21</v>
      </c>
      <c r="D2282" s="19" t="s">
        <v>2511</v>
      </c>
      <c r="E2282" s="21">
        <v>46235</v>
      </c>
      <c r="F2282" s="21">
        <v>46599</v>
      </c>
      <c r="G2282" s="21"/>
      <c r="H2282" s="21">
        <v>46235</v>
      </c>
      <c r="I2282" s="21">
        <v>46599</v>
      </c>
      <c r="J2282" s="19" t="s">
        <v>2238</v>
      </c>
      <c r="L2282" s="19">
        <v>48.584639000000003</v>
      </c>
      <c r="M2282" s="19">
        <v>48.584639000000003</v>
      </c>
      <c r="N2282" s="19" t="s">
        <v>1467</v>
      </c>
      <c r="O2282" s="20">
        <v>2</v>
      </c>
      <c r="S2282" s="19" t="s">
        <v>20</v>
      </c>
      <c r="T2282" s="19" t="s">
        <v>1471</v>
      </c>
    </row>
    <row r="2283" spans="1:20">
      <c r="A2283" s="20">
        <v>202604332427233</v>
      </c>
      <c r="B2283" s="19" t="s">
        <v>20</v>
      </c>
      <c r="C2283" s="19" t="s">
        <v>21</v>
      </c>
      <c r="D2283" s="19" t="s">
        <v>20</v>
      </c>
      <c r="E2283" s="21">
        <v>46235</v>
      </c>
      <c r="F2283" s="21">
        <v>46599</v>
      </c>
      <c r="G2283" s="21"/>
      <c r="H2283" s="21">
        <v>46235</v>
      </c>
      <c r="I2283" s="21">
        <v>46599</v>
      </c>
      <c r="J2283" s="19" t="s">
        <v>2109</v>
      </c>
      <c r="L2283" s="19">
        <v>0</v>
      </c>
      <c r="M2283" s="19">
        <v>0</v>
      </c>
      <c r="N2283" s="19" t="s">
        <v>2394</v>
      </c>
      <c r="O2283" s="20">
        <v>4</v>
      </c>
      <c r="S2283" s="19" t="s">
        <v>20</v>
      </c>
      <c r="T2283" s="19" t="s">
        <v>1471</v>
      </c>
    </row>
    <row r="2284" spans="1:20">
      <c r="A2284" s="20">
        <v>202604332427233</v>
      </c>
      <c r="B2284" s="19" t="s">
        <v>20</v>
      </c>
      <c r="C2284" s="19" t="s">
        <v>21</v>
      </c>
      <c r="D2284" s="19" t="s">
        <v>2510</v>
      </c>
      <c r="E2284" s="21">
        <v>46235</v>
      </c>
      <c r="F2284" s="21">
        <v>46599</v>
      </c>
      <c r="G2284" s="21"/>
      <c r="H2284" s="21">
        <v>46235</v>
      </c>
      <c r="I2284" s="21">
        <v>46599</v>
      </c>
      <c r="J2284" s="19" t="s">
        <v>2109</v>
      </c>
      <c r="L2284" s="19">
        <v>119.270247</v>
      </c>
      <c r="M2284" s="19">
        <v>119.270247</v>
      </c>
      <c r="N2284" s="19" t="s">
        <v>1467</v>
      </c>
      <c r="O2284" s="20">
        <v>4</v>
      </c>
      <c r="S2284" s="19" t="s">
        <v>20</v>
      </c>
      <c r="T2284" s="19" t="s">
        <v>1471</v>
      </c>
    </row>
    <row r="2285" spans="1:20">
      <c r="A2285" s="20">
        <v>202604332427764</v>
      </c>
      <c r="B2285" s="19" t="s">
        <v>20</v>
      </c>
      <c r="C2285" s="19" t="s">
        <v>21</v>
      </c>
      <c r="D2285" s="19" t="s">
        <v>20</v>
      </c>
      <c r="E2285" s="21">
        <v>46235</v>
      </c>
      <c r="F2285" s="21">
        <v>46599</v>
      </c>
      <c r="G2285" s="21"/>
      <c r="H2285" s="21">
        <v>46235</v>
      </c>
      <c r="I2285" s="21">
        <v>46599</v>
      </c>
      <c r="J2285" s="19" t="s">
        <v>2334</v>
      </c>
      <c r="L2285" s="19">
        <v>0</v>
      </c>
      <c r="M2285" s="19">
        <v>0</v>
      </c>
      <c r="N2285" s="19" t="s">
        <v>2394</v>
      </c>
      <c r="O2285" s="20">
        <v>8</v>
      </c>
      <c r="S2285" s="19" t="s">
        <v>20</v>
      </c>
      <c r="T2285" s="19" t="s">
        <v>1471</v>
      </c>
    </row>
    <row r="2286" spans="1:20">
      <c r="A2286" s="20">
        <v>202604332427764</v>
      </c>
      <c r="B2286" s="19" t="s">
        <v>20</v>
      </c>
      <c r="C2286" s="19" t="s">
        <v>21</v>
      </c>
      <c r="D2286" s="19" t="s">
        <v>2509</v>
      </c>
      <c r="E2286" s="21">
        <v>46235</v>
      </c>
      <c r="F2286" s="21">
        <v>46599</v>
      </c>
      <c r="G2286" s="21"/>
      <c r="H2286" s="21">
        <v>46235</v>
      </c>
      <c r="I2286" s="21">
        <v>46599</v>
      </c>
      <c r="J2286" s="19" t="s">
        <v>2334</v>
      </c>
      <c r="L2286" s="19">
        <v>145.28065799999999</v>
      </c>
      <c r="M2286" s="19">
        <v>145.28065799999999</v>
      </c>
      <c r="N2286" s="19" t="s">
        <v>1467</v>
      </c>
      <c r="O2286" s="20">
        <v>8</v>
      </c>
      <c r="S2286" s="19" t="s">
        <v>20</v>
      </c>
      <c r="T2286" s="19" t="s">
        <v>1471</v>
      </c>
    </row>
    <row r="2287" spans="1:20">
      <c r="A2287" s="20">
        <v>202604332427832</v>
      </c>
      <c r="B2287" s="19" t="s">
        <v>20</v>
      </c>
      <c r="C2287" s="19" t="s">
        <v>21</v>
      </c>
      <c r="D2287" s="19" t="s">
        <v>20</v>
      </c>
      <c r="E2287" s="21">
        <v>46235</v>
      </c>
      <c r="F2287" s="21">
        <v>46599</v>
      </c>
      <c r="G2287" s="21"/>
      <c r="H2287" s="21">
        <v>46235</v>
      </c>
      <c r="I2287" s="21">
        <v>46599</v>
      </c>
      <c r="J2287" s="19" t="s">
        <v>2111</v>
      </c>
      <c r="L2287" s="19">
        <v>0</v>
      </c>
      <c r="M2287" s="19">
        <v>0</v>
      </c>
      <c r="N2287" s="19" t="s">
        <v>2394</v>
      </c>
      <c r="O2287" s="20">
        <v>6</v>
      </c>
      <c r="S2287" s="19" t="s">
        <v>20</v>
      </c>
      <c r="T2287" s="19" t="s">
        <v>1471</v>
      </c>
    </row>
    <row r="2288" spans="1:20">
      <c r="A2288" s="20">
        <v>202604332427832</v>
      </c>
      <c r="B2288" s="19" t="s">
        <v>20</v>
      </c>
      <c r="C2288" s="19" t="s">
        <v>21</v>
      </c>
      <c r="D2288" s="19" t="s">
        <v>2508</v>
      </c>
      <c r="E2288" s="21">
        <v>46235</v>
      </c>
      <c r="F2288" s="21">
        <v>46599</v>
      </c>
      <c r="G2288" s="21"/>
      <c r="H2288" s="21">
        <v>46235</v>
      </c>
      <c r="I2288" s="21">
        <v>46599</v>
      </c>
      <c r="J2288" s="19" t="s">
        <v>2111</v>
      </c>
      <c r="L2288" s="19">
        <v>198.7837815</v>
      </c>
      <c r="M2288" s="19">
        <v>198.7837815</v>
      </c>
      <c r="N2288" s="19" t="s">
        <v>1467</v>
      </c>
      <c r="O2288" s="20">
        <v>6</v>
      </c>
      <c r="S2288" s="19" t="s">
        <v>20</v>
      </c>
      <c r="T2288" s="19" t="s">
        <v>1471</v>
      </c>
    </row>
    <row r="2289" spans="1:20">
      <c r="A2289" s="20">
        <v>202604332430506</v>
      </c>
      <c r="B2289" s="19" t="s">
        <v>20</v>
      </c>
      <c r="C2289" s="19" t="s">
        <v>21</v>
      </c>
      <c r="D2289" s="19" t="s">
        <v>20</v>
      </c>
      <c r="E2289" s="21">
        <v>46235</v>
      </c>
      <c r="F2289" s="21">
        <v>46599</v>
      </c>
      <c r="G2289" s="21"/>
      <c r="H2289" s="21">
        <v>46235</v>
      </c>
      <c r="I2289" s="21">
        <v>46599</v>
      </c>
      <c r="J2289" s="19" t="s">
        <v>2103</v>
      </c>
      <c r="L2289" s="19">
        <v>0</v>
      </c>
      <c r="M2289" s="19">
        <v>0</v>
      </c>
      <c r="N2289" s="19" t="s">
        <v>2394</v>
      </c>
      <c r="O2289" s="20">
        <v>2</v>
      </c>
      <c r="S2289" s="19" t="s">
        <v>20</v>
      </c>
      <c r="T2289" s="19" t="s">
        <v>1471</v>
      </c>
    </row>
    <row r="2290" spans="1:20">
      <c r="A2290" s="20">
        <v>202604332430506</v>
      </c>
      <c r="B2290" s="19" t="s">
        <v>20</v>
      </c>
      <c r="C2290" s="19" t="s">
        <v>21</v>
      </c>
      <c r="D2290" s="19" t="s">
        <v>2507</v>
      </c>
      <c r="E2290" s="21">
        <v>46235</v>
      </c>
      <c r="F2290" s="21">
        <v>46599</v>
      </c>
      <c r="G2290" s="21"/>
      <c r="H2290" s="21">
        <v>46235</v>
      </c>
      <c r="I2290" s="21">
        <v>46599</v>
      </c>
      <c r="J2290" s="19" t="s">
        <v>2103</v>
      </c>
      <c r="L2290" s="19">
        <v>47.936581500000003</v>
      </c>
      <c r="M2290" s="19">
        <v>47.936581500000003</v>
      </c>
      <c r="N2290" s="19" t="s">
        <v>1467</v>
      </c>
      <c r="O2290" s="20">
        <v>2</v>
      </c>
      <c r="S2290" s="19" t="s">
        <v>20</v>
      </c>
      <c r="T2290" s="19" t="s">
        <v>1471</v>
      </c>
    </row>
    <row r="2291" spans="1:20">
      <c r="A2291" s="20">
        <v>202604332431058</v>
      </c>
      <c r="B2291" s="19" t="s">
        <v>20</v>
      </c>
      <c r="C2291" s="19" t="s">
        <v>21</v>
      </c>
      <c r="D2291" s="19" t="s">
        <v>20</v>
      </c>
      <c r="E2291" s="21">
        <v>46235</v>
      </c>
      <c r="F2291" s="21">
        <v>46599</v>
      </c>
      <c r="G2291" s="21"/>
      <c r="H2291" s="21">
        <v>46235</v>
      </c>
      <c r="I2291" s="21">
        <v>46599</v>
      </c>
      <c r="J2291" s="19" t="s">
        <v>2193</v>
      </c>
      <c r="L2291" s="19">
        <v>0</v>
      </c>
      <c r="M2291" s="19">
        <v>0</v>
      </c>
      <c r="N2291" s="19" t="s">
        <v>2394</v>
      </c>
      <c r="O2291" s="20">
        <v>3</v>
      </c>
      <c r="S2291" s="19" t="s">
        <v>20</v>
      </c>
      <c r="T2291" s="19" t="s">
        <v>1471</v>
      </c>
    </row>
    <row r="2292" spans="1:20">
      <c r="A2292" s="20">
        <v>202604332431058</v>
      </c>
      <c r="B2292" s="19" t="s">
        <v>20</v>
      </c>
      <c r="C2292" s="19" t="s">
        <v>21</v>
      </c>
      <c r="D2292" s="19" t="s">
        <v>2506</v>
      </c>
      <c r="E2292" s="21">
        <v>46235</v>
      </c>
      <c r="F2292" s="21">
        <v>46599</v>
      </c>
      <c r="G2292" s="21"/>
      <c r="H2292" s="21">
        <v>46235</v>
      </c>
      <c r="I2292" s="21">
        <v>46599</v>
      </c>
      <c r="J2292" s="19" t="s">
        <v>2193</v>
      </c>
      <c r="L2292" s="19">
        <v>45.163439250000003</v>
      </c>
      <c r="M2292" s="19">
        <v>45.163439250000003</v>
      </c>
      <c r="N2292" s="19" t="s">
        <v>1467</v>
      </c>
      <c r="O2292" s="20">
        <v>3</v>
      </c>
      <c r="S2292" s="19" t="s">
        <v>20</v>
      </c>
      <c r="T2292" s="19" t="s">
        <v>1471</v>
      </c>
    </row>
    <row r="2293" spans="1:20">
      <c r="A2293" s="20">
        <v>202604332431665</v>
      </c>
      <c r="B2293" s="19" t="s">
        <v>20</v>
      </c>
      <c r="C2293" s="19" t="s">
        <v>21</v>
      </c>
      <c r="D2293" s="19" t="s">
        <v>20</v>
      </c>
      <c r="E2293" s="21">
        <v>46235</v>
      </c>
      <c r="F2293" s="21">
        <v>46599</v>
      </c>
      <c r="G2293" s="21"/>
      <c r="H2293" s="21">
        <v>46235</v>
      </c>
      <c r="I2293" s="21">
        <v>46599</v>
      </c>
      <c r="J2293" s="19" t="s">
        <v>2293</v>
      </c>
      <c r="L2293" s="19">
        <v>0</v>
      </c>
      <c r="M2293" s="19">
        <v>0</v>
      </c>
      <c r="N2293" s="19" t="s">
        <v>2394</v>
      </c>
      <c r="O2293" s="20">
        <v>2</v>
      </c>
      <c r="S2293" s="19" t="s">
        <v>20</v>
      </c>
      <c r="T2293" s="19" t="s">
        <v>1471</v>
      </c>
    </row>
    <row r="2294" spans="1:20">
      <c r="A2294" s="20">
        <v>202604332431665</v>
      </c>
      <c r="B2294" s="19" t="s">
        <v>20</v>
      </c>
      <c r="C2294" s="19" t="s">
        <v>21</v>
      </c>
      <c r="D2294" s="19" t="s">
        <v>20</v>
      </c>
      <c r="E2294" s="21">
        <v>46235</v>
      </c>
      <c r="F2294" s="21">
        <v>46599</v>
      </c>
      <c r="G2294" s="21"/>
      <c r="H2294" s="21">
        <v>46235</v>
      </c>
      <c r="I2294" s="21">
        <v>46599</v>
      </c>
      <c r="J2294" s="19" t="s">
        <v>2293</v>
      </c>
      <c r="L2294" s="19">
        <v>75.895910000000001</v>
      </c>
      <c r="M2294" s="19">
        <v>75.895910000000001</v>
      </c>
      <c r="N2294" s="19" t="s">
        <v>1475</v>
      </c>
      <c r="O2294" s="20">
        <v>2</v>
      </c>
      <c r="S2294" s="19" t="s">
        <v>20</v>
      </c>
      <c r="T2294" s="19" t="s">
        <v>1471</v>
      </c>
    </row>
    <row r="2295" spans="1:20">
      <c r="A2295" s="20">
        <v>202604332432569</v>
      </c>
      <c r="B2295" s="19" t="s">
        <v>20</v>
      </c>
      <c r="C2295" s="19" t="s">
        <v>21</v>
      </c>
      <c r="D2295" s="19" t="s">
        <v>20</v>
      </c>
      <c r="E2295" s="21">
        <v>46235</v>
      </c>
      <c r="F2295" s="21">
        <v>46599</v>
      </c>
      <c r="G2295" s="21"/>
      <c r="H2295" s="21">
        <v>46235</v>
      </c>
      <c r="I2295" s="21">
        <v>46599</v>
      </c>
      <c r="J2295" s="19" t="s">
        <v>2142</v>
      </c>
      <c r="L2295" s="19">
        <v>0</v>
      </c>
      <c r="M2295" s="19">
        <v>0</v>
      </c>
      <c r="N2295" s="19" t="s">
        <v>2394</v>
      </c>
      <c r="O2295" s="20">
        <v>5</v>
      </c>
      <c r="S2295" s="19" t="s">
        <v>20</v>
      </c>
      <c r="T2295" s="19" t="s">
        <v>1471</v>
      </c>
    </row>
    <row r="2296" spans="1:20">
      <c r="A2296" s="20">
        <v>202604332432569</v>
      </c>
      <c r="B2296" s="19" t="s">
        <v>20</v>
      </c>
      <c r="C2296" s="19" t="s">
        <v>21</v>
      </c>
      <c r="D2296" s="19" t="s">
        <v>2505</v>
      </c>
      <c r="E2296" s="21">
        <v>46235</v>
      </c>
      <c r="F2296" s="21">
        <v>46599</v>
      </c>
      <c r="G2296" s="21"/>
      <c r="H2296" s="21">
        <v>46235</v>
      </c>
      <c r="I2296" s="21">
        <v>46599</v>
      </c>
      <c r="J2296" s="19" t="s">
        <v>2142</v>
      </c>
      <c r="L2296" s="19">
        <v>58.296613749999999</v>
      </c>
      <c r="M2296" s="19">
        <v>58.296613749999999</v>
      </c>
      <c r="N2296" s="19" t="s">
        <v>1467</v>
      </c>
      <c r="O2296" s="20">
        <v>5</v>
      </c>
      <c r="S2296" s="19" t="s">
        <v>20</v>
      </c>
      <c r="T2296" s="19" t="s">
        <v>1471</v>
      </c>
    </row>
    <row r="2297" spans="1:20">
      <c r="A2297" s="20">
        <v>202604332433367</v>
      </c>
      <c r="B2297" s="19" t="s">
        <v>20</v>
      </c>
      <c r="C2297" s="19" t="s">
        <v>21</v>
      </c>
      <c r="D2297" s="19" t="s">
        <v>20</v>
      </c>
      <c r="E2297" s="21">
        <v>46235</v>
      </c>
      <c r="F2297" s="21">
        <v>46599</v>
      </c>
      <c r="G2297" s="21"/>
      <c r="H2297" s="21">
        <v>46235</v>
      </c>
      <c r="I2297" s="21">
        <v>46599</v>
      </c>
      <c r="J2297" s="19" t="s">
        <v>2069</v>
      </c>
      <c r="L2297" s="19">
        <v>33.130630250000003</v>
      </c>
      <c r="M2297" s="19">
        <v>33.130630250000003</v>
      </c>
      <c r="N2297" s="19" t="s">
        <v>1475</v>
      </c>
      <c r="O2297" s="20">
        <v>1</v>
      </c>
      <c r="S2297" s="19" t="s">
        <v>20</v>
      </c>
      <c r="T2297" s="19" t="s">
        <v>1471</v>
      </c>
    </row>
    <row r="2298" spans="1:20">
      <c r="A2298" s="20">
        <v>202604332433528</v>
      </c>
      <c r="B2298" s="19" t="s">
        <v>20</v>
      </c>
      <c r="C2298" s="19" t="s">
        <v>21</v>
      </c>
      <c r="D2298" s="19" t="s">
        <v>20</v>
      </c>
      <c r="E2298" s="21">
        <v>46235</v>
      </c>
      <c r="F2298" s="21">
        <v>46599</v>
      </c>
      <c r="G2298" s="21"/>
      <c r="H2298" s="21">
        <v>46235</v>
      </c>
      <c r="I2298" s="21">
        <v>46599</v>
      </c>
      <c r="J2298" s="19" t="s">
        <v>2087</v>
      </c>
      <c r="L2298" s="19">
        <v>33.130630250000003</v>
      </c>
      <c r="M2298" s="19">
        <v>33.130630250000003</v>
      </c>
      <c r="N2298" s="19" t="s">
        <v>1475</v>
      </c>
      <c r="O2298" s="20">
        <v>1</v>
      </c>
      <c r="S2298" s="19" t="s">
        <v>20</v>
      </c>
      <c r="T2298" s="19" t="s">
        <v>1471</v>
      </c>
    </row>
    <row r="2299" spans="1:20">
      <c r="A2299" s="20">
        <v>202604332435132</v>
      </c>
      <c r="B2299" s="19" t="s">
        <v>20</v>
      </c>
      <c r="C2299" s="19" t="s">
        <v>21</v>
      </c>
      <c r="D2299" s="19" t="s">
        <v>2504</v>
      </c>
      <c r="E2299" s="21">
        <v>46235</v>
      </c>
      <c r="F2299" s="21">
        <v>46599</v>
      </c>
      <c r="G2299" s="21"/>
      <c r="H2299" s="21">
        <v>46235</v>
      </c>
      <c r="I2299" s="21">
        <v>46599</v>
      </c>
      <c r="J2299" s="19" t="s">
        <v>2129</v>
      </c>
      <c r="L2299" s="19">
        <v>99.391890750000002</v>
      </c>
      <c r="M2299" s="19">
        <v>99.391890750000002</v>
      </c>
      <c r="N2299" s="19" t="s">
        <v>1467</v>
      </c>
      <c r="O2299" s="20">
        <v>3</v>
      </c>
      <c r="S2299" s="19" t="s">
        <v>20</v>
      </c>
      <c r="T2299" s="19" t="s">
        <v>1471</v>
      </c>
    </row>
    <row r="2300" spans="1:20">
      <c r="A2300" s="20">
        <v>202604332435889</v>
      </c>
      <c r="B2300" s="19" t="s">
        <v>20</v>
      </c>
      <c r="C2300" s="19" t="s">
        <v>21</v>
      </c>
      <c r="D2300" s="19" t="s">
        <v>20</v>
      </c>
      <c r="E2300" s="21">
        <v>46235</v>
      </c>
      <c r="F2300" s="21">
        <v>46599</v>
      </c>
      <c r="G2300" s="21"/>
      <c r="H2300" s="21">
        <v>46235</v>
      </c>
      <c r="I2300" s="21">
        <v>46599</v>
      </c>
      <c r="J2300" s="19" t="s">
        <v>2069</v>
      </c>
      <c r="L2300" s="19">
        <v>66.261260500000006</v>
      </c>
      <c r="M2300" s="19">
        <v>66.261260500000006</v>
      </c>
      <c r="N2300" s="19" t="s">
        <v>1475</v>
      </c>
      <c r="O2300" s="20">
        <v>2</v>
      </c>
      <c r="S2300" s="19" t="s">
        <v>20</v>
      </c>
      <c r="T2300" s="19" t="s">
        <v>1471</v>
      </c>
    </row>
    <row r="2301" spans="1:20">
      <c r="A2301" s="20">
        <v>202604332436147</v>
      </c>
      <c r="B2301" s="19" t="s">
        <v>20</v>
      </c>
      <c r="C2301" s="19" t="s">
        <v>21</v>
      </c>
      <c r="D2301" s="19" t="s">
        <v>20</v>
      </c>
      <c r="E2301" s="21">
        <v>46235</v>
      </c>
      <c r="F2301" s="21">
        <v>46599</v>
      </c>
      <c r="G2301" s="21"/>
      <c r="H2301" s="21">
        <v>46235</v>
      </c>
      <c r="I2301" s="21">
        <v>46599</v>
      </c>
      <c r="J2301" s="19" t="s">
        <v>2104</v>
      </c>
      <c r="L2301" s="19">
        <v>0</v>
      </c>
      <c r="M2301" s="19">
        <v>0</v>
      </c>
      <c r="N2301" s="19" t="s">
        <v>2394</v>
      </c>
      <c r="O2301" s="20">
        <v>4</v>
      </c>
      <c r="S2301" s="19" t="s">
        <v>20</v>
      </c>
      <c r="T2301" s="19" t="s">
        <v>1471</v>
      </c>
    </row>
    <row r="2302" spans="1:20">
      <c r="A2302" s="20">
        <v>202604332436147</v>
      </c>
      <c r="B2302" s="19" t="s">
        <v>20</v>
      </c>
      <c r="C2302" s="19" t="s">
        <v>21</v>
      </c>
      <c r="D2302" s="19" t="s">
        <v>20</v>
      </c>
      <c r="E2302" s="21">
        <v>46235</v>
      </c>
      <c r="F2302" s="21">
        <v>46599</v>
      </c>
      <c r="G2302" s="21"/>
      <c r="H2302" s="21">
        <v>46235</v>
      </c>
      <c r="I2302" s="21">
        <v>46599</v>
      </c>
      <c r="J2302" s="19" t="s">
        <v>2104</v>
      </c>
      <c r="L2302" s="19">
        <v>132.52252100000001</v>
      </c>
      <c r="M2302" s="19">
        <v>132.52252100000001</v>
      </c>
      <c r="N2302" s="19" t="s">
        <v>1475</v>
      </c>
      <c r="O2302" s="20">
        <v>4</v>
      </c>
      <c r="S2302" s="19" t="s">
        <v>20</v>
      </c>
      <c r="T2302" s="19" t="s">
        <v>1471</v>
      </c>
    </row>
    <row r="2303" spans="1:20">
      <c r="A2303" s="20">
        <v>202604332436157</v>
      </c>
      <c r="B2303" s="19" t="s">
        <v>20</v>
      </c>
      <c r="C2303" s="19" t="s">
        <v>21</v>
      </c>
      <c r="D2303" s="19" t="s">
        <v>20</v>
      </c>
      <c r="E2303" s="21">
        <v>46235</v>
      </c>
      <c r="F2303" s="21">
        <v>46599</v>
      </c>
      <c r="G2303" s="21"/>
      <c r="H2303" s="21">
        <v>46235</v>
      </c>
      <c r="I2303" s="21">
        <v>46599</v>
      </c>
      <c r="J2303" s="19" t="s">
        <v>2093</v>
      </c>
      <c r="L2303" s="19">
        <v>143.88017124999999</v>
      </c>
      <c r="M2303" s="19">
        <v>143.88017124999999</v>
      </c>
      <c r="N2303" s="19" t="s">
        <v>1475</v>
      </c>
      <c r="O2303" s="20">
        <v>5</v>
      </c>
      <c r="S2303" s="19" t="s">
        <v>20</v>
      </c>
      <c r="T2303" s="19" t="s">
        <v>1471</v>
      </c>
    </row>
    <row r="2304" spans="1:20">
      <c r="A2304" s="20">
        <v>202604332437202</v>
      </c>
      <c r="B2304" s="19" t="s">
        <v>20</v>
      </c>
      <c r="C2304" s="19" t="s">
        <v>21</v>
      </c>
      <c r="D2304" s="19" t="s">
        <v>20</v>
      </c>
      <c r="E2304" s="21">
        <v>46235</v>
      </c>
      <c r="F2304" s="21">
        <v>46599</v>
      </c>
      <c r="G2304" s="21"/>
      <c r="H2304" s="21">
        <v>46235</v>
      </c>
      <c r="I2304" s="21">
        <v>46599</v>
      </c>
      <c r="J2304" s="19" t="s">
        <v>2087</v>
      </c>
      <c r="L2304" s="19">
        <v>0</v>
      </c>
      <c r="M2304" s="19">
        <v>0</v>
      </c>
      <c r="N2304" s="19" t="s">
        <v>2394</v>
      </c>
      <c r="O2304" s="20">
        <v>3</v>
      </c>
      <c r="S2304" s="19" t="s">
        <v>20</v>
      </c>
      <c r="T2304" s="19" t="s">
        <v>1471</v>
      </c>
    </row>
    <row r="2305" spans="1:20">
      <c r="A2305" s="20">
        <v>202604332437202</v>
      </c>
      <c r="B2305" s="19" t="s">
        <v>20</v>
      </c>
      <c r="C2305" s="19" t="s">
        <v>21</v>
      </c>
      <c r="D2305" s="19" t="s">
        <v>20</v>
      </c>
      <c r="E2305" s="21">
        <v>46235</v>
      </c>
      <c r="F2305" s="21">
        <v>46599</v>
      </c>
      <c r="G2305" s="21"/>
      <c r="H2305" s="21">
        <v>46235</v>
      </c>
      <c r="I2305" s="21">
        <v>46599</v>
      </c>
      <c r="J2305" s="19" t="s">
        <v>2087</v>
      </c>
      <c r="L2305" s="19">
        <v>99.391890750000002</v>
      </c>
      <c r="M2305" s="19">
        <v>99.391890750000002</v>
      </c>
      <c r="N2305" s="19" t="s">
        <v>1475</v>
      </c>
      <c r="O2305" s="20">
        <v>3</v>
      </c>
      <c r="S2305" s="19" t="s">
        <v>20</v>
      </c>
      <c r="T2305" s="19" t="s">
        <v>1471</v>
      </c>
    </row>
    <row r="2306" spans="1:20">
      <c r="A2306" s="20">
        <v>202604332438825</v>
      </c>
      <c r="B2306" s="19" t="s">
        <v>20</v>
      </c>
      <c r="C2306" s="19" t="s">
        <v>21</v>
      </c>
      <c r="D2306" s="19" t="s">
        <v>20</v>
      </c>
      <c r="E2306" s="21">
        <v>46235</v>
      </c>
      <c r="F2306" s="21">
        <v>46599</v>
      </c>
      <c r="G2306" s="21"/>
      <c r="H2306" s="21">
        <v>46235</v>
      </c>
      <c r="I2306" s="21">
        <v>46599</v>
      </c>
      <c r="J2306" s="19" t="s">
        <v>2111</v>
      </c>
      <c r="L2306" s="19">
        <v>0</v>
      </c>
      <c r="M2306" s="19">
        <v>0</v>
      </c>
      <c r="N2306" s="19" t="s">
        <v>2394</v>
      </c>
      <c r="O2306" s="20">
        <v>2</v>
      </c>
      <c r="S2306" s="19" t="s">
        <v>20</v>
      </c>
      <c r="T2306" s="19" t="s">
        <v>1471</v>
      </c>
    </row>
    <row r="2307" spans="1:20">
      <c r="A2307" s="20">
        <v>202604332438825</v>
      </c>
      <c r="B2307" s="19" t="s">
        <v>20</v>
      </c>
      <c r="C2307" s="19" t="s">
        <v>21</v>
      </c>
      <c r="D2307" s="19" t="s">
        <v>20</v>
      </c>
      <c r="E2307" s="21">
        <v>46235</v>
      </c>
      <c r="F2307" s="21">
        <v>46599</v>
      </c>
      <c r="G2307" s="21"/>
      <c r="H2307" s="21">
        <v>46235</v>
      </c>
      <c r="I2307" s="21">
        <v>46599</v>
      </c>
      <c r="J2307" s="19" t="s">
        <v>2111</v>
      </c>
      <c r="L2307" s="19">
        <v>66.261260500000006</v>
      </c>
      <c r="M2307" s="19">
        <v>66.261260500000006</v>
      </c>
      <c r="N2307" s="19" t="s">
        <v>1475</v>
      </c>
      <c r="O2307" s="20">
        <v>2</v>
      </c>
      <c r="S2307" s="19" t="s">
        <v>20</v>
      </c>
      <c r="T2307" s="19" t="s">
        <v>1471</v>
      </c>
    </row>
    <row r="2308" spans="1:20">
      <c r="A2308" s="20">
        <v>202604332439060</v>
      </c>
      <c r="B2308" s="19" t="s">
        <v>20</v>
      </c>
      <c r="C2308" s="19" t="s">
        <v>21</v>
      </c>
      <c r="D2308" s="19" t="s">
        <v>20</v>
      </c>
      <c r="E2308" s="21">
        <v>46235</v>
      </c>
      <c r="F2308" s="21">
        <v>46599</v>
      </c>
      <c r="G2308" s="21"/>
      <c r="H2308" s="21">
        <v>46235</v>
      </c>
      <c r="I2308" s="21">
        <v>46599</v>
      </c>
      <c r="J2308" s="19" t="s">
        <v>2104</v>
      </c>
      <c r="L2308" s="19">
        <v>33.130630250000003</v>
      </c>
      <c r="M2308" s="19">
        <v>33.130630250000003</v>
      </c>
      <c r="N2308" s="19" t="s">
        <v>1475</v>
      </c>
      <c r="O2308" s="20">
        <v>1</v>
      </c>
      <c r="S2308" s="19" t="s">
        <v>20</v>
      </c>
      <c r="T2308" s="19" t="s">
        <v>1471</v>
      </c>
    </row>
    <row r="2309" spans="1:20">
      <c r="A2309" s="20">
        <v>202604332439628</v>
      </c>
      <c r="B2309" s="19" t="s">
        <v>20</v>
      </c>
      <c r="C2309" s="19" t="s">
        <v>21</v>
      </c>
      <c r="D2309" s="19" t="s">
        <v>20</v>
      </c>
      <c r="E2309" s="21">
        <v>46235</v>
      </c>
      <c r="F2309" s="21">
        <v>46599</v>
      </c>
      <c r="G2309" s="21"/>
      <c r="H2309" s="21">
        <v>46235</v>
      </c>
      <c r="I2309" s="21">
        <v>46599</v>
      </c>
      <c r="J2309" s="19" t="s">
        <v>2218</v>
      </c>
      <c r="L2309" s="19">
        <v>0</v>
      </c>
      <c r="M2309" s="19">
        <v>0</v>
      </c>
      <c r="N2309" s="19" t="s">
        <v>2394</v>
      </c>
      <c r="O2309" s="20">
        <v>3</v>
      </c>
      <c r="S2309" s="19" t="s">
        <v>20</v>
      </c>
      <c r="T2309" s="19" t="s">
        <v>1471</v>
      </c>
    </row>
    <row r="2310" spans="1:20">
      <c r="A2310" s="20">
        <v>202604332439628</v>
      </c>
      <c r="B2310" s="19" t="s">
        <v>20</v>
      </c>
      <c r="C2310" s="19" t="s">
        <v>21</v>
      </c>
      <c r="D2310" s="19" t="s">
        <v>20</v>
      </c>
      <c r="E2310" s="21">
        <v>46235</v>
      </c>
      <c r="F2310" s="21">
        <v>46599</v>
      </c>
      <c r="G2310" s="21"/>
      <c r="H2310" s="21">
        <v>46235</v>
      </c>
      <c r="I2310" s="21">
        <v>46599</v>
      </c>
      <c r="J2310" s="19" t="s">
        <v>2218</v>
      </c>
      <c r="L2310" s="19">
        <v>99.391890750000002</v>
      </c>
      <c r="M2310" s="19">
        <v>99.391890750000002</v>
      </c>
      <c r="N2310" s="19" t="s">
        <v>1475</v>
      </c>
      <c r="O2310" s="20">
        <v>3</v>
      </c>
      <c r="S2310" s="19" t="s">
        <v>20</v>
      </c>
      <c r="T2310" s="19" t="s">
        <v>1471</v>
      </c>
    </row>
    <row r="2311" spans="1:20">
      <c r="A2311" s="20">
        <v>202604332440548</v>
      </c>
      <c r="B2311" s="19" t="s">
        <v>20</v>
      </c>
      <c r="C2311" s="19" t="s">
        <v>21</v>
      </c>
      <c r="D2311" s="19" t="s">
        <v>20</v>
      </c>
      <c r="E2311" s="21">
        <v>46235</v>
      </c>
      <c r="F2311" s="21">
        <v>46599</v>
      </c>
      <c r="G2311" s="21"/>
      <c r="H2311" s="21">
        <v>46235</v>
      </c>
      <c r="I2311" s="21">
        <v>46599</v>
      </c>
      <c r="J2311" s="19" t="s">
        <v>2068</v>
      </c>
      <c r="L2311" s="19">
        <v>0</v>
      </c>
      <c r="M2311" s="19">
        <v>0</v>
      </c>
      <c r="N2311" s="19" t="s">
        <v>2394</v>
      </c>
      <c r="O2311" s="20">
        <v>3</v>
      </c>
      <c r="S2311" s="19" t="s">
        <v>20</v>
      </c>
      <c r="T2311" s="19" t="s">
        <v>1471</v>
      </c>
    </row>
    <row r="2312" spans="1:20">
      <c r="A2312" s="20">
        <v>202604332440548</v>
      </c>
      <c r="B2312" s="19" t="s">
        <v>20</v>
      </c>
      <c r="C2312" s="19" t="s">
        <v>21</v>
      </c>
      <c r="D2312" s="19" t="s">
        <v>20</v>
      </c>
      <c r="E2312" s="21">
        <v>46235</v>
      </c>
      <c r="F2312" s="21">
        <v>46599</v>
      </c>
      <c r="G2312" s="21"/>
      <c r="H2312" s="21">
        <v>46235</v>
      </c>
      <c r="I2312" s="21">
        <v>46599</v>
      </c>
      <c r="J2312" s="19" t="s">
        <v>2068</v>
      </c>
      <c r="L2312" s="19">
        <v>78.776052000000007</v>
      </c>
      <c r="M2312" s="19">
        <v>78.776052000000007</v>
      </c>
      <c r="N2312" s="19" t="s">
        <v>1475</v>
      </c>
      <c r="O2312" s="20">
        <v>3</v>
      </c>
      <c r="S2312" s="19" t="s">
        <v>20</v>
      </c>
      <c r="T2312" s="19" t="s">
        <v>1471</v>
      </c>
    </row>
    <row r="2313" spans="1:20">
      <c r="A2313" s="20">
        <v>202604332442419</v>
      </c>
      <c r="B2313" s="19" t="s">
        <v>20</v>
      </c>
      <c r="C2313" s="19" t="s">
        <v>21</v>
      </c>
      <c r="D2313" s="19" t="s">
        <v>20</v>
      </c>
      <c r="E2313" s="21">
        <v>46235</v>
      </c>
      <c r="F2313" s="21">
        <v>46599</v>
      </c>
      <c r="G2313" s="21"/>
      <c r="H2313" s="21">
        <v>46235</v>
      </c>
      <c r="I2313" s="21">
        <v>46599</v>
      </c>
      <c r="J2313" s="19" t="s">
        <v>2086</v>
      </c>
      <c r="L2313" s="19">
        <v>0</v>
      </c>
      <c r="M2313" s="19">
        <v>0</v>
      </c>
      <c r="N2313" s="19" t="s">
        <v>2394</v>
      </c>
      <c r="O2313" s="20">
        <v>4</v>
      </c>
      <c r="S2313" s="19" t="s">
        <v>20</v>
      </c>
      <c r="T2313" s="19" t="s">
        <v>1471</v>
      </c>
    </row>
    <row r="2314" spans="1:20">
      <c r="A2314" s="20">
        <v>202604332442419</v>
      </c>
      <c r="B2314" s="19" t="s">
        <v>20</v>
      </c>
      <c r="C2314" s="19" t="s">
        <v>21</v>
      </c>
      <c r="D2314" s="19" t="s">
        <v>20</v>
      </c>
      <c r="E2314" s="21">
        <v>46235</v>
      </c>
      <c r="F2314" s="21">
        <v>46599</v>
      </c>
      <c r="G2314" s="21"/>
      <c r="H2314" s="21">
        <v>46235</v>
      </c>
      <c r="I2314" s="21">
        <v>46599</v>
      </c>
      <c r="J2314" s="19" t="s">
        <v>2086</v>
      </c>
      <c r="L2314" s="19">
        <v>132.52252100000001</v>
      </c>
      <c r="M2314" s="19">
        <v>132.52252100000001</v>
      </c>
      <c r="N2314" s="19" t="s">
        <v>1475</v>
      </c>
      <c r="O2314" s="20">
        <v>4</v>
      </c>
      <c r="S2314" s="19" t="s">
        <v>20</v>
      </c>
      <c r="T2314" s="19" t="s">
        <v>1471</v>
      </c>
    </row>
    <row r="2315" spans="1:20">
      <c r="A2315" s="20">
        <v>202604332443439</v>
      </c>
      <c r="B2315" s="19" t="s">
        <v>20</v>
      </c>
      <c r="C2315" s="19" t="s">
        <v>21</v>
      </c>
      <c r="D2315" s="19" t="s">
        <v>20</v>
      </c>
      <c r="E2315" s="21">
        <v>46235</v>
      </c>
      <c r="F2315" s="21">
        <v>46599</v>
      </c>
      <c r="G2315" s="21"/>
      <c r="H2315" s="21">
        <v>46235</v>
      </c>
      <c r="I2315" s="21">
        <v>46599</v>
      </c>
      <c r="J2315" s="19" t="s">
        <v>2104</v>
      </c>
      <c r="L2315" s="19">
        <v>33.130630250000003</v>
      </c>
      <c r="M2315" s="19">
        <v>33.130630250000003</v>
      </c>
      <c r="N2315" s="19" t="s">
        <v>1475</v>
      </c>
      <c r="O2315" s="20">
        <v>1</v>
      </c>
      <c r="S2315" s="19" t="s">
        <v>20</v>
      </c>
      <c r="T2315" s="19" t="s">
        <v>1471</v>
      </c>
    </row>
    <row r="2316" spans="1:20">
      <c r="A2316" s="20">
        <v>202604332443770</v>
      </c>
      <c r="B2316" s="19" t="s">
        <v>20</v>
      </c>
      <c r="C2316" s="19" t="s">
        <v>21</v>
      </c>
      <c r="D2316" s="19" t="s">
        <v>20</v>
      </c>
      <c r="E2316" s="21">
        <v>46235</v>
      </c>
      <c r="F2316" s="21">
        <v>46599</v>
      </c>
      <c r="G2316" s="21"/>
      <c r="H2316" s="21">
        <v>46235</v>
      </c>
      <c r="I2316" s="21">
        <v>46599</v>
      </c>
      <c r="J2316" s="19" t="s">
        <v>2105</v>
      </c>
      <c r="L2316" s="19">
        <v>0</v>
      </c>
      <c r="M2316" s="19">
        <v>0</v>
      </c>
      <c r="N2316" s="19" t="s">
        <v>2394</v>
      </c>
      <c r="O2316" s="20">
        <v>5</v>
      </c>
      <c r="S2316" s="19" t="s">
        <v>20</v>
      </c>
      <c r="T2316" s="19" t="s">
        <v>1471</v>
      </c>
    </row>
    <row r="2317" spans="1:20">
      <c r="A2317" s="20">
        <v>202604332443770</v>
      </c>
      <c r="B2317" s="19" t="s">
        <v>20</v>
      </c>
      <c r="C2317" s="19" t="s">
        <v>21</v>
      </c>
      <c r="D2317" s="19" t="s">
        <v>20</v>
      </c>
      <c r="E2317" s="21">
        <v>46235</v>
      </c>
      <c r="F2317" s="21">
        <v>46599</v>
      </c>
      <c r="G2317" s="21"/>
      <c r="H2317" s="21">
        <v>46235</v>
      </c>
      <c r="I2317" s="21">
        <v>46599</v>
      </c>
      <c r="J2317" s="19" t="s">
        <v>2105</v>
      </c>
      <c r="L2317" s="19">
        <v>131.29342</v>
      </c>
      <c r="M2317" s="19">
        <v>131.29342</v>
      </c>
      <c r="N2317" s="19" t="s">
        <v>1475</v>
      </c>
      <c r="O2317" s="20">
        <v>5</v>
      </c>
      <c r="S2317" s="19" t="s">
        <v>20</v>
      </c>
      <c r="T2317" s="19" t="s">
        <v>1471</v>
      </c>
    </row>
    <row r="2318" spans="1:20">
      <c r="A2318" s="20">
        <v>202604332444120</v>
      </c>
      <c r="B2318" s="19" t="s">
        <v>20</v>
      </c>
      <c r="C2318" s="19" t="s">
        <v>21</v>
      </c>
      <c r="D2318" s="19" t="s">
        <v>20</v>
      </c>
      <c r="E2318" s="21">
        <v>46235</v>
      </c>
      <c r="F2318" s="21">
        <v>46599</v>
      </c>
      <c r="G2318" s="21"/>
      <c r="H2318" s="21">
        <v>46235</v>
      </c>
      <c r="I2318" s="21">
        <v>46599</v>
      </c>
      <c r="J2318" s="19" t="s">
        <v>2064</v>
      </c>
      <c r="L2318" s="19">
        <v>0</v>
      </c>
      <c r="M2318" s="19">
        <v>0</v>
      </c>
      <c r="N2318" s="19" t="s">
        <v>2394</v>
      </c>
      <c r="O2318" s="20">
        <v>2</v>
      </c>
      <c r="S2318" s="19" t="s">
        <v>20</v>
      </c>
      <c r="T2318" s="19" t="s">
        <v>1471</v>
      </c>
    </row>
    <row r="2319" spans="1:20">
      <c r="A2319" s="20">
        <v>202604332444120</v>
      </c>
      <c r="B2319" s="19" t="s">
        <v>20</v>
      </c>
      <c r="C2319" s="19" t="s">
        <v>21</v>
      </c>
      <c r="D2319" s="19" t="s">
        <v>20</v>
      </c>
      <c r="E2319" s="21">
        <v>46235</v>
      </c>
      <c r="F2319" s="21">
        <v>46599</v>
      </c>
      <c r="G2319" s="21"/>
      <c r="H2319" s="21">
        <v>46235</v>
      </c>
      <c r="I2319" s="21">
        <v>46599</v>
      </c>
      <c r="J2319" s="19" t="s">
        <v>2064</v>
      </c>
      <c r="L2319" s="19">
        <v>66.261260500000006</v>
      </c>
      <c r="M2319" s="19">
        <v>66.261260500000006</v>
      </c>
      <c r="N2319" s="19" t="s">
        <v>1475</v>
      </c>
      <c r="O2319" s="20">
        <v>2</v>
      </c>
      <c r="S2319" s="19" t="s">
        <v>20</v>
      </c>
      <c r="T2319" s="19" t="s">
        <v>1471</v>
      </c>
    </row>
    <row r="2320" spans="1:20">
      <c r="A2320" s="20">
        <v>202604332446468</v>
      </c>
      <c r="B2320" s="19" t="s">
        <v>20</v>
      </c>
      <c r="C2320" s="19" t="s">
        <v>21</v>
      </c>
      <c r="D2320" s="19" t="s">
        <v>20</v>
      </c>
      <c r="E2320" s="21">
        <v>46235</v>
      </c>
      <c r="F2320" s="21">
        <v>46599</v>
      </c>
      <c r="G2320" s="21"/>
      <c r="H2320" s="21">
        <v>46235</v>
      </c>
      <c r="I2320" s="21">
        <v>46599</v>
      </c>
      <c r="J2320" s="19" t="s">
        <v>2428</v>
      </c>
      <c r="L2320" s="19">
        <v>0</v>
      </c>
      <c r="M2320" s="19">
        <v>0</v>
      </c>
      <c r="N2320" s="19" t="s">
        <v>2394</v>
      </c>
      <c r="O2320" s="20">
        <v>5</v>
      </c>
      <c r="S2320" s="19" t="s">
        <v>20</v>
      </c>
      <c r="T2320" s="19" t="s">
        <v>1471</v>
      </c>
    </row>
    <row r="2321" spans="1:20">
      <c r="A2321" s="20">
        <v>202604332446468</v>
      </c>
      <c r="B2321" s="19" t="s">
        <v>20</v>
      </c>
      <c r="C2321" s="19" t="s">
        <v>21</v>
      </c>
      <c r="D2321" s="19" t="s">
        <v>20</v>
      </c>
      <c r="E2321" s="21">
        <v>46235</v>
      </c>
      <c r="F2321" s="21">
        <v>46599</v>
      </c>
      <c r="G2321" s="21"/>
      <c r="H2321" s="21">
        <v>46235</v>
      </c>
      <c r="I2321" s="21">
        <v>46599</v>
      </c>
      <c r="J2321" s="19" t="s">
        <v>2428</v>
      </c>
      <c r="L2321" s="19">
        <v>149.08780874999999</v>
      </c>
      <c r="M2321" s="19">
        <v>149.08780874999999</v>
      </c>
      <c r="N2321" s="19" t="s">
        <v>1475</v>
      </c>
      <c r="O2321" s="20">
        <v>5</v>
      </c>
      <c r="S2321" s="19" t="s">
        <v>20</v>
      </c>
      <c r="T2321" s="19" t="s">
        <v>1471</v>
      </c>
    </row>
    <row r="2322" spans="1:20">
      <c r="A2322" s="20">
        <v>202604332448838</v>
      </c>
      <c r="B2322" s="19" t="s">
        <v>20</v>
      </c>
      <c r="C2322" s="19" t="s">
        <v>21</v>
      </c>
      <c r="D2322" s="19" t="s">
        <v>20</v>
      </c>
      <c r="E2322" s="21">
        <v>46235</v>
      </c>
      <c r="F2322" s="21">
        <v>46599</v>
      </c>
      <c r="G2322" s="21"/>
      <c r="H2322" s="21">
        <v>46235</v>
      </c>
      <c r="I2322" s="21">
        <v>46599</v>
      </c>
      <c r="J2322" s="19" t="s">
        <v>2104</v>
      </c>
      <c r="L2322" s="19">
        <v>0</v>
      </c>
      <c r="M2322" s="19">
        <v>0</v>
      </c>
      <c r="N2322" s="19" t="s">
        <v>2394</v>
      </c>
      <c r="O2322" s="20">
        <v>4</v>
      </c>
      <c r="S2322" s="19" t="s">
        <v>20</v>
      </c>
      <c r="T2322" s="19" t="s">
        <v>1471</v>
      </c>
    </row>
    <row r="2323" spans="1:20">
      <c r="A2323" s="20">
        <v>202604332448838</v>
      </c>
      <c r="B2323" s="19" t="s">
        <v>20</v>
      </c>
      <c r="C2323" s="19" t="s">
        <v>21</v>
      </c>
      <c r="D2323" s="19" t="s">
        <v>20</v>
      </c>
      <c r="E2323" s="21">
        <v>46235</v>
      </c>
      <c r="F2323" s="21">
        <v>46599</v>
      </c>
      <c r="G2323" s="21"/>
      <c r="H2323" s="21">
        <v>46235</v>
      </c>
      <c r="I2323" s="21">
        <v>46599</v>
      </c>
      <c r="J2323" s="19" t="s">
        <v>2104</v>
      </c>
      <c r="L2323" s="19">
        <v>132.52252100000001</v>
      </c>
      <c r="M2323" s="19">
        <v>132.52252100000001</v>
      </c>
      <c r="N2323" s="19" t="s">
        <v>1475</v>
      </c>
      <c r="O2323" s="20">
        <v>4</v>
      </c>
      <c r="S2323" s="19" t="s">
        <v>20</v>
      </c>
      <c r="T2323" s="19" t="s">
        <v>1471</v>
      </c>
    </row>
    <row r="2324" spans="1:20">
      <c r="A2324" s="20">
        <v>202604332450370</v>
      </c>
      <c r="B2324" s="19" t="s">
        <v>20</v>
      </c>
      <c r="C2324" s="19" t="s">
        <v>21</v>
      </c>
      <c r="D2324" s="19" t="s">
        <v>20</v>
      </c>
      <c r="E2324" s="21">
        <v>46235</v>
      </c>
      <c r="F2324" s="21">
        <v>46599</v>
      </c>
      <c r="G2324" s="21"/>
      <c r="H2324" s="21">
        <v>46235</v>
      </c>
      <c r="I2324" s="21">
        <v>46599</v>
      </c>
      <c r="J2324" s="19" t="s">
        <v>2080</v>
      </c>
      <c r="L2324" s="19">
        <v>0</v>
      </c>
      <c r="M2324" s="19">
        <v>0</v>
      </c>
      <c r="N2324" s="19" t="s">
        <v>2394</v>
      </c>
      <c r="O2324" s="20">
        <v>2</v>
      </c>
      <c r="S2324" s="19" t="s">
        <v>20</v>
      </c>
      <c r="T2324" s="19" t="s">
        <v>1471</v>
      </c>
    </row>
    <row r="2325" spans="1:20">
      <c r="A2325" s="20">
        <v>202604332450370</v>
      </c>
      <c r="B2325" s="19" t="s">
        <v>20</v>
      </c>
      <c r="C2325" s="19" t="s">
        <v>21</v>
      </c>
      <c r="D2325" s="19" t="s">
        <v>20</v>
      </c>
      <c r="E2325" s="21">
        <v>46235</v>
      </c>
      <c r="F2325" s="21">
        <v>46599</v>
      </c>
      <c r="G2325" s="21"/>
      <c r="H2325" s="21">
        <v>46235</v>
      </c>
      <c r="I2325" s="21">
        <v>46599</v>
      </c>
      <c r="J2325" s="19" t="s">
        <v>2080</v>
      </c>
      <c r="L2325" s="19">
        <v>66.261260500000006</v>
      </c>
      <c r="M2325" s="19">
        <v>66.261260500000006</v>
      </c>
      <c r="N2325" s="19" t="s">
        <v>1475</v>
      </c>
      <c r="O2325" s="20">
        <v>2</v>
      </c>
      <c r="S2325" s="19" t="s">
        <v>20</v>
      </c>
      <c r="T2325" s="19" t="s">
        <v>1471</v>
      </c>
    </row>
    <row r="2326" spans="1:20">
      <c r="A2326" s="20">
        <v>202604332450704</v>
      </c>
      <c r="B2326" s="19" t="s">
        <v>20</v>
      </c>
      <c r="C2326" s="19" t="s">
        <v>21</v>
      </c>
      <c r="D2326" s="19" t="s">
        <v>20</v>
      </c>
      <c r="E2326" s="21">
        <v>46235</v>
      </c>
      <c r="F2326" s="21">
        <v>46599</v>
      </c>
      <c r="G2326" s="21"/>
      <c r="H2326" s="21">
        <v>46235</v>
      </c>
      <c r="I2326" s="21">
        <v>46599</v>
      </c>
      <c r="J2326" s="19" t="s">
        <v>2064</v>
      </c>
      <c r="L2326" s="19">
        <v>33.130630250000003</v>
      </c>
      <c r="M2326" s="19">
        <v>33.130630250000003</v>
      </c>
      <c r="N2326" s="19" t="s">
        <v>1475</v>
      </c>
      <c r="O2326" s="20">
        <v>1</v>
      </c>
      <c r="S2326" s="19" t="s">
        <v>20</v>
      </c>
      <c r="T2326" s="19" t="s">
        <v>1471</v>
      </c>
    </row>
    <row r="2327" spans="1:20">
      <c r="A2327" s="20">
        <v>202604332451479</v>
      </c>
      <c r="B2327" s="19" t="s">
        <v>20</v>
      </c>
      <c r="C2327" s="19" t="s">
        <v>21</v>
      </c>
      <c r="D2327" s="19" t="s">
        <v>20</v>
      </c>
      <c r="E2327" s="21">
        <v>46235</v>
      </c>
      <c r="F2327" s="21">
        <v>46599</v>
      </c>
      <c r="G2327" s="21"/>
      <c r="H2327" s="21">
        <v>46235</v>
      </c>
      <c r="I2327" s="21">
        <v>46599</v>
      </c>
      <c r="J2327" s="19" t="s">
        <v>2135</v>
      </c>
      <c r="L2327" s="19">
        <v>0</v>
      </c>
      <c r="M2327" s="19">
        <v>0</v>
      </c>
      <c r="N2327" s="19" t="s">
        <v>2394</v>
      </c>
      <c r="O2327" s="20">
        <v>4</v>
      </c>
      <c r="S2327" s="19" t="s">
        <v>20</v>
      </c>
      <c r="T2327" s="19" t="s">
        <v>1471</v>
      </c>
    </row>
    <row r="2328" spans="1:20">
      <c r="A2328" s="20">
        <v>202604332451479</v>
      </c>
      <c r="B2328" s="19" t="s">
        <v>20</v>
      </c>
      <c r="C2328" s="19" t="s">
        <v>21</v>
      </c>
      <c r="D2328" s="19" t="s">
        <v>20</v>
      </c>
      <c r="E2328" s="21">
        <v>46235</v>
      </c>
      <c r="F2328" s="21">
        <v>46599</v>
      </c>
      <c r="G2328" s="21"/>
      <c r="H2328" s="21">
        <v>46235</v>
      </c>
      <c r="I2328" s="21">
        <v>46599</v>
      </c>
      <c r="J2328" s="19" t="s">
        <v>2135</v>
      </c>
      <c r="L2328" s="19">
        <v>132.52252100000001</v>
      </c>
      <c r="M2328" s="19">
        <v>132.52252100000001</v>
      </c>
      <c r="N2328" s="19" t="s">
        <v>1475</v>
      </c>
      <c r="O2328" s="20">
        <v>4</v>
      </c>
      <c r="S2328" s="19" t="s">
        <v>20</v>
      </c>
      <c r="T2328" s="19" t="s">
        <v>1471</v>
      </c>
    </row>
    <row r="2329" spans="1:20">
      <c r="A2329" s="20">
        <v>202604332451589</v>
      </c>
      <c r="B2329" s="19" t="s">
        <v>20</v>
      </c>
      <c r="C2329" s="19" t="s">
        <v>21</v>
      </c>
      <c r="D2329" s="19" t="s">
        <v>20</v>
      </c>
      <c r="E2329" s="21">
        <v>46235</v>
      </c>
      <c r="F2329" s="21">
        <v>46599</v>
      </c>
      <c r="G2329" s="21"/>
      <c r="H2329" s="21">
        <v>46235</v>
      </c>
      <c r="I2329" s="21">
        <v>46599</v>
      </c>
      <c r="J2329" s="19" t="s">
        <v>2085</v>
      </c>
      <c r="L2329" s="19">
        <v>0</v>
      </c>
      <c r="M2329" s="19">
        <v>0</v>
      </c>
      <c r="N2329" s="19" t="s">
        <v>2394</v>
      </c>
      <c r="O2329" s="20">
        <v>5</v>
      </c>
      <c r="S2329" s="19" t="s">
        <v>20</v>
      </c>
      <c r="T2329" s="19" t="s">
        <v>1471</v>
      </c>
    </row>
    <row r="2330" spans="1:20">
      <c r="A2330" s="20">
        <v>202604332451589</v>
      </c>
      <c r="B2330" s="19" t="s">
        <v>20</v>
      </c>
      <c r="C2330" s="19" t="s">
        <v>21</v>
      </c>
      <c r="D2330" s="19" t="s">
        <v>2503</v>
      </c>
      <c r="E2330" s="21">
        <v>46235</v>
      </c>
      <c r="F2330" s="21">
        <v>46599</v>
      </c>
      <c r="G2330" s="21"/>
      <c r="H2330" s="21">
        <v>46235</v>
      </c>
      <c r="I2330" s="21">
        <v>46599</v>
      </c>
      <c r="J2330" s="19" t="s">
        <v>2085</v>
      </c>
      <c r="L2330" s="19">
        <v>65.421048749999997</v>
      </c>
      <c r="M2330" s="19">
        <v>65.421048749999997</v>
      </c>
      <c r="N2330" s="19" t="s">
        <v>1467</v>
      </c>
      <c r="O2330" s="20">
        <v>5</v>
      </c>
      <c r="S2330" s="19" t="s">
        <v>20</v>
      </c>
      <c r="T2330" s="19" t="s">
        <v>1471</v>
      </c>
    </row>
    <row r="2331" spans="1:20">
      <c r="A2331" s="20">
        <v>202604332453748</v>
      </c>
      <c r="B2331" s="19" t="s">
        <v>20</v>
      </c>
      <c r="C2331" s="19" t="s">
        <v>21</v>
      </c>
      <c r="D2331" s="19" t="s">
        <v>20</v>
      </c>
      <c r="E2331" s="21">
        <v>46235</v>
      </c>
      <c r="F2331" s="21">
        <v>46599</v>
      </c>
      <c r="G2331" s="21"/>
      <c r="H2331" s="21">
        <v>46235</v>
      </c>
      <c r="I2331" s="21">
        <v>46599</v>
      </c>
      <c r="J2331" s="19" t="s">
        <v>2502</v>
      </c>
      <c r="L2331" s="19">
        <v>0</v>
      </c>
      <c r="M2331" s="19">
        <v>0</v>
      </c>
      <c r="N2331" s="19" t="s">
        <v>2394</v>
      </c>
      <c r="O2331" s="20">
        <v>2</v>
      </c>
      <c r="S2331" s="19" t="s">
        <v>20</v>
      </c>
      <c r="T2331" s="19" t="s">
        <v>1471</v>
      </c>
    </row>
    <row r="2332" spans="1:20">
      <c r="A2332" s="20">
        <v>202604332453748</v>
      </c>
      <c r="B2332" s="19" t="s">
        <v>20</v>
      </c>
      <c r="C2332" s="19" t="s">
        <v>21</v>
      </c>
      <c r="D2332" s="19" t="s">
        <v>20</v>
      </c>
      <c r="E2332" s="21">
        <v>46235</v>
      </c>
      <c r="F2332" s="21">
        <v>46599</v>
      </c>
      <c r="G2332" s="21"/>
      <c r="H2332" s="21">
        <v>46235</v>
      </c>
      <c r="I2332" s="21">
        <v>46599</v>
      </c>
      <c r="J2332" s="19" t="s">
        <v>2502</v>
      </c>
      <c r="L2332" s="19">
        <v>42.731754500000001</v>
      </c>
      <c r="M2332" s="19">
        <v>42.731754500000001</v>
      </c>
      <c r="N2332" s="19" t="s">
        <v>1475</v>
      </c>
      <c r="O2332" s="20">
        <v>2</v>
      </c>
      <c r="S2332" s="19" t="s">
        <v>20</v>
      </c>
      <c r="T2332" s="19" t="s">
        <v>1471</v>
      </c>
    </row>
    <row r="2333" spans="1:20">
      <c r="A2333" s="20">
        <v>202604332454154</v>
      </c>
      <c r="B2333" s="19" t="s">
        <v>20</v>
      </c>
      <c r="C2333" s="19" t="s">
        <v>21</v>
      </c>
      <c r="D2333" s="19" t="s">
        <v>20</v>
      </c>
      <c r="E2333" s="21">
        <v>46235</v>
      </c>
      <c r="F2333" s="21">
        <v>46599</v>
      </c>
      <c r="G2333" s="21"/>
      <c r="H2333" s="21">
        <v>46235</v>
      </c>
      <c r="I2333" s="21">
        <v>46599</v>
      </c>
      <c r="J2333" s="19" t="s">
        <v>2085</v>
      </c>
      <c r="L2333" s="19">
        <v>0</v>
      </c>
      <c r="M2333" s="19">
        <v>0</v>
      </c>
      <c r="N2333" s="19" t="s">
        <v>2394</v>
      </c>
      <c r="O2333" s="20">
        <v>6</v>
      </c>
      <c r="S2333" s="19" t="s">
        <v>20</v>
      </c>
      <c r="T2333" s="19" t="s">
        <v>1471</v>
      </c>
    </row>
    <row r="2334" spans="1:20">
      <c r="A2334" s="20">
        <v>202604332454154</v>
      </c>
      <c r="B2334" s="19" t="s">
        <v>20</v>
      </c>
      <c r="C2334" s="19" t="s">
        <v>21</v>
      </c>
      <c r="D2334" s="19" t="s">
        <v>20</v>
      </c>
      <c r="E2334" s="21">
        <v>46235</v>
      </c>
      <c r="F2334" s="21">
        <v>46599</v>
      </c>
      <c r="G2334" s="21"/>
      <c r="H2334" s="21">
        <v>46235</v>
      </c>
      <c r="I2334" s="21">
        <v>46599</v>
      </c>
      <c r="J2334" s="19" t="s">
        <v>2085</v>
      </c>
      <c r="L2334" s="19">
        <v>147.724041</v>
      </c>
      <c r="M2334" s="19">
        <v>147.724041</v>
      </c>
      <c r="N2334" s="19" t="s">
        <v>1475</v>
      </c>
      <c r="O2334" s="20">
        <v>6</v>
      </c>
      <c r="S2334" s="19" t="s">
        <v>20</v>
      </c>
      <c r="T2334" s="19" t="s">
        <v>1471</v>
      </c>
    </row>
    <row r="2335" spans="1:20">
      <c r="A2335" s="20">
        <v>202604332455586</v>
      </c>
      <c r="B2335" s="19" t="s">
        <v>20</v>
      </c>
      <c r="C2335" s="19" t="s">
        <v>21</v>
      </c>
      <c r="D2335" s="19" t="s">
        <v>20</v>
      </c>
      <c r="E2335" s="21">
        <v>46235</v>
      </c>
      <c r="F2335" s="21">
        <v>46599</v>
      </c>
      <c r="G2335" s="21"/>
      <c r="H2335" s="21">
        <v>46235</v>
      </c>
      <c r="I2335" s="21">
        <v>46599</v>
      </c>
      <c r="J2335" s="19" t="s">
        <v>2064</v>
      </c>
      <c r="L2335" s="19">
        <v>33.130630250000003</v>
      </c>
      <c r="M2335" s="19">
        <v>33.130630250000003</v>
      </c>
      <c r="N2335" s="19" t="s">
        <v>1475</v>
      </c>
      <c r="O2335" s="20">
        <v>1</v>
      </c>
      <c r="S2335" s="19" t="s">
        <v>20</v>
      </c>
      <c r="T2335" s="19" t="s">
        <v>1471</v>
      </c>
    </row>
    <row r="2336" spans="1:20">
      <c r="A2336" s="20">
        <v>202604332455874</v>
      </c>
      <c r="B2336" s="19" t="s">
        <v>20</v>
      </c>
      <c r="C2336" s="19" t="s">
        <v>21</v>
      </c>
      <c r="D2336" s="19" t="s">
        <v>20</v>
      </c>
      <c r="E2336" s="21">
        <v>46235</v>
      </c>
      <c r="F2336" s="21">
        <v>46599</v>
      </c>
      <c r="G2336" s="21"/>
      <c r="H2336" s="21">
        <v>46235</v>
      </c>
      <c r="I2336" s="21">
        <v>46599</v>
      </c>
      <c r="J2336" s="19" t="s">
        <v>2073</v>
      </c>
      <c r="L2336" s="19">
        <v>78.776052000000007</v>
      </c>
      <c r="M2336" s="19">
        <v>78.776052000000007</v>
      </c>
      <c r="N2336" s="19" t="s">
        <v>1475</v>
      </c>
      <c r="O2336" s="20">
        <v>3</v>
      </c>
      <c r="S2336" s="19" t="s">
        <v>20</v>
      </c>
      <c r="T2336" s="19" t="s">
        <v>1471</v>
      </c>
    </row>
    <row r="2337" spans="1:20">
      <c r="A2337" s="20">
        <v>202604332456244</v>
      </c>
      <c r="B2337" s="19" t="s">
        <v>20</v>
      </c>
      <c r="C2337" s="19" t="s">
        <v>21</v>
      </c>
      <c r="D2337" s="19" t="s">
        <v>20</v>
      </c>
      <c r="E2337" s="21">
        <v>46235</v>
      </c>
      <c r="F2337" s="21">
        <v>46599</v>
      </c>
      <c r="G2337" s="21"/>
      <c r="H2337" s="21">
        <v>46235</v>
      </c>
      <c r="I2337" s="21">
        <v>46599</v>
      </c>
      <c r="J2337" s="19" t="s">
        <v>2086</v>
      </c>
      <c r="L2337" s="19">
        <v>33.130630250000003</v>
      </c>
      <c r="M2337" s="19">
        <v>33.130630250000003</v>
      </c>
      <c r="N2337" s="19" t="s">
        <v>1475</v>
      </c>
      <c r="O2337" s="20">
        <v>1</v>
      </c>
      <c r="S2337" s="19" t="s">
        <v>20</v>
      </c>
      <c r="T2337" s="19" t="s">
        <v>1471</v>
      </c>
    </row>
    <row r="2338" spans="1:20">
      <c r="A2338" s="20">
        <v>202604332458044</v>
      </c>
      <c r="B2338" s="19" t="s">
        <v>20</v>
      </c>
      <c r="C2338" s="19" t="s">
        <v>21</v>
      </c>
      <c r="D2338" s="19" t="s">
        <v>2501</v>
      </c>
      <c r="E2338" s="21">
        <v>46235</v>
      </c>
      <c r="F2338" s="21">
        <v>46599</v>
      </c>
      <c r="G2338" s="21"/>
      <c r="H2338" s="21">
        <v>46235</v>
      </c>
      <c r="I2338" s="21">
        <v>46599</v>
      </c>
      <c r="J2338" s="19" t="s">
        <v>2120</v>
      </c>
      <c r="L2338" s="19">
        <v>37.947955</v>
      </c>
      <c r="M2338" s="19">
        <v>37.947955</v>
      </c>
      <c r="N2338" s="19" t="s">
        <v>1467</v>
      </c>
      <c r="O2338" s="20">
        <v>1</v>
      </c>
      <c r="S2338" s="19" t="s">
        <v>20</v>
      </c>
      <c r="T2338" s="19" t="s">
        <v>1471</v>
      </c>
    </row>
    <row r="2339" spans="1:20">
      <c r="A2339" s="20">
        <v>202604332458401</v>
      </c>
      <c r="B2339" s="19" t="s">
        <v>20</v>
      </c>
      <c r="C2339" s="19" t="s">
        <v>21</v>
      </c>
      <c r="D2339" s="19" t="s">
        <v>20</v>
      </c>
      <c r="E2339" s="21">
        <v>46235</v>
      </c>
      <c r="F2339" s="21">
        <v>46599</v>
      </c>
      <c r="G2339" s="21"/>
      <c r="H2339" s="21">
        <v>46235</v>
      </c>
      <c r="I2339" s="21">
        <v>46599</v>
      </c>
      <c r="J2339" s="19" t="s">
        <v>2118</v>
      </c>
      <c r="L2339" s="19">
        <v>0</v>
      </c>
      <c r="M2339" s="19">
        <v>0</v>
      </c>
      <c r="N2339" s="19" t="s">
        <v>2394</v>
      </c>
      <c r="O2339" s="20">
        <v>3</v>
      </c>
      <c r="S2339" s="19" t="s">
        <v>20</v>
      </c>
      <c r="T2339" s="19" t="s">
        <v>1471</v>
      </c>
    </row>
    <row r="2340" spans="1:20">
      <c r="A2340" s="20">
        <v>202604332458401</v>
      </c>
      <c r="B2340" s="19" t="s">
        <v>20</v>
      </c>
      <c r="C2340" s="19" t="s">
        <v>21</v>
      </c>
      <c r="D2340" s="19" t="s">
        <v>2500</v>
      </c>
      <c r="E2340" s="21">
        <v>46235</v>
      </c>
      <c r="F2340" s="21">
        <v>46599</v>
      </c>
      <c r="G2340" s="21"/>
      <c r="H2340" s="21">
        <v>46235</v>
      </c>
      <c r="I2340" s="21">
        <v>46599</v>
      </c>
      <c r="J2340" s="19" t="s">
        <v>2118</v>
      </c>
      <c r="L2340" s="19">
        <v>99.391890750000002</v>
      </c>
      <c r="M2340" s="19">
        <v>99.391890750000002</v>
      </c>
      <c r="N2340" s="19" t="s">
        <v>1467</v>
      </c>
      <c r="O2340" s="20">
        <v>3</v>
      </c>
      <c r="S2340" s="19" t="s">
        <v>20</v>
      </c>
      <c r="T2340" s="19" t="s">
        <v>1471</v>
      </c>
    </row>
    <row r="2341" spans="1:20">
      <c r="A2341" s="20">
        <v>202604332458657</v>
      </c>
      <c r="B2341" s="19" t="s">
        <v>20</v>
      </c>
      <c r="C2341" s="19" t="s">
        <v>21</v>
      </c>
      <c r="D2341" s="19" t="s">
        <v>20</v>
      </c>
      <c r="E2341" s="21">
        <v>46235</v>
      </c>
      <c r="F2341" s="21">
        <v>46599</v>
      </c>
      <c r="G2341" s="21"/>
      <c r="H2341" s="21">
        <v>46235</v>
      </c>
      <c r="I2341" s="21">
        <v>46599</v>
      </c>
      <c r="J2341" s="19" t="s">
        <v>2064</v>
      </c>
      <c r="L2341" s="19">
        <v>0</v>
      </c>
      <c r="M2341" s="19">
        <v>0</v>
      </c>
      <c r="N2341" s="19" t="s">
        <v>2394</v>
      </c>
      <c r="O2341" s="20">
        <v>4</v>
      </c>
      <c r="S2341" s="19" t="s">
        <v>20</v>
      </c>
      <c r="T2341" s="19" t="s">
        <v>1471</v>
      </c>
    </row>
    <row r="2342" spans="1:20">
      <c r="A2342" s="20">
        <v>202604332458657</v>
      </c>
      <c r="B2342" s="19" t="s">
        <v>20</v>
      </c>
      <c r="C2342" s="19" t="s">
        <v>21</v>
      </c>
      <c r="D2342" s="19" t="s">
        <v>20</v>
      </c>
      <c r="E2342" s="21">
        <v>46235</v>
      </c>
      <c r="F2342" s="21">
        <v>46599</v>
      </c>
      <c r="G2342" s="21"/>
      <c r="H2342" s="21">
        <v>46235</v>
      </c>
      <c r="I2342" s="21">
        <v>46599</v>
      </c>
      <c r="J2342" s="19" t="s">
        <v>2064</v>
      </c>
      <c r="L2342" s="19">
        <v>132.52252100000001</v>
      </c>
      <c r="M2342" s="19">
        <v>132.52252100000001</v>
      </c>
      <c r="N2342" s="19" t="s">
        <v>1475</v>
      </c>
      <c r="O2342" s="20">
        <v>4</v>
      </c>
      <c r="S2342" s="19" t="s">
        <v>20</v>
      </c>
      <c r="T2342" s="19" t="s">
        <v>1471</v>
      </c>
    </row>
    <row r="2343" spans="1:20">
      <c r="A2343" s="20">
        <v>202604332460681</v>
      </c>
      <c r="B2343" s="19" t="s">
        <v>20</v>
      </c>
      <c r="C2343" s="19" t="s">
        <v>21</v>
      </c>
      <c r="D2343" s="19" t="s">
        <v>20</v>
      </c>
      <c r="E2343" s="21">
        <v>46235</v>
      </c>
      <c r="F2343" s="21">
        <v>46599</v>
      </c>
      <c r="G2343" s="21"/>
      <c r="H2343" s="21">
        <v>46235</v>
      </c>
      <c r="I2343" s="21">
        <v>46599</v>
      </c>
      <c r="J2343" s="19" t="s">
        <v>2068</v>
      </c>
      <c r="L2343" s="19">
        <v>26.258683999999999</v>
      </c>
      <c r="M2343" s="19">
        <v>26.258683999999999</v>
      </c>
      <c r="N2343" s="19" t="s">
        <v>1475</v>
      </c>
      <c r="O2343" s="20">
        <v>1</v>
      </c>
      <c r="S2343" s="19" t="s">
        <v>20</v>
      </c>
      <c r="T2343" s="19" t="s">
        <v>1471</v>
      </c>
    </row>
    <row r="2344" spans="1:20">
      <c r="A2344" s="20">
        <v>202604332460889</v>
      </c>
      <c r="B2344" s="19" t="s">
        <v>20</v>
      </c>
      <c r="C2344" s="19" t="s">
        <v>21</v>
      </c>
      <c r="D2344" s="19" t="s">
        <v>20</v>
      </c>
      <c r="E2344" s="21">
        <v>46235</v>
      </c>
      <c r="F2344" s="21">
        <v>46599</v>
      </c>
      <c r="G2344" s="21"/>
      <c r="H2344" s="21">
        <v>46235</v>
      </c>
      <c r="I2344" s="21">
        <v>46599</v>
      </c>
      <c r="J2344" s="19" t="s">
        <v>2099</v>
      </c>
      <c r="L2344" s="19">
        <v>26.258683999999999</v>
      </c>
      <c r="M2344" s="19">
        <v>26.258683999999999</v>
      </c>
      <c r="N2344" s="19" t="s">
        <v>1475</v>
      </c>
      <c r="O2344" s="20">
        <v>1</v>
      </c>
      <c r="S2344" s="19" t="s">
        <v>20</v>
      </c>
      <c r="T2344" s="19" t="s">
        <v>1471</v>
      </c>
    </row>
    <row r="2345" spans="1:20">
      <c r="A2345" s="20">
        <v>202604332462930</v>
      </c>
      <c r="B2345" s="19" t="s">
        <v>20</v>
      </c>
      <c r="C2345" s="19" t="s">
        <v>21</v>
      </c>
      <c r="D2345" s="19" t="s">
        <v>20</v>
      </c>
      <c r="E2345" s="21">
        <v>46235</v>
      </c>
      <c r="F2345" s="21">
        <v>46599</v>
      </c>
      <c r="G2345" s="21"/>
      <c r="H2345" s="21">
        <v>46235</v>
      </c>
      <c r="I2345" s="21">
        <v>46599</v>
      </c>
      <c r="J2345" s="19" t="s">
        <v>2069</v>
      </c>
      <c r="L2345" s="19">
        <v>0</v>
      </c>
      <c r="M2345" s="19">
        <v>0</v>
      </c>
      <c r="N2345" s="19" t="s">
        <v>2394</v>
      </c>
      <c r="O2345" s="20">
        <v>2</v>
      </c>
      <c r="S2345" s="19" t="s">
        <v>20</v>
      </c>
      <c r="T2345" s="19" t="s">
        <v>1471</v>
      </c>
    </row>
    <row r="2346" spans="1:20">
      <c r="A2346" s="20">
        <v>202604332462930</v>
      </c>
      <c r="B2346" s="19" t="s">
        <v>20</v>
      </c>
      <c r="C2346" s="19" t="s">
        <v>21</v>
      </c>
      <c r="D2346" s="19" t="s">
        <v>20</v>
      </c>
      <c r="E2346" s="21">
        <v>46235</v>
      </c>
      <c r="F2346" s="21">
        <v>46599</v>
      </c>
      <c r="G2346" s="21"/>
      <c r="H2346" s="21">
        <v>46235</v>
      </c>
      <c r="I2346" s="21">
        <v>46599</v>
      </c>
      <c r="J2346" s="19" t="s">
        <v>2069</v>
      </c>
      <c r="L2346" s="19">
        <v>66.261260500000006</v>
      </c>
      <c r="M2346" s="19">
        <v>66.261260500000006</v>
      </c>
      <c r="N2346" s="19" t="s">
        <v>1475</v>
      </c>
      <c r="O2346" s="20">
        <v>2</v>
      </c>
      <c r="S2346" s="19" t="s">
        <v>20</v>
      </c>
      <c r="T2346" s="19" t="s">
        <v>1471</v>
      </c>
    </row>
    <row r="2347" spans="1:20">
      <c r="A2347" s="20">
        <v>202604332462993</v>
      </c>
      <c r="B2347" s="19" t="s">
        <v>20</v>
      </c>
      <c r="C2347" s="19" t="s">
        <v>21</v>
      </c>
      <c r="D2347" s="19" t="s">
        <v>20</v>
      </c>
      <c r="E2347" s="21">
        <v>46235</v>
      </c>
      <c r="F2347" s="21">
        <v>46599</v>
      </c>
      <c r="G2347" s="21"/>
      <c r="H2347" s="21">
        <v>46235</v>
      </c>
      <c r="I2347" s="21">
        <v>46599</v>
      </c>
      <c r="J2347" s="19" t="s">
        <v>2104</v>
      </c>
      <c r="L2347" s="19">
        <v>0</v>
      </c>
      <c r="M2347" s="19">
        <v>0</v>
      </c>
      <c r="N2347" s="19" t="s">
        <v>2394</v>
      </c>
      <c r="O2347" s="20">
        <v>3</v>
      </c>
      <c r="S2347" s="19" t="s">
        <v>20</v>
      </c>
      <c r="T2347" s="19" t="s">
        <v>1471</v>
      </c>
    </row>
    <row r="2348" spans="1:20">
      <c r="A2348" s="20">
        <v>202604332462993</v>
      </c>
      <c r="B2348" s="19" t="s">
        <v>20</v>
      </c>
      <c r="C2348" s="19" t="s">
        <v>21</v>
      </c>
      <c r="D2348" s="19" t="s">
        <v>20</v>
      </c>
      <c r="E2348" s="21">
        <v>46235</v>
      </c>
      <c r="F2348" s="21">
        <v>46599</v>
      </c>
      <c r="G2348" s="21"/>
      <c r="H2348" s="21">
        <v>46235</v>
      </c>
      <c r="I2348" s="21">
        <v>46599</v>
      </c>
      <c r="J2348" s="19" t="s">
        <v>2104</v>
      </c>
      <c r="L2348" s="19">
        <v>99.391890750000002</v>
      </c>
      <c r="M2348" s="19">
        <v>99.391890750000002</v>
      </c>
      <c r="N2348" s="19" t="s">
        <v>1475</v>
      </c>
      <c r="O2348" s="20">
        <v>3</v>
      </c>
      <c r="S2348" s="19" t="s">
        <v>20</v>
      </c>
      <c r="T2348" s="19" t="s">
        <v>1471</v>
      </c>
    </row>
    <row r="2349" spans="1:20">
      <c r="A2349" s="20">
        <v>202604332463337</v>
      </c>
      <c r="B2349" s="19" t="s">
        <v>20</v>
      </c>
      <c r="C2349" s="19" t="s">
        <v>21</v>
      </c>
      <c r="D2349" s="19" t="s">
        <v>20</v>
      </c>
      <c r="E2349" s="21">
        <v>46235</v>
      </c>
      <c r="F2349" s="21">
        <v>46599</v>
      </c>
      <c r="G2349" s="21"/>
      <c r="H2349" s="21">
        <v>46235</v>
      </c>
      <c r="I2349" s="21">
        <v>46599</v>
      </c>
      <c r="J2349" s="19" t="s">
        <v>2080</v>
      </c>
      <c r="L2349" s="19">
        <v>0</v>
      </c>
      <c r="M2349" s="19">
        <v>0</v>
      </c>
      <c r="N2349" s="19" t="s">
        <v>2394</v>
      </c>
      <c r="O2349" s="20">
        <v>4</v>
      </c>
      <c r="S2349" s="19" t="s">
        <v>20</v>
      </c>
      <c r="T2349" s="19" t="s">
        <v>1471</v>
      </c>
    </row>
    <row r="2350" spans="1:20">
      <c r="A2350" s="20">
        <v>202604332463337</v>
      </c>
      <c r="B2350" s="19" t="s">
        <v>20</v>
      </c>
      <c r="C2350" s="19" t="s">
        <v>21</v>
      </c>
      <c r="D2350" s="19" t="s">
        <v>20</v>
      </c>
      <c r="E2350" s="21">
        <v>46235</v>
      </c>
      <c r="F2350" s="21">
        <v>46599</v>
      </c>
      <c r="G2350" s="21"/>
      <c r="H2350" s="21">
        <v>46235</v>
      </c>
      <c r="I2350" s="21">
        <v>46599</v>
      </c>
      <c r="J2350" s="19" t="s">
        <v>2080</v>
      </c>
      <c r="L2350" s="19">
        <v>132.52252100000001</v>
      </c>
      <c r="M2350" s="19">
        <v>132.52252100000001</v>
      </c>
      <c r="N2350" s="19" t="s">
        <v>1475</v>
      </c>
      <c r="O2350" s="20">
        <v>4</v>
      </c>
      <c r="S2350" s="19" t="s">
        <v>20</v>
      </c>
      <c r="T2350" s="19" t="s">
        <v>1471</v>
      </c>
    </row>
    <row r="2351" spans="1:20">
      <c r="A2351" s="20">
        <v>202604332463681</v>
      </c>
      <c r="B2351" s="19" t="s">
        <v>20</v>
      </c>
      <c r="C2351" s="19" t="s">
        <v>21</v>
      </c>
      <c r="D2351" s="19" t="s">
        <v>20</v>
      </c>
      <c r="E2351" s="21">
        <v>46235</v>
      </c>
      <c r="F2351" s="21">
        <v>46599</v>
      </c>
      <c r="G2351" s="21"/>
      <c r="H2351" s="21">
        <v>46235</v>
      </c>
      <c r="I2351" s="21">
        <v>46599</v>
      </c>
      <c r="J2351" s="19" t="s">
        <v>2064</v>
      </c>
      <c r="L2351" s="19">
        <v>0</v>
      </c>
      <c r="M2351" s="19">
        <v>0</v>
      </c>
      <c r="N2351" s="19" t="s">
        <v>2394</v>
      </c>
      <c r="O2351" s="20">
        <v>5</v>
      </c>
      <c r="S2351" s="19" t="s">
        <v>20</v>
      </c>
      <c r="T2351" s="19" t="s">
        <v>1471</v>
      </c>
    </row>
    <row r="2352" spans="1:20">
      <c r="A2352" s="20">
        <v>202604332463681</v>
      </c>
      <c r="B2352" s="19" t="s">
        <v>20</v>
      </c>
      <c r="C2352" s="19" t="s">
        <v>21</v>
      </c>
      <c r="D2352" s="19" t="s">
        <v>20</v>
      </c>
      <c r="E2352" s="21">
        <v>46235</v>
      </c>
      <c r="F2352" s="21">
        <v>46599</v>
      </c>
      <c r="G2352" s="21"/>
      <c r="H2352" s="21">
        <v>46235</v>
      </c>
      <c r="I2352" s="21">
        <v>46599</v>
      </c>
      <c r="J2352" s="19" t="s">
        <v>2064</v>
      </c>
      <c r="L2352" s="19">
        <v>165.65315125000001</v>
      </c>
      <c r="M2352" s="19">
        <v>165.65315125000001</v>
      </c>
      <c r="N2352" s="19" t="s">
        <v>1475</v>
      </c>
      <c r="O2352" s="20">
        <v>5</v>
      </c>
      <c r="S2352" s="19" t="s">
        <v>20</v>
      </c>
      <c r="T2352" s="19" t="s">
        <v>1471</v>
      </c>
    </row>
    <row r="2353" spans="1:20">
      <c r="A2353" s="20">
        <v>202604332463913</v>
      </c>
      <c r="B2353" s="19" t="s">
        <v>20</v>
      </c>
      <c r="C2353" s="19" t="s">
        <v>21</v>
      </c>
      <c r="D2353" s="19" t="s">
        <v>20</v>
      </c>
      <c r="E2353" s="21">
        <v>46235</v>
      </c>
      <c r="F2353" s="21">
        <v>46599</v>
      </c>
      <c r="G2353" s="21"/>
      <c r="H2353" s="21">
        <v>46235</v>
      </c>
      <c r="I2353" s="21">
        <v>46599</v>
      </c>
      <c r="J2353" s="19" t="s">
        <v>2142</v>
      </c>
      <c r="L2353" s="19">
        <v>0</v>
      </c>
      <c r="M2353" s="19">
        <v>0</v>
      </c>
      <c r="N2353" s="19" t="s">
        <v>2394</v>
      </c>
      <c r="O2353" s="20">
        <v>4</v>
      </c>
      <c r="S2353" s="19" t="s">
        <v>20</v>
      </c>
      <c r="T2353" s="19" t="s">
        <v>1471</v>
      </c>
    </row>
    <row r="2354" spans="1:20">
      <c r="A2354" s="20">
        <v>202604332463913</v>
      </c>
      <c r="B2354" s="19" t="s">
        <v>20</v>
      </c>
      <c r="C2354" s="19" t="s">
        <v>21</v>
      </c>
      <c r="D2354" s="19" t="s">
        <v>20</v>
      </c>
      <c r="E2354" s="21">
        <v>46235</v>
      </c>
      <c r="F2354" s="21">
        <v>46599</v>
      </c>
      <c r="G2354" s="21"/>
      <c r="H2354" s="21">
        <v>46235</v>
      </c>
      <c r="I2354" s="21">
        <v>46599</v>
      </c>
      <c r="J2354" s="19" t="s">
        <v>2142</v>
      </c>
      <c r="L2354" s="19">
        <v>120.13318</v>
      </c>
      <c r="M2354" s="19">
        <v>120.13318</v>
      </c>
      <c r="N2354" s="19" t="s">
        <v>1475</v>
      </c>
      <c r="O2354" s="20">
        <v>4</v>
      </c>
      <c r="S2354" s="19" t="s">
        <v>20</v>
      </c>
      <c r="T2354" s="19" t="s">
        <v>1471</v>
      </c>
    </row>
    <row r="2355" spans="1:20">
      <c r="A2355" s="20">
        <v>202604332463918</v>
      </c>
      <c r="B2355" s="19" t="s">
        <v>20</v>
      </c>
      <c r="C2355" s="19" t="s">
        <v>21</v>
      </c>
      <c r="D2355" s="19" t="s">
        <v>20</v>
      </c>
      <c r="E2355" s="21">
        <v>46235</v>
      </c>
      <c r="F2355" s="21">
        <v>46599</v>
      </c>
      <c r="G2355" s="21"/>
      <c r="H2355" s="21">
        <v>46235</v>
      </c>
      <c r="I2355" s="21">
        <v>46599</v>
      </c>
      <c r="J2355" s="19" t="s">
        <v>2068</v>
      </c>
      <c r="L2355" s="19">
        <v>26.258683999999999</v>
      </c>
      <c r="M2355" s="19">
        <v>26.258683999999999</v>
      </c>
      <c r="N2355" s="19" t="s">
        <v>1475</v>
      </c>
      <c r="O2355" s="20">
        <v>1</v>
      </c>
      <c r="S2355" s="19" t="s">
        <v>20</v>
      </c>
      <c r="T2355" s="19" t="s">
        <v>1471</v>
      </c>
    </row>
    <row r="2356" spans="1:20">
      <c r="A2356" s="20">
        <v>202604332464597</v>
      </c>
      <c r="B2356" s="19" t="s">
        <v>20</v>
      </c>
      <c r="C2356" s="19" t="s">
        <v>21</v>
      </c>
      <c r="D2356" s="19" t="s">
        <v>20</v>
      </c>
      <c r="E2356" s="21">
        <v>46235</v>
      </c>
      <c r="F2356" s="21">
        <v>46599</v>
      </c>
      <c r="G2356" s="21"/>
      <c r="H2356" s="21">
        <v>46235</v>
      </c>
      <c r="I2356" s="21">
        <v>46599</v>
      </c>
      <c r="J2356" s="19" t="s">
        <v>2088</v>
      </c>
      <c r="L2356" s="19">
        <v>33.130630250000003</v>
      </c>
      <c r="M2356" s="19">
        <v>33.130630250000003</v>
      </c>
      <c r="N2356" s="19" t="s">
        <v>1475</v>
      </c>
      <c r="O2356" s="20">
        <v>1</v>
      </c>
      <c r="S2356" s="19" t="s">
        <v>20</v>
      </c>
      <c r="T2356" s="19" t="s">
        <v>1471</v>
      </c>
    </row>
    <row r="2357" spans="1:20">
      <c r="A2357" s="20">
        <v>202604332467021</v>
      </c>
      <c r="B2357" s="19" t="s">
        <v>20</v>
      </c>
      <c r="C2357" s="19" t="s">
        <v>21</v>
      </c>
      <c r="D2357" s="19" t="s">
        <v>20</v>
      </c>
      <c r="E2357" s="21">
        <v>46235</v>
      </c>
      <c r="F2357" s="21">
        <v>46599</v>
      </c>
      <c r="G2357" s="21"/>
      <c r="H2357" s="21">
        <v>46235</v>
      </c>
      <c r="I2357" s="21">
        <v>46599</v>
      </c>
      <c r="J2357" s="19" t="s">
        <v>2086</v>
      </c>
      <c r="L2357" s="19">
        <v>33.130630250000003</v>
      </c>
      <c r="M2357" s="19">
        <v>33.130630250000003</v>
      </c>
      <c r="N2357" s="19" t="s">
        <v>1475</v>
      </c>
      <c r="O2357" s="20">
        <v>1</v>
      </c>
      <c r="S2357" s="19" t="s">
        <v>20</v>
      </c>
      <c r="T2357" s="19" t="s">
        <v>1471</v>
      </c>
    </row>
    <row r="2358" spans="1:20">
      <c r="A2358" s="20">
        <v>202604332467661</v>
      </c>
      <c r="B2358" s="19" t="s">
        <v>20</v>
      </c>
      <c r="C2358" s="19" t="s">
        <v>21</v>
      </c>
      <c r="D2358" s="19" t="s">
        <v>20</v>
      </c>
      <c r="E2358" s="21">
        <v>46235</v>
      </c>
      <c r="F2358" s="21">
        <v>46599</v>
      </c>
      <c r="G2358" s="21"/>
      <c r="H2358" s="21">
        <v>46235</v>
      </c>
      <c r="I2358" s="21">
        <v>46599</v>
      </c>
      <c r="J2358" s="19" t="s">
        <v>2114</v>
      </c>
      <c r="L2358" s="19">
        <v>0</v>
      </c>
      <c r="M2358" s="19">
        <v>0</v>
      </c>
      <c r="N2358" s="19" t="s">
        <v>2394</v>
      </c>
      <c r="O2358" s="20">
        <v>4</v>
      </c>
      <c r="S2358" s="19" t="s">
        <v>20</v>
      </c>
      <c r="T2358" s="19" t="s">
        <v>1471</v>
      </c>
    </row>
    <row r="2359" spans="1:20">
      <c r="A2359" s="20">
        <v>202604332467661</v>
      </c>
      <c r="B2359" s="19" t="s">
        <v>20</v>
      </c>
      <c r="C2359" s="19" t="s">
        <v>21</v>
      </c>
      <c r="D2359" s="19" t="s">
        <v>20</v>
      </c>
      <c r="E2359" s="21">
        <v>46235</v>
      </c>
      <c r="F2359" s="21">
        <v>46599</v>
      </c>
      <c r="G2359" s="21"/>
      <c r="H2359" s="21">
        <v>46235</v>
      </c>
      <c r="I2359" s="21">
        <v>46599</v>
      </c>
      <c r="J2359" s="19" t="s">
        <v>2114</v>
      </c>
      <c r="L2359" s="19">
        <v>132.52252100000001</v>
      </c>
      <c r="M2359" s="19">
        <v>132.52252100000001</v>
      </c>
      <c r="N2359" s="19" t="s">
        <v>1475</v>
      </c>
      <c r="O2359" s="20">
        <v>4</v>
      </c>
      <c r="S2359" s="19" t="s">
        <v>20</v>
      </c>
      <c r="T2359" s="19" t="s">
        <v>1471</v>
      </c>
    </row>
    <row r="2360" spans="1:20">
      <c r="A2360" s="20">
        <v>202604332468272</v>
      </c>
      <c r="B2360" s="19" t="s">
        <v>20</v>
      </c>
      <c r="C2360" s="19" t="s">
        <v>21</v>
      </c>
      <c r="D2360" s="19" t="s">
        <v>20</v>
      </c>
      <c r="E2360" s="21">
        <v>46235</v>
      </c>
      <c r="F2360" s="21">
        <v>46599</v>
      </c>
      <c r="G2360" s="21"/>
      <c r="H2360" s="21">
        <v>46235</v>
      </c>
      <c r="I2360" s="21">
        <v>46599</v>
      </c>
      <c r="J2360" s="19" t="s">
        <v>2283</v>
      </c>
      <c r="L2360" s="19">
        <v>0</v>
      </c>
      <c r="M2360" s="19">
        <v>0</v>
      </c>
      <c r="N2360" s="19" t="s">
        <v>2394</v>
      </c>
      <c r="O2360" s="20">
        <v>3</v>
      </c>
      <c r="S2360" s="19" t="s">
        <v>20</v>
      </c>
      <c r="T2360" s="19" t="s">
        <v>1471</v>
      </c>
    </row>
    <row r="2361" spans="1:20">
      <c r="A2361" s="20">
        <v>202604332468272</v>
      </c>
      <c r="B2361" s="19" t="s">
        <v>20</v>
      </c>
      <c r="C2361" s="19" t="s">
        <v>21</v>
      </c>
      <c r="D2361" s="19" t="s">
        <v>20</v>
      </c>
      <c r="E2361" s="21">
        <v>46235</v>
      </c>
      <c r="F2361" s="21">
        <v>46599</v>
      </c>
      <c r="G2361" s="21"/>
      <c r="H2361" s="21">
        <v>46235</v>
      </c>
      <c r="I2361" s="21">
        <v>46599</v>
      </c>
      <c r="J2361" s="19" t="s">
        <v>2283</v>
      </c>
      <c r="L2361" s="19">
        <v>99.391890750000002</v>
      </c>
      <c r="M2361" s="19">
        <v>99.391890750000002</v>
      </c>
      <c r="N2361" s="19" t="s">
        <v>1475</v>
      </c>
      <c r="O2361" s="20">
        <v>3</v>
      </c>
      <c r="S2361" s="19" t="s">
        <v>20</v>
      </c>
      <c r="T2361" s="19" t="s">
        <v>1471</v>
      </c>
    </row>
    <row r="2362" spans="1:20">
      <c r="A2362" s="20">
        <v>202604332468905</v>
      </c>
      <c r="B2362" s="19" t="s">
        <v>20</v>
      </c>
      <c r="C2362" s="19" t="s">
        <v>21</v>
      </c>
      <c r="D2362" s="19" t="s">
        <v>20</v>
      </c>
      <c r="E2362" s="21">
        <v>46235</v>
      </c>
      <c r="F2362" s="21">
        <v>46599</v>
      </c>
      <c r="G2362" s="21"/>
      <c r="H2362" s="21">
        <v>46235</v>
      </c>
      <c r="I2362" s="21">
        <v>46599</v>
      </c>
      <c r="J2362" s="19" t="s">
        <v>2087</v>
      </c>
      <c r="L2362" s="19">
        <v>0</v>
      </c>
      <c r="M2362" s="19">
        <v>0</v>
      </c>
      <c r="N2362" s="19" t="s">
        <v>2394</v>
      </c>
      <c r="O2362" s="20">
        <v>2</v>
      </c>
      <c r="S2362" s="19" t="s">
        <v>20</v>
      </c>
      <c r="T2362" s="19" t="s">
        <v>1471</v>
      </c>
    </row>
    <row r="2363" spans="1:20">
      <c r="A2363" s="20">
        <v>202604332468905</v>
      </c>
      <c r="B2363" s="19" t="s">
        <v>20</v>
      </c>
      <c r="C2363" s="19" t="s">
        <v>21</v>
      </c>
      <c r="D2363" s="19" t="s">
        <v>20</v>
      </c>
      <c r="E2363" s="21">
        <v>46235</v>
      </c>
      <c r="F2363" s="21">
        <v>46599</v>
      </c>
      <c r="G2363" s="21"/>
      <c r="H2363" s="21">
        <v>46235</v>
      </c>
      <c r="I2363" s="21">
        <v>46599</v>
      </c>
      <c r="J2363" s="19" t="s">
        <v>2087</v>
      </c>
      <c r="L2363" s="19">
        <v>66.261260500000006</v>
      </c>
      <c r="M2363" s="19">
        <v>66.261260500000006</v>
      </c>
      <c r="N2363" s="19" t="s">
        <v>1475</v>
      </c>
      <c r="O2363" s="20">
        <v>2</v>
      </c>
      <c r="S2363" s="19" t="s">
        <v>20</v>
      </c>
      <c r="T2363" s="19" t="s">
        <v>1471</v>
      </c>
    </row>
    <row r="2364" spans="1:20">
      <c r="A2364" s="20">
        <v>202604332469693</v>
      </c>
      <c r="B2364" s="19" t="s">
        <v>20</v>
      </c>
      <c r="C2364" s="19" t="s">
        <v>21</v>
      </c>
      <c r="D2364" s="19" t="s">
        <v>2499</v>
      </c>
      <c r="E2364" s="21">
        <v>46235</v>
      </c>
      <c r="F2364" s="21">
        <v>46599</v>
      </c>
      <c r="G2364" s="21"/>
      <c r="H2364" s="21">
        <v>46235</v>
      </c>
      <c r="I2364" s="21">
        <v>46599</v>
      </c>
      <c r="J2364" s="19" t="s">
        <v>2209</v>
      </c>
      <c r="L2364" s="19">
        <v>33.130630250000003</v>
      </c>
      <c r="M2364" s="19">
        <v>33.130630250000003</v>
      </c>
      <c r="N2364" s="19" t="s">
        <v>1467</v>
      </c>
      <c r="O2364" s="20">
        <v>1</v>
      </c>
      <c r="S2364" s="19" t="s">
        <v>20</v>
      </c>
      <c r="T2364" s="19" t="s">
        <v>1471</v>
      </c>
    </row>
    <row r="2365" spans="1:20">
      <c r="A2365" s="20">
        <v>202604332471747</v>
      </c>
      <c r="B2365" s="19" t="s">
        <v>20</v>
      </c>
      <c r="C2365" s="19" t="s">
        <v>21</v>
      </c>
      <c r="D2365" s="19" t="s">
        <v>20</v>
      </c>
      <c r="E2365" s="21">
        <v>46235</v>
      </c>
      <c r="F2365" s="21">
        <v>46599</v>
      </c>
      <c r="G2365" s="21"/>
      <c r="H2365" s="21">
        <v>46235</v>
      </c>
      <c r="I2365" s="21">
        <v>46599</v>
      </c>
      <c r="J2365" s="19" t="s">
        <v>2086</v>
      </c>
      <c r="L2365" s="19">
        <v>0</v>
      </c>
      <c r="M2365" s="19">
        <v>0</v>
      </c>
      <c r="N2365" s="19" t="s">
        <v>2394</v>
      </c>
      <c r="O2365" s="20">
        <v>4</v>
      </c>
      <c r="S2365" s="19" t="s">
        <v>20</v>
      </c>
      <c r="T2365" s="19" t="s">
        <v>1471</v>
      </c>
    </row>
    <row r="2366" spans="1:20">
      <c r="A2366" s="20">
        <v>202604332471747</v>
      </c>
      <c r="B2366" s="19" t="s">
        <v>20</v>
      </c>
      <c r="C2366" s="19" t="s">
        <v>21</v>
      </c>
      <c r="D2366" s="19" t="s">
        <v>20</v>
      </c>
      <c r="E2366" s="21">
        <v>46235</v>
      </c>
      <c r="F2366" s="21">
        <v>46599</v>
      </c>
      <c r="G2366" s="21"/>
      <c r="H2366" s="21">
        <v>46235</v>
      </c>
      <c r="I2366" s="21">
        <v>46599</v>
      </c>
      <c r="J2366" s="19" t="s">
        <v>2086</v>
      </c>
      <c r="L2366" s="19">
        <v>132.52252100000001</v>
      </c>
      <c r="M2366" s="19">
        <v>132.52252100000001</v>
      </c>
      <c r="N2366" s="19" t="s">
        <v>1475</v>
      </c>
      <c r="O2366" s="20">
        <v>4</v>
      </c>
      <c r="S2366" s="19" t="s">
        <v>20</v>
      </c>
      <c r="T2366" s="19" t="s">
        <v>1471</v>
      </c>
    </row>
    <row r="2367" spans="1:20">
      <c r="A2367" s="20">
        <v>202604332471884</v>
      </c>
      <c r="B2367" s="19" t="s">
        <v>20</v>
      </c>
      <c r="C2367" s="19" t="s">
        <v>21</v>
      </c>
      <c r="D2367" s="19" t="s">
        <v>20</v>
      </c>
      <c r="E2367" s="21">
        <v>46235</v>
      </c>
      <c r="F2367" s="21">
        <v>46599</v>
      </c>
      <c r="G2367" s="21"/>
      <c r="H2367" s="21">
        <v>46235</v>
      </c>
      <c r="I2367" s="21">
        <v>46599</v>
      </c>
      <c r="J2367" s="19" t="s">
        <v>2064</v>
      </c>
      <c r="L2367" s="19">
        <v>33.130630250000003</v>
      </c>
      <c r="M2367" s="19">
        <v>33.130630250000003</v>
      </c>
      <c r="N2367" s="19" t="s">
        <v>1475</v>
      </c>
      <c r="O2367" s="20">
        <v>1</v>
      </c>
      <c r="S2367" s="19" t="s">
        <v>20</v>
      </c>
      <c r="T2367" s="19" t="s">
        <v>1471</v>
      </c>
    </row>
    <row r="2368" spans="1:20">
      <c r="A2368" s="20">
        <v>202604332471996</v>
      </c>
      <c r="B2368" s="19" t="s">
        <v>20</v>
      </c>
      <c r="C2368" s="19" t="s">
        <v>21</v>
      </c>
      <c r="D2368" s="19" t="s">
        <v>20</v>
      </c>
      <c r="E2368" s="21">
        <v>46235</v>
      </c>
      <c r="F2368" s="21">
        <v>46599</v>
      </c>
      <c r="G2368" s="21"/>
      <c r="H2368" s="21">
        <v>46235</v>
      </c>
      <c r="I2368" s="21">
        <v>46599</v>
      </c>
      <c r="J2368" s="19" t="s">
        <v>2093</v>
      </c>
      <c r="L2368" s="19">
        <v>28.776034249999999</v>
      </c>
      <c r="M2368" s="19">
        <v>28.776034249999999</v>
      </c>
      <c r="N2368" s="19" t="s">
        <v>1475</v>
      </c>
      <c r="O2368" s="20">
        <v>1</v>
      </c>
      <c r="S2368" s="19" t="s">
        <v>20</v>
      </c>
      <c r="T2368" s="19" t="s">
        <v>1471</v>
      </c>
    </row>
    <row r="2369" spans="1:20">
      <c r="A2369" s="20">
        <v>202604332472037</v>
      </c>
      <c r="B2369" s="19" t="s">
        <v>20</v>
      </c>
      <c r="C2369" s="19" t="s">
        <v>21</v>
      </c>
      <c r="D2369" s="19" t="s">
        <v>2498</v>
      </c>
      <c r="E2369" s="21">
        <v>46235</v>
      </c>
      <c r="F2369" s="21">
        <v>46599</v>
      </c>
      <c r="G2369" s="21"/>
      <c r="H2369" s="21">
        <v>46235</v>
      </c>
      <c r="I2369" s="21">
        <v>46599</v>
      </c>
      <c r="J2369" s="19" t="s">
        <v>2283</v>
      </c>
      <c r="L2369" s="19">
        <v>33.130630250000003</v>
      </c>
      <c r="M2369" s="19">
        <v>33.130630250000003</v>
      </c>
      <c r="N2369" s="19" t="s">
        <v>1467</v>
      </c>
      <c r="O2369" s="20">
        <v>1</v>
      </c>
      <c r="S2369" s="19" t="s">
        <v>20</v>
      </c>
      <c r="T2369" s="19" t="s">
        <v>1471</v>
      </c>
    </row>
    <row r="2370" spans="1:20">
      <c r="A2370" s="20">
        <v>202604332472526</v>
      </c>
      <c r="B2370" s="19" t="s">
        <v>20</v>
      </c>
      <c r="C2370" s="19" t="s">
        <v>21</v>
      </c>
      <c r="D2370" s="19" t="s">
        <v>20</v>
      </c>
      <c r="E2370" s="21">
        <v>46235</v>
      </c>
      <c r="F2370" s="21">
        <v>46599</v>
      </c>
      <c r="G2370" s="21"/>
      <c r="H2370" s="21">
        <v>46235</v>
      </c>
      <c r="I2370" s="21">
        <v>46599</v>
      </c>
      <c r="J2370" s="19" t="s">
        <v>2209</v>
      </c>
      <c r="L2370" s="19">
        <v>0</v>
      </c>
      <c r="M2370" s="19">
        <v>0</v>
      </c>
      <c r="N2370" s="19" t="s">
        <v>2394</v>
      </c>
      <c r="O2370" s="20">
        <v>7</v>
      </c>
      <c r="S2370" s="19" t="s">
        <v>20</v>
      </c>
      <c r="T2370" s="19" t="s">
        <v>1471</v>
      </c>
    </row>
    <row r="2371" spans="1:20">
      <c r="A2371" s="20">
        <v>202604332472526</v>
      </c>
      <c r="B2371" s="19" t="s">
        <v>20</v>
      </c>
      <c r="C2371" s="19" t="s">
        <v>21</v>
      </c>
      <c r="D2371" s="19" t="s">
        <v>2497</v>
      </c>
      <c r="E2371" s="21">
        <v>46235</v>
      </c>
      <c r="F2371" s="21">
        <v>46599</v>
      </c>
      <c r="G2371" s="21"/>
      <c r="H2371" s="21">
        <v>46235</v>
      </c>
      <c r="I2371" s="21">
        <v>46599</v>
      </c>
      <c r="J2371" s="19" t="s">
        <v>2209</v>
      </c>
      <c r="L2371" s="19">
        <v>117.0902845</v>
      </c>
      <c r="M2371" s="19">
        <v>117.0902845</v>
      </c>
      <c r="N2371" s="19" t="s">
        <v>1467</v>
      </c>
      <c r="O2371" s="20">
        <v>7</v>
      </c>
      <c r="S2371" s="19" t="s">
        <v>20</v>
      </c>
      <c r="T2371" s="19" t="s">
        <v>1471</v>
      </c>
    </row>
    <row r="2372" spans="1:20">
      <c r="A2372" s="20">
        <v>202604332472570</v>
      </c>
      <c r="B2372" s="19" t="s">
        <v>20</v>
      </c>
      <c r="C2372" s="19" t="s">
        <v>21</v>
      </c>
      <c r="D2372" s="19" t="s">
        <v>20</v>
      </c>
      <c r="E2372" s="21">
        <v>46235</v>
      </c>
      <c r="F2372" s="21">
        <v>46599</v>
      </c>
      <c r="G2372" s="21"/>
      <c r="H2372" s="21">
        <v>46235</v>
      </c>
      <c r="I2372" s="21">
        <v>46599</v>
      </c>
      <c r="J2372" s="19" t="s">
        <v>2065</v>
      </c>
      <c r="L2372" s="19">
        <v>0</v>
      </c>
      <c r="M2372" s="19">
        <v>0</v>
      </c>
      <c r="N2372" s="19" t="s">
        <v>2394</v>
      </c>
      <c r="O2372" s="20">
        <v>6</v>
      </c>
      <c r="S2372" s="19" t="s">
        <v>20</v>
      </c>
      <c r="T2372" s="19" t="s">
        <v>1471</v>
      </c>
    </row>
    <row r="2373" spans="1:20">
      <c r="A2373" s="20">
        <v>202604332472570</v>
      </c>
      <c r="B2373" s="19" t="s">
        <v>20</v>
      </c>
      <c r="C2373" s="19" t="s">
        <v>21</v>
      </c>
      <c r="D2373" s="19" t="s">
        <v>20</v>
      </c>
      <c r="E2373" s="21">
        <v>46235</v>
      </c>
      <c r="F2373" s="21">
        <v>46599</v>
      </c>
      <c r="G2373" s="21"/>
      <c r="H2373" s="21">
        <v>46235</v>
      </c>
      <c r="I2373" s="21">
        <v>46599</v>
      </c>
      <c r="J2373" s="19" t="s">
        <v>2065</v>
      </c>
      <c r="L2373" s="19">
        <v>157.55210400000001</v>
      </c>
      <c r="M2373" s="19">
        <v>157.55210400000001</v>
      </c>
      <c r="N2373" s="19" t="s">
        <v>1475</v>
      </c>
      <c r="O2373" s="20">
        <v>6</v>
      </c>
      <c r="S2373" s="19" t="s">
        <v>20</v>
      </c>
      <c r="T2373" s="19" t="s">
        <v>1471</v>
      </c>
    </row>
    <row r="2374" spans="1:20">
      <c r="A2374" s="20">
        <v>202604332472572</v>
      </c>
      <c r="B2374" s="19" t="s">
        <v>20</v>
      </c>
      <c r="C2374" s="19" t="s">
        <v>21</v>
      </c>
      <c r="D2374" s="19" t="s">
        <v>20</v>
      </c>
      <c r="E2374" s="21">
        <v>46235</v>
      </c>
      <c r="F2374" s="21">
        <v>46599</v>
      </c>
      <c r="G2374" s="21"/>
      <c r="H2374" s="21">
        <v>46235</v>
      </c>
      <c r="I2374" s="21">
        <v>46599</v>
      </c>
      <c r="J2374" s="19" t="s">
        <v>2315</v>
      </c>
      <c r="L2374" s="19">
        <v>0</v>
      </c>
      <c r="M2374" s="19">
        <v>0</v>
      </c>
      <c r="N2374" s="19" t="s">
        <v>2394</v>
      </c>
      <c r="O2374" s="20">
        <v>6</v>
      </c>
      <c r="S2374" s="19" t="s">
        <v>20</v>
      </c>
      <c r="T2374" s="19" t="s">
        <v>1471</v>
      </c>
    </row>
    <row r="2375" spans="1:20">
      <c r="A2375" s="20">
        <v>202604332472572</v>
      </c>
      <c r="B2375" s="19" t="s">
        <v>20</v>
      </c>
      <c r="C2375" s="19" t="s">
        <v>21</v>
      </c>
      <c r="D2375" s="19" t="s">
        <v>2496</v>
      </c>
      <c r="E2375" s="21">
        <v>46235</v>
      </c>
      <c r="F2375" s="21">
        <v>46599</v>
      </c>
      <c r="G2375" s="21"/>
      <c r="H2375" s="21">
        <v>46235</v>
      </c>
      <c r="I2375" s="21">
        <v>46599</v>
      </c>
      <c r="J2375" s="19" t="s">
        <v>2315</v>
      </c>
      <c r="L2375" s="19">
        <v>90.326878500000007</v>
      </c>
      <c r="M2375" s="19">
        <v>90.326878500000007</v>
      </c>
      <c r="N2375" s="19" t="s">
        <v>1467</v>
      </c>
      <c r="O2375" s="20">
        <v>6</v>
      </c>
      <c r="S2375" s="19" t="s">
        <v>20</v>
      </c>
      <c r="T2375" s="19" t="s">
        <v>1471</v>
      </c>
    </row>
    <row r="2376" spans="1:20">
      <c r="A2376" s="20">
        <v>202604332473160</v>
      </c>
      <c r="B2376" s="19" t="s">
        <v>20</v>
      </c>
      <c r="C2376" s="19" t="s">
        <v>21</v>
      </c>
      <c r="D2376" s="19" t="s">
        <v>20</v>
      </c>
      <c r="E2376" s="21">
        <v>46235</v>
      </c>
      <c r="F2376" s="21">
        <v>46599</v>
      </c>
      <c r="G2376" s="21"/>
      <c r="H2376" s="21">
        <v>46235</v>
      </c>
      <c r="I2376" s="21">
        <v>46599</v>
      </c>
      <c r="J2376" s="19" t="s">
        <v>2087</v>
      </c>
      <c r="L2376" s="19">
        <v>33.130630250000003</v>
      </c>
      <c r="M2376" s="19">
        <v>33.130630250000003</v>
      </c>
      <c r="N2376" s="19" t="s">
        <v>1475</v>
      </c>
      <c r="O2376" s="20">
        <v>1</v>
      </c>
      <c r="S2376" s="19" t="s">
        <v>20</v>
      </c>
      <c r="T2376" s="19" t="s">
        <v>1471</v>
      </c>
    </row>
    <row r="2377" spans="1:20">
      <c r="A2377" s="20">
        <v>202604332473215</v>
      </c>
      <c r="B2377" s="19" t="s">
        <v>20</v>
      </c>
      <c r="C2377" s="19" t="s">
        <v>21</v>
      </c>
      <c r="D2377" s="19" t="s">
        <v>20</v>
      </c>
      <c r="E2377" s="21">
        <v>46235</v>
      </c>
      <c r="F2377" s="21">
        <v>46599</v>
      </c>
      <c r="G2377" s="21"/>
      <c r="H2377" s="21">
        <v>46235</v>
      </c>
      <c r="I2377" s="21">
        <v>46599</v>
      </c>
      <c r="J2377" s="19" t="s">
        <v>2146</v>
      </c>
      <c r="L2377" s="19">
        <v>47.936581500000003</v>
      </c>
      <c r="M2377" s="19">
        <v>47.936581500000003</v>
      </c>
      <c r="N2377" s="19" t="s">
        <v>1475</v>
      </c>
      <c r="O2377" s="20">
        <v>2</v>
      </c>
      <c r="S2377" s="19" t="s">
        <v>20</v>
      </c>
      <c r="T2377" s="19" t="s">
        <v>1471</v>
      </c>
    </row>
    <row r="2378" spans="1:20">
      <c r="A2378" s="20">
        <v>202604332473607</v>
      </c>
      <c r="B2378" s="19" t="s">
        <v>20</v>
      </c>
      <c r="C2378" s="19" t="s">
        <v>21</v>
      </c>
      <c r="D2378" s="19" t="s">
        <v>20</v>
      </c>
      <c r="E2378" s="21">
        <v>46235</v>
      </c>
      <c r="F2378" s="21">
        <v>46599</v>
      </c>
      <c r="G2378" s="21"/>
      <c r="H2378" s="21">
        <v>46235</v>
      </c>
      <c r="I2378" s="21">
        <v>46599</v>
      </c>
      <c r="J2378" s="19" t="s">
        <v>2128</v>
      </c>
      <c r="L2378" s="19">
        <v>0</v>
      </c>
      <c r="M2378" s="19">
        <v>0</v>
      </c>
      <c r="N2378" s="19" t="s">
        <v>2394</v>
      </c>
      <c r="O2378" s="20">
        <v>2</v>
      </c>
      <c r="S2378" s="19" t="s">
        <v>20</v>
      </c>
      <c r="T2378" s="19" t="s">
        <v>1471</v>
      </c>
    </row>
    <row r="2379" spans="1:20">
      <c r="A2379" s="20">
        <v>202604332473607</v>
      </c>
      <c r="B2379" s="19" t="s">
        <v>20</v>
      </c>
      <c r="C2379" s="19" t="s">
        <v>21</v>
      </c>
      <c r="D2379" s="19" t="s">
        <v>20</v>
      </c>
      <c r="E2379" s="21">
        <v>46235</v>
      </c>
      <c r="F2379" s="21">
        <v>46599</v>
      </c>
      <c r="G2379" s="21"/>
      <c r="H2379" s="21">
        <v>46235</v>
      </c>
      <c r="I2379" s="21">
        <v>46599</v>
      </c>
      <c r="J2379" s="19" t="s">
        <v>2128</v>
      </c>
      <c r="L2379" s="19">
        <v>59.635123499999999</v>
      </c>
      <c r="M2379" s="19">
        <v>59.635123499999999</v>
      </c>
      <c r="N2379" s="19" t="s">
        <v>1475</v>
      </c>
      <c r="O2379" s="20">
        <v>2</v>
      </c>
      <c r="S2379" s="19" t="s">
        <v>20</v>
      </c>
      <c r="T2379" s="19" t="s">
        <v>1471</v>
      </c>
    </row>
    <row r="2380" spans="1:20">
      <c r="A2380" s="20">
        <v>202604332473666</v>
      </c>
      <c r="B2380" s="19" t="s">
        <v>20</v>
      </c>
      <c r="C2380" s="19" t="s">
        <v>21</v>
      </c>
      <c r="D2380" s="19" t="s">
        <v>20</v>
      </c>
      <c r="E2380" s="21">
        <v>46235</v>
      </c>
      <c r="F2380" s="21">
        <v>46599</v>
      </c>
      <c r="G2380" s="21"/>
      <c r="H2380" s="21">
        <v>46235</v>
      </c>
      <c r="I2380" s="21">
        <v>46599</v>
      </c>
      <c r="J2380" s="19" t="s">
        <v>2093</v>
      </c>
      <c r="L2380" s="19">
        <v>28.776034249999999</v>
      </c>
      <c r="M2380" s="19">
        <v>28.776034249999999</v>
      </c>
      <c r="N2380" s="19" t="s">
        <v>1475</v>
      </c>
      <c r="O2380" s="20">
        <v>1</v>
      </c>
      <c r="S2380" s="19" t="s">
        <v>20</v>
      </c>
      <c r="T2380" s="19" t="s">
        <v>1471</v>
      </c>
    </row>
    <row r="2381" spans="1:20">
      <c r="A2381" s="20">
        <v>202604332474886</v>
      </c>
      <c r="B2381" s="19" t="s">
        <v>20</v>
      </c>
      <c r="C2381" s="19" t="s">
        <v>21</v>
      </c>
      <c r="D2381" s="19" t="s">
        <v>20</v>
      </c>
      <c r="E2381" s="21">
        <v>46235</v>
      </c>
      <c r="F2381" s="21">
        <v>46599</v>
      </c>
      <c r="G2381" s="21"/>
      <c r="H2381" s="21">
        <v>46235</v>
      </c>
      <c r="I2381" s="21">
        <v>46599</v>
      </c>
      <c r="J2381" s="19" t="s">
        <v>2073</v>
      </c>
      <c r="L2381" s="19">
        <v>0</v>
      </c>
      <c r="M2381" s="19">
        <v>0</v>
      </c>
      <c r="N2381" s="19" t="s">
        <v>2394</v>
      </c>
      <c r="O2381" s="20">
        <v>2</v>
      </c>
      <c r="S2381" s="19" t="s">
        <v>20</v>
      </c>
      <c r="T2381" s="19" t="s">
        <v>1471</v>
      </c>
    </row>
    <row r="2382" spans="1:20">
      <c r="A2382" s="20">
        <v>202604332474886</v>
      </c>
      <c r="B2382" s="19" t="s">
        <v>20</v>
      </c>
      <c r="C2382" s="19" t="s">
        <v>21</v>
      </c>
      <c r="D2382" s="19" t="s">
        <v>20</v>
      </c>
      <c r="E2382" s="21">
        <v>46235</v>
      </c>
      <c r="F2382" s="21">
        <v>46599</v>
      </c>
      <c r="G2382" s="21"/>
      <c r="H2382" s="21">
        <v>46235</v>
      </c>
      <c r="I2382" s="21">
        <v>46599</v>
      </c>
      <c r="J2382" s="19" t="s">
        <v>2073</v>
      </c>
      <c r="L2382" s="19">
        <v>52.517367999999998</v>
      </c>
      <c r="M2382" s="19">
        <v>52.517367999999998</v>
      </c>
      <c r="N2382" s="19" t="s">
        <v>1475</v>
      </c>
      <c r="O2382" s="20">
        <v>2</v>
      </c>
      <c r="S2382" s="19" t="s">
        <v>20</v>
      </c>
      <c r="T2382" s="19" t="s">
        <v>1471</v>
      </c>
    </row>
    <row r="2383" spans="1:20">
      <c r="A2383" s="20">
        <v>202604332476436</v>
      </c>
      <c r="B2383" s="19" t="s">
        <v>20</v>
      </c>
      <c r="C2383" s="19" t="s">
        <v>21</v>
      </c>
      <c r="D2383" s="19" t="s">
        <v>20</v>
      </c>
      <c r="E2383" s="21">
        <v>46235</v>
      </c>
      <c r="F2383" s="21">
        <v>46599</v>
      </c>
      <c r="G2383" s="21"/>
      <c r="H2383" s="21">
        <v>46235</v>
      </c>
      <c r="I2383" s="21">
        <v>46599</v>
      </c>
      <c r="J2383" s="19" t="s">
        <v>2064</v>
      </c>
      <c r="L2383" s="19">
        <v>0</v>
      </c>
      <c r="M2383" s="19">
        <v>0</v>
      </c>
      <c r="N2383" s="19" t="s">
        <v>2394</v>
      </c>
      <c r="O2383" s="20">
        <v>4</v>
      </c>
      <c r="S2383" s="19" t="s">
        <v>20</v>
      </c>
      <c r="T2383" s="19" t="s">
        <v>1471</v>
      </c>
    </row>
    <row r="2384" spans="1:20">
      <c r="A2384" s="20">
        <v>202604332476436</v>
      </c>
      <c r="B2384" s="19" t="s">
        <v>20</v>
      </c>
      <c r="C2384" s="19" t="s">
        <v>21</v>
      </c>
      <c r="D2384" s="19" t="s">
        <v>20</v>
      </c>
      <c r="E2384" s="21">
        <v>46235</v>
      </c>
      <c r="F2384" s="21">
        <v>46599</v>
      </c>
      <c r="G2384" s="21"/>
      <c r="H2384" s="21">
        <v>46235</v>
      </c>
      <c r="I2384" s="21">
        <v>46599</v>
      </c>
      <c r="J2384" s="19" t="s">
        <v>2064</v>
      </c>
      <c r="L2384" s="19">
        <v>132.52252100000001</v>
      </c>
      <c r="M2384" s="19">
        <v>132.52252100000001</v>
      </c>
      <c r="N2384" s="19" t="s">
        <v>1475</v>
      </c>
      <c r="O2384" s="20">
        <v>4</v>
      </c>
      <c r="S2384" s="19" t="s">
        <v>20</v>
      </c>
      <c r="T2384" s="19" t="s">
        <v>1471</v>
      </c>
    </row>
    <row r="2385" spans="1:20">
      <c r="A2385" s="20">
        <v>202604332476793</v>
      </c>
      <c r="B2385" s="19" t="s">
        <v>20</v>
      </c>
      <c r="C2385" s="19" t="s">
        <v>21</v>
      </c>
      <c r="D2385" s="19" t="s">
        <v>20</v>
      </c>
      <c r="E2385" s="21">
        <v>46235</v>
      </c>
      <c r="F2385" s="21">
        <v>46599</v>
      </c>
      <c r="G2385" s="21"/>
      <c r="H2385" s="21">
        <v>46235</v>
      </c>
      <c r="I2385" s="21">
        <v>46599</v>
      </c>
      <c r="J2385" s="19" t="s">
        <v>2064</v>
      </c>
      <c r="L2385" s="19">
        <v>33.130630250000003</v>
      </c>
      <c r="M2385" s="19">
        <v>33.130630250000003</v>
      </c>
      <c r="N2385" s="19" t="s">
        <v>1475</v>
      </c>
      <c r="O2385" s="20">
        <v>1</v>
      </c>
      <c r="S2385" s="19" t="s">
        <v>20</v>
      </c>
      <c r="T2385" s="19" t="s">
        <v>1471</v>
      </c>
    </row>
    <row r="2386" spans="1:20">
      <c r="A2386" s="20">
        <v>202604332477269</v>
      </c>
      <c r="B2386" s="19" t="s">
        <v>20</v>
      </c>
      <c r="C2386" s="19" t="s">
        <v>21</v>
      </c>
      <c r="D2386" s="19" t="s">
        <v>20</v>
      </c>
      <c r="E2386" s="21">
        <v>46235</v>
      </c>
      <c r="F2386" s="21">
        <v>46599</v>
      </c>
      <c r="G2386" s="21"/>
      <c r="H2386" s="21">
        <v>46235</v>
      </c>
      <c r="I2386" s="21">
        <v>46599</v>
      </c>
      <c r="J2386" s="19" t="s">
        <v>2068</v>
      </c>
      <c r="L2386" s="19">
        <v>0</v>
      </c>
      <c r="M2386" s="19">
        <v>0</v>
      </c>
      <c r="N2386" s="19" t="s">
        <v>2394</v>
      </c>
      <c r="O2386" s="20">
        <v>6</v>
      </c>
      <c r="S2386" s="19" t="s">
        <v>20</v>
      </c>
      <c r="T2386" s="19" t="s">
        <v>1471</v>
      </c>
    </row>
    <row r="2387" spans="1:20">
      <c r="A2387" s="20">
        <v>202604332477269</v>
      </c>
      <c r="B2387" s="19" t="s">
        <v>20</v>
      </c>
      <c r="C2387" s="19" t="s">
        <v>21</v>
      </c>
      <c r="D2387" s="19" t="s">
        <v>20</v>
      </c>
      <c r="E2387" s="21">
        <v>46235</v>
      </c>
      <c r="F2387" s="21">
        <v>46599</v>
      </c>
      <c r="G2387" s="21"/>
      <c r="H2387" s="21">
        <v>46235</v>
      </c>
      <c r="I2387" s="21">
        <v>46599</v>
      </c>
      <c r="J2387" s="19" t="s">
        <v>2068</v>
      </c>
      <c r="L2387" s="19">
        <v>157.55210400000001</v>
      </c>
      <c r="M2387" s="19">
        <v>157.55210400000001</v>
      </c>
      <c r="N2387" s="19" t="s">
        <v>1475</v>
      </c>
      <c r="O2387" s="20">
        <v>6</v>
      </c>
      <c r="S2387" s="19" t="s">
        <v>20</v>
      </c>
      <c r="T2387" s="19" t="s">
        <v>1471</v>
      </c>
    </row>
    <row r="2388" spans="1:20">
      <c r="A2388" s="20">
        <v>202604332478132</v>
      </c>
      <c r="B2388" s="19" t="s">
        <v>20</v>
      </c>
      <c r="C2388" s="19" t="s">
        <v>21</v>
      </c>
      <c r="D2388" s="19" t="s">
        <v>20</v>
      </c>
      <c r="E2388" s="21">
        <v>46235</v>
      </c>
      <c r="F2388" s="21">
        <v>46599</v>
      </c>
      <c r="G2388" s="21"/>
      <c r="H2388" s="21">
        <v>46235</v>
      </c>
      <c r="I2388" s="21">
        <v>46599</v>
      </c>
      <c r="J2388" s="19" t="s">
        <v>2064</v>
      </c>
      <c r="L2388" s="19">
        <v>99.391890750000002</v>
      </c>
      <c r="M2388" s="19">
        <v>99.391890750000002</v>
      </c>
      <c r="N2388" s="19" t="s">
        <v>1475</v>
      </c>
      <c r="O2388" s="20">
        <v>3</v>
      </c>
      <c r="S2388" s="19" t="s">
        <v>20</v>
      </c>
      <c r="T2388" s="19" t="s">
        <v>1471</v>
      </c>
    </row>
    <row r="2389" spans="1:20">
      <c r="A2389" s="20">
        <v>202604332481052</v>
      </c>
      <c r="B2389" s="19" t="s">
        <v>20</v>
      </c>
      <c r="C2389" s="19" t="s">
        <v>21</v>
      </c>
      <c r="D2389" s="19" t="s">
        <v>20</v>
      </c>
      <c r="E2389" s="21">
        <v>46235</v>
      </c>
      <c r="F2389" s="21">
        <v>46599</v>
      </c>
      <c r="G2389" s="21"/>
      <c r="H2389" s="21">
        <v>46235</v>
      </c>
      <c r="I2389" s="21">
        <v>46599</v>
      </c>
      <c r="J2389" s="19" t="s">
        <v>2064</v>
      </c>
      <c r="L2389" s="19">
        <v>33.130630250000003</v>
      </c>
      <c r="M2389" s="19">
        <v>33.130630250000003</v>
      </c>
      <c r="N2389" s="19" t="s">
        <v>1475</v>
      </c>
      <c r="O2389" s="20">
        <v>1</v>
      </c>
      <c r="S2389" s="19" t="s">
        <v>20</v>
      </c>
      <c r="T2389" s="19" t="s">
        <v>1471</v>
      </c>
    </row>
    <row r="2390" spans="1:20">
      <c r="A2390" s="20">
        <v>202604332483401</v>
      </c>
      <c r="B2390" s="19" t="s">
        <v>20</v>
      </c>
      <c r="C2390" s="19" t="s">
        <v>21</v>
      </c>
      <c r="D2390" s="19" t="s">
        <v>20</v>
      </c>
      <c r="E2390" s="21">
        <v>46235</v>
      </c>
      <c r="F2390" s="21">
        <v>46599</v>
      </c>
      <c r="G2390" s="21"/>
      <c r="H2390" s="21">
        <v>46235</v>
      </c>
      <c r="I2390" s="21">
        <v>46599</v>
      </c>
      <c r="J2390" s="19" t="s">
        <v>2069</v>
      </c>
      <c r="L2390" s="19">
        <v>33.130630250000003</v>
      </c>
      <c r="M2390" s="19">
        <v>33.130630250000003</v>
      </c>
      <c r="N2390" s="19" t="s">
        <v>1475</v>
      </c>
      <c r="O2390" s="20">
        <v>1</v>
      </c>
      <c r="S2390" s="19" t="s">
        <v>20</v>
      </c>
      <c r="T2390" s="19" t="s">
        <v>1471</v>
      </c>
    </row>
    <row r="2391" spans="1:20">
      <c r="A2391" s="20">
        <v>202604332485828</v>
      </c>
      <c r="B2391" s="19" t="s">
        <v>20</v>
      </c>
      <c r="C2391" s="19" t="s">
        <v>21</v>
      </c>
      <c r="D2391" s="19" t="s">
        <v>20</v>
      </c>
      <c r="E2391" s="21">
        <v>46235</v>
      </c>
      <c r="F2391" s="21">
        <v>46599</v>
      </c>
      <c r="G2391" s="21"/>
      <c r="H2391" s="21">
        <v>46235</v>
      </c>
      <c r="I2391" s="21">
        <v>46599</v>
      </c>
      <c r="J2391" s="19" t="s">
        <v>2068</v>
      </c>
      <c r="L2391" s="19">
        <v>26.258683999999999</v>
      </c>
      <c r="M2391" s="19">
        <v>26.258683999999999</v>
      </c>
      <c r="N2391" s="19" t="s">
        <v>1475</v>
      </c>
      <c r="O2391" s="20">
        <v>1</v>
      </c>
      <c r="S2391" s="19" t="s">
        <v>20</v>
      </c>
      <c r="T2391" s="19" t="s">
        <v>1471</v>
      </c>
    </row>
    <row r="2392" spans="1:20">
      <c r="A2392" s="20">
        <v>202604332486228</v>
      </c>
      <c r="B2392" s="19" t="s">
        <v>20</v>
      </c>
      <c r="C2392" s="19" t="s">
        <v>21</v>
      </c>
      <c r="D2392" s="19" t="s">
        <v>20</v>
      </c>
      <c r="E2392" s="21">
        <v>46235</v>
      </c>
      <c r="F2392" s="21">
        <v>46599</v>
      </c>
      <c r="G2392" s="21"/>
      <c r="H2392" s="21">
        <v>46235</v>
      </c>
      <c r="I2392" s="21">
        <v>46599</v>
      </c>
      <c r="J2392" s="19" t="s">
        <v>2064</v>
      </c>
      <c r="L2392" s="19">
        <v>0</v>
      </c>
      <c r="M2392" s="19">
        <v>0</v>
      </c>
      <c r="N2392" s="19" t="s">
        <v>2394</v>
      </c>
      <c r="O2392" s="20">
        <v>4</v>
      </c>
      <c r="S2392" s="19" t="s">
        <v>20</v>
      </c>
      <c r="T2392" s="19" t="s">
        <v>1471</v>
      </c>
    </row>
    <row r="2393" spans="1:20">
      <c r="A2393" s="20">
        <v>202604332486228</v>
      </c>
      <c r="B2393" s="19" t="s">
        <v>20</v>
      </c>
      <c r="C2393" s="19" t="s">
        <v>21</v>
      </c>
      <c r="D2393" s="19" t="s">
        <v>20</v>
      </c>
      <c r="E2393" s="21">
        <v>46235</v>
      </c>
      <c r="F2393" s="21">
        <v>46599</v>
      </c>
      <c r="G2393" s="21"/>
      <c r="H2393" s="21">
        <v>46235</v>
      </c>
      <c r="I2393" s="21">
        <v>46599</v>
      </c>
      <c r="J2393" s="19" t="s">
        <v>2064</v>
      </c>
      <c r="L2393" s="19">
        <v>132.52252100000001</v>
      </c>
      <c r="M2393" s="19">
        <v>132.52252100000001</v>
      </c>
      <c r="N2393" s="19" t="s">
        <v>1475</v>
      </c>
      <c r="O2393" s="20">
        <v>4</v>
      </c>
      <c r="S2393" s="19" t="s">
        <v>20</v>
      </c>
      <c r="T2393" s="19" t="s">
        <v>1471</v>
      </c>
    </row>
    <row r="2394" spans="1:20">
      <c r="A2394" s="20">
        <v>202604332486825</v>
      </c>
      <c r="B2394" s="19" t="s">
        <v>20</v>
      </c>
      <c r="C2394" s="19" t="s">
        <v>21</v>
      </c>
      <c r="D2394" s="19" t="s">
        <v>20</v>
      </c>
      <c r="E2394" s="21">
        <v>46235</v>
      </c>
      <c r="F2394" s="21">
        <v>46599</v>
      </c>
      <c r="G2394" s="21"/>
      <c r="H2394" s="21">
        <v>46235</v>
      </c>
      <c r="I2394" s="21">
        <v>46599</v>
      </c>
      <c r="J2394" s="19" t="s">
        <v>2074</v>
      </c>
      <c r="L2394" s="19">
        <v>0</v>
      </c>
      <c r="M2394" s="19">
        <v>0</v>
      </c>
      <c r="N2394" s="19" t="s">
        <v>2394</v>
      </c>
      <c r="O2394" s="20">
        <v>4</v>
      </c>
      <c r="S2394" s="19" t="s">
        <v>20</v>
      </c>
      <c r="T2394" s="19" t="s">
        <v>1471</v>
      </c>
    </row>
    <row r="2395" spans="1:20">
      <c r="A2395" s="20">
        <v>202604332486825</v>
      </c>
      <c r="B2395" s="19" t="s">
        <v>20</v>
      </c>
      <c r="C2395" s="19" t="s">
        <v>21</v>
      </c>
      <c r="D2395" s="19" t="s">
        <v>20</v>
      </c>
      <c r="E2395" s="21">
        <v>46235</v>
      </c>
      <c r="F2395" s="21">
        <v>46599</v>
      </c>
      <c r="G2395" s="21"/>
      <c r="H2395" s="21">
        <v>46235</v>
      </c>
      <c r="I2395" s="21">
        <v>46599</v>
      </c>
      <c r="J2395" s="19" t="s">
        <v>2074</v>
      </c>
      <c r="L2395" s="19">
        <v>106.017973</v>
      </c>
      <c r="M2395" s="19">
        <v>106.017973</v>
      </c>
      <c r="N2395" s="19" t="s">
        <v>1475</v>
      </c>
      <c r="O2395" s="20">
        <v>4</v>
      </c>
      <c r="S2395" s="19" t="s">
        <v>20</v>
      </c>
      <c r="T2395" s="19" t="s">
        <v>1471</v>
      </c>
    </row>
    <row r="2396" spans="1:20">
      <c r="A2396" s="20">
        <v>202604332487378</v>
      </c>
      <c r="B2396" s="19" t="s">
        <v>20</v>
      </c>
      <c r="C2396" s="19" t="s">
        <v>21</v>
      </c>
      <c r="D2396" s="19" t="s">
        <v>20</v>
      </c>
      <c r="E2396" s="21">
        <v>46235</v>
      </c>
      <c r="F2396" s="21">
        <v>46599</v>
      </c>
      <c r="G2396" s="21"/>
      <c r="H2396" s="21">
        <v>46235</v>
      </c>
      <c r="I2396" s="21">
        <v>46599</v>
      </c>
      <c r="J2396" s="19" t="s">
        <v>2103</v>
      </c>
      <c r="L2396" s="19">
        <v>0</v>
      </c>
      <c r="M2396" s="19">
        <v>0</v>
      </c>
      <c r="N2396" s="19" t="s">
        <v>2394</v>
      </c>
      <c r="O2396" s="20">
        <v>3</v>
      </c>
      <c r="S2396" s="19" t="s">
        <v>20</v>
      </c>
      <c r="T2396" s="19" t="s">
        <v>1471</v>
      </c>
    </row>
    <row r="2397" spans="1:20">
      <c r="A2397" s="20">
        <v>202604332487378</v>
      </c>
      <c r="B2397" s="19" t="s">
        <v>20</v>
      </c>
      <c r="C2397" s="19" t="s">
        <v>21</v>
      </c>
      <c r="D2397" s="19" t="s">
        <v>20</v>
      </c>
      <c r="E2397" s="21">
        <v>46235</v>
      </c>
      <c r="F2397" s="21">
        <v>46599</v>
      </c>
      <c r="G2397" s="21"/>
      <c r="H2397" s="21">
        <v>46235</v>
      </c>
      <c r="I2397" s="21">
        <v>46599</v>
      </c>
      <c r="J2397" s="19" t="s">
        <v>2103</v>
      </c>
      <c r="L2397" s="19">
        <v>71.904872249999997</v>
      </c>
      <c r="M2397" s="19">
        <v>71.904872249999997</v>
      </c>
      <c r="N2397" s="19" t="s">
        <v>1475</v>
      </c>
      <c r="O2397" s="20">
        <v>3</v>
      </c>
      <c r="S2397" s="19" t="s">
        <v>20</v>
      </c>
      <c r="T2397" s="19" t="s">
        <v>1471</v>
      </c>
    </row>
    <row r="2398" spans="1:20">
      <c r="A2398" s="20">
        <v>202604332487952</v>
      </c>
      <c r="B2398" s="19" t="s">
        <v>20</v>
      </c>
      <c r="C2398" s="19" t="s">
        <v>21</v>
      </c>
      <c r="D2398" s="19" t="s">
        <v>20</v>
      </c>
      <c r="E2398" s="21">
        <v>46235</v>
      </c>
      <c r="F2398" s="21">
        <v>46599</v>
      </c>
      <c r="G2398" s="21"/>
      <c r="H2398" s="21">
        <v>46235</v>
      </c>
      <c r="I2398" s="21">
        <v>46599</v>
      </c>
      <c r="J2398" s="19" t="s">
        <v>2064</v>
      </c>
      <c r="L2398" s="19">
        <v>0</v>
      </c>
      <c r="M2398" s="19">
        <v>0</v>
      </c>
      <c r="N2398" s="19" t="s">
        <v>2394</v>
      </c>
      <c r="O2398" s="20">
        <v>3</v>
      </c>
      <c r="S2398" s="19" t="s">
        <v>20</v>
      </c>
      <c r="T2398" s="19" t="s">
        <v>1471</v>
      </c>
    </row>
    <row r="2399" spans="1:20">
      <c r="A2399" s="20">
        <v>202604332487952</v>
      </c>
      <c r="B2399" s="19" t="s">
        <v>20</v>
      </c>
      <c r="C2399" s="19" t="s">
        <v>21</v>
      </c>
      <c r="D2399" s="19" t="s">
        <v>20</v>
      </c>
      <c r="E2399" s="21">
        <v>46235</v>
      </c>
      <c r="F2399" s="21">
        <v>46599</v>
      </c>
      <c r="G2399" s="21"/>
      <c r="H2399" s="21">
        <v>46235</v>
      </c>
      <c r="I2399" s="21">
        <v>46599</v>
      </c>
      <c r="J2399" s="19" t="s">
        <v>2064</v>
      </c>
      <c r="L2399" s="19">
        <v>99.391890750000002</v>
      </c>
      <c r="M2399" s="19">
        <v>99.391890750000002</v>
      </c>
      <c r="N2399" s="19" t="s">
        <v>1475</v>
      </c>
      <c r="O2399" s="20">
        <v>3</v>
      </c>
      <c r="S2399" s="19" t="s">
        <v>20</v>
      </c>
      <c r="T2399" s="19" t="s">
        <v>1471</v>
      </c>
    </row>
    <row r="2400" spans="1:20">
      <c r="A2400" s="20">
        <v>202604332488828</v>
      </c>
      <c r="B2400" s="19" t="s">
        <v>20</v>
      </c>
      <c r="C2400" s="19" t="s">
        <v>21</v>
      </c>
      <c r="D2400" s="19" t="s">
        <v>2495</v>
      </c>
      <c r="E2400" s="21">
        <v>46235</v>
      </c>
      <c r="F2400" s="21">
        <v>46599</v>
      </c>
      <c r="G2400" s="21"/>
      <c r="H2400" s="21">
        <v>46235</v>
      </c>
      <c r="I2400" s="21">
        <v>46599</v>
      </c>
      <c r="J2400" s="19" t="s">
        <v>2109</v>
      </c>
      <c r="L2400" s="19">
        <v>29.817561749999999</v>
      </c>
      <c r="M2400" s="19">
        <v>29.817561749999999</v>
      </c>
      <c r="N2400" s="19" t="s">
        <v>1467</v>
      </c>
      <c r="O2400" s="20">
        <v>1</v>
      </c>
      <c r="S2400" s="19" t="s">
        <v>20</v>
      </c>
      <c r="T2400" s="19" t="s">
        <v>1471</v>
      </c>
    </row>
    <row r="2401" spans="1:20">
      <c r="A2401" s="20">
        <v>202604332489158</v>
      </c>
      <c r="B2401" s="19" t="s">
        <v>20</v>
      </c>
      <c r="C2401" s="19" t="s">
        <v>21</v>
      </c>
      <c r="D2401" s="19" t="s">
        <v>20</v>
      </c>
      <c r="E2401" s="21">
        <v>46235</v>
      </c>
      <c r="F2401" s="21">
        <v>46599</v>
      </c>
      <c r="G2401" s="21"/>
      <c r="H2401" s="21">
        <v>46235</v>
      </c>
      <c r="I2401" s="21">
        <v>46599</v>
      </c>
      <c r="J2401" s="19" t="s">
        <v>2064</v>
      </c>
      <c r="L2401" s="19">
        <v>33.130630250000003</v>
      </c>
      <c r="M2401" s="19">
        <v>33.130630250000003</v>
      </c>
      <c r="N2401" s="19" t="s">
        <v>1475</v>
      </c>
      <c r="O2401" s="20">
        <v>1</v>
      </c>
      <c r="S2401" s="19" t="s">
        <v>20</v>
      </c>
      <c r="T2401" s="19" t="s">
        <v>1471</v>
      </c>
    </row>
    <row r="2402" spans="1:20">
      <c r="A2402" s="20">
        <v>202604332489415</v>
      </c>
      <c r="B2402" s="19" t="s">
        <v>20</v>
      </c>
      <c r="C2402" s="19" t="s">
        <v>21</v>
      </c>
      <c r="D2402" s="19" t="s">
        <v>20</v>
      </c>
      <c r="E2402" s="21">
        <v>46235</v>
      </c>
      <c r="F2402" s="21">
        <v>46599</v>
      </c>
      <c r="G2402" s="21"/>
      <c r="H2402" s="21">
        <v>46235</v>
      </c>
      <c r="I2402" s="21">
        <v>46599</v>
      </c>
      <c r="J2402" s="19" t="s">
        <v>2087</v>
      </c>
      <c r="L2402" s="19">
        <v>0</v>
      </c>
      <c r="M2402" s="19">
        <v>0</v>
      </c>
      <c r="N2402" s="19" t="s">
        <v>2394</v>
      </c>
      <c r="O2402" s="20">
        <v>3</v>
      </c>
      <c r="S2402" s="19" t="s">
        <v>20</v>
      </c>
      <c r="T2402" s="19" t="s">
        <v>1471</v>
      </c>
    </row>
    <row r="2403" spans="1:20">
      <c r="A2403" s="20">
        <v>202604332489415</v>
      </c>
      <c r="B2403" s="19" t="s">
        <v>20</v>
      </c>
      <c r="C2403" s="19" t="s">
        <v>21</v>
      </c>
      <c r="D2403" s="19" t="s">
        <v>20</v>
      </c>
      <c r="E2403" s="21">
        <v>46235</v>
      </c>
      <c r="F2403" s="21">
        <v>46599</v>
      </c>
      <c r="G2403" s="21"/>
      <c r="H2403" s="21">
        <v>46235</v>
      </c>
      <c r="I2403" s="21">
        <v>46599</v>
      </c>
      <c r="J2403" s="19" t="s">
        <v>2087</v>
      </c>
      <c r="L2403" s="19">
        <v>99.391890750000002</v>
      </c>
      <c r="M2403" s="19">
        <v>99.391890750000002</v>
      </c>
      <c r="N2403" s="19" t="s">
        <v>1475</v>
      </c>
      <c r="O2403" s="20">
        <v>3</v>
      </c>
      <c r="S2403" s="19" t="s">
        <v>20</v>
      </c>
      <c r="T2403" s="19" t="s">
        <v>1471</v>
      </c>
    </row>
    <row r="2404" spans="1:20">
      <c r="A2404" s="20">
        <v>202604332490145</v>
      </c>
      <c r="B2404" s="19" t="s">
        <v>20</v>
      </c>
      <c r="C2404" s="19" t="s">
        <v>21</v>
      </c>
      <c r="D2404" s="19" t="s">
        <v>20</v>
      </c>
      <c r="E2404" s="21">
        <v>46235</v>
      </c>
      <c r="F2404" s="21">
        <v>46599</v>
      </c>
      <c r="G2404" s="21"/>
      <c r="H2404" s="21">
        <v>46235</v>
      </c>
      <c r="I2404" s="21">
        <v>46599</v>
      </c>
      <c r="J2404" s="19" t="s">
        <v>2086</v>
      </c>
      <c r="L2404" s="19">
        <v>0</v>
      </c>
      <c r="M2404" s="19">
        <v>0</v>
      </c>
      <c r="N2404" s="19" t="s">
        <v>2394</v>
      </c>
      <c r="O2404" s="20">
        <v>2</v>
      </c>
      <c r="S2404" s="19" t="s">
        <v>20</v>
      </c>
      <c r="T2404" s="19" t="s">
        <v>1471</v>
      </c>
    </row>
    <row r="2405" spans="1:20">
      <c r="A2405" s="20">
        <v>202604332490145</v>
      </c>
      <c r="B2405" s="19" t="s">
        <v>20</v>
      </c>
      <c r="C2405" s="19" t="s">
        <v>21</v>
      </c>
      <c r="D2405" s="19" t="s">
        <v>20</v>
      </c>
      <c r="E2405" s="21">
        <v>46235</v>
      </c>
      <c r="F2405" s="21">
        <v>46599</v>
      </c>
      <c r="G2405" s="21"/>
      <c r="H2405" s="21">
        <v>46235</v>
      </c>
      <c r="I2405" s="21">
        <v>46599</v>
      </c>
      <c r="J2405" s="19" t="s">
        <v>2086</v>
      </c>
      <c r="L2405" s="19">
        <v>66.261260500000006</v>
      </c>
      <c r="M2405" s="19">
        <v>66.261260500000006</v>
      </c>
      <c r="N2405" s="19" t="s">
        <v>1475</v>
      </c>
      <c r="O2405" s="20">
        <v>2</v>
      </c>
      <c r="S2405" s="19" t="s">
        <v>20</v>
      </c>
      <c r="T2405" s="19" t="s">
        <v>1471</v>
      </c>
    </row>
    <row r="2406" spans="1:20">
      <c r="A2406" s="20">
        <v>202604332490236</v>
      </c>
      <c r="B2406" s="19" t="s">
        <v>20</v>
      </c>
      <c r="C2406" s="19" t="s">
        <v>21</v>
      </c>
      <c r="D2406" s="19" t="s">
        <v>20</v>
      </c>
      <c r="E2406" s="21">
        <v>46235</v>
      </c>
      <c r="F2406" s="21">
        <v>46599</v>
      </c>
      <c r="G2406" s="21"/>
      <c r="H2406" s="21">
        <v>46235</v>
      </c>
      <c r="I2406" s="21">
        <v>46599</v>
      </c>
      <c r="J2406" s="19" t="s">
        <v>2064</v>
      </c>
      <c r="L2406" s="19">
        <v>0</v>
      </c>
      <c r="M2406" s="19">
        <v>0</v>
      </c>
      <c r="N2406" s="19" t="s">
        <v>2394</v>
      </c>
      <c r="O2406" s="20">
        <v>2</v>
      </c>
      <c r="S2406" s="19" t="s">
        <v>20</v>
      </c>
      <c r="T2406" s="19" t="s">
        <v>1471</v>
      </c>
    </row>
    <row r="2407" spans="1:20">
      <c r="A2407" s="20">
        <v>202604332490236</v>
      </c>
      <c r="B2407" s="19" t="s">
        <v>20</v>
      </c>
      <c r="C2407" s="19" t="s">
        <v>21</v>
      </c>
      <c r="D2407" s="19" t="s">
        <v>20</v>
      </c>
      <c r="E2407" s="21">
        <v>46235</v>
      </c>
      <c r="F2407" s="21">
        <v>46599</v>
      </c>
      <c r="G2407" s="21"/>
      <c r="H2407" s="21">
        <v>46235</v>
      </c>
      <c r="I2407" s="21">
        <v>46599</v>
      </c>
      <c r="J2407" s="19" t="s">
        <v>2064</v>
      </c>
      <c r="L2407" s="19">
        <v>66.261260500000006</v>
      </c>
      <c r="M2407" s="19">
        <v>66.261260500000006</v>
      </c>
      <c r="N2407" s="19" t="s">
        <v>1475</v>
      </c>
      <c r="O2407" s="20">
        <v>2</v>
      </c>
      <c r="S2407" s="19" t="s">
        <v>20</v>
      </c>
      <c r="T2407" s="19" t="s">
        <v>1471</v>
      </c>
    </row>
    <row r="2408" spans="1:20">
      <c r="A2408" s="20">
        <v>202604332490914</v>
      </c>
      <c r="B2408" s="19" t="s">
        <v>20</v>
      </c>
      <c r="C2408" s="19" t="s">
        <v>21</v>
      </c>
      <c r="D2408" s="19" t="s">
        <v>20</v>
      </c>
      <c r="E2408" s="21">
        <v>46235</v>
      </c>
      <c r="F2408" s="21">
        <v>46599</v>
      </c>
      <c r="G2408" s="21"/>
      <c r="H2408" s="21">
        <v>46235</v>
      </c>
      <c r="I2408" s="21">
        <v>46599</v>
      </c>
      <c r="J2408" s="19" t="s">
        <v>2066</v>
      </c>
      <c r="L2408" s="19">
        <v>0</v>
      </c>
      <c r="M2408" s="19">
        <v>0</v>
      </c>
      <c r="N2408" s="19" t="s">
        <v>2394</v>
      </c>
      <c r="O2408" s="20">
        <v>4</v>
      </c>
      <c r="S2408" s="19" t="s">
        <v>20</v>
      </c>
      <c r="T2408" s="19" t="s">
        <v>1471</v>
      </c>
    </row>
    <row r="2409" spans="1:20">
      <c r="A2409" s="20">
        <v>202604332490914</v>
      </c>
      <c r="B2409" s="19" t="s">
        <v>20</v>
      </c>
      <c r="C2409" s="19" t="s">
        <v>21</v>
      </c>
      <c r="D2409" s="19" t="s">
        <v>2494</v>
      </c>
      <c r="E2409" s="21">
        <v>46235</v>
      </c>
      <c r="F2409" s="21">
        <v>46599</v>
      </c>
      <c r="G2409" s="21"/>
      <c r="H2409" s="21">
        <v>46235</v>
      </c>
      <c r="I2409" s="21">
        <v>46599</v>
      </c>
      <c r="J2409" s="19" t="s">
        <v>2066</v>
      </c>
      <c r="L2409" s="19">
        <v>132.52252100000001</v>
      </c>
      <c r="M2409" s="19">
        <v>132.52252100000001</v>
      </c>
      <c r="N2409" s="19" t="s">
        <v>1467</v>
      </c>
      <c r="O2409" s="20">
        <v>4</v>
      </c>
      <c r="S2409" s="19" t="s">
        <v>20</v>
      </c>
      <c r="T2409" s="19" t="s">
        <v>1471</v>
      </c>
    </row>
    <row r="2410" spans="1:20">
      <c r="A2410" s="20">
        <v>202604332493626</v>
      </c>
      <c r="B2410" s="19" t="s">
        <v>20</v>
      </c>
      <c r="C2410" s="19" t="s">
        <v>21</v>
      </c>
      <c r="D2410" s="19" t="s">
        <v>20</v>
      </c>
      <c r="E2410" s="21">
        <v>46235</v>
      </c>
      <c r="F2410" s="21">
        <v>46599</v>
      </c>
      <c r="G2410" s="21"/>
      <c r="H2410" s="21">
        <v>46235</v>
      </c>
      <c r="I2410" s="21">
        <v>46599</v>
      </c>
      <c r="J2410" s="19" t="s">
        <v>2107</v>
      </c>
      <c r="L2410" s="19">
        <v>59.635123499999999</v>
      </c>
      <c r="M2410" s="19">
        <v>59.635123499999999</v>
      </c>
      <c r="N2410" s="19" t="s">
        <v>1475</v>
      </c>
      <c r="O2410" s="20">
        <v>2</v>
      </c>
      <c r="S2410" s="19" t="s">
        <v>20</v>
      </c>
      <c r="T2410" s="19" t="s">
        <v>1471</v>
      </c>
    </row>
    <row r="2411" spans="1:20">
      <c r="A2411" s="20">
        <v>202604332494236</v>
      </c>
      <c r="B2411" s="19" t="s">
        <v>20</v>
      </c>
      <c r="C2411" s="19" t="s">
        <v>21</v>
      </c>
      <c r="D2411" s="19" t="s">
        <v>20</v>
      </c>
      <c r="E2411" s="21">
        <v>46235</v>
      </c>
      <c r="F2411" s="21">
        <v>46599</v>
      </c>
      <c r="G2411" s="21"/>
      <c r="H2411" s="21">
        <v>46235</v>
      </c>
      <c r="I2411" s="21">
        <v>46599</v>
      </c>
      <c r="J2411" s="19" t="s">
        <v>2103</v>
      </c>
      <c r="L2411" s="19">
        <v>47.936581500000003</v>
      </c>
      <c r="M2411" s="19">
        <v>47.936581500000003</v>
      </c>
      <c r="N2411" s="19" t="s">
        <v>1475</v>
      </c>
      <c r="O2411" s="20">
        <v>2</v>
      </c>
      <c r="S2411" s="19" t="s">
        <v>20</v>
      </c>
      <c r="T2411" s="19" t="s">
        <v>1471</v>
      </c>
    </row>
    <row r="2412" spans="1:20">
      <c r="A2412" s="20">
        <v>202604332494673</v>
      </c>
      <c r="B2412" s="19" t="s">
        <v>20</v>
      </c>
      <c r="C2412" s="19" t="s">
        <v>21</v>
      </c>
      <c r="D2412" s="19" t="s">
        <v>20</v>
      </c>
      <c r="E2412" s="21">
        <v>46235</v>
      </c>
      <c r="F2412" s="21">
        <v>46599</v>
      </c>
      <c r="G2412" s="21"/>
      <c r="H2412" s="21">
        <v>46235</v>
      </c>
      <c r="I2412" s="21">
        <v>46599</v>
      </c>
      <c r="J2412" s="19" t="s">
        <v>2064</v>
      </c>
      <c r="L2412" s="19">
        <v>0</v>
      </c>
      <c r="M2412" s="19">
        <v>0</v>
      </c>
      <c r="N2412" s="19" t="s">
        <v>2394</v>
      </c>
      <c r="O2412" s="20">
        <v>6</v>
      </c>
      <c r="S2412" s="19" t="s">
        <v>20</v>
      </c>
      <c r="T2412" s="19" t="s">
        <v>1471</v>
      </c>
    </row>
    <row r="2413" spans="1:20">
      <c r="A2413" s="20">
        <v>202604332494673</v>
      </c>
      <c r="B2413" s="19" t="s">
        <v>20</v>
      </c>
      <c r="C2413" s="19" t="s">
        <v>21</v>
      </c>
      <c r="D2413" s="19" t="s">
        <v>20</v>
      </c>
      <c r="E2413" s="21">
        <v>46235</v>
      </c>
      <c r="F2413" s="21">
        <v>46599</v>
      </c>
      <c r="G2413" s="21"/>
      <c r="H2413" s="21">
        <v>46235</v>
      </c>
      <c r="I2413" s="21">
        <v>46599</v>
      </c>
      <c r="J2413" s="19" t="s">
        <v>2064</v>
      </c>
      <c r="L2413" s="19">
        <v>198.7837815</v>
      </c>
      <c r="M2413" s="19">
        <v>198.7837815</v>
      </c>
      <c r="N2413" s="19" t="s">
        <v>1475</v>
      </c>
      <c r="O2413" s="20">
        <v>6</v>
      </c>
      <c r="S2413" s="19" t="s">
        <v>20</v>
      </c>
      <c r="T2413" s="19" t="s">
        <v>1471</v>
      </c>
    </row>
    <row r="2414" spans="1:20">
      <c r="A2414" s="20">
        <v>202604332495805</v>
      </c>
      <c r="B2414" s="19" t="s">
        <v>20</v>
      </c>
      <c r="C2414" s="19" t="s">
        <v>21</v>
      </c>
      <c r="D2414" s="19" t="s">
        <v>20</v>
      </c>
      <c r="E2414" s="21">
        <v>46235</v>
      </c>
      <c r="F2414" s="21">
        <v>46599</v>
      </c>
      <c r="G2414" s="21"/>
      <c r="H2414" s="21">
        <v>46235</v>
      </c>
      <c r="I2414" s="21">
        <v>46599</v>
      </c>
      <c r="J2414" s="19" t="s">
        <v>2243</v>
      </c>
      <c r="L2414" s="19">
        <v>0</v>
      </c>
      <c r="M2414" s="19">
        <v>0</v>
      </c>
      <c r="N2414" s="19" t="s">
        <v>2394</v>
      </c>
      <c r="O2414" s="20">
        <v>4</v>
      </c>
      <c r="S2414" s="19" t="s">
        <v>20</v>
      </c>
      <c r="T2414" s="19" t="s">
        <v>1471</v>
      </c>
    </row>
    <row r="2415" spans="1:20">
      <c r="A2415" s="20">
        <v>202604332495805</v>
      </c>
      <c r="B2415" s="19" t="s">
        <v>20</v>
      </c>
      <c r="C2415" s="19" t="s">
        <v>21</v>
      </c>
      <c r="D2415" s="19" t="s">
        <v>2493</v>
      </c>
      <c r="E2415" s="21">
        <v>46235</v>
      </c>
      <c r="F2415" s="21">
        <v>46599</v>
      </c>
      <c r="G2415" s="21"/>
      <c r="H2415" s="21">
        <v>46235</v>
      </c>
      <c r="I2415" s="21">
        <v>46599</v>
      </c>
      <c r="J2415" s="19" t="s">
        <v>2243</v>
      </c>
      <c r="L2415" s="19">
        <v>66.908733999999995</v>
      </c>
      <c r="M2415" s="19">
        <v>66.908733999999995</v>
      </c>
      <c r="N2415" s="19" t="s">
        <v>1467</v>
      </c>
      <c r="O2415" s="20">
        <v>4</v>
      </c>
      <c r="S2415" s="19" t="s">
        <v>20</v>
      </c>
      <c r="T2415" s="19" t="s">
        <v>1471</v>
      </c>
    </row>
    <row r="2416" spans="1:20">
      <c r="A2416" s="20">
        <v>202604332495851</v>
      </c>
      <c r="B2416" s="19" t="s">
        <v>20</v>
      </c>
      <c r="C2416" s="19" t="s">
        <v>21</v>
      </c>
      <c r="D2416" s="19" t="s">
        <v>20</v>
      </c>
      <c r="E2416" s="21">
        <v>46235</v>
      </c>
      <c r="F2416" s="21">
        <v>46599</v>
      </c>
      <c r="G2416" s="21"/>
      <c r="H2416" s="21">
        <v>46235</v>
      </c>
      <c r="I2416" s="21">
        <v>46599</v>
      </c>
      <c r="J2416" s="19" t="s">
        <v>2068</v>
      </c>
      <c r="L2416" s="19">
        <v>0</v>
      </c>
      <c r="M2416" s="19">
        <v>0</v>
      </c>
      <c r="N2416" s="19" t="s">
        <v>2394</v>
      </c>
      <c r="O2416" s="20">
        <v>3</v>
      </c>
      <c r="S2416" s="19" t="s">
        <v>20</v>
      </c>
      <c r="T2416" s="19" t="s">
        <v>1471</v>
      </c>
    </row>
    <row r="2417" spans="1:20">
      <c r="A2417" s="20">
        <v>202604332495851</v>
      </c>
      <c r="B2417" s="19" t="s">
        <v>20</v>
      </c>
      <c r="C2417" s="19" t="s">
        <v>21</v>
      </c>
      <c r="D2417" s="19" t="s">
        <v>20</v>
      </c>
      <c r="E2417" s="21">
        <v>46235</v>
      </c>
      <c r="F2417" s="21">
        <v>46599</v>
      </c>
      <c r="G2417" s="21"/>
      <c r="H2417" s="21">
        <v>46235</v>
      </c>
      <c r="I2417" s="21">
        <v>46599</v>
      </c>
      <c r="J2417" s="19" t="s">
        <v>2068</v>
      </c>
      <c r="L2417" s="19">
        <v>78.776052000000007</v>
      </c>
      <c r="M2417" s="19">
        <v>78.776052000000007</v>
      </c>
      <c r="N2417" s="19" t="s">
        <v>1475</v>
      </c>
      <c r="O2417" s="20">
        <v>3</v>
      </c>
      <c r="S2417" s="19" t="s">
        <v>20</v>
      </c>
      <c r="T2417" s="19" t="s">
        <v>1471</v>
      </c>
    </row>
    <row r="2418" spans="1:20">
      <c r="A2418" s="20">
        <v>202604332495881</v>
      </c>
      <c r="B2418" s="19" t="s">
        <v>20</v>
      </c>
      <c r="C2418" s="19" t="s">
        <v>21</v>
      </c>
      <c r="D2418" s="19" t="s">
        <v>20</v>
      </c>
      <c r="E2418" s="21">
        <v>46235</v>
      </c>
      <c r="F2418" s="21">
        <v>46599</v>
      </c>
      <c r="G2418" s="21"/>
      <c r="H2418" s="21">
        <v>46235</v>
      </c>
      <c r="I2418" s="21">
        <v>46599</v>
      </c>
      <c r="J2418" s="19" t="s">
        <v>2068</v>
      </c>
      <c r="L2418" s="19">
        <v>105.034736</v>
      </c>
      <c r="M2418" s="19">
        <v>105.034736</v>
      </c>
      <c r="N2418" s="19" t="s">
        <v>1475</v>
      </c>
      <c r="O2418" s="20">
        <v>4</v>
      </c>
      <c r="S2418" s="19" t="s">
        <v>20</v>
      </c>
      <c r="T2418" s="19" t="s">
        <v>1471</v>
      </c>
    </row>
    <row r="2419" spans="1:20">
      <c r="A2419" s="20">
        <v>202604332496100</v>
      </c>
      <c r="B2419" s="19" t="s">
        <v>20</v>
      </c>
      <c r="C2419" s="19" t="s">
        <v>21</v>
      </c>
      <c r="D2419" s="19" t="s">
        <v>20</v>
      </c>
      <c r="E2419" s="21">
        <v>46235</v>
      </c>
      <c r="F2419" s="21">
        <v>46599</v>
      </c>
      <c r="G2419" s="21"/>
      <c r="H2419" s="21">
        <v>46235</v>
      </c>
      <c r="I2419" s="21">
        <v>46599</v>
      </c>
      <c r="J2419" s="19" t="s">
        <v>2285</v>
      </c>
      <c r="L2419" s="19">
        <v>0</v>
      </c>
      <c r="M2419" s="19">
        <v>0</v>
      </c>
      <c r="N2419" s="19" t="s">
        <v>2394</v>
      </c>
      <c r="O2419" s="20">
        <v>4</v>
      </c>
      <c r="S2419" s="19" t="s">
        <v>20</v>
      </c>
      <c r="T2419" s="19" t="s">
        <v>1471</v>
      </c>
    </row>
    <row r="2420" spans="1:20">
      <c r="A2420" s="20">
        <v>202604332496100</v>
      </c>
      <c r="B2420" s="19" t="s">
        <v>20</v>
      </c>
      <c r="C2420" s="19" t="s">
        <v>21</v>
      </c>
      <c r="D2420" s="19" t="s">
        <v>20</v>
      </c>
      <c r="E2420" s="21">
        <v>46235</v>
      </c>
      <c r="F2420" s="21">
        <v>46599</v>
      </c>
      <c r="G2420" s="21"/>
      <c r="H2420" s="21">
        <v>46235</v>
      </c>
      <c r="I2420" s="21">
        <v>46599</v>
      </c>
      <c r="J2420" s="19" t="s">
        <v>2285</v>
      </c>
      <c r="L2420" s="19">
        <v>55.544969999999999</v>
      </c>
      <c r="M2420" s="19">
        <v>55.544969999999999</v>
      </c>
      <c r="N2420" s="19" t="s">
        <v>1475</v>
      </c>
      <c r="O2420" s="20">
        <v>4</v>
      </c>
      <c r="S2420" s="19" t="s">
        <v>20</v>
      </c>
      <c r="T2420" s="19" t="s">
        <v>1471</v>
      </c>
    </row>
    <row r="2421" spans="1:20">
      <c r="A2421" s="20">
        <v>202604332496803</v>
      </c>
      <c r="B2421" s="19" t="s">
        <v>20</v>
      </c>
      <c r="C2421" s="19" t="s">
        <v>21</v>
      </c>
      <c r="D2421" s="19" t="s">
        <v>20</v>
      </c>
      <c r="E2421" s="21">
        <v>46235</v>
      </c>
      <c r="F2421" s="21">
        <v>46599</v>
      </c>
      <c r="G2421" s="21"/>
      <c r="H2421" s="21">
        <v>46235</v>
      </c>
      <c r="I2421" s="21">
        <v>46599</v>
      </c>
      <c r="J2421" s="19" t="s">
        <v>2064</v>
      </c>
      <c r="L2421" s="19">
        <v>0</v>
      </c>
      <c r="M2421" s="19">
        <v>0</v>
      </c>
      <c r="N2421" s="19" t="s">
        <v>2394</v>
      </c>
      <c r="O2421" s="20">
        <v>2</v>
      </c>
      <c r="S2421" s="19" t="s">
        <v>20</v>
      </c>
      <c r="T2421" s="19" t="s">
        <v>1471</v>
      </c>
    </row>
    <row r="2422" spans="1:20">
      <c r="A2422" s="20">
        <v>202604332496803</v>
      </c>
      <c r="B2422" s="19" t="s">
        <v>20</v>
      </c>
      <c r="C2422" s="19" t="s">
        <v>21</v>
      </c>
      <c r="D2422" s="19" t="s">
        <v>20</v>
      </c>
      <c r="E2422" s="21">
        <v>46235</v>
      </c>
      <c r="F2422" s="21">
        <v>46599</v>
      </c>
      <c r="G2422" s="21"/>
      <c r="H2422" s="21">
        <v>46235</v>
      </c>
      <c r="I2422" s="21">
        <v>46599</v>
      </c>
      <c r="J2422" s="19" t="s">
        <v>2064</v>
      </c>
      <c r="L2422" s="19">
        <v>66.261260500000006</v>
      </c>
      <c r="M2422" s="19">
        <v>66.261260500000006</v>
      </c>
      <c r="N2422" s="19" t="s">
        <v>1475</v>
      </c>
      <c r="O2422" s="20">
        <v>2</v>
      </c>
      <c r="S2422" s="19" t="s">
        <v>20</v>
      </c>
      <c r="T2422" s="19" t="s">
        <v>1471</v>
      </c>
    </row>
    <row r="2423" spans="1:20">
      <c r="A2423" s="20">
        <v>202604332497264</v>
      </c>
      <c r="B2423" s="19" t="s">
        <v>20</v>
      </c>
      <c r="C2423" s="19" t="s">
        <v>21</v>
      </c>
      <c r="D2423" s="19" t="s">
        <v>20</v>
      </c>
      <c r="E2423" s="21">
        <v>46235</v>
      </c>
      <c r="F2423" s="21">
        <v>46599</v>
      </c>
      <c r="G2423" s="21"/>
      <c r="H2423" s="21">
        <v>46235</v>
      </c>
      <c r="I2423" s="21">
        <v>46599</v>
      </c>
      <c r="J2423" s="19" t="s">
        <v>2092</v>
      </c>
      <c r="L2423" s="19">
        <v>38.659559000000002</v>
      </c>
      <c r="M2423" s="19">
        <v>38.659559000000002</v>
      </c>
      <c r="N2423" s="19" t="s">
        <v>1475</v>
      </c>
      <c r="O2423" s="20">
        <v>1</v>
      </c>
      <c r="S2423" s="19" t="s">
        <v>20</v>
      </c>
      <c r="T2423" s="19" t="s">
        <v>1471</v>
      </c>
    </row>
    <row r="2424" spans="1:20">
      <c r="A2424" s="20">
        <v>202604332497651</v>
      </c>
      <c r="B2424" s="19" t="s">
        <v>20</v>
      </c>
      <c r="C2424" s="19" t="s">
        <v>21</v>
      </c>
      <c r="D2424" s="19" t="s">
        <v>20</v>
      </c>
      <c r="E2424" s="21">
        <v>46235</v>
      </c>
      <c r="F2424" s="21">
        <v>46599</v>
      </c>
      <c r="G2424" s="21"/>
      <c r="H2424" s="21">
        <v>46235</v>
      </c>
      <c r="I2424" s="21">
        <v>46599</v>
      </c>
      <c r="J2424" s="19" t="s">
        <v>2114</v>
      </c>
      <c r="L2424" s="19">
        <v>0</v>
      </c>
      <c r="M2424" s="19">
        <v>0</v>
      </c>
      <c r="N2424" s="19" t="s">
        <v>2394</v>
      </c>
      <c r="O2424" s="20">
        <v>3</v>
      </c>
      <c r="S2424" s="19" t="s">
        <v>20</v>
      </c>
      <c r="T2424" s="19" t="s">
        <v>1471</v>
      </c>
    </row>
    <row r="2425" spans="1:20">
      <c r="A2425" s="20">
        <v>202604332497651</v>
      </c>
      <c r="B2425" s="19" t="s">
        <v>20</v>
      </c>
      <c r="C2425" s="19" t="s">
        <v>21</v>
      </c>
      <c r="D2425" s="19" t="s">
        <v>20</v>
      </c>
      <c r="E2425" s="21">
        <v>46235</v>
      </c>
      <c r="F2425" s="21">
        <v>46599</v>
      </c>
      <c r="G2425" s="21"/>
      <c r="H2425" s="21">
        <v>46235</v>
      </c>
      <c r="I2425" s="21">
        <v>46599</v>
      </c>
      <c r="J2425" s="19" t="s">
        <v>2114</v>
      </c>
      <c r="L2425" s="19">
        <v>99.391890750000002</v>
      </c>
      <c r="M2425" s="19">
        <v>99.391890750000002</v>
      </c>
      <c r="N2425" s="19" t="s">
        <v>1475</v>
      </c>
      <c r="O2425" s="20">
        <v>3</v>
      </c>
      <c r="S2425" s="19" t="s">
        <v>20</v>
      </c>
      <c r="T2425" s="19" t="s">
        <v>1471</v>
      </c>
    </row>
    <row r="2426" spans="1:20">
      <c r="A2426" s="20">
        <v>202604332498457</v>
      </c>
      <c r="B2426" s="19" t="s">
        <v>20</v>
      </c>
      <c r="C2426" s="19" t="s">
        <v>21</v>
      </c>
      <c r="D2426" s="19" t="s">
        <v>20</v>
      </c>
      <c r="E2426" s="21">
        <v>46235</v>
      </c>
      <c r="F2426" s="21">
        <v>46599</v>
      </c>
      <c r="G2426" s="21"/>
      <c r="H2426" s="21">
        <v>46235</v>
      </c>
      <c r="I2426" s="21">
        <v>46599</v>
      </c>
      <c r="J2426" s="19" t="s">
        <v>2068</v>
      </c>
      <c r="L2426" s="19">
        <v>26.258683999999999</v>
      </c>
      <c r="M2426" s="19">
        <v>26.258683999999999</v>
      </c>
      <c r="N2426" s="19" t="s">
        <v>1475</v>
      </c>
      <c r="O2426" s="20">
        <v>1</v>
      </c>
      <c r="S2426" s="19" t="s">
        <v>20</v>
      </c>
      <c r="T2426" s="19" t="s">
        <v>1471</v>
      </c>
    </row>
    <row r="2427" spans="1:20">
      <c r="A2427" s="20">
        <v>202604332498911</v>
      </c>
      <c r="B2427" s="19" t="s">
        <v>20</v>
      </c>
      <c r="C2427" s="19" t="s">
        <v>21</v>
      </c>
      <c r="D2427" s="19" t="s">
        <v>20</v>
      </c>
      <c r="E2427" s="21">
        <v>46235</v>
      </c>
      <c r="F2427" s="21">
        <v>46599</v>
      </c>
      <c r="G2427" s="21"/>
      <c r="H2427" s="21">
        <v>46235</v>
      </c>
      <c r="I2427" s="21">
        <v>46599</v>
      </c>
      <c r="J2427" s="19" t="s">
        <v>2087</v>
      </c>
      <c r="L2427" s="19">
        <v>33.130630250000003</v>
      </c>
      <c r="M2427" s="19">
        <v>33.130630250000003</v>
      </c>
      <c r="N2427" s="19" t="s">
        <v>1475</v>
      </c>
      <c r="O2427" s="20">
        <v>1</v>
      </c>
      <c r="S2427" s="19" t="s">
        <v>20</v>
      </c>
      <c r="T2427" s="19" t="s">
        <v>1471</v>
      </c>
    </row>
    <row r="2428" spans="1:20">
      <c r="A2428" s="20">
        <v>202604332499575</v>
      </c>
      <c r="B2428" s="19" t="s">
        <v>20</v>
      </c>
      <c r="C2428" s="19" t="s">
        <v>21</v>
      </c>
      <c r="D2428" s="19" t="s">
        <v>20</v>
      </c>
      <c r="E2428" s="21">
        <v>46235</v>
      </c>
      <c r="F2428" s="21">
        <v>46599</v>
      </c>
      <c r="G2428" s="21"/>
      <c r="H2428" s="21">
        <v>46235</v>
      </c>
      <c r="I2428" s="21">
        <v>46599</v>
      </c>
      <c r="J2428" s="19" t="s">
        <v>2093</v>
      </c>
      <c r="L2428" s="19">
        <v>0</v>
      </c>
      <c r="M2428" s="19">
        <v>0</v>
      </c>
      <c r="N2428" s="19" t="s">
        <v>2394</v>
      </c>
      <c r="O2428" s="20">
        <v>3</v>
      </c>
      <c r="S2428" s="19" t="s">
        <v>20</v>
      </c>
      <c r="T2428" s="19" t="s">
        <v>1471</v>
      </c>
    </row>
    <row r="2429" spans="1:20">
      <c r="A2429" s="20">
        <v>202604332499575</v>
      </c>
      <c r="B2429" s="19" t="s">
        <v>20</v>
      </c>
      <c r="C2429" s="19" t="s">
        <v>21</v>
      </c>
      <c r="D2429" s="19" t="s">
        <v>20</v>
      </c>
      <c r="E2429" s="21">
        <v>46235</v>
      </c>
      <c r="F2429" s="21">
        <v>46599</v>
      </c>
      <c r="G2429" s="21"/>
      <c r="H2429" s="21">
        <v>46235</v>
      </c>
      <c r="I2429" s="21">
        <v>46599</v>
      </c>
      <c r="J2429" s="19" t="s">
        <v>2093</v>
      </c>
      <c r="L2429" s="19">
        <v>86.328102749999999</v>
      </c>
      <c r="M2429" s="19">
        <v>86.328102749999999</v>
      </c>
      <c r="N2429" s="19" t="s">
        <v>1475</v>
      </c>
      <c r="O2429" s="20">
        <v>3</v>
      </c>
      <c r="S2429" s="19" t="s">
        <v>20</v>
      </c>
      <c r="T2429" s="19" t="s">
        <v>1471</v>
      </c>
    </row>
    <row r="2430" spans="1:20">
      <c r="A2430" s="20">
        <v>202604332499792</v>
      </c>
      <c r="B2430" s="19" t="s">
        <v>20</v>
      </c>
      <c r="C2430" s="19" t="s">
        <v>21</v>
      </c>
      <c r="D2430" s="19" t="s">
        <v>20</v>
      </c>
      <c r="E2430" s="21">
        <v>46235</v>
      </c>
      <c r="F2430" s="21">
        <v>46599</v>
      </c>
      <c r="G2430" s="21"/>
      <c r="H2430" s="21">
        <v>46235</v>
      </c>
      <c r="I2430" s="21">
        <v>46599</v>
      </c>
      <c r="J2430" s="19" t="s">
        <v>2068</v>
      </c>
      <c r="L2430" s="19">
        <v>26.258683999999999</v>
      </c>
      <c r="M2430" s="19">
        <v>26.258683999999999</v>
      </c>
      <c r="N2430" s="19" t="s">
        <v>1475</v>
      </c>
      <c r="O2430" s="20">
        <v>1</v>
      </c>
      <c r="S2430" s="19" t="s">
        <v>20</v>
      </c>
      <c r="T2430" s="19" t="s">
        <v>1471</v>
      </c>
    </row>
    <row r="2431" spans="1:20">
      <c r="A2431" s="20">
        <v>202604332500197</v>
      </c>
      <c r="B2431" s="19" t="s">
        <v>20</v>
      </c>
      <c r="C2431" s="19" t="s">
        <v>21</v>
      </c>
      <c r="D2431" s="19" t="s">
        <v>20</v>
      </c>
      <c r="E2431" s="21">
        <v>46235</v>
      </c>
      <c r="F2431" s="21">
        <v>46599</v>
      </c>
      <c r="G2431" s="21"/>
      <c r="H2431" s="21">
        <v>46235</v>
      </c>
      <c r="I2431" s="21">
        <v>46599</v>
      </c>
      <c r="J2431" s="19" t="s">
        <v>2104</v>
      </c>
      <c r="L2431" s="19">
        <v>33.130630250000003</v>
      </c>
      <c r="M2431" s="19">
        <v>33.130630250000003</v>
      </c>
      <c r="N2431" s="19" t="s">
        <v>1475</v>
      </c>
      <c r="O2431" s="20">
        <v>1</v>
      </c>
      <c r="S2431" s="19" t="s">
        <v>20</v>
      </c>
      <c r="T2431" s="19" t="s">
        <v>1471</v>
      </c>
    </row>
    <row r="2432" spans="1:20">
      <c r="A2432" s="20">
        <v>202604332500730</v>
      </c>
      <c r="B2432" s="19" t="s">
        <v>20</v>
      </c>
      <c r="C2432" s="19" t="s">
        <v>21</v>
      </c>
      <c r="D2432" s="19" t="s">
        <v>20</v>
      </c>
      <c r="E2432" s="21">
        <v>46235</v>
      </c>
      <c r="F2432" s="21">
        <v>46599</v>
      </c>
      <c r="G2432" s="21"/>
      <c r="H2432" s="21">
        <v>46235</v>
      </c>
      <c r="I2432" s="21">
        <v>46599</v>
      </c>
      <c r="J2432" s="19" t="s">
        <v>2180</v>
      </c>
      <c r="L2432" s="19">
        <v>32.370006750000002</v>
      </c>
      <c r="M2432" s="19">
        <v>32.370006750000002</v>
      </c>
      <c r="N2432" s="19" t="s">
        <v>1475</v>
      </c>
      <c r="O2432" s="20">
        <v>1</v>
      </c>
      <c r="S2432" s="19" t="s">
        <v>20</v>
      </c>
      <c r="T2432" s="19" t="s">
        <v>1471</v>
      </c>
    </row>
    <row r="2433" spans="1:20">
      <c r="A2433" s="20">
        <v>202604332501319</v>
      </c>
      <c r="B2433" s="19" t="s">
        <v>20</v>
      </c>
      <c r="C2433" s="19" t="s">
        <v>21</v>
      </c>
      <c r="D2433" s="19" t="s">
        <v>20</v>
      </c>
      <c r="E2433" s="21">
        <v>46235</v>
      </c>
      <c r="F2433" s="21">
        <v>46599</v>
      </c>
      <c r="G2433" s="21"/>
      <c r="H2433" s="21">
        <v>46235</v>
      </c>
      <c r="I2433" s="21">
        <v>46599</v>
      </c>
      <c r="J2433" s="19" t="s">
        <v>2064</v>
      </c>
      <c r="L2433" s="19">
        <v>33.130630250000003</v>
      </c>
      <c r="M2433" s="19">
        <v>33.130630250000003</v>
      </c>
      <c r="N2433" s="19" t="s">
        <v>1475</v>
      </c>
      <c r="O2433" s="20">
        <v>1</v>
      </c>
      <c r="S2433" s="19" t="s">
        <v>20</v>
      </c>
      <c r="T2433" s="19" t="s">
        <v>1471</v>
      </c>
    </row>
    <row r="2434" spans="1:20">
      <c r="A2434" s="20">
        <v>202604332502118</v>
      </c>
      <c r="B2434" s="19" t="s">
        <v>20</v>
      </c>
      <c r="C2434" s="19" t="s">
        <v>21</v>
      </c>
      <c r="D2434" s="19" t="s">
        <v>20</v>
      </c>
      <c r="E2434" s="21">
        <v>46235</v>
      </c>
      <c r="F2434" s="21">
        <v>46599</v>
      </c>
      <c r="G2434" s="21"/>
      <c r="H2434" s="21">
        <v>46235</v>
      </c>
      <c r="I2434" s="21">
        <v>46599</v>
      </c>
      <c r="J2434" s="19" t="s">
        <v>2244</v>
      </c>
      <c r="L2434" s="19">
        <v>0</v>
      </c>
      <c r="M2434" s="19">
        <v>0</v>
      </c>
      <c r="N2434" s="19" t="s">
        <v>2394</v>
      </c>
      <c r="O2434" s="20">
        <v>4</v>
      </c>
      <c r="S2434" s="19" t="s">
        <v>20</v>
      </c>
      <c r="T2434" s="19" t="s">
        <v>1471</v>
      </c>
    </row>
    <row r="2435" spans="1:20">
      <c r="A2435" s="20">
        <v>202604332502118</v>
      </c>
      <c r="B2435" s="19" t="s">
        <v>20</v>
      </c>
      <c r="C2435" s="19" t="s">
        <v>21</v>
      </c>
      <c r="D2435" s="19" t="s">
        <v>20</v>
      </c>
      <c r="E2435" s="21">
        <v>46235</v>
      </c>
      <c r="F2435" s="21">
        <v>46599</v>
      </c>
      <c r="G2435" s="21"/>
      <c r="H2435" s="21">
        <v>46235</v>
      </c>
      <c r="I2435" s="21">
        <v>46599</v>
      </c>
      <c r="J2435" s="19" t="s">
        <v>2244</v>
      </c>
      <c r="L2435" s="19">
        <v>119.270247</v>
      </c>
      <c r="M2435" s="19">
        <v>119.270247</v>
      </c>
      <c r="N2435" s="19" t="s">
        <v>1475</v>
      </c>
      <c r="O2435" s="20">
        <v>4</v>
      </c>
      <c r="S2435" s="19" t="s">
        <v>20</v>
      </c>
      <c r="T2435" s="19" t="s">
        <v>1471</v>
      </c>
    </row>
    <row r="2436" spans="1:20">
      <c r="A2436" s="20">
        <v>202604332502226</v>
      </c>
      <c r="B2436" s="19" t="s">
        <v>20</v>
      </c>
      <c r="C2436" s="19" t="s">
        <v>21</v>
      </c>
      <c r="D2436" s="19" t="s">
        <v>20</v>
      </c>
      <c r="E2436" s="21">
        <v>46235</v>
      </c>
      <c r="F2436" s="21">
        <v>46599</v>
      </c>
      <c r="G2436" s="21"/>
      <c r="H2436" s="21">
        <v>46235</v>
      </c>
      <c r="I2436" s="21">
        <v>46599</v>
      </c>
      <c r="J2436" s="19" t="s">
        <v>2068</v>
      </c>
      <c r="L2436" s="19">
        <v>0</v>
      </c>
      <c r="M2436" s="19">
        <v>0</v>
      </c>
      <c r="N2436" s="19" t="s">
        <v>2394</v>
      </c>
      <c r="O2436" s="20">
        <v>2</v>
      </c>
      <c r="S2436" s="19" t="s">
        <v>20</v>
      </c>
      <c r="T2436" s="19" t="s">
        <v>1471</v>
      </c>
    </row>
    <row r="2437" spans="1:20">
      <c r="A2437" s="20">
        <v>202604332502226</v>
      </c>
      <c r="B2437" s="19" t="s">
        <v>20</v>
      </c>
      <c r="C2437" s="19" t="s">
        <v>21</v>
      </c>
      <c r="D2437" s="19" t="s">
        <v>20</v>
      </c>
      <c r="E2437" s="21">
        <v>46235</v>
      </c>
      <c r="F2437" s="21">
        <v>46599</v>
      </c>
      <c r="G2437" s="21"/>
      <c r="H2437" s="21">
        <v>46235</v>
      </c>
      <c r="I2437" s="21">
        <v>46599</v>
      </c>
      <c r="J2437" s="19" t="s">
        <v>2068</v>
      </c>
      <c r="L2437" s="19">
        <v>52.517367999999998</v>
      </c>
      <c r="M2437" s="19">
        <v>52.517367999999998</v>
      </c>
      <c r="N2437" s="19" t="s">
        <v>1475</v>
      </c>
      <c r="O2437" s="20">
        <v>2</v>
      </c>
      <c r="S2437" s="19" t="s">
        <v>20</v>
      </c>
      <c r="T2437" s="19" t="s">
        <v>1471</v>
      </c>
    </row>
    <row r="2438" spans="1:20">
      <c r="A2438" s="20">
        <v>202604332502477</v>
      </c>
      <c r="B2438" s="19" t="s">
        <v>20</v>
      </c>
      <c r="C2438" s="19" t="s">
        <v>21</v>
      </c>
      <c r="D2438" s="19" t="s">
        <v>20</v>
      </c>
      <c r="E2438" s="21">
        <v>46235</v>
      </c>
      <c r="F2438" s="21">
        <v>46599</v>
      </c>
      <c r="G2438" s="21"/>
      <c r="H2438" s="21">
        <v>46235</v>
      </c>
      <c r="I2438" s="21">
        <v>46599</v>
      </c>
      <c r="J2438" s="19" t="s">
        <v>2092</v>
      </c>
      <c r="L2438" s="19">
        <v>38.659559000000002</v>
      </c>
      <c r="M2438" s="19">
        <v>38.659559000000002</v>
      </c>
      <c r="N2438" s="19" t="s">
        <v>1475</v>
      </c>
      <c r="O2438" s="20">
        <v>1</v>
      </c>
      <c r="S2438" s="19" t="s">
        <v>20</v>
      </c>
      <c r="T2438" s="19" t="s">
        <v>1471</v>
      </c>
    </row>
    <row r="2439" spans="1:20">
      <c r="A2439" s="20">
        <v>202604332502715</v>
      </c>
      <c r="B2439" s="19" t="s">
        <v>20</v>
      </c>
      <c r="C2439" s="19" t="s">
        <v>21</v>
      </c>
      <c r="D2439" s="19" t="s">
        <v>20</v>
      </c>
      <c r="E2439" s="21">
        <v>46235</v>
      </c>
      <c r="F2439" s="21">
        <v>46599</v>
      </c>
      <c r="G2439" s="21"/>
      <c r="H2439" s="21">
        <v>46235</v>
      </c>
      <c r="I2439" s="21">
        <v>46599</v>
      </c>
      <c r="J2439" s="19" t="s">
        <v>2104</v>
      </c>
      <c r="L2439" s="19">
        <v>0</v>
      </c>
      <c r="M2439" s="19">
        <v>0</v>
      </c>
      <c r="N2439" s="19" t="s">
        <v>2394</v>
      </c>
      <c r="O2439" s="20">
        <v>3</v>
      </c>
      <c r="S2439" s="19" t="s">
        <v>20</v>
      </c>
      <c r="T2439" s="19" t="s">
        <v>1471</v>
      </c>
    </row>
    <row r="2440" spans="1:20">
      <c r="A2440" s="20">
        <v>202604332502715</v>
      </c>
      <c r="B2440" s="19" t="s">
        <v>20</v>
      </c>
      <c r="C2440" s="19" t="s">
        <v>21</v>
      </c>
      <c r="D2440" s="19" t="s">
        <v>2492</v>
      </c>
      <c r="E2440" s="21">
        <v>46235</v>
      </c>
      <c r="F2440" s="21">
        <v>46599</v>
      </c>
      <c r="G2440" s="21"/>
      <c r="H2440" s="21">
        <v>46235</v>
      </c>
      <c r="I2440" s="21">
        <v>46599</v>
      </c>
      <c r="J2440" s="19" t="s">
        <v>2104</v>
      </c>
      <c r="L2440" s="19">
        <v>50.1815505</v>
      </c>
      <c r="M2440" s="19">
        <v>50.1815505</v>
      </c>
      <c r="N2440" s="19" t="s">
        <v>1467</v>
      </c>
      <c r="O2440" s="20">
        <v>3</v>
      </c>
      <c r="S2440" s="19" t="s">
        <v>20</v>
      </c>
      <c r="T2440" s="19" t="s">
        <v>1471</v>
      </c>
    </row>
    <row r="2441" spans="1:20">
      <c r="A2441" s="20">
        <v>202604332503724</v>
      </c>
      <c r="B2441" s="19" t="s">
        <v>20</v>
      </c>
      <c r="C2441" s="19" t="s">
        <v>21</v>
      </c>
      <c r="D2441" s="19" t="s">
        <v>20</v>
      </c>
      <c r="E2441" s="21">
        <v>46235</v>
      </c>
      <c r="F2441" s="21">
        <v>46599</v>
      </c>
      <c r="G2441" s="21"/>
      <c r="H2441" s="21">
        <v>46235</v>
      </c>
      <c r="I2441" s="21">
        <v>46599</v>
      </c>
      <c r="J2441" s="19" t="s">
        <v>2114</v>
      </c>
      <c r="L2441" s="19">
        <v>33.130630250000003</v>
      </c>
      <c r="M2441" s="19">
        <v>33.130630250000003</v>
      </c>
      <c r="N2441" s="19" t="s">
        <v>1475</v>
      </c>
      <c r="O2441" s="20">
        <v>1</v>
      </c>
      <c r="S2441" s="19" t="s">
        <v>20</v>
      </c>
      <c r="T2441" s="19" t="s">
        <v>1471</v>
      </c>
    </row>
    <row r="2442" spans="1:20">
      <c r="A2442" s="20">
        <v>202604332504939</v>
      </c>
      <c r="B2442" s="19" t="s">
        <v>20</v>
      </c>
      <c r="C2442" s="19" t="s">
        <v>21</v>
      </c>
      <c r="D2442" s="19" t="s">
        <v>20</v>
      </c>
      <c r="E2442" s="21">
        <v>46235</v>
      </c>
      <c r="F2442" s="21">
        <v>46599</v>
      </c>
      <c r="G2442" s="21"/>
      <c r="H2442" s="21">
        <v>46235</v>
      </c>
      <c r="I2442" s="21">
        <v>46599</v>
      </c>
      <c r="J2442" s="19" t="s">
        <v>2064</v>
      </c>
      <c r="L2442" s="19">
        <v>0</v>
      </c>
      <c r="M2442" s="19">
        <v>0</v>
      </c>
      <c r="N2442" s="19" t="s">
        <v>2394</v>
      </c>
      <c r="O2442" s="20">
        <v>4</v>
      </c>
      <c r="S2442" s="19" t="s">
        <v>20</v>
      </c>
      <c r="T2442" s="19" t="s">
        <v>1471</v>
      </c>
    </row>
    <row r="2443" spans="1:20">
      <c r="A2443" s="20">
        <v>202604332504939</v>
      </c>
      <c r="B2443" s="19" t="s">
        <v>20</v>
      </c>
      <c r="C2443" s="19" t="s">
        <v>21</v>
      </c>
      <c r="D2443" s="19" t="s">
        <v>20</v>
      </c>
      <c r="E2443" s="21">
        <v>46235</v>
      </c>
      <c r="F2443" s="21">
        <v>46599</v>
      </c>
      <c r="G2443" s="21"/>
      <c r="H2443" s="21">
        <v>46235</v>
      </c>
      <c r="I2443" s="21">
        <v>46599</v>
      </c>
      <c r="J2443" s="19" t="s">
        <v>2064</v>
      </c>
      <c r="L2443" s="19">
        <v>132.52252100000001</v>
      </c>
      <c r="M2443" s="19">
        <v>132.52252100000001</v>
      </c>
      <c r="N2443" s="19" t="s">
        <v>1475</v>
      </c>
      <c r="O2443" s="20">
        <v>4</v>
      </c>
      <c r="S2443" s="19" t="s">
        <v>20</v>
      </c>
      <c r="T2443" s="19" t="s">
        <v>1471</v>
      </c>
    </row>
    <row r="2444" spans="1:20">
      <c r="A2444" s="20">
        <v>202604332505337</v>
      </c>
      <c r="B2444" s="19" t="s">
        <v>20</v>
      </c>
      <c r="C2444" s="19" t="s">
        <v>21</v>
      </c>
      <c r="D2444" s="19" t="s">
        <v>20</v>
      </c>
      <c r="E2444" s="21">
        <v>46235</v>
      </c>
      <c r="F2444" s="21">
        <v>46599</v>
      </c>
      <c r="G2444" s="21"/>
      <c r="H2444" s="21">
        <v>46235</v>
      </c>
      <c r="I2444" s="21">
        <v>46599</v>
      </c>
      <c r="J2444" s="19" t="s">
        <v>2064</v>
      </c>
      <c r="L2444" s="19">
        <v>33.130630250000003</v>
      </c>
      <c r="M2444" s="19">
        <v>33.130630250000003</v>
      </c>
      <c r="N2444" s="19" t="s">
        <v>1475</v>
      </c>
      <c r="O2444" s="20">
        <v>1</v>
      </c>
      <c r="S2444" s="19" t="s">
        <v>20</v>
      </c>
      <c r="T2444" s="19" t="s">
        <v>1471</v>
      </c>
    </row>
    <row r="2445" spans="1:20">
      <c r="A2445" s="20">
        <v>202604332505864</v>
      </c>
      <c r="B2445" s="19" t="s">
        <v>20</v>
      </c>
      <c r="C2445" s="19" t="s">
        <v>21</v>
      </c>
      <c r="D2445" s="19" t="s">
        <v>20</v>
      </c>
      <c r="E2445" s="21">
        <v>46235</v>
      </c>
      <c r="F2445" s="21">
        <v>46599</v>
      </c>
      <c r="G2445" s="21"/>
      <c r="H2445" s="21">
        <v>46235</v>
      </c>
      <c r="I2445" s="21">
        <v>46599</v>
      </c>
      <c r="J2445" s="19" t="s">
        <v>2155</v>
      </c>
      <c r="L2445" s="19">
        <v>0</v>
      </c>
      <c r="M2445" s="19">
        <v>0</v>
      </c>
      <c r="N2445" s="19" t="s">
        <v>2394</v>
      </c>
      <c r="O2445" s="20">
        <v>2</v>
      </c>
      <c r="S2445" s="19" t="s">
        <v>20</v>
      </c>
      <c r="T2445" s="19" t="s">
        <v>1471</v>
      </c>
    </row>
    <row r="2446" spans="1:20">
      <c r="A2446" s="20">
        <v>202604332505864</v>
      </c>
      <c r="B2446" s="19" t="s">
        <v>20</v>
      </c>
      <c r="C2446" s="19" t="s">
        <v>21</v>
      </c>
      <c r="D2446" s="19" t="s">
        <v>20</v>
      </c>
      <c r="E2446" s="21">
        <v>46235</v>
      </c>
      <c r="F2446" s="21">
        <v>46599</v>
      </c>
      <c r="G2446" s="21"/>
      <c r="H2446" s="21">
        <v>46235</v>
      </c>
      <c r="I2446" s="21">
        <v>46599</v>
      </c>
      <c r="J2446" s="19" t="s">
        <v>2155</v>
      </c>
      <c r="L2446" s="19">
        <v>66.261260500000006</v>
      </c>
      <c r="M2446" s="19">
        <v>66.261260500000006</v>
      </c>
      <c r="N2446" s="19" t="s">
        <v>1475</v>
      </c>
      <c r="O2446" s="20">
        <v>2</v>
      </c>
      <c r="S2446" s="19" t="s">
        <v>20</v>
      </c>
      <c r="T2446" s="19" t="s">
        <v>1471</v>
      </c>
    </row>
    <row r="2447" spans="1:20">
      <c r="A2447" s="20">
        <v>202604332505884</v>
      </c>
      <c r="B2447" s="19" t="s">
        <v>20</v>
      </c>
      <c r="C2447" s="19" t="s">
        <v>21</v>
      </c>
      <c r="D2447" s="19" t="s">
        <v>20</v>
      </c>
      <c r="E2447" s="21">
        <v>46235</v>
      </c>
      <c r="F2447" s="21">
        <v>46599</v>
      </c>
      <c r="G2447" s="21"/>
      <c r="H2447" s="21">
        <v>46235</v>
      </c>
      <c r="I2447" s="21">
        <v>46599</v>
      </c>
      <c r="J2447" s="19" t="s">
        <v>2139</v>
      </c>
      <c r="L2447" s="19">
        <v>0</v>
      </c>
      <c r="M2447" s="19">
        <v>0</v>
      </c>
      <c r="N2447" s="19" t="s">
        <v>2394</v>
      </c>
      <c r="O2447" s="20">
        <v>2</v>
      </c>
      <c r="S2447" s="19" t="s">
        <v>20</v>
      </c>
      <c r="T2447" s="19" t="s">
        <v>1471</v>
      </c>
    </row>
    <row r="2448" spans="1:20">
      <c r="A2448" s="20">
        <v>202604332505884</v>
      </c>
      <c r="B2448" s="19" t="s">
        <v>20</v>
      </c>
      <c r="C2448" s="19" t="s">
        <v>21</v>
      </c>
      <c r="D2448" s="19" t="s">
        <v>20</v>
      </c>
      <c r="E2448" s="21">
        <v>46235</v>
      </c>
      <c r="F2448" s="21">
        <v>46599</v>
      </c>
      <c r="G2448" s="21"/>
      <c r="H2448" s="21">
        <v>46235</v>
      </c>
      <c r="I2448" s="21">
        <v>46599</v>
      </c>
      <c r="J2448" s="19" t="s">
        <v>2139</v>
      </c>
      <c r="L2448" s="19">
        <v>77.319118000000003</v>
      </c>
      <c r="M2448" s="19">
        <v>77.319118000000003</v>
      </c>
      <c r="N2448" s="19" t="s">
        <v>1475</v>
      </c>
      <c r="O2448" s="20">
        <v>2</v>
      </c>
      <c r="S2448" s="19" t="s">
        <v>20</v>
      </c>
      <c r="T2448" s="19" t="s">
        <v>1471</v>
      </c>
    </row>
    <row r="2449" spans="1:20">
      <c r="A2449" s="20">
        <v>202604332505909</v>
      </c>
      <c r="B2449" s="19" t="s">
        <v>20</v>
      </c>
      <c r="C2449" s="19" t="s">
        <v>21</v>
      </c>
      <c r="D2449" s="19" t="s">
        <v>20</v>
      </c>
      <c r="E2449" s="21">
        <v>46235</v>
      </c>
      <c r="F2449" s="21">
        <v>46599</v>
      </c>
      <c r="G2449" s="21"/>
      <c r="H2449" s="21">
        <v>46235</v>
      </c>
      <c r="I2449" s="21">
        <v>46599</v>
      </c>
      <c r="J2449" s="19" t="s">
        <v>2083</v>
      </c>
      <c r="L2449" s="19">
        <v>0</v>
      </c>
      <c r="M2449" s="19">
        <v>0</v>
      </c>
      <c r="N2449" s="19" t="s">
        <v>2394</v>
      </c>
      <c r="O2449" s="20">
        <v>4</v>
      </c>
      <c r="S2449" s="19" t="s">
        <v>20</v>
      </c>
      <c r="T2449" s="19" t="s">
        <v>1471</v>
      </c>
    </row>
    <row r="2450" spans="1:20">
      <c r="A2450" s="20">
        <v>202604332505909</v>
      </c>
      <c r="B2450" s="19" t="s">
        <v>20</v>
      </c>
      <c r="C2450" s="19" t="s">
        <v>21</v>
      </c>
      <c r="D2450" s="19" t="s">
        <v>20</v>
      </c>
      <c r="E2450" s="21">
        <v>46235</v>
      </c>
      <c r="F2450" s="21">
        <v>46599</v>
      </c>
      <c r="G2450" s="21"/>
      <c r="H2450" s="21">
        <v>46235</v>
      </c>
      <c r="I2450" s="21">
        <v>46599</v>
      </c>
      <c r="J2450" s="19" t="s">
        <v>2083</v>
      </c>
      <c r="L2450" s="19">
        <v>132.52252100000001</v>
      </c>
      <c r="M2450" s="19">
        <v>132.52252100000001</v>
      </c>
      <c r="N2450" s="19" t="s">
        <v>1475</v>
      </c>
      <c r="O2450" s="20">
        <v>4</v>
      </c>
      <c r="S2450" s="19" t="s">
        <v>20</v>
      </c>
      <c r="T2450" s="19" t="s">
        <v>1471</v>
      </c>
    </row>
    <row r="2451" spans="1:20">
      <c r="A2451" s="20">
        <v>202604332506567</v>
      </c>
      <c r="B2451" s="19" t="s">
        <v>20</v>
      </c>
      <c r="C2451" s="19" t="s">
        <v>21</v>
      </c>
      <c r="D2451" s="19" t="s">
        <v>20</v>
      </c>
      <c r="E2451" s="21">
        <v>46235</v>
      </c>
      <c r="F2451" s="21">
        <v>46599</v>
      </c>
      <c r="G2451" s="21"/>
      <c r="H2451" s="21">
        <v>46235</v>
      </c>
      <c r="I2451" s="21">
        <v>46599</v>
      </c>
      <c r="J2451" s="19" t="s">
        <v>2089</v>
      </c>
      <c r="L2451" s="19">
        <v>23.968290750000001</v>
      </c>
      <c r="M2451" s="19">
        <v>23.968290750000001</v>
      </c>
      <c r="N2451" s="19" t="s">
        <v>1475</v>
      </c>
      <c r="O2451" s="20">
        <v>1</v>
      </c>
      <c r="S2451" s="19" t="s">
        <v>20</v>
      </c>
      <c r="T2451" s="19" t="s">
        <v>1471</v>
      </c>
    </row>
    <row r="2452" spans="1:20">
      <c r="A2452" s="20">
        <v>202604332507929</v>
      </c>
      <c r="B2452" s="19" t="s">
        <v>20</v>
      </c>
      <c r="C2452" s="19" t="s">
        <v>21</v>
      </c>
      <c r="D2452" s="19" t="s">
        <v>20</v>
      </c>
      <c r="E2452" s="21">
        <v>46235</v>
      </c>
      <c r="F2452" s="21">
        <v>46599</v>
      </c>
      <c r="G2452" s="21"/>
      <c r="H2452" s="21">
        <v>46235</v>
      </c>
      <c r="I2452" s="21">
        <v>46599</v>
      </c>
      <c r="J2452" s="19" t="s">
        <v>2065</v>
      </c>
      <c r="L2452" s="19">
        <v>0</v>
      </c>
      <c r="M2452" s="19">
        <v>0</v>
      </c>
      <c r="N2452" s="19" t="s">
        <v>2394</v>
      </c>
      <c r="O2452" s="20">
        <v>2</v>
      </c>
      <c r="S2452" s="19" t="s">
        <v>20</v>
      </c>
      <c r="T2452" s="19" t="s">
        <v>1471</v>
      </c>
    </row>
    <row r="2453" spans="1:20">
      <c r="A2453" s="20">
        <v>202604332507929</v>
      </c>
      <c r="B2453" s="19" t="s">
        <v>20</v>
      </c>
      <c r="C2453" s="19" t="s">
        <v>21</v>
      </c>
      <c r="D2453" s="19" t="s">
        <v>20</v>
      </c>
      <c r="E2453" s="21">
        <v>46235</v>
      </c>
      <c r="F2453" s="21">
        <v>46599</v>
      </c>
      <c r="G2453" s="21"/>
      <c r="H2453" s="21">
        <v>46235</v>
      </c>
      <c r="I2453" s="21">
        <v>46599</v>
      </c>
      <c r="J2453" s="19" t="s">
        <v>2065</v>
      </c>
      <c r="L2453" s="19">
        <v>52.517367999999998</v>
      </c>
      <c r="M2453" s="19">
        <v>52.517367999999998</v>
      </c>
      <c r="N2453" s="19" t="s">
        <v>1475</v>
      </c>
      <c r="O2453" s="20">
        <v>2</v>
      </c>
      <c r="S2453" s="19" t="s">
        <v>20</v>
      </c>
      <c r="T2453" s="19" t="s">
        <v>1471</v>
      </c>
    </row>
    <row r="2454" spans="1:20">
      <c r="A2454" s="20">
        <v>202604332508248</v>
      </c>
      <c r="B2454" s="19" t="s">
        <v>20</v>
      </c>
      <c r="C2454" s="19" t="s">
        <v>21</v>
      </c>
      <c r="D2454" s="19" t="s">
        <v>20</v>
      </c>
      <c r="E2454" s="21">
        <v>46235</v>
      </c>
      <c r="F2454" s="21">
        <v>46599</v>
      </c>
      <c r="G2454" s="21"/>
      <c r="H2454" s="21">
        <v>46235</v>
      </c>
      <c r="I2454" s="21">
        <v>46599</v>
      </c>
      <c r="J2454" s="19" t="s">
        <v>2069</v>
      </c>
      <c r="L2454" s="19">
        <v>0</v>
      </c>
      <c r="M2454" s="19">
        <v>0</v>
      </c>
      <c r="N2454" s="19" t="s">
        <v>2394</v>
      </c>
      <c r="O2454" s="20">
        <v>3</v>
      </c>
      <c r="S2454" s="19" t="s">
        <v>20</v>
      </c>
      <c r="T2454" s="19" t="s">
        <v>1471</v>
      </c>
    </row>
    <row r="2455" spans="1:20">
      <c r="A2455" s="20">
        <v>202604332508248</v>
      </c>
      <c r="B2455" s="19" t="s">
        <v>20</v>
      </c>
      <c r="C2455" s="19" t="s">
        <v>21</v>
      </c>
      <c r="D2455" s="19" t="s">
        <v>20</v>
      </c>
      <c r="E2455" s="21">
        <v>46235</v>
      </c>
      <c r="F2455" s="21">
        <v>46599</v>
      </c>
      <c r="G2455" s="21"/>
      <c r="H2455" s="21">
        <v>46235</v>
      </c>
      <c r="I2455" s="21">
        <v>46599</v>
      </c>
      <c r="J2455" s="19" t="s">
        <v>2069</v>
      </c>
      <c r="L2455" s="19">
        <v>99.391890750000002</v>
      </c>
      <c r="M2455" s="19">
        <v>99.391890750000002</v>
      </c>
      <c r="N2455" s="19" t="s">
        <v>1475</v>
      </c>
      <c r="O2455" s="20">
        <v>3</v>
      </c>
      <c r="S2455" s="19" t="s">
        <v>20</v>
      </c>
      <c r="T2455" s="19" t="s">
        <v>1471</v>
      </c>
    </row>
    <row r="2456" spans="1:20">
      <c r="A2456" s="20">
        <v>202604332508732</v>
      </c>
      <c r="B2456" s="19" t="s">
        <v>20</v>
      </c>
      <c r="C2456" s="19" t="s">
        <v>21</v>
      </c>
      <c r="D2456" s="19" t="s">
        <v>20</v>
      </c>
      <c r="E2456" s="21">
        <v>46235</v>
      </c>
      <c r="F2456" s="21">
        <v>46599</v>
      </c>
      <c r="G2456" s="21"/>
      <c r="H2456" s="21">
        <v>46235</v>
      </c>
      <c r="I2456" s="21">
        <v>46599</v>
      </c>
      <c r="J2456" s="19" t="s">
        <v>2130</v>
      </c>
      <c r="L2456" s="19">
        <v>0</v>
      </c>
      <c r="M2456" s="19">
        <v>0</v>
      </c>
      <c r="N2456" s="19" t="s">
        <v>2394</v>
      </c>
      <c r="O2456" s="20">
        <v>4</v>
      </c>
      <c r="S2456" s="19" t="s">
        <v>20</v>
      </c>
      <c r="T2456" s="19" t="s">
        <v>1471</v>
      </c>
    </row>
    <row r="2457" spans="1:20">
      <c r="A2457" s="20">
        <v>202604332508732</v>
      </c>
      <c r="B2457" s="19" t="s">
        <v>20</v>
      </c>
      <c r="C2457" s="19" t="s">
        <v>21</v>
      </c>
      <c r="D2457" s="19" t="s">
        <v>2491</v>
      </c>
      <c r="E2457" s="21">
        <v>46235</v>
      </c>
      <c r="F2457" s="21">
        <v>46599</v>
      </c>
      <c r="G2457" s="21"/>
      <c r="H2457" s="21">
        <v>46235</v>
      </c>
      <c r="I2457" s="21">
        <v>46599</v>
      </c>
      <c r="J2457" s="19" t="s">
        <v>2130</v>
      </c>
      <c r="L2457" s="19">
        <v>72.640328999999994</v>
      </c>
      <c r="M2457" s="19">
        <v>72.640328999999994</v>
      </c>
      <c r="N2457" s="19" t="s">
        <v>1467</v>
      </c>
      <c r="O2457" s="20">
        <v>4</v>
      </c>
      <c r="S2457" s="19" t="s">
        <v>20</v>
      </c>
      <c r="T2457" s="19" t="s">
        <v>1471</v>
      </c>
    </row>
    <row r="2458" spans="1:20">
      <c r="A2458" s="20">
        <v>202604332509367</v>
      </c>
      <c r="B2458" s="19" t="s">
        <v>20</v>
      </c>
      <c r="C2458" s="19" t="s">
        <v>21</v>
      </c>
      <c r="D2458" s="19" t="s">
        <v>20</v>
      </c>
      <c r="E2458" s="21">
        <v>46235</v>
      </c>
      <c r="F2458" s="21">
        <v>46599</v>
      </c>
      <c r="G2458" s="21"/>
      <c r="H2458" s="21">
        <v>46235</v>
      </c>
      <c r="I2458" s="21">
        <v>46599</v>
      </c>
      <c r="J2458" s="19" t="s">
        <v>2064</v>
      </c>
      <c r="L2458" s="19">
        <v>0</v>
      </c>
      <c r="M2458" s="19">
        <v>0</v>
      </c>
      <c r="N2458" s="19" t="s">
        <v>2394</v>
      </c>
      <c r="O2458" s="20">
        <v>3</v>
      </c>
      <c r="S2458" s="19" t="s">
        <v>20</v>
      </c>
      <c r="T2458" s="19" t="s">
        <v>1471</v>
      </c>
    </row>
    <row r="2459" spans="1:20">
      <c r="A2459" s="20">
        <v>202604332509367</v>
      </c>
      <c r="B2459" s="19" t="s">
        <v>20</v>
      </c>
      <c r="C2459" s="19" t="s">
        <v>21</v>
      </c>
      <c r="D2459" s="19" t="s">
        <v>20</v>
      </c>
      <c r="E2459" s="21">
        <v>46235</v>
      </c>
      <c r="F2459" s="21">
        <v>46599</v>
      </c>
      <c r="G2459" s="21"/>
      <c r="H2459" s="21">
        <v>46235</v>
      </c>
      <c r="I2459" s="21">
        <v>46599</v>
      </c>
      <c r="J2459" s="19" t="s">
        <v>2064</v>
      </c>
      <c r="L2459" s="19">
        <v>99.391890750000002</v>
      </c>
      <c r="M2459" s="19">
        <v>99.391890750000002</v>
      </c>
      <c r="N2459" s="19" t="s">
        <v>1475</v>
      </c>
      <c r="O2459" s="20">
        <v>3</v>
      </c>
      <c r="S2459" s="19" t="s">
        <v>20</v>
      </c>
      <c r="T2459" s="19" t="s">
        <v>1471</v>
      </c>
    </row>
    <row r="2460" spans="1:20">
      <c r="A2460" s="20">
        <v>202604332509407</v>
      </c>
      <c r="B2460" s="19" t="s">
        <v>20</v>
      </c>
      <c r="C2460" s="19" t="s">
        <v>21</v>
      </c>
      <c r="D2460" s="19" t="s">
        <v>20</v>
      </c>
      <c r="E2460" s="21">
        <v>46235</v>
      </c>
      <c r="F2460" s="21">
        <v>46599</v>
      </c>
      <c r="G2460" s="21"/>
      <c r="H2460" s="21">
        <v>46235</v>
      </c>
      <c r="I2460" s="21">
        <v>46599</v>
      </c>
      <c r="J2460" s="19" t="s">
        <v>2068</v>
      </c>
      <c r="L2460" s="19">
        <v>26.258683999999999</v>
      </c>
      <c r="M2460" s="19">
        <v>26.258683999999999</v>
      </c>
      <c r="N2460" s="19" t="s">
        <v>1475</v>
      </c>
      <c r="O2460" s="20">
        <v>1</v>
      </c>
      <c r="S2460" s="19" t="s">
        <v>20</v>
      </c>
      <c r="T2460" s="19" t="s">
        <v>1471</v>
      </c>
    </row>
    <row r="2461" spans="1:20">
      <c r="A2461" s="20">
        <v>202604332509669</v>
      </c>
      <c r="B2461" s="19" t="s">
        <v>20</v>
      </c>
      <c r="C2461" s="19" t="s">
        <v>21</v>
      </c>
      <c r="D2461" s="19" t="s">
        <v>20</v>
      </c>
      <c r="E2461" s="21">
        <v>46235</v>
      </c>
      <c r="F2461" s="21">
        <v>46599</v>
      </c>
      <c r="G2461" s="21"/>
      <c r="H2461" s="21">
        <v>46235</v>
      </c>
      <c r="I2461" s="21">
        <v>46599</v>
      </c>
      <c r="J2461" s="19" t="s">
        <v>2062</v>
      </c>
      <c r="L2461" s="19">
        <v>0</v>
      </c>
      <c r="M2461" s="19">
        <v>0</v>
      </c>
      <c r="N2461" s="19" t="s">
        <v>2394</v>
      </c>
      <c r="O2461" s="20">
        <v>4</v>
      </c>
      <c r="S2461" s="19" t="s">
        <v>20</v>
      </c>
      <c r="T2461" s="19" t="s">
        <v>1471</v>
      </c>
    </row>
    <row r="2462" spans="1:20">
      <c r="A2462" s="20">
        <v>202604332509669</v>
      </c>
      <c r="B2462" s="19" t="s">
        <v>20</v>
      </c>
      <c r="C2462" s="19" t="s">
        <v>21</v>
      </c>
      <c r="D2462" s="19" t="s">
        <v>20</v>
      </c>
      <c r="E2462" s="21">
        <v>46235</v>
      </c>
      <c r="F2462" s="21">
        <v>46599</v>
      </c>
      <c r="G2462" s="21"/>
      <c r="H2462" s="21">
        <v>46235</v>
      </c>
      <c r="I2462" s="21">
        <v>46599</v>
      </c>
      <c r="J2462" s="19" t="s">
        <v>2062</v>
      </c>
      <c r="L2462" s="19">
        <v>132.52252100000001</v>
      </c>
      <c r="M2462" s="19">
        <v>132.52252100000001</v>
      </c>
      <c r="N2462" s="19" t="s">
        <v>1475</v>
      </c>
      <c r="O2462" s="20">
        <v>4</v>
      </c>
      <c r="S2462" s="19" t="s">
        <v>20</v>
      </c>
      <c r="T2462" s="19" t="s">
        <v>1471</v>
      </c>
    </row>
    <row r="2463" spans="1:20">
      <c r="A2463" s="20">
        <v>202604332509718</v>
      </c>
      <c r="B2463" s="19" t="s">
        <v>20</v>
      </c>
      <c r="C2463" s="19" t="s">
        <v>21</v>
      </c>
      <c r="D2463" s="19" t="s">
        <v>20</v>
      </c>
      <c r="E2463" s="21">
        <v>46235</v>
      </c>
      <c r="F2463" s="21">
        <v>46599</v>
      </c>
      <c r="G2463" s="21"/>
      <c r="H2463" s="21">
        <v>46235</v>
      </c>
      <c r="I2463" s="21">
        <v>46599</v>
      </c>
      <c r="J2463" s="19" t="s">
        <v>2087</v>
      </c>
      <c r="L2463" s="19">
        <v>132.52252100000001</v>
      </c>
      <c r="M2463" s="19">
        <v>132.52252100000001</v>
      </c>
      <c r="N2463" s="19" t="s">
        <v>1475</v>
      </c>
      <c r="O2463" s="20">
        <v>4</v>
      </c>
      <c r="S2463" s="19" t="s">
        <v>20</v>
      </c>
      <c r="T2463" s="19" t="s">
        <v>1471</v>
      </c>
    </row>
    <row r="2464" spans="1:20">
      <c r="A2464" s="20">
        <v>202604332510046</v>
      </c>
      <c r="B2464" s="19" t="s">
        <v>20</v>
      </c>
      <c r="C2464" s="19" t="s">
        <v>21</v>
      </c>
      <c r="D2464" s="19" t="s">
        <v>20</v>
      </c>
      <c r="E2464" s="21">
        <v>46235</v>
      </c>
      <c r="F2464" s="21">
        <v>46599</v>
      </c>
      <c r="G2464" s="21"/>
      <c r="H2464" s="21">
        <v>46235</v>
      </c>
      <c r="I2464" s="21">
        <v>46599</v>
      </c>
      <c r="J2464" s="19" t="s">
        <v>2066</v>
      </c>
      <c r="L2464" s="19">
        <v>0</v>
      </c>
      <c r="M2464" s="19">
        <v>0</v>
      </c>
      <c r="N2464" s="19" t="s">
        <v>2394</v>
      </c>
      <c r="O2464" s="20">
        <v>3</v>
      </c>
      <c r="S2464" s="19" t="s">
        <v>20</v>
      </c>
      <c r="T2464" s="19" t="s">
        <v>1471</v>
      </c>
    </row>
    <row r="2465" spans="1:20">
      <c r="A2465" s="20">
        <v>202604332510046</v>
      </c>
      <c r="B2465" s="19" t="s">
        <v>20</v>
      </c>
      <c r="C2465" s="19" t="s">
        <v>21</v>
      </c>
      <c r="D2465" s="19" t="s">
        <v>20</v>
      </c>
      <c r="E2465" s="21">
        <v>46235</v>
      </c>
      <c r="F2465" s="21">
        <v>46599</v>
      </c>
      <c r="G2465" s="21"/>
      <c r="H2465" s="21">
        <v>46235</v>
      </c>
      <c r="I2465" s="21">
        <v>46599</v>
      </c>
      <c r="J2465" s="19" t="s">
        <v>2066</v>
      </c>
      <c r="L2465" s="19">
        <v>99.391890750000002</v>
      </c>
      <c r="M2465" s="19">
        <v>99.391890750000002</v>
      </c>
      <c r="N2465" s="19" t="s">
        <v>1475</v>
      </c>
      <c r="O2465" s="20">
        <v>3</v>
      </c>
      <c r="S2465" s="19" t="s">
        <v>20</v>
      </c>
      <c r="T2465" s="19" t="s">
        <v>1471</v>
      </c>
    </row>
    <row r="2466" spans="1:20">
      <c r="A2466" s="20">
        <v>202604332510261</v>
      </c>
      <c r="B2466" s="19" t="s">
        <v>20</v>
      </c>
      <c r="C2466" s="19" t="s">
        <v>21</v>
      </c>
      <c r="D2466" s="19" t="s">
        <v>20</v>
      </c>
      <c r="E2466" s="21">
        <v>46235</v>
      </c>
      <c r="F2466" s="21">
        <v>46599</v>
      </c>
      <c r="G2466" s="21"/>
      <c r="H2466" s="21">
        <v>46235</v>
      </c>
      <c r="I2466" s="21">
        <v>46599</v>
      </c>
      <c r="J2466" s="19" t="s">
        <v>2064</v>
      </c>
      <c r="L2466" s="19">
        <v>0</v>
      </c>
      <c r="M2466" s="19">
        <v>0</v>
      </c>
      <c r="N2466" s="19" t="s">
        <v>2394</v>
      </c>
      <c r="O2466" s="20">
        <v>3</v>
      </c>
      <c r="S2466" s="19" t="s">
        <v>20</v>
      </c>
      <c r="T2466" s="19" t="s">
        <v>1471</v>
      </c>
    </row>
    <row r="2467" spans="1:20">
      <c r="A2467" s="20">
        <v>202604332510261</v>
      </c>
      <c r="B2467" s="19" t="s">
        <v>20</v>
      </c>
      <c r="C2467" s="19" t="s">
        <v>21</v>
      </c>
      <c r="D2467" s="19" t="s">
        <v>20</v>
      </c>
      <c r="E2467" s="21">
        <v>46235</v>
      </c>
      <c r="F2467" s="21">
        <v>46599</v>
      </c>
      <c r="G2467" s="21"/>
      <c r="H2467" s="21">
        <v>46235</v>
      </c>
      <c r="I2467" s="21">
        <v>46599</v>
      </c>
      <c r="J2467" s="19" t="s">
        <v>2064</v>
      </c>
      <c r="L2467" s="19">
        <v>99.391890750000002</v>
      </c>
      <c r="M2467" s="19">
        <v>99.391890750000002</v>
      </c>
      <c r="N2467" s="19" t="s">
        <v>1475</v>
      </c>
      <c r="O2467" s="20">
        <v>3</v>
      </c>
      <c r="S2467" s="19" t="s">
        <v>20</v>
      </c>
      <c r="T2467" s="19" t="s">
        <v>1471</v>
      </c>
    </row>
    <row r="2468" spans="1:20">
      <c r="A2468" s="20">
        <v>202604332510856</v>
      </c>
      <c r="B2468" s="19" t="s">
        <v>20</v>
      </c>
      <c r="C2468" s="19" t="s">
        <v>21</v>
      </c>
      <c r="D2468" s="19" t="s">
        <v>20</v>
      </c>
      <c r="E2468" s="21">
        <v>46235</v>
      </c>
      <c r="F2468" s="21">
        <v>46599</v>
      </c>
      <c r="G2468" s="21"/>
      <c r="H2468" s="21">
        <v>46235</v>
      </c>
      <c r="I2468" s="21">
        <v>46599</v>
      </c>
      <c r="J2468" s="19" t="s">
        <v>2243</v>
      </c>
      <c r="L2468" s="19">
        <v>0</v>
      </c>
      <c r="M2468" s="19">
        <v>0</v>
      </c>
      <c r="N2468" s="19" t="s">
        <v>2394</v>
      </c>
      <c r="O2468" s="20">
        <v>3</v>
      </c>
      <c r="S2468" s="19" t="s">
        <v>20</v>
      </c>
      <c r="T2468" s="19" t="s">
        <v>1471</v>
      </c>
    </row>
    <row r="2469" spans="1:20">
      <c r="A2469" s="20">
        <v>202604332510856</v>
      </c>
      <c r="B2469" s="19" t="s">
        <v>20</v>
      </c>
      <c r="C2469" s="19" t="s">
        <v>21</v>
      </c>
      <c r="D2469" s="19" t="s">
        <v>20</v>
      </c>
      <c r="E2469" s="21">
        <v>46235</v>
      </c>
      <c r="F2469" s="21">
        <v>46599</v>
      </c>
      <c r="G2469" s="21"/>
      <c r="H2469" s="21">
        <v>46235</v>
      </c>
      <c r="I2469" s="21">
        <v>46599</v>
      </c>
      <c r="J2469" s="19" t="s">
        <v>2243</v>
      </c>
      <c r="L2469" s="19">
        <v>99.391890750000002</v>
      </c>
      <c r="M2469" s="19">
        <v>99.391890750000002</v>
      </c>
      <c r="N2469" s="19" t="s">
        <v>1475</v>
      </c>
      <c r="O2469" s="20">
        <v>3</v>
      </c>
      <c r="S2469" s="19" t="s">
        <v>20</v>
      </c>
      <c r="T2469" s="19" t="s">
        <v>1471</v>
      </c>
    </row>
    <row r="2470" spans="1:20">
      <c r="A2470" s="20">
        <v>202604332511300</v>
      </c>
      <c r="B2470" s="19" t="s">
        <v>20</v>
      </c>
      <c r="C2470" s="19" t="s">
        <v>21</v>
      </c>
      <c r="D2470" s="19" t="s">
        <v>20</v>
      </c>
      <c r="E2470" s="21">
        <v>46235</v>
      </c>
      <c r="F2470" s="21">
        <v>46599</v>
      </c>
      <c r="G2470" s="21"/>
      <c r="H2470" s="21">
        <v>46235</v>
      </c>
      <c r="I2470" s="21">
        <v>46599</v>
      </c>
      <c r="J2470" s="19" t="s">
        <v>1473</v>
      </c>
      <c r="L2470" s="19">
        <v>0</v>
      </c>
      <c r="M2470" s="19">
        <v>0</v>
      </c>
      <c r="N2470" s="19" t="s">
        <v>2394</v>
      </c>
      <c r="O2470" s="20">
        <v>5</v>
      </c>
      <c r="S2470" s="19" t="s">
        <v>20</v>
      </c>
      <c r="T2470" s="19" t="s">
        <v>1471</v>
      </c>
    </row>
    <row r="2471" spans="1:20">
      <c r="A2471" s="20">
        <v>202604332511300</v>
      </c>
      <c r="B2471" s="19" t="s">
        <v>20</v>
      </c>
      <c r="C2471" s="19" t="s">
        <v>21</v>
      </c>
      <c r="D2471" s="19" t="s">
        <v>20</v>
      </c>
      <c r="E2471" s="21">
        <v>46235</v>
      </c>
      <c r="F2471" s="21">
        <v>46599</v>
      </c>
      <c r="G2471" s="21"/>
      <c r="H2471" s="21">
        <v>46235</v>
      </c>
      <c r="I2471" s="21">
        <v>46599</v>
      </c>
      <c r="J2471" s="19" t="s">
        <v>1473</v>
      </c>
      <c r="L2471" s="19">
        <v>123.1033675</v>
      </c>
      <c r="M2471" s="19">
        <v>123.1033675</v>
      </c>
      <c r="N2471" s="19" t="s">
        <v>1475</v>
      </c>
      <c r="O2471" s="20">
        <v>5</v>
      </c>
      <c r="S2471" s="19" t="s">
        <v>20</v>
      </c>
      <c r="T2471" s="19" t="s">
        <v>1471</v>
      </c>
    </row>
    <row r="2472" spans="1:20">
      <c r="A2472" s="20">
        <v>202604332511386</v>
      </c>
      <c r="B2472" s="19" t="s">
        <v>20</v>
      </c>
      <c r="C2472" s="19" t="s">
        <v>21</v>
      </c>
      <c r="D2472" s="19" t="s">
        <v>20</v>
      </c>
      <c r="E2472" s="21">
        <v>46235</v>
      </c>
      <c r="F2472" s="21">
        <v>46599</v>
      </c>
      <c r="G2472" s="21"/>
      <c r="H2472" s="21">
        <v>46235</v>
      </c>
      <c r="I2472" s="21">
        <v>46599</v>
      </c>
      <c r="J2472" s="19" t="s">
        <v>2064</v>
      </c>
      <c r="L2472" s="19">
        <v>0</v>
      </c>
      <c r="M2472" s="19">
        <v>0</v>
      </c>
      <c r="N2472" s="19" t="s">
        <v>2394</v>
      </c>
      <c r="O2472" s="20">
        <v>5</v>
      </c>
      <c r="S2472" s="19" t="s">
        <v>20</v>
      </c>
      <c r="T2472" s="19" t="s">
        <v>1471</v>
      </c>
    </row>
    <row r="2473" spans="1:20">
      <c r="A2473" s="20">
        <v>202604332511386</v>
      </c>
      <c r="B2473" s="19" t="s">
        <v>20</v>
      </c>
      <c r="C2473" s="19" t="s">
        <v>21</v>
      </c>
      <c r="D2473" s="19" t="s">
        <v>20</v>
      </c>
      <c r="E2473" s="21">
        <v>46235</v>
      </c>
      <c r="F2473" s="21">
        <v>46599</v>
      </c>
      <c r="G2473" s="21"/>
      <c r="H2473" s="21">
        <v>46235</v>
      </c>
      <c r="I2473" s="21">
        <v>46599</v>
      </c>
      <c r="J2473" s="19" t="s">
        <v>2064</v>
      </c>
      <c r="L2473" s="19">
        <v>165.65315125000001</v>
      </c>
      <c r="M2473" s="19">
        <v>165.65315125000001</v>
      </c>
      <c r="N2473" s="19" t="s">
        <v>1475</v>
      </c>
      <c r="O2473" s="20">
        <v>5</v>
      </c>
      <c r="S2473" s="19" t="s">
        <v>20</v>
      </c>
      <c r="T2473" s="19" t="s">
        <v>1471</v>
      </c>
    </row>
    <row r="2474" spans="1:20">
      <c r="A2474" s="20">
        <v>202604332511541</v>
      </c>
      <c r="B2474" s="19" t="s">
        <v>20</v>
      </c>
      <c r="C2474" s="19" t="s">
        <v>21</v>
      </c>
      <c r="D2474" s="19" t="s">
        <v>20</v>
      </c>
      <c r="E2474" s="21">
        <v>46235</v>
      </c>
      <c r="F2474" s="21">
        <v>46599</v>
      </c>
      <c r="G2474" s="21"/>
      <c r="H2474" s="21">
        <v>46235</v>
      </c>
      <c r="I2474" s="21">
        <v>46599</v>
      </c>
      <c r="J2474" s="19" t="s">
        <v>2064</v>
      </c>
      <c r="L2474" s="19">
        <v>0</v>
      </c>
      <c r="M2474" s="19">
        <v>0</v>
      </c>
      <c r="N2474" s="19" t="s">
        <v>2394</v>
      </c>
      <c r="O2474" s="20">
        <v>5</v>
      </c>
      <c r="S2474" s="19" t="s">
        <v>20</v>
      </c>
      <c r="T2474" s="19" t="s">
        <v>1471</v>
      </c>
    </row>
    <row r="2475" spans="1:20">
      <c r="A2475" s="20">
        <v>202604332511541</v>
      </c>
      <c r="B2475" s="19" t="s">
        <v>20</v>
      </c>
      <c r="C2475" s="19" t="s">
        <v>21</v>
      </c>
      <c r="D2475" s="19" t="s">
        <v>20</v>
      </c>
      <c r="E2475" s="21">
        <v>46235</v>
      </c>
      <c r="F2475" s="21">
        <v>46599</v>
      </c>
      <c r="G2475" s="21"/>
      <c r="H2475" s="21">
        <v>46235</v>
      </c>
      <c r="I2475" s="21">
        <v>46599</v>
      </c>
      <c r="J2475" s="19" t="s">
        <v>2064</v>
      </c>
      <c r="L2475" s="19">
        <v>165.65315125000001</v>
      </c>
      <c r="M2475" s="19">
        <v>165.65315125000001</v>
      </c>
      <c r="N2475" s="19" t="s">
        <v>1475</v>
      </c>
      <c r="O2475" s="20">
        <v>5</v>
      </c>
      <c r="S2475" s="19" t="s">
        <v>20</v>
      </c>
      <c r="T2475" s="19" t="s">
        <v>1471</v>
      </c>
    </row>
    <row r="2476" spans="1:20">
      <c r="A2476" s="20">
        <v>202604332513204</v>
      </c>
      <c r="B2476" s="19" t="s">
        <v>20</v>
      </c>
      <c r="C2476" s="19" t="s">
        <v>21</v>
      </c>
      <c r="D2476" s="19" t="s">
        <v>20</v>
      </c>
      <c r="E2476" s="21">
        <v>46235</v>
      </c>
      <c r="F2476" s="21">
        <v>46599</v>
      </c>
      <c r="G2476" s="21"/>
      <c r="H2476" s="21">
        <v>46235</v>
      </c>
      <c r="I2476" s="21">
        <v>46599</v>
      </c>
      <c r="J2476" s="19" t="s">
        <v>2099</v>
      </c>
      <c r="L2476" s="19">
        <v>0</v>
      </c>
      <c r="M2476" s="19">
        <v>0</v>
      </c>
      <c r="N2476" s="19" t="s">
        <v>2394</v>
      </c>
      <c r="O2476" s="20">
        <v>4</v>
      </c>
      <c r="S2476" s="19" t="s">
        <v>20</v>
      </c>
      <c r="T2476" s="19" t="s">
        <v>1471</v>
      </c>
    </row>
    <row r="2477" spans="1:20">
      <c r="A2477" s="20">
        <v>202604332513204</v>
      </c>
      <c r="B2477" s="19" t="s">
        <v>20</v>
      </c>
      <c r="C2477" s="19" t="s">
        <v>21</v>
      </c>
      <c r="D2477" s="19" t="s">
        <v>20</v>
      </c>
      <c r="E2477" s="21">
        <v>46235</v>
      </c>
      <c r="F2477" s="21">
        <v>46599</v>
      </c>
      <c r="G2477" s="21"/>
      <c r="H2477" s="21">
        <v>46235</v>
      </c>
      <c r="I2477" s="21">
        <v>46599</v>
      </c>
      <c r="J2477" s="19" t="s">
        <v>2099</v>
      </c>
      <c r="L2477" s="19">
        <v>105.034736</v>
      </c>
      <c r="M2477" s="19">
        <v>105.034736</v>
      </c>
      <c r="N2477" s="19" t="s">
        <v>1475</v>
      </c>
      <c r="O2477" s="20">
        <v>4</v>
      </c>
      <c r="S2477" s="19" t="s">
        <v>20</v>
      </c>
      <c r="T2477" s="19" t="s">
        <v>1471</v>
      </c>
    </row>
    <row r="2478" spans="1:20">
      <c r="A2478" s="20">
        <v>202604332513429</v>
      </c>
      <c r="B2478" s="19" t="s">
        <v>20</v>
      </c>
      <c r="C2478" s="19" t="s">
        <v>21</v>
      </c>
      <c r="D2478" s="19" t="s">
        <v>20</v>
      </c>
      <c r="E2478" s="21">
        <v>46235</v>
      </c>
      <c r="F2478" s="21">
        <v>46599</v>
      </c>
      <c r="G2478" s="21"/>
      <c r="H2478" s="21">
        <v>46235</v>
      </c>
      <c r="I2478" s="21">
        <v>46599</v>
      </c>
      <c r="J2478" s="19" t="s">
        <v>2068</v>
      </c>
      <c r="L2478" s="19">
        <v>0</v>
      </c>
      <c r="M2478" s="19">
        <v>0</v>
      </c>
      <c r="N2478" s="19" t="s">
        <v>2394</v>
      </c>
      <c r="O2478" s="20">
        <v>5</v>
      </c>
      <c r="S2478" s="19" t="s">
        <v>20</v>
      </c>
      <c r="T2478" s="19" t="s">
        <v>1471</v>
      </c>
    </row>
    <row r="2479" spans="1:20">
      <c r="A2479" s="20">
        <v>202604332513429</v>
      </c>
      <c r="B2479" s="19" t="s">
        <v>20</v>
      </c>
      <c r="C2479" s="19" t="s">
        <v>21</v>
      </c>
      <c r="D2479" s="19" t="s">
        <v>20</v>
      </c>
      <c r="E2479" s="21">
        <v>46235</v>
      </c>
      <c r="F2479" s="21">
        <v>46599</v>
      </c>
      <c r="G2479" s="21"/>
      <c r="H2479" s="21">
        <v>46235</v>
      </c>
      <c r="I2479" s="21">
        <v>46599</v>
      </c>
      <c r="J2479" s="19" t="s">
        <v>2068</v>
      </c>
      <c r="L2479" s="19">
        <v>131.29342</v>
      </c>
      <c r="M2479" s="19">
        <v>131.29342</v>
      </c>
      <c r="N2479" s="19" t="s">
        <v>1475</v>
      </c>
      <c r="O2479" s="20">
        <v>5</v>
      </c>
      <c r="S2479" s="19" t="s">
        <v>20</v>
      </c>
      <c r="T2479" s="19" t="s">
        <v>1471</v>
      </c>
    </row>
    <row r="2480" spans="1:20">
      <c r="A2480" s="20">
        <v>202604332515378</v>
      </c>
      <c r="B2480" s="19" t="s">
        <v>20</v>
      </c>
      <c r="C2480" s="19" t="s">
        <v>21</v>
      </c>
      <c r="D2480" s="19" t="s">
        <v>20</v>
      </c>
      <c r="E2480" s="21">
        <v>46235</v>
      </c>
      <c r="F2480" s="21">
        <v>46599</v>
      </c>
      <c r="G2480" s="21"/>
      <c r="H2480" s="21">
        <v>46235</v>
      </c>
      <c r="I2480" s="21">
        <v>46599</v>
      </c>
      <c r="J2480" s="19" t="s">
        <v>2102</v>
      </c>
      <c r="L2480" s="19">
        <v>0</v>
      </c>
      <c r="M2480" s="19">
        <v>0</v>
      </c>
      <c r="N2480" s="19" t="s">
        <v>2394</v>
      </c>
      <c r="O2480" s="20">
        <v>4</v>
      </c>
      <c r="S2480" s="19" t="s">
        <v>20</v>
      </c>
      <c r="T2480" s="19" t="s">
        <v>1471</v>
      </c>
    </row>
    <row r="2481" spans="1:20">
      <c r="A2481" s="20">
        <v>202604332515378</v>
      </c>
      <c r="B2481" s="19" t="s">
        <v>20</v>
      </c>
      <c r="C2481" s="19" t="s">
        <v>21</v>
      </c>
      <c r="D2481" s="19" t="s">
        <v>20</v>
      </c>
      <c r="E2481" s="21">
        <v>46235</v>
      </c>
      <c r="F2481" s="21">
        <v>46599</v>
      </c>
      <c r="G2481" s="21"/>
      <c r="H2481" s="21">
        <v>46235</v>
      </c>
      <c r="I2481" s="21">
        <v>46599</v>
      </c>
      <c r="J2481" s="19" t="s">
        <v>2102</v>
      </c>
      <c r="L2481" s="19">
        <v>105.034736</v>
      </c>
      <c r="M2481" s="19">
        <v>105.034736</v>
      </c>
      <c r="N2481" s="19" t="s">
        <v>1475</v>
      </c>
      <c r="O2481" s="20">
        <v>4</v>
      </c>
      <c r="S2481" s="19" t="s">
        <v>20</v>
      </c>
      <c r="T2481" s="19" t="s">
        <v>1471</v>
      </c>
    </row>
    <row r="2482" spans="1:20">
      <c r="A2482" s="20">
        <v>202604332515379</v>
      </c>
      <c r="B2482" s="19" t="s">
        <v>20</v>
      </c>
      <c r="C2482" s="19" t="s">
        <v>21</v>
      </c>
      <c r="D2482" s="19" t="s">
        <v>2490</v>
      </c>
      <c r="E2482" s="21">
        <v>46235</v>
      </c>
      <c r="F2482" s="21">
        <v>46599</v>
      </c>
      <c r="G2482" s="21"/>
      <c r="H2482" s="21">
        <v>46235</v>
      </c>
      <c r="I2482" s="21">
        <v>46599</v>
      </c>
      <c r="J2482" s="19" t="s">
        <v>2093</v>
      </c>
      <c r="L2482" s="19">
        <v>28.776034249999999</v>
      </c>
      <c r="M2482" s="19">
        <v>28.776034249999999</v>
      </c>
      <c r="N2482" s="19" t="s">
        <v>1467</v>
      </c>
      <c r="O2482" s="20">
        <v>1</v>
      </c>
      <c r="S2482" s="19" t="s">
        <v>20</v>
      </c>
      <c r="T2482" s="19" t="s">
        <v>1471</v>
      </c>
    </row>
    <row r="2483" spans="1:20">
      <c r="A2483" s="20">
        <v>202604332515384</v>
      </c>
      <c r="B2483" s="19" t="s">
        <v>20</v>
      </c>
      <c r="C2483" s="19" t="s">
        <v>21</v>
      </c>
      <c r="D2483" s="19" t="s">
        <v>20</v>
      </c>
      <c r="E2483" s="21">
        <v>46235</v>
      </c>
      <c r="F2483" s="21">
        <v>46599</v>
      </c>
      <c r="G2483" s="21"/>
      <c r="H2483" s="21">
        <v>46235</v>
      </c>
      <c r="I2483" s="21">
        <v>46599</v>
      </c>
      <c r="J2483" s="19" t="s">
        <v>2085</v>
      </c>
      <c r="L2483" s="19">
        <v>0</v>
      </c>
      <c r="M2483" s="19">
        <v>0</v>
      </c>
      <c r="N2483" s="19" t="s">
        <v>2394</v>
      </c>
      <c r="O2483" s="20">
        <v>2</v>
      </c>
      <c r="S2483" s="19" t="s">
        <v>20</v>
      </c>
      <c r="T2483" s="19" t="s">
        <v>1471</v>
      </c>
    </row>
    <row r="2484" spans="1:20">
      <c r="A2484" s="20">
        <v>202604332515384</v>
      </c>
      <c r="B2484" s="19" t="s">
        <v>20</v>
      </c>
      <c r="C2484" s="19" t="s">
        <v>21</v>
      </c>
      <c r="D2484" s="19" t="s">
        <v>2489</v>
      </c>
      <c r="E2484" s="21">
        <v>46235</v>
      </c>
      <c r="F2484" s="21">
        <v>46599</v>
      </c>
      <c r="G2484" s="21"/>
      <c r="H2484" s="21">
        <v>46235</v>
      </c>
      <c r="I2484" s="21">
        <v>46599</v>
      </c>
      <c r="J2484" s="19" t="s">
        <v>2085</v>
      </c>
      <c r="L2484" s="19">
        <v>49.241346999999998</v>
      </c>
      <c r="M2484" s="19">
        <v>49.241346999999998</v>
      </c>
      <c r="N2484" s="19" t="s">
        <v>1467</v>
      </c>
      <c r="O2484" s="20">
        <v>2</v>
      </c>
      <c r="S2484" s="19" t="s">
        <v>20</v>
      </c>
      <c r="T2484" s="19" t="s">
        <v>1471</v>
      </c>
    </row>
    <row r="2485" spans="1:20">
      <c r="A2485" s="20">
        <v>202604332516224</v>
      </c>
      <c r="B2485" s="19" t="s">
        <v>20</v>
      </c>
      <c r="C2485" s="19" t="s">
        <v>21</v>
      </c>
      <c r="D2485" s="19" t="s">
        <v>20</v>
      </c>
      <c r="E2485" s="21">
        <v>46235</v>
      </c>
      <c r="F2485" s="21">
        <v>46599</v>
      </c>
      <c r="G2485" s="21"/>
      <c r="H2485" s="21">
        <v>46235</v>
      </c>
      <c r="I2485" s="21">
        <v>46599</v>
      </c>
      <c r="J2485" s="19" t="s">
        <v>2235</v>
      </c>
      <c r="L2485" s="19">
        <v>0</v>
      </c>
      <c r="M2485" s="19">
        <v>0</v>
      </c>
      <c r="N2485" s="19" t="s">
        <v>2394</v>
      </c>
      <c r="O2485" s="20">
        <v>3</v>
      </c>
      <c r="S2485" s="19" t="s">
        <v>20</v>
      </c>
      <c r="T2485" s="19" t="s">
        <v>1471</v>
      </c>
    </row>
    <row r="2486" spans="1:20">
      <c r="A2486" s="20">
        <v>202604332516224</v>
      </c>
      <c r="B2486" s="19" t="s">
        <v>20</v>
      </c>
      <c r="C2486" s="19" t="s">
        <v>21</v>
      </c>
      <c r="D2486" s="19" t="s">
        <v>2488</v>
      </c>
      <c r="E2486" s="21">
        <v>46235</v>
      </c>
      <c r="F2486" s="21">
        <v>46599</v>
      </c>
      <c r="G2486" s="21"/>
      <c r="H2486" s="21">
        <v>46235</v>
      </c>
      <c r="I2486" s="21">
        <v>46599</v>
      </c>
      <c r="J2486" s="19" t="s">
        <v>2235</v>
      </c>
      <c r="L2486" s="19">
        <v>50.1815505</v>
      </c>
      <c r="M2486" s="19">
        <v>50.1815505</v>
      </c>
      <c r="N2486" s="19" t="s">
        <v>1467</v>
      </c>
      <c r="O2486" s="20">
        <v>3</v>
      </c>
      <c r="S2486" s="19" t="s">
        <v>20</v>
      </c>
      <c r="T2486" s="19" t="s">
        <v>1471</v>
      </c>
    </row>
    <row r="2487" spans="1:20">
      <c r="A2487" s="20">
        <v>202604332516412</v>
      </c>
      <c r="B2487" s="19" t="s">
        <v>20</v>
      </c>
      <c r="C2487" s="19" t="s">
        <v>21</v>
      </c>
      <c r="D2487" s="19" t="s">
        <v>20</v>
      </c>
      <c r="E2487" s="21">
        <v>46235</v>
      </c>
      <c r="F2487" s="21">
        <v>46599</v>
      </c>
      <c r="G2487" s="21"/>
      <c r="H2487" s="21">
        <v>46235</v>
      </c>
      <c r="I2487" s="21">
        <v>46599</v>
      </c>
      <c r="J2487" s="19" t="s">
        <v>2089</v>
      </c>
      <c r="L2487" s="19">
        <v>0</v>
      </c>
      <c r="M2487" s="19">
        <v>0</v>
      </c>
      <c r="N2487" s="19" t="s">
        <v>2394</v>
      </c>
      <c r="O2487" s="20">
        <v>3</v>
      </c>
      <c r="S2487" s="19" t="s">
        <v>20</v>
      </c>
      <c r="T2487" s="19" t="s">
        <v>1471</v>
      </c>
    </row>
    <row r="2488" spans="1:20">
      <c r="A2488" s="20">
        <v>202604332516412</v>
      </c>
      <c r="B2488" s="19" t="s">
        <v>20</v>
      </c>
      <c r="C2488" s="19" t="s">
        <v>21</v>
      </c>
      <c r="D2488" s="19" t="s">
        <v>20</v>
      </c>
      <c r="E2488" s="21">
        <v>46235</v>
      </c>
      <c r="F2488" s="21">
        <v>46599</v>
      </c>
      <c r="G2488" s="21"/>
      <c r="H2488" s="21">
        <v>46235</v>
      </c>
      <c r="I2488" s="21">
        <v>46599</v>
      </c>
      <c r="J2488" s="19" t="s">
        <v>2089</v>
      </c>
      <c r="L2488" s="19">
        <v>71.904872249999997</v>
      </c>
      <c r="M2488" s="19">
        <v>71.904872249999997</v>
      </c>
      <c r="N2488" s="19" t="s">
        <v>1475</v>
      </c>
      <c r="O2488" s="20">
        <v>3</v>
      </c>
      <c r="S2488" s="19" t="s">
        <v>20</v>
      </c>
      <c r="T2488" s="19" t="s">
        <v>1471</v>
      </c>
    </row>
    <row r="2489" spans="1:20">
      <c r="A2489" s="20">
        <v>202604332516431</v>
      </c>
      <c r="B2489" s="19" t="s">
        <v>20</v>
      </c>
      <c r="C2489" s="19" t="s">
        <v>21</v>
      </c>
      <c r="D2489" s="19" t="s">
        <v>20</v>
      </c>
      <c r="E2489" s="21">
        <v>46235</v>
      </c>
      <c r="F2489" s="21">
        <v>46599</v>
      </c>
      <c r="G2489" s="21"/>
      <c r="H2489" s="21">
        <v>46235</v>
      </c>
      <c r="I2489" s="21">
        <v>46599</v>
      </c>
      <c r="J2489" s="19" t="s">
        <v>2064</v>
      </c>
      <c r="L2489" s="19">
        <v>33.130630250000003</v>
      </c>
      <c r="M2489" s="19">
        <v>33.130630250000003</v>
      </c>
      <c r="N2489" s="19" t="s">
        <v>1475</v>
      </c>
      <c r="O2489" s="20">
        <v>1</v>
      </c>
      <c r="S2489" s="19" t="s">
        <v>20</v>
      </c>
      <c r="T2489" s="19" t="s">
        <v>1471</v>
      </c>
    </row>
    <row r="2490" spans="1:20">
      <c r="A2490" s="20">
        <v>202604332517494</v>
      </c>
      <c r="B2490" s="19" t="s">
        <v>20</v>
      </c>
      <c r="C2490" s="19" t="s">
        <v>21</v>
      </c>
      <c r="D2490" s="19" t="s">
        <v>2487</v>
      </c>
      <c r="E2490" s="21">
        <v>46235</v>
      </c>
      <c r="F2490" s="21">
        <v>46599</v>
      </c>
      <c r="G2490" s="21"/>
      <c r="H2490" s="21">
        <v>46235</v>
      </c>
      <c r="I2490" s="21">
        <v>46599</v>
      </c>
      <c r="J2490" s="19" t="s">
        <v>2195</v>
      </c>
      <c r="L2490" s="19">
        <v>21.36587725</v>
      </c>
      <c r="M2490" s="19">
        <v>21.36587725</v>
      </c>
      <c r="N2490" s="19" t="s">
        <v>1467</v>
      </c>
      <c r="O2490" s="20">
        <v>1</v>
      </c>
      <c r="S2490" s="19" t="s">
        <v>20</v>
      </c>
      <c r="T2490" s="19" t="s">
        <v>1471</v>
      </c>
    </row>
    <row r="2491" spans="1:20">
      <c r="A2491" s="20">
        <v>202604332517838</v>
      </c>
      <c r="B2491" s="19" t="s">
        <v>20</v>
      </c>
      <c r="C2491" s="19" t="s">
        <v>21</v>
      </c>
      <c r="D2491" s="19" t="s">
        <v>20</v>
      </c>
      <c r="E2491" s="21">
        <v>46235</v>
      </c>
      <c r="F2491" s="21">
        <v>46599</v>
      </c>
      <c r="G2491" s="21"/>
      <c r="H2491" s="21">
        <v>46235</v>
      </c>
      <c r="I2491" s="21">
        <v>46599</v>
      </c>
      <c r="J2491" s="19" t="s">
        <v>2111</v>
      </c>
      <c r="L2491" s="19">
        <v>0</v>
      </c>
      <c r="M2491" s="19">
        <v>0</v>
      </c>
      <c r="N2491" s="19" t="s">
        <v>2394</v>
      </c>
      <c r="O2491" s="20">
        <v>5</v>
      </c>
      <c r="S2491" s="19" t="s">
        <v>20</v>
      </c>
      <c r="T2491" s="19" t="s">
        <v>1471</v>
      </c>
    </row>
    <row r="2492" spans="1:20">
      <c r="A2492" s="20">
        <v>202604332517838</v>
      </c>
      <c r="B2492" s="19" t="s">
        <v>20</v>
      </c>
      <c r="C2492" s="19" t="s">
        <v>21</v>
      </c>
      <c r="D2492" s="19" t="s">
        <v>2486</v>
      </c>
      <c r="E2492" s="21">
        <v>46235</v>
      </c>
      <c r="F2492" s="21">
        <v>46599</v>
      </c>
      <c r="G2492" s="21"/>
      <c r="H2492" s="21">
        <v>46235</v>
      </c>
      <c r="I2492" s="21">
        <v>46599</v>
      </c>
      <c r="J2492" s="19" t="s">
        <v>2111</v>
      </c>
      <c r="L2492" s="19">
        <v>165.65315125000001</v>
      </c>
      <c r="M2492" s="19">
        <v>165.65315125000001</v>
      </c>
      <c r="N2492" s="19" t="s">
        <v>1467</v>
      </c>
      <c r="O2492" s="20">
        <v>5</v>
      </c>
      <c r="S2492" s="19" t="s">
        <v>20</v>
      </c>
      <c r="T2492" s="19" t="s">
        <v>1471</v>
      </c>
    </row>
    <row r="2493" spans="1:20">
      <c r="A2493" s="20">
        <v>202604332517894</v>
      </c>
      <c r="B2493" s="19" t="s">
        <v>20</v>
      </c>
      <c r="C2493" s="19" t="s">
        <v>21</v>
      </c>
      <c r="D2493" s="19" t="s">
        <v>20</v>
      </c>
      <c r="E2493" s="21">
        <v>46235</v>
      </c>
      <c r="F2493" s="21">
        <v>46599</v>
      </c>
      <c r="G2493" s="21"/>
      <c r="H2493" s="21">
        <v>46235</v>
      </c>
      <c r="I2493" s="21">
        <v>46599</v>
      </c>
      <c r="J2493" s="19" t="s">
        <v>2087</v>
      </c>
      <c r="L2493" s="19">
        <v>0</v>
      </c>
      <c r="M2493" s="19">
        <v>0</v>
      </c>
      <c r="N2493" s="19" t="s">
        <v>2394</v>
      </c>
      <c r="O2493" s="20">
        <v>4</v>
      </c>
      <c r="S2493" s="19" t="s">
        <v>20</v>
      </c>
      <c r="T2493" s="19" t="s">
        <v>1471</v>
      </c>
    </row>
    <row r="2494" spans="1:20">
      <c r="A2494" s="20">
        <v>202604332517894</v>
      </c>
      <c r="B2494" s="19" t="s">
        <v>20</v>
      </c>
      <c r="C2494" s="19" t="s">
        <v>21</v>
      </c>
      <c r="D2494" s="19" t="s">
        <v>20</v>
      </c>
      <c r="E2494" s="21">
        <v>46235</v>
      </c>
      <c r="F2494" s="21">
        <v>46599</v>
      </c>
      <c r="G2494" s="21"/>
      <c r="H2494" s="21">
        <v>46235</v>
      </c>
      <c r="I2494" s="21">
        <v>46599</v>
      </c>
      <c r="J2494" s="19" t="s">
        <v>2087</v>
      </c>
      <c r="L2494" s="19">
        <v>132.52252100000001</v>
      </c>
      <c r="M2494" s="19">
        <v>132.52252100000001</v>
      </c>
      <c r="N2494" s="19" t="s">
        <v>1475</v>
      </c>
      <c r="O2494" s="20">
        <v>4</v>
      </c>
      <c r="S2494" s="19" t="s">
        <v>20</v>
      </c>
      <c r="T2494" s="19" t="s">
        <v>1471</v>
      </c>
    </row>
    <row r="2495" spans="1:20">
      <c r="A2495" s="20">
        <v>202604332518202</v>
      </c>
      <c r="B2495" s="19" t="s">
        <v>20</v>
      </c>
      <c r="C2495" s="19" t="s">
        <v>21</v>
      </c>
      <c r="D2495" s="19" t="s">
        <v>20</v>
      </c>
      <c r="E2495" s="21">
        <v>46235</v>
      </c>
      <c r="F2495" s="21">
        <v>46599</v>
      </c>
      <c r="G2495" s="21"/>
      <c r="H2495" s="21">
        <v>46235</v>
      </c>
      <c r="I2495" s="21">
        <v>46599</v>
      </c>
      <c r="J2495" s="19" t="s">
        <v>2087</v>
      </c>
      <c r="L2495" s="19">
        <v>66.261260500000006</v>
      </c>
      <c r="M2495" s="19">
        <v>66.261260500000006</v>
      </c>
      <c r="N2495" s="19" t="s">
        <v>1475</v>
      </c>
      <c r="O2495" s="20">
        <v>2</v>
      </c>
      <c r="S2495" s="19" t="s">
        <v>20</v>
      </c>
      <c r="T2495" s="19" t="s">
        <v>1471</v>
      </c>
    </row>
    <row r="2496" spans="1:20">
      <c r="A2496" s="20">
        <v>202604332518506</v>
      </c>
      <c r="B2496" s="19" t="s">
        <v>20</v>
      </c>
      <c r="C2496" s="19" t="s">
        <v>21</v>
      </c>
      <c r="D2496" s="19" t="s">
        <v>20</v>
      </c>
      <c r="E2496" s="21">
        <v>46235</v>
      </c>
      <c r="F2496" s="21">
        <v>46599</v>
      </c>
      <c r="G2496" s="21"/>
      <c r="H2496" s="21">
        <v>46235</v>
      </c>
      <c r="I2496" s="21">
        <v>46599</v>
      </c>
      <c r="J2496" s="19" t="s">
        <v>2135</v>
      </c>
      <c r="L2496" s="19">
        <v>99.391890750000002</v>
      </c>
      <c r="M2496" s="19">
        <v>99.391890750000002</v>
      </c>
      <c r="N2496" s="19" t="s">
        <v>1475</v>
      </c>
      <c r="O2496" s="20">
        <v>3</v>
      </c>
      <c r="S2496" s="19" t="s">
        <v>20</v>
      </c>
      <c r="T2496" s="19" t="s">
        <v>1471</v>
      </c>
    </row>
    <row r="2497" spans="1:20">
      <c r="A2497" s="20">
        <v>202604332520646</v>
      </c>
      <c r="B2497" s="19" t="s">
        <v>20</v>
      </c>
      <c r="C2497" s="19" t="s">
        <v>21</v>
      </c>
      <c r="D2497" s="19" t="s">
        <v>20</v>
      </c>
      <c r="E2497" s="21">
        <v>46235</v>
      </c>
      <c r="F2497" s="21">
        <v>46599</v>
      </c>
      <c r="G2497" s="21"/>
      <c r="H2497" s="21">
        <v>46235</v>
      </c>
      <c r="I2497" s="21">
        <v>46599</v>
      </c>
      <c r="J2497" s="19" t="s">
        <v>2064</v>
      </c>
      <c r="L2497" s="19">
        <v>0</v>
      </c>
      <c r="M2497" s="19">
        <v>0</v>
      </c>
      <c r="N2497" s="19" t="s">
        <v>2394</v>
      </c>
      <c r="O2497" s="20">
        <v>4</v>
      </c>
      <c r="S2497" s="19" t="s">
        <v>20</v>
      </c>
      <c r="T2497" s="19" t="s">
        <v>1471</v>
      </c>
    </row>
    <row r="2498" spans="1:20">
      <c r="A2498" s="20">
        <v>202604332520646</v>
      </c>
      <c r="B2498" s="19" t="s">
        <v>20</v>
      </c>
      <c r="C2498" s="19" t="s">
        <v>21</v>
      </c>
      <c r="D2498" s="19" t="s">
        <v>20</v>
      </c>
      <c r="E2498" s="21">
        <v>46235</v>
      </c>
      <c r="F2498" s="21">
        <v>46599</v>
      </c>
      <c r="G2498" s="21"/>
      <c r="H2498" s="21">
        <v>46235</v>
      </c>
      <c r="I2498" s="21">
        <v>46599</v>
      </c>
      <c r="J2498" s="19" t="s">
        <v>2064</v>
      </c>
      <c r="L2498" s="19">
        <v>132.52252100000001</v>
      </c>
      <c r="M2498" s="19">
        <v>132.52252100000001</v>
      </c>
      <c r="N2498" s="19" t="s">
        <v>1475</v>
      </c>
      <c r="O2498" s="20">
        <v>4</v>
      </c>
      <c r="S2498" s="19" t="s">
        <v>20</v>
      </c>
      <c r="T2498" s="19" t="s">
        <v>1471</v>
      </c>
    </row>
    <row r="2499" spans="1:20">
      <c r="A2499" s="20">
        <v>202604332522239</v>
      </c>
      <c r="B2499" s="19" t="s">
        <v>20</v>
      </c>
      <c r="C2499" s="19" t="s">
        <v>21</v>
      </c>
      <c r="D2499" s="19" t="s">
        <v>20</v>
      </c>
      <c r="E2499" s="21">
        <v>46235</v>
      </c>
      <c r="F2499" s="21">
        <v>46599</v>
      </c>
      <c r="G2499" s="21"/>
      <c r="H2499" s="21">
        <v>46235</v>
      </c>
      <c r="I2499" s="21">
        <v>46599</v>
      </c>
      <c r="J2499" s="19" t="s">
        <v>2068</v>
      </c>
      <c r="L2499" s="19">
        <v>78.776052000000007</v>
      </c>
      <c r="M2499" s="19">
        <v>78.776052000000007</v>
      </c>
      <c r="N2499" s="19" t="s">
        <v>1475</v>
      </c>
      <c r="O2499" s="20">
        <v>3</v>
      </c>
      <c r="S2499" s="19" t="s">
        <v>20</v>
      </c>
      <c r="T2499" s="19" t="s">
        <v>1471</v>
      </c>
    </row>
    <row r="2500" spans="1:20">
      <c r="A2500" s="20">
        <v>202604332525070</v>
      </c>
      <c r="B2500" s="19" t="s">
        <v>20</v>
      </c>
      <c r="C2500" s="19" t="s">
        <v>21</v>
      </c>
      <c r="D2500" s="19" t="s">
        <v>20</v>
      </c>
      <c r="E2500" s="21">
        <v>46235</v>
      </c>
      <c r="F2500" s="21">
        <v>46599</v>
      </c>
      <c r="G2500" s="21"/>
      <c r="H2500" s="21">
        <v>46235</v>
      </c>
      <c r="I2500" s="21">
        <v>46599</v>
      </c>
      <c r="J2500" s="19" t="s">
        <v>2085</v>
      </c>
      <c r="L2500" s="19">
        <v>24.620673499999999</v>
      </c>
      <c r="M2500" s="19">
        <v>24.620673499999999</v>
      </c>
      <c r="N2500" s="19" t="s">
        <v>1475</v>
      </c>
      <c r="O2500" s="20">
        <v>1</v>
      </c>
      <c r="S2500" s="19" t="s">
        <v>20</v>
      </c>
      <c r="T2500" s="19" t="s">
        <v>1471</v>
      </c>
    </row>
    <row r="2501" spans="1:20">
      <c r="A2501" s="20">
        <v>202604332525258</v>
      </c>
      <c r="B2501" s="19" t="s">
        <v>20</v>
      </c>
      <c r="C2501" s="19" t="s">
        <v>21</v>
      </c>
      <c r="D2501" s="19" t="s">
        <v>20</v>
      </c>
      <c r="E2501" s="21">
        <v>46235</v>
      </c>
      <c r="F2501" s="21">
        <v>46599</v>
      </c>
      <c r="G2501" s="21"/>
      <c r="H2501" s="21">
        <v>46235</v>
      </c>
      <c r="I2501" s="21">
        <v>46599</v>
      </c>
      <c r="J2501" s="19" t="s">
        <v>2114</v>
      </c>
      <c r="L2501" s="19">
        <v>33.130630250000003</v>
      </c>
      <c r="M2501" s="19">
        <v>33.130630250000003</v>
      </c>
      <c r="N2501" s="19" t="s">
        <v>1475</v>
      </c>
      <c r="O2501" s="20">
        <v>1</v>
      </c>
      <c r="S2501" s="19" t="s">
        <v>20</v>
      </c>
      <c r="T2501" s="19" t="s">
        <v>1471</v>
      </c>
    </row>
    <row r="2502" spans="1:20">
      <c r="A2502" s="20">
        <v>202604332525543</v>
      </c>
      <c r="B2502" s="19" t="s">
        <v>20</v>
      </c>
      <c r="C2502" s="19" t="s">
        <v>21</v>
      </c>
      <c r="D2502" s="19" t="s">
        <v>20</v>
      </c>
      <c r="E2502" s="21">
        <v>46235</v>
      </c>
      <c r="F2502" s="21">
        <v>46599</v>
      </c>
      <c r="G2502" s="21"/>
      <c r="H2502" s="21">
        <v>46235</v>
      </c>
      <c r="I2502" s="21">
        <v>46599</v>
      </c>
      <c r="J2502" s="19" t="s">
        <v>2272</v>
      </c>
      <c r="L2502" s="19">
        <v>0</v>
      </c>
      <c r="M2502" s="19">
        <v>0</v>
      </c>
      <c r="N2502" s="19" t="s">
        <v>2394</v>
      </c>
      <c r="O2502" s="20">
        <v>2</v>
      </c>
      <c r="S2502" s="19" t="s">
        <v>20</v>
      </c>
      <c r="T2502" s="19" t="s">
        <v>1471</v>
      </c>
    </row>
    <row r="2503" spans="1:20">
      <c r="A2503" s="20">
        <v>202604332525543</v>
      </c>
      <c r="B2503" s="19" t="s">
        <v>20</v>
      </c>
      <c r="C2503" s="19" t="s">
        <v>21</v>
      </c>
      <c r="D2503" s="19" t="s">
        <v>20</v>
      </c>
      <c r="E2503" s="21">
        <v>46235</v>
      </c>
      <c r="F2503" s="21">
        <v>46599</v>
      </c>
      <c r="G2503" s="21"/>
      <c r="H2503" s="21">
        <v>46235</v>
      </c>
      <c r="I2503" s="21">
        <v>46599</v>
      </c>
      <c r="J2503" s="19" t="s">
        <v>2272</v>
      </c>
      <c r="L2503" s="19">
        <v>66.261260500000006</v>
      </c>
      <c r="M2503" s="19">
        <v>66.261260500000006</v>
      </c>
      <c r="N2503" s="19" t="s">
        <v>1475</v>
      </c>
      <c r="O2503" s="20">
        <v>2</v>
      </c>
      <c r="S2503" s="19" t="s">
        <v>20</v>
      </c>
      <c r="T2503" s="19" t="s">
        <v>1471</v>
      </c>
    </row>
    <row r="2504" spans="1:20">
      <c r="A2504" s="20">
        <v>202604332525652</v>
      </c>
      <c r="B2504" s="19" t="s">
        <v>20</v>
      </c>
      <c r="C2504" s="19" t="s">
        <v>21</v>
      </c>
      <c r="D2504" s="19" t="s">
        <v>20</v>
      </c>
      <c r="E2504" s="21">
        <v>46235</v>
      </c>
      <c r="F2504" s="21">
        <v>46599</v>
      </c>
      <c r="G2504" s="21"/>
      <c r="H2504" s="21">
        <v>46235</v>
      </c>
      <c r="I2504" s="21">
        <v>46599</v>
      </c>
      <c r="J2504" s="19" t="s">
        <v>2064</v>
      </c>
      <c r="L2504" s="19">
        <v>33.130630250000003</v>
      </c>
      <c r="M2504" s="19">
        <v>33.130630250000003</v>
      </c>
      <c r="N2504" s="19" t="s">
        <v>1475</v>
      </c>
      <c r="O2504" s="20">
        <v>1</v>
      </c>
      <c r="S2504" s="19" t="s">
        <v>20</v>
      </c>
      <c r="T2504" s="19" t="s">
        <v>1471</v>
      </c>
    </row>
    <row r="2505" spans="1:20">
      <c r="A2505" s="20">
        <v>202604332526708</v>
      </c>
      <c r="B2505" s="19" t="s">
        <v>20</v>
      </c>
      <c r="C2505" s="19" t="s">
        <v>21</v>
      </c>
      <c r="D2505" s="19" t="s">
        <v>20</v>
      </c>
      <c r="E2505" s="21">
        <v>46235</v>
      </c>
      <c r="F2505" s="21">
        <v>46599</v>
      </c>
      <c r="G2505" s="21"/>
      <c r="H2505" s="21">
        <v>46235</v>
      </c>
      <c r="I2505" s="21">
        <v>46599</v>
      </c>
      <c r="J2505" s="19" t="s">
        <v>2102</v>
      </c>
      <c r="L2505" s="19">
        <v>26.258683999999999</v>
      </c>
      <c r="M2505" s="19">
        <v>26.258683999999999</v>
      </c>
      <c r="N2505" s="19" t="s">
        <v>1475</v>
      </c>
      <c r="O2505" s="20">
        <v>1</v>
      </c>
      <c r="S2505" s="19" t="s">
        <v>20</v>
      </c>
      <c r="T2505" s="19" t="s">
        <v>1471</v>
      </c>
    </row>
    <row r="2506" spans="1:20">
      <c r="A2506" s="20">
        <v>202604332527416</v>
      </c>
      <c r="B2506" s="19" t="s">
        <v>20</v>
      </c>
      <c r="C2506" s="19" t="s">
        <v>21</v>
      </c>
      <c r="D2506" s="19" t="s">
        <v>20</v>
      </c>
      <c r="E2506" s="21">
        <v>46235</v>
      </c>
      <c r="F2506" s="21">
        <v>46599</v>
      </c>
      <c r="G2506" s="21"/>
      <c r="H2506" s="21">
        <v>46235</v>
      </c>
      <c r="I2506" s="21">
        <v>46599</v>
      </c>
      <c r="J2506" s="19" t="s">
        <v>2062</v>
      </c>
      <c r="L2506" s="19">
        <v>0</v>
      </c>
      <c r="M2506" s="19">
        <v>0</v>
      </c>
      <c r="N2506" s="19" t="s">
        <v>2394</v>
      </c>
      <c r="O2506" s="20">
        <v>4</v>
      </c>
      <c r="S2506" s="19" t="s">
        <v>20</v>
      </c>
      <c r="T2506" s="19" t="s">
        <v>1471</v>
      </c>
    </row>
    <row r="2507" spans="1:20">
      <c r="A2507" s="20">
        <v>202604332527416</v>
      </c>
      <c r="B2507" s="19" t="s">
        <v>20</v>
      </c>
      <c r="C2507" s="19" t="s">
        <v>21</v>
      </c>
      <c r="D2507" s="19" t="s">
        <v>20</v>
      </c>
      <c r="E2507" s="21">
        <v>46235</v>
      </c>
      <c r="F2507" s="21">
        <v>46599</v>
      </c>
      <c r="G2507" s="21"/>
      <c r="H2507" s="21">
        <v>46235</v>
      </c>
      <c r="I2507" s="21">
        <v>46599</v>
      </c>
      <c r="J2507" s="19" t="s">
        <v>2062</v>
      </c>
      <c r="L2507" s="19">
        <v>132.52252100000001</v>
      </c>
      <c r="M2507" s="19">
        <v>132.52252100000001</v>
      </c>
      <c r="N2507" s="19" t="s">
        <v>1475</v>
      </c>
      <c r="O2507" s="20">
        <v>4</v>
      </c>
      <c r="S2507" s="19" t="s">
        <v>20</v>
      </c>
      <c r="T2507" s="19" t="s">
        <v>1471</v>
      </c>
    </row>
    <row r="2508" spans="1:20">
      <c r="A2508" s="20">
        <v>202604332529484</v>
      </c>
      <c r="B2508" s="19" t="s">
        <v>20</v>
      </c>
      <c r="C2508" s="19" t="s">
        <v>21</v>
      </c>
      <c r="D2508" s="19" t="s">
        <v>20</v>
      </c>
      <c r="E2508" s="21">
        <v>46235</v>
      </c>
      <c r="F2508" s="21">
        <v>46599</v>
      </c>
      <c r="G2508" s="21"/>
      <c r="H2508" s="21">
        <v>46235</v>
      </c>
      <c r="I2508" s="21">
        <v>46599</v>
      </c>
      <c r="J2508" s="19" t="s">
        <v>2151</v>
      </c>
      <c r="L2508" s="19">
        <v>0</v>
      </c>
      <c r="M2508" s="19">
        <v>0</v>
      </c>
      <c r="N2508" s="19" t="s">
        <v>2394</v>
      </c>
      <c r="O2508" s="20">
        <v>7</v>
      </c>
      <c r="S2508" s="19" t="s">
        <v>20</v>
      </c>
      <c r="T2508" s="19" t="s">
        <v>1471</v>
      </c>
    </row>
    <row r="2509" spans="1:20">
      <c r="A2509" s="20">
        <v>202604332529484</v>
      </c>
      <c r="B2509" s="19" t="s">
        <v>20</v>
      </c>
      <c r="C2509" s="19" t="s">
        <v>21</v>
      </c>
      <c r="D2509" s="19" t="s">
        <v>20</v>
      </c>
      <c r="E2509" s="21">
        <v>46235</v>
      </c>
      <c r="F2509" s="21">
        <v>46599</v>
      </c>
      <c r="G2509" s="21"/>
      <c r="H2509" s="21">
        <v>46235</v>
      </c>
      <c r="I2509" s="21">
        <v>46599</v>
      </c>
      <c r="J2509" s="19" t="s">
        <v>2151</v>
      </c>
      <c r="L2509" s="19">
        <v>231.91441175</v>
      </c>
      <c r="M2509" s="19">
        <v>231.91441175</v>
      </c>
      <c r="N2509" s="19" t="s">
        <v>1475</v>
      </c>
      <c r="O2509" s="20">
        <v>7</v>
      </c>
      <c r="S2509" s="19" t="s">
        <v>20</v>
      </c>
      <c r="T2509" s="19" t="s">
        <v>1471</v>
      </c>
    </row>
    <row r="2510" spans="1:20">
      <c r="A2510" s="20">
        <v>202604332530886</v>
      </c>
      <c r="B2510" s="19" t="s">
        <v>20</v>
      </c>
      <c r="C2510" s="19" t="s">
        <v>21</v>
      </c>
      <c r="D2510" s="19" t="s">
        <v>20</v>
      </c>
      <c r="E2510" s="21">
        <v>46235</v>
      </c>
      <c r="F2510" s="21">
        <v>46599</v>
      </c>
      <c r="G2510" s="21"/>
      <c r="H2510" s="21">
        <v>46235</v>
      </c>
      <c r="I2510" s="21">
        <v>46599</v>
      </c>
      <c r="J2510" s="19" t="s">
        <v>2068</v>
      </c>
      <c r="L2510" s="19">
        <v>0</v>
      </c>
      <c r="M2510" s="19">
        <v>0</v>
      </c>
      <c r="N2510" s="19" t="s">
        <v>2394</v>
      </c>
      <c r="O2510" s="20">
        <v>4</v>
      </c>
      <c r="S2510" s="19" t="s">
        <v>20</v>
      </c>
      <c r="T2510" s="19" t="s">
        <v>1471</v>
      </c>
    </row>
    <row r="2511" spans="1:20">
      <c r="A2511" s="20">
        <v>202604332530886</v>
      </c>
      <c r="B2511" s="19" t="s">
        <v>20</v>
      </c>
      <c r="C2511" s="19" t="s">
        <v>21</v>
      </c>
      <c r="D2511" s="19" t="s">
        <v>20</v>
      </c>
      <c r="E2511" s="21">
        <v>46235</v>
      </c>
      <c r="F2511" s="21">
        <v>46599</v>
      </c>
      <c r="G2511" s="21"/>
      <c r="H2511" s="21">
        <v>46235</v>
      </c>
      <c r="I2511" s="21">
        <v>46599</v>
      </c>
      <c r="J2511" s="19" t="s">
        <v>2068</v>
      </c>
      <c r="L2511" s="19">
        <v>105.034736</v>
      </c>
      <c r="M2511" s="19">
        <v>105.034736</v>
      </c>
      <c r="N2511" s="19" t="s">
        <v>1475</v>
      </c>
      <c r="O2511" s="20">
        <v>4</v>
      </c>
      <c r="S2511" s="19" t="s">
        <v>20</v>
      </c>
      <c r="T2511" s="19" t="s">
        <v>1471</v>
      </c>
    </row>
    <row r="2512" spans="1:20">
      <c r="A2512" s="20">
        <v>202604332531597</v>
      </c>
      <c r="B2512" s="19" t="s">
        <v>20</v>
      </c>
      <c r="C2512" s="19" t="s">
        <v>21</v>
      </c>
      <c r="D2512" s="19" t="s">
        <v>20</v>
      </c>
      <c r="E2512" s="21">
        <v>46235</v>
      </c>
      <c r="F2512" s="21">
        <v>46599</v>
      </c>
      <c r="G2512" s="21"/>
      <c r="H2512" s="21">
        <v>46235</v>
      </c>
      <c r="I2512" s="21">
        <v>46599</v>
      </c>
      <c r="J2512" s="19" t="s">
        <v>2069</v>
      </c>
      <c r="L2512" s="19">
        <v>33.130630250000003</v>
      </c>
      <c r="M2512" s="19">
        <v>33.130630250000003</v>
      </c>
      <c r="N2512" s="19" t="s">
        <v>1475</v>
      </c>
      <c r="O2512" s="20">
        <v>1</v>
      </c>
      <c r="S2512" s="19" t="s">
        <v>20</v>
      </c>
      <c r="T2512" s="19" t="s">
        <v>1471</v>
      </c>
    </row>
    <row r="2513" spans="1:20">
      <c r="A2513" s="20">
        <v>202604332531795</v>
      </c>
      <c r="B2513" s="19" t="s">
        <v>20</v>
      </c>
      <c r="C2513" s="19" t="s">
        <v>21</v>
      </c>
      <c r="D2513" s="19" t="s">
        <v>20</v>
      </c>
      <c r="E2513" s="21">
        <v>46235</v>
      </c>
      <c r="F2513" s="21">
        <v>46599</v>
      </c>
      <c r="G2513" s="21"/>
      <c r="H2513" s="21">
        <v>46235</v>
      </c>
      <c r="I2513" s="21">
        <v>46599</v>
      </c>
      <c r="J2513" s="19" t="s">
        <v>2135</v>
      </c>
      <c r="L2513" s="19">
        <v>33.130630250000003</v>
      </c>
      <c r="M2513" s="19">
        <v>33.130630250000003</v>
      </c>
      <c r="N2513" s="19" t="s">
        <v>1475</v>
      </c>
      <c r="O2513" s="20">
        <v>1</v>
      </c>
      <c r="S2513" s="19" t="s">
        <v>20</v>
      </c>
      <c r="T2513" s="19" t="s">
        <v>1471</v>
      </c>
    </row>
    <row r="2514" spans="1:20">
      <c r="A2514" s="20">
        <v>202604332533149</v>
      </c>
      <c r="B2514" s="19" t="s">
        <v>20</v>
      </c>
      <c r="C2514" s="19" t="s">
        <v>21</v>
      </c>
      <c r="D2514" s="19" t="s">
        <v>20</v>
      </c>
      <c r="E2514" s="21">
        <v>46235</v>
      </c>
      <c r="F2514" s="21">
        <v>46599</v>
      </c>
      <c r="G2514" s="21"/>
      <c r="H2514" s="21">
        <v>46235</v>
      </c>
      <c r="I2514" s="21">
        <v>46599</v>
      </c>
      <c r="J2514" s="19" t="s">
        <v>2077</v>
      </c>
      <c r="L2514" s="19">
        <v>29.817561749999999</v>
      </c>
      <c r="M2514" s="19">
        <v>29.817561749999999</v>
      </c>
      <c r="N2514" s="19" t="s">
        <v>1475</v>
      </c>
      <c r="O2514" s="20">
        <v>1</v>
      </c>
      <c r="S2514" s="19" t="s">
        <v>20</v>
      </c>
      <c r="T2514" s="19" t="s">
        <v>1471</v>
      </c>
    </row>
    <row r="2515" spans="1:20">
      <c r="A2515" s="20">
        <v>202604332533405</v>
      </c>
      <c r="B2515" s="19" t="s">
        <v>20</v>
      </c>
      <c r="C2515" s="19" t="s">
        <v>21</v>
      </c>
      <c r="D2515" s="19" t="s">
        <v>20</v>
      </c>
      <c r="E2515" s="21">
        <v>46235</v>
      </c>
      <c r="F2515" s="21">
        <v>46599</v>
      </c>
      <c r="G2515" s="21"/>
      <c r="H2515" s="21">
        <v>46235</v>
      </c>
      <c r="I2515" s="21">
        <v>46599</v>
      </c>
      <c r="J2515" s="19" t="s">
        <v>2094</v>
      </c>
      <c r="L2515" s="19">
        <v>11.15002</v>
      </c>
      <c r="M2515" s="19">
        <v>11.15002</v>
      </c>
      <c r="N2515" s="19" t="s">
        <v>1475</v>
      </c>
      <c r="O2515" s="20">
        <v>1</v>
      </c>
      <c r="S2515" s="19" t="s">
        <v>20</v>
      </c>
      <c r="T2515" s="19" t="s">
        <v>1471</v>
      </c>
    </row>
    <row r="2516" spans="1:20">
      <c r="A2516" s="20">
        <v>202604332534011</v>
      </c>
      <c r="B2516" s="19" t="s">
        <v>20</v>
      </c>
      <c r="C2516" s="19" t="s">
        <v>21</v>
      </c>
      <c r="D2516" s="19" t="s">
        <v>20</v>
      </c>
      <c r="E2516" s="21">
        <v>46235</v>
      </c>
      <c r="F2516" s="21">
        <v>46599</v>
      </c>
      <c r="G2516" s="21"/>
      <c r="H2516" s="21">
        <v>46235</v>
      </c>
      <c r="I2516" s="21">
        <v>46599</v>
      </c>
      <c r="J2516" s="19" t="s">
        <v>2064</v>
      </c>
      <c r="L2516" s="19">
        <v>0</v>
      </c>
      <c r="M2516" s="19">
        <v>0</v>
      </c>
      <c r="N2516" s="19" t="s">
        <v>2394</v>
      </c>
      <c r="O2516" s="20">
        <v>4</v>
      </c>
      <c r="S2516" s="19" t="s">
        <v>20</v>
      </c>
      <c r="T2516" s="19" t="s">
        <v>1471</v>
      </c>
    </row>
    <row r="2517" spans="1:20">
      <c r="A2517" s="20">
        <v>202604332534011</v>
      </c>
      <c r="B2517" s="19" t="s">
        <v>20</v>
      </c>
      <c r="C2517" s="19" t="s">
        <v>21</v>
      </c>
      <c r="D2517" s="19" t="s">
        <v>20</v>
      </c>
      <c r="E2517" s="21">
        <v>46235</v>
      </c>
      <c r="F2517" s="21">
        <v>46599</v>
      </c>
      <c r="G2517" s="21"/>
      <c r="H2517" s="21">
        <v>46235</v>
      </c>
      <c r="I2517" s="21">
        <v>46599</v>
      </c>
      <c r="J2517" s="19" t="s">
        <v>2064</v>
      </c>
      <c r="L2517" s="19">
        <v>132.52252100000001</v>
      </c>
      <c r="M2517" s="19">
        <v>132.52252100000001</v>
      </c>
      <c r="N2517" s="19" t="s">
        <v>1475</v>
      </c>
      <c r="O2517" s="20">
        <v>4</v>
      </c>
      <c r="S2517" s="19" t="s">
        <v>20</v>
      </c>
      <c r="T2517" s="19" t="s">
        <v>1471</v>
      </c>
    </row>
    <row r="2518" spans="1:20">
      <c r="A2518" s="20">
        <v>202604332534188</v>
      </c>
      <c r="B2518" s="19" t="s">
        <v>20</v>
      </c>
      <c r="C2518" s="19" t="s">
        <v>21</v>
      </c>
      <c r="D2518" s="19" t="s">
        <v>20</v>
      </c>
      <c r="E2518" s="21">
        <v>46235</v>
      </c>
      <c r="F2518" s="21">
        <v>46599</v>
      </c>
      <c r="G2518" s="21"/>
      <c r="H2518" s="21">
        <v>46235</v>
      </c>
      <c r="I2518" s="21">
        <v>46599</v>
      </c>
      <c r="J2518" s="19" t="s">
        <v>2064</v>
      </c>
      <c r="L2518" s="19">
        <v>33.130630250000003</v>
      </c>
      <c r="M2518" s="19">
        <v>33.130630250000003</v>
      </c>
      <c r="N2518" s="19" t="s">
        <v>1475</v>
      </c>
      <c r="O2518" s="20">
        <v>1</v>
      </c>
      <c r="S2518" s="19" t="s">
        <v>20</v>
      </c>
      <c r="T2518" s="19" t="s">
        <v>1471</v>
      </c>
    </row>
    <row r="2519" spans="1:20">
      <c r="A2519" s="20">
        <v>202604332534829</v>
      </c>
      <c r="B2519" s="19" t="s">
        <v>20</v>
      </c>
      <c r="C2519" s="19" t="s">
        <v>21</v>
      </c>
      <c r="D2519" s="19" t="s">
        <v>20</v>
      </c>
      <c r="E2519" s="21">
        <v>46235</v>
      </c>
      <c r="F2519" s="21">
        <v>46599</v>
      </c>
      <c r="G2519" s="21"/>
      <c r="H2519" s="21">
        <v>46235</v>
      </c>
      <c r="I2519" s="21">
        <v>46599</v>
      </c>
      <c r="J2519" s="19" t="s">
        <v>2069</v>
      </c>
      <c r="L2519" s="19">
        <v>0</v>
      </c>
      <c r="M2519" s="19">
        <v>0</v>
      </c>
      <c r="N2519" s="19" t="s">
        <v>2394</v>
      </c>
      <c r="O2519" s="20">
        <v>5</v>
      </c>
      <c r="S2519" s="19" t="s">
        <v>20</v>
      </c>
      <c r="T2519" s="19" t="s">
        <v>1471</v>
      </c>
    </row>
    <row r="2520" spans="1:20">
      <c r="A2520" s="20">
        <v>202604332534829</v>
      </c>
      <c r="B2520" s="19" t="s">
        <v>20</v>
      </c>
      <c r="C2520" s="19" t="s">
        <v>21</v>
      </c>
      <c r="D2520" s="19" t="s">
        <v>2485</v>
      </c>
      <c r="E2520" s="21">
        <v>46235</v>
      </c>
      <c r="F2520" s="21">
        <v>46599</v>
      </c>
      <c r="G2520" s="21"/>
      <c r="H2520" s="21">
        <v>46235</v>
      </c>
      <c r="I2520" s="21">
        <v>46599</v>
      </c>
      <c r="J2520" s="19" t="s">
        <v>2069</v>
      </c>
      <c r="L2520" s="19">
        <v>165.65315125000001</v>
      </c>
      <c r="M2520" s="19">
        <v>165.65315125000001</v>
      </c>
      <c r="N2520" s="19" t="s">
        <v>1467</v>
      </c>
      <c r="O2520" s="20">
        <v>5</v>
      </c>
      <c r="S2520" s="19" t="s">
        <v>20</v>
      </c>
      <c r="T2520" s="19" t="s">
        <v>1471</v>
      </c>
    </row>
    <row r="2521" spans="1:20">
      <c r="A2521" s="20">
        <v>202604332535715</v>
      </c>
      <c r="B2521" s="19" t="s">
        <v>20</v>
      </c>
      <c r="C2521" s="19" t="s">
        <v>21</v>
      </c>
      <c r="D2521" s="19" t="s">
        <v>20</v>
      </c>
      <c r="E2521" s="21">
        <v>46235</v>
      </c>
      <c r="F2521" s="21">
        <v>46599</v>
      </c>
      <c r="G2521" s="21"/>
      <c r="H2521" s="21">
        <v>46235</v>
      </c>
      <c r="I2521" s="21">
        <v>46599</v>
      </c>
      <c r="J2521" s="19" t="s">
        <v>2095</v>
      </c>
      <c r="L2521" s="19">
        <v>0</v>
      </c>
      <c r="M2521" s="19">
        <v>0</v>
      </c>
      <c r="N2521" s="19" t="s">
        <v>2394</v>
      </c>
      <c r="O2521" s="20">
        <v>2</v>
      </c>
      <c r="S2521" s="19" t="s">
        <v>20</v>
      </c>
      <c r="T2521" s="19" t="s">
        <v>1471</v>
      </c>
    </row>
    <row r="2522" spans="1:20">
      <c r="A2522" s="20">
        <v>202604332535715</v>
      </c>
      <c r="B2522" s="19" t="s">
        <v>20</v>
      </c>
      <c r="C2522" s="19" t="s">
        <v>21</v>
      </c>
      <c r="D2522" s="19" t="s">
        <v>2484</v>
      </c>
      <c r="E2522" s="21">
        <v>46235</v>
      </c>
      <c r="F2522" s="21">
        <v>46599</v>
      </c>
      <c r="G2522" s="21"/>
      <c r="H2522" s="21">
        <v>46235</v>
      </c>
      <c r="I2522" s="21">
        <v>46599</v>
      </c>
      <c r="J2522" s="19" t="s">
        <v>2095</v>
      </c>
      <c r="L2522" s="19">
        <v>33.454366999999998</v>
      </c>
      <c r="M2522" s="19">
        <v>33.454366999999998</v>
      </c>
      <c r="N2522" s="19" t="s">
        <v>1467</v>
      </c>
      <c r="O2522" s="20">
        <v>2</v>
      </c>
      <c r="S2522" s="19" t="s">
        <v>20</v>
      </c>
      <c r="T2522" s="19" t="s">
        <v>1471</v>
      </c>
    </row>
    <row r="2523" spans="1:20">
      <c r="A2523" s="20">
        <v>202604332537728</v>
      </c>
      <c r="B2523" s="19" t="s">
        <v>20</v>
      </c>
      <c r="C2523" s="19" t="s">
        <v>21</v>
      </c>
      <c r="D2523" s="19" t="s">
        <v>20</v>
      </c>
      <c r="E2523" s="21">
        <v>46235</v>
      </c>
      <c r="F2523" s="21">
        <v>46599</v>
      </c>
      <c r="G2523" s="21"/>
      <c r="H2523" s="21">
        <v>46235</v>
      </c>
      <c r="I2523" s="21">
        <v>46599</v>
      </c>
      <c r="J2523" s="19" t="s">
        <v>2064</v>
      </c>
      <c r="L2523" s="19">
        <v>33.130630250000003</v>
      </c>
      <c r="M2523" s="19">
        <v>33.130630250000003</v>
      </c>
      <c r="N2523" s="19" t="s">
        <v>1475</v>
      </c>
      <c r="O2523" s="20">
        <v>1</v>
      </c>
      <c r="S2523" s="19" t="s">
        <v>20</v>
      </c>
      <c r="T2523" s="19" t="s">
        <v>1471</v>
      </c>
    </row>
    <row r="2524" spans="1:20">
      <c r="A2524" s="20">
        <v>202604332538348</v>
      </c>
      <c r="B2524" s="19" t="s">
        <v>20</v>
      </c>
      <c r="C2524" s="19" t="s">
        <v>21</v>
      </c>
      <c r="D2524" s="19" t="s">
        <v>2483</v>
      </c>
      <c r="E2524" s="21">
        <v>46235</v>
      </c>
      <c r="F2524" s="21">
        <v>46599</v>
      </c>
      <c r="G2524" s="21"/>
      <c r="H2524" s="21">
        <v>46235</v>
      </c>
      <c r="I2524" s="21">
        <v>46599</v>
      </c>
      <c r="J2524" s="19" t="s">
        <v>2268</v>
      </c>
      <c r="L2524" s="19">
        <v>29.817561749999999</v>
      </c>
      <c r="M2524" s="19">
        <v>29.817561749999999</v>
      </c>
      <c r="N2524" s="19" t="s">
        <v>1467</v>
      </c>
      <c r="O2524" s="20">
        <v>1</v>
      </c>
      <c r="S2524" s="19" t="s">
        <v>20</v>
      </c>
      <c r="T2524" s="19" t="s">
        <v>1471</v>
      </c>
    </row>
    <row r="2525" spans="1:20">
      <c r="A2525" s="20">
        <v>202604332538920</v>
      </c>
      <c r="B2525" s="19" t="s">
        <v>20</v>
      </c>
      <c r="C2525" s="19" t="s">
        <v>21</v>
      </c>
      <c r="D2525" s="19" t="s">
        <v>20</v>
      </c>
      <c r="E2525" s="21">
        <v>46235</v>
      </c>
      <c r="F2525" s="21">
        <v>46599</v>
      </c>
      <c r="G2525" s="21"/>
      <c r="H2525" s="21">
        <v>46235</v>
      </c>
      <c r="I2525" s="21">
        <v>46599</v>
      </c>
      <c r="J2525" s="19" t="s">
        <v>2068</v>
      </c>
      <c r="L2525" s="19">
        <v>0</v>
      </c>
      <c r="M2525" s="19">
        <v>0</v>
      </c>
      <c r="N2525" s="19" t="s">
        <v>2394</v>
      </c>
      <c r="O2525" s="20">
        <v>2</v>
      </c>
      <c r="S2525" s="19" t="s">
        <v>20</v>
      </c>
      <c r="T2525" s="19" t="s">
        <v>1471</v>
      </c>
    </row>
    <row r="2526" spans="1:20">
      <c r="A2526" s="20">
        <v>202604332538920</v>
      </c>
      <c r="B2526" s="19" t="s">
        <v>20</v>
      </c>
      <c r="C2526" s="19" t="s">
        <v>21</v>
      </c>
      <c r="D2526" s="19" t="s">
        <v>20</v>
      </c>
      <c r="E2526" s="21">
        <v>46235</v>
      </c>
      <c r="F2526" s="21">
        <v>46599</v>
      </c>
      <c r="G2526" s="21"/>
      <c r="H2526" s="21">
        <v>46235</v>
      </c>
      <c r="I2526" s="21">
        <v>46599</v>
      </c>
      <c r="J2526" s="19" t="s">
        <v>2068</v>
      </c>
      <c r="L2526" s="19">
        <v>52.517367999999998</v>
      </c>
      <c r="M2526" s="19">
        <v>52.517367999999998</v>
      </c>
      <c r="N2526" s="19" t="s">
        <v>1475</v>
      </c>
      <c r="O2526" s="20">
        <v>2</v>
      </c>
      <c r="S2526" s="19" t="s">
        <v>20</v>
      </c>
      <c r="T2526" s="19" t="s">
        <v>1471</v>
      </c>
    </row>
    <row r="2527" spans="1:20">
      <c r="A2527" s="20">
        <v>202604332540662</v>
      </c>
      <c r="B2527" s="19" t="s">
        <v>20</v>
      </c>
      <c r="C2527" s="19" t="s">
        <v>21</v>
      </c>
      <c r="D2527" s="19" t="s">
        <v>20</v>
      </c>
      <c r="E2527" s="21">
        <v>46235</v>
      </c>
      <c r="F2527" s="21">
        <v>46599</v>
      </c>
      <c r="G2527" s="21"/>
      <c r="H2527" s="21">
        <v>46235</v>
      </c>
      <c r="I2527" s="21">
        <v>46599</v>
      </c>
      <c r="J2527" s="19" t="s">
        <v>2087</v>
      </c>
      <c r="L2527" s="19">
        <v>33.130630250000003</v>
      </c>
      <c r="M2527" s="19">
        <v>33.130630250000003</v>
      </c>
      <c r="N2527" s="19" t="s">
        <v>1475</v>
      </c>
      <c r="O2527" s="20">
        <v>1</v>
      </c>
      <c r="S2527" s="19" t="s">
        <v>20</v>
      </c>
      <c r="T2527" s="19" t="s">
        <v>1471</v>
      </c>
    </row>
    <row r="2528" spans="1:20">
      <c r="A2528" s="20">
        <v>202604332540745</v>
      </c>
      <c r="B2528" s="19" t="s">
        <v>20</v>
      </c>
      <c r="C2528" s="19" t="s">
        <v>21</v>
      </c>
      <c r="D2528" s="19" t="s">
        <v>20</v>
      </c>
      <c r="E2528" s="21">
        <v>46235</v>
      </c>
      <c r="F2528" s="21">
        <v>46599</v>
      </c>
      <c r="G2528" s="21"/>
      <c r="H2528" s="21">
        <v>46235</v>
      </c>
      <c r="I2528" s="21">
        <v>46599</v>
      </c>
      <c r="J2528" s="19" t="s">
        <v>2064</v>
      </c>
      <c r="L2528" s="19">
        <v>0</v>
      </c>
      <c r="M2528" s="19">
        <v>0</v>
      </c>
      <c r="N2528" s="19" t="s">
        <v>2394</v>
      </c>
      <c r="O2528" s="20">
        <v>4</v>
      </c>
      <c r="S2528" s="19" t="s">
        <v>20</v>
      </c>
      <c r="T2528" s="19" t="s">
        <v>1471</v>
      </c>
    </row>
    <row r="2529" spans="1:20">
      <c r="A2529" s="20">
        <v>202604332540745</v>
      </c>
      <c r="B2529" s="19" t="s">
        <v>20</v>
      </c>
      <c r="C2529" s="19" t="s">
        <v>21</v>
      </c>
      <c r="D2529" s="19" t="s">
        <v>20</v>
      </c>
      <c r="E2529" s="21">
        <v>46235</v>
      </c>
      <c r="F2529" s="21">
        <v>46599</v>
      </c>
      <c r="G2529" s="21"/>
      <c r="H2529" s="21">
        <v>46235</v>
      </c>
      <c r="I2529" s="21">
        <v>46599</v>
      </c>
      <c r="J2529" s="19" t="s">
        <v>2064</v>
      </c>
      <c r="L2529" s="19">
        <v>132.52252100000001</v>
      </c>
      <c r="M2529" s="19">
        <v>132.52252100000001</v>
      </c>
      <c r="N2529" s="19" t="s">
        <v>1475</v>
      </c>
      <c r="O2529" s="20">
        <v>4</v>
      </c>
      <c r="S2529" s="19" t="s">
        <v>20</v>
      </c>
      <c r="T2529" s="19" t="s">
        <v>1471</v>
      </c>
    </row>
    <row r="2530" spans="1:20">
      <c r="A2530" s="20">
        <v>202604332542354</v>
      </c>
      <c r="B2530" s="19" t="s">
        <v>20</v>
      </c>
      <c r="C2530" s="19" t="s">
        <v>21</v>
      </c>
      <c r="D2530" s="19" t="s">
        <v>20</v>
      </c>
      <c r="E2530" s="21">
        <v>46235</v>
      </c>
      <c r="F2530" s="21">
        <v>46599</v>
      </c>
      <c r="G2530" s="21"/>
      <c r="H2530" s="21">
        <v>46235</v>
      </c>
      <c r="I2530" s="21">
        <v>46599</v>
      </c>
      <c r="J2530" s="19" t="s">
        <v>2068</v>
      </c>
      <c r="L2530" s="19">
        <v>0</v>
      </c>
      <c r="M2530" s="19">
        <v>0</v>
      </c>
      <c r="N2530" s="19" t="s">
        <v>2394</v>
      </c>
      <c r="O2530" s="20">
        <v>2</v>
      </c>
      <c r="S2530" s="19" t="s">
        <v>20</v>
      </c>
      <c r="T2530" s="19" t="s">
        <v>1471</v>
      </c>
    </row>
    <row r="2531" spans="1:20">
      <c r="A2531" s="20">
        <v>202604332542354</v>
      </c>
      <c r="B2531" s="19" t="s">
        <v>20</v>
      </c>
      <c r="C2531" s="19" t="s">
        <v>21</v>
      </c>
      <c r="D2531" s="19" t="s">
        <v>20</v>
      </c>
      <c r="E2531" s="21">
        <v>46235</v>
      </c>
      <c r="F2531" s="21">
        <v>46599</v>
      </c>
      <c r="G2531" s="21"/>
      <c r="H2531" s="21">
        <v>46235</v>
      </c>
      <c r="I2531" s="21">
        <v>46599</v>
      </c>
      <c r="J2531" s="19" t="s">
        <v>2068</v>
      </c>
      <c r="L2531" s="19">
        <v>52.517367999999998</v>
      </c>
      <c r="M2531" s="19">
        <v>52.517367999999998</v>
      </c>
      <c r="N2531" s="19" t="s">
        <v>1475</v>
      </c>
      <c r="O2531" s="20">
        <v>2</v>
      </c>
      <c r="S2531" s="19" t="s">
        <v>20</v>
      </c>
      <c r="T2531" s="19" t="s">
        <v>1471</v>
      </c>
    </row>
    <row r="2532" spans="1:20">
      <c r="A2532" s="20">
        <v>202604332542402</v>
      </c>
      <c r="B2532" s="19" t="s">
        <v>20</v>
      </c>
      <c r="C2532" s="19" t="s">
        <v>21</v>
      </c>
      <c r="D2532" s="19" t="s">
        <v>20</v>
      </c>
      <c r="E2532" s="21">
        <v>46235</v>
      </c>
      <c r="F2532" s="21">
        <v>46599</v>
      </c>
      <c r="G2532" s="21"/>
      <c r="H2532" s="21">
        <v>46235</v>
      </c>
      <c r="I2532" s="21">
        <v>46599</v>
      </c>
      <c r="J2532" s="19" t="s">
        <v>2103</v>
      </c>
      <c r="L2532" s="19">
        <v>0</v>
      </c>
      <c r="M2532" s="19">
        <v>0</v>
      </c>
      <c r="N2532" s="19" t="s">
        <v>2394</v>
      </c>
      <c r="O2532" s="20">
        <v>6</v>
      </c>
      <c r="S2532" s="19" t="s">
        <v>20</v>
      </c>
      <c r="T2532" s="19" t="s">
        <v>1471</v>
      </c>
    </row>
    <row r="2533" spans="1:20">
      <c r="A2533" s="20">
        <v>202604332542402</v>
      </c>
      <c r="B2533" s="19" t="s">
        <v>20</v>
      </c>
      <c r="C2533" s="19" t="s">
        <v>21</v>
      </c>
      <c r="D2533" s="19" t="s">
        <v>20</v>
      </c>
      <c r="E2533" s="21">
        <v>46235</v>
      </c>
      <c r="F2533" s="21">
        <v>46599</v>
      </c>
      <c r="G2533" s="21"/>
      <c r="H2533" s="21">
        <v>46235</v>
      </c>
      <c r="I2533" s="21">
        <v>46599</v>
      </c>
      <c r="J2533" s="19" t="s">
        <v>2103</v>
      </c>
      <c r="L2533" s="19">
        <v>143.80974449999999</v>
      </c>
      <c r="M2533" s="19">
        <v>143.80974449999999</v>
      </c>
      <c r="N2533" s="19" t="s">
        <v>1475</v>
      </c>
      <c r="O2533" s="20">
        <v>6</v>
      </c>
      <c r="S2533" s="19" t="s">
        <v>20</v>
      </c>
      <c r="T2533" s="19" t="s">
        <v>1471</v>
      </c>
    </row>
    <row r="2534" spans="1:20">
      <c r="A2534" s="20">
        <v>202604332543098</v>
      </c>
      <c r="B2534" s="19" t="s">
        <v>20</v>
      </c>
      <c r="C2534" s="19" t="s">
        <v>21</v>
      </c>
      <c r="D2534" s="19" t="s">
        <v>20</v>
      </c>
      <c r="E2534" s="21">
        <v>46235</v>
      </c>
      <c r="F2534" s="21">
        <v>46599</v>
      </c>
      <c r="G2534" s="21"/>
      <c r="H2534" s="21">
        <v>46235</v>
      </c>
      <c r="I2534" s="21">
        <v>46599</v>
      </c>
      <c r="J2534" s="19" t="s">
        <v>2130</v>
      </c>
      <c r="L2534" s="19">
        <v>0</v>
      </c>
      <c r="M2534" s="19">
        <v>0</v>
      </c>
      <c r="N2534" s="19" t="s">
        <v>2394</v>
      </c>
      <c r="O2534" s="20">
        <v>3</v>
      </c>
      <c r="S2534" s="19" t="s">
        <v>20</v>
      </c>
      <c r="T2534" s="19" t="s">
        <v>1471</v>
      </c>
    </row>
    <row r="2535" spans="1:20">
      <c r="A2535" s="20">
        <v>202604332543098</v>
      </c>
      <c r="B2535" s="19" t="s">
        <v>20</v>
      </c>
      <c r="C2535" s="19" t="s">
        <v>21</v>
      </c>
      <c r="D2535" s="19" t="s">
        <v>2482</v>
      </c>
      <c r="E2535" s="21">
        <v>46235</v>
      </c>
      <c r="F2535" s="21">
        <v>46599</v>
      </c>
      <c r="G2535" s="21"/>
      <c r="H2535" s="21">
        <v>46235</v>
      </c>
      <c r="I2535" s="21">
        <v>46599</v>
      </c>
      <c r="J2535" s="19" t="s">
        <v>2130</v>
      </c>
      <c r="L2535" s="19">
        <v>54.480246749999999</v>
      </c>
      <c r="M2535" s="19">
        <v>54.480246749999999</v>
      </c>
      <c r="N2535" s="19" t="s">
        <v>1467</v>
      </c>
      <c r="O2535" s="20">
        <v>3</v>
      </c>
      <c r="S2535" s="19" t="s">
        <v>20</v>
      </c>
      <c r="T2535" s="19" t="s">
        <v>1471</v>
      </c>
    </row>
    <row r="2536" spans="1:20">
      <c r="A2536" s="20">
        <v>202604332543587</v>
      </c>
      <c r="B2536" s="19" t="s">
        <v>20</v>
      </c>
      <c r="C2536" s="19" t="s">
        <v>21</v>
      </c>
      <c r="D2536" s="19" t="s">
        <v>20</v>
      </c>
      <c r="E2536" s="21">
        <v>46235</v>
      </c>
      <c r="F2536" s="21">
        <v>46599</v>
      </c>
      <c r="G2536" s="21"/>
      <c r="H2536" s="21">
        <v>46235</v>
      </c>
      <c r="I2536" s="21">
        <v>46599</v>
      </c>
      <c r="J2536" s="19" t="s">
        <v>2243</v>
      </c>
      <c r="L2536" s="19">
        <v>33.130630250000003</v>
      </c>
      <c r="M2536" s="19">
        <v>33.130630250000003</v>
      </c>
      <c r="N2536" s="19" t="s">
        <v>1475</v>
      </c>
      <c r="O2536" s="20">
        <v>1</v>
      </c>
      <c r="S2536" s="19" t="s">
        <v>20</v>
      </c>
      <c r="T2536" s="19" t="s">
        <v>1471</v>
      </c>
    </row>
    <row r="2537" spans="1:20">
      <c r="A2537" s="20">
        <v>202604332543695</v>
      </c>
      <c r="B2537" s="19" t="s">
        <v>20</v>
      </c>
      <c r="C2537" s="19" t="s">
        <v>21</v>
      </c>
      <c r="D2537" s="19" t="s">
        <v>2481</v>
      </c>
      <c r="E2537" s="21">
        <v>46235</v>
      </c>
      <c r="F2537" s="21">
        <v>46599</v>
      </c>
      <c r="G2537" s="21"/>
      <c r="H2537" s="21">
        <v>46235</v>
      </c>
      <c r="I2537" s="21">
        <v>46599</v>
      </c>
      <c r="J2537" s="19" t="s">
        <v>2109</v>
      </c>
      <c r="L2537" s="19">
        <v>29.817561749999999</v>
      </c>
      <c r="M2537" s="19">
        <v>29.817561749999999</v>
      </c>
      <c r="N2537" s="19" t="s">
        <v>1467</v>
      </c>
      <c r="O2537" s="20">
        <v>1</v>
      </c>
      <c r="S2537" s="19" t="s">
        <v>20</v>
      </c>
      <c r="T2537" s="19" t="s">
        <v>1471</v>
      </c>
    </row>
    <row r="2538" spans="1:20">
      <c r="A2538" s="20">
        <v>202604332544430</v>
      </c>
      <c r="B2538" s="19" t="s">
        <v>20</v>
      </c>
      <c r="C2538" s="19" t="s">
        <v>21</v>
      </c>
      <c r="D2538" s="19" t="s">
        <v>20</v>
      </c>
      <c r="E2538" s="21">
        <v>46235</v>
      </c>
      <c r="F2538" s="21">
        <v>46599</v>
      </c>
      <c r="G2538" s="21"/>
      <c r="H2538" s="21">
        <v>46235</v>
      </c>
      <c r="I2538" s="21">
        <v>46599</v>
      </c>
      <c r="J2538" s="19" t="s">
        <v>2068</v>
      </c>
      <c r="L2538" s="19">
        <v>0</v>
      </c>
      <c r="M2538" s="19">
        <v>0</v>
      </c>
      <c r="N2538" s="19" t="s">
        <v>2394</v>
      </c>
      <c r="O2538" s="20">
        <v>3</v>
      </c>
      <c r="S2538" s="19" t="s">
        <v>20</v>
      </c>
      <c r="T2538" s="19" t="s">
        <v>1471</v>
      </c>
    </row>
    <row r="2539" spans="1:20">
      <c r="A2539" s="20">
        <v>202604332544430</v>
      </c>
      <c r="B2539" s="19" t="s">
        <v>20</v>
      </c>
      <c r="C2539" s="19" t="s">
        <v>21</v>
      </c>
      <c r="D2539" s="19" t="s">
        <v>20</v>
      </c>
      <c r="E2539" s="21">
        <v>46235</v>
      </c>
      <c r="F2539" s="21">
        <v>46599</v>
      </c>
      <c r="G2539" s="21"/>
      <c r="H2539" s="21">
        <v>46235</v>
      </c>
      <c r="I2539" s="21">
        <v>46599</v>
      </c>
      <c r="J2539" s="19" t="s">
        <v>2068</v>
      </c>
      <c r="L2539" s="19">
        <v>78.776052000000007</v>
      </c>
      <c r="M2539" s="19">
        <v>78.776052000000007</v>
      </c>
      <c r="N2539" s="19" t="s">
        <v>1475</v>
      </c>
      <c r="O2539" s="20">
        <v>3</v>
      </c>
      <c r="S2539" s="19" t="s">
        <v>20</v>
      </c>
      <c r="T2539" s="19" t="s">
        <v>1471</v>
      </c>
    </row>
    <row r="2540" spans="1:20">
      <c r="A2540" s="20">
        <v>202604332545015</v>
      </c>
      <c r="B2540" s="19" t="s">
        <v>20</v>
      </c>
      <c r="C2540" s="19" t="s">
        <v>21</v>
      </c>
      <c r="D2540" s="19" t="s">
        <v>20</v>
      </c>
      <c r="E2540" s="21">
        <v>46235</v>
      </c>
      <c r="F2540" s="21">
        <v>46599</v>
      </c>
      <c r="G2540" s="21"/>
      <c r="H2540" s="21">
        <v>46235</v>
      </c>
      <c r="I2540" s="21">
        <v>46599</v>
      </c>
      <c r="J2540" s="19" t="s">
        <v>2092</v>
      </c>
      <c r="L2540" s="19">
        <v>38.659559000000002</v>
      </c>
      <c r="M2540" s="19">
        <v>38.659559000000002</v>
      </c>
      <c r="N2540" s="19" t="s">
        <v>1475</v>
      </c>
      <c r="O2540" s="20">
        <v>1</v>
      </c>
      <c r="S2540" s="19" t="s">
        <v>20</v>
      </c>
      <c r="T2540" s="19" t="s">
        <v>1471</v>
      </c>
    </row>
    <row r="2541" spans="1:20">
      <c r="A2541" s="20">
        <v>202604332545347</v>
      </c>
      <c r="B2541" s="19" t="s">
        <v>20</v>
      </c>
      <c r="C2541" s="19" t="s">
        <v>21</v>
      </c>
      <c r="D2541" s="19" t="s">
        <v>20</v>
      </c>
      <c r="E2541" s="21">
        <v>46235</v>
      </c>
      <c r="F2541" s="21">
        <v>46599</v>
      </c>
      <c r="G2541" s="21"/>
      <c r="H2541" s="21">
        <v>46235</v>
      </c>
      <c r="I2541" s="21">
        <v>46599</v>
      </c>
      <c r="J2541" s="19" t="s">
        <v>2064</v>
      </c>
      <c r="L2541" s="19">
        <v>33.130630250000003</v>
      </c>
      <c r="M2541" s="19">
        <v>33.130630250000003</v>
      </c>
      <c r="N2541" s="19" t="s">
        <v>1475</v>
      </c>
      <c r="O2541" s="20">
        <v>1</v>
      </c>
      <c r="S2541" s="19" t="s">
        <v>20</v>
      </c>
      <c r="T2541" s="19" t="s">
        <v>1471</v>
      </c>
    </row>
    <row r="2542" spans="1:20">
      <c r="A2542" s="20">
        <v>202604332546959</v>
      </c>
      <c r="B2542" s="19" t="s">
        <v>20</v>
      </c>
      <c r="C2542" s="19" t="s">
        <v>21</v>
      </c>
      <c r="D2542" s="19" t="s">
        <v>20</v>
      </c>
      <c r="E2542" s="21">
        <v>46235</v>
      </c>
      <c r="F2542" s="21">
        <v>46599</v>
      </c>
      <c r="G2542" s="21"/>
      <c r="H2542" s="21">
        <v>46235</v>
      </c>
      <c r="I2542" s="21">
        <v>46599</v>
      </c>
      <c r="J2542" s="19" t="s">
        <v>2068</v>
      </c>
      <c r="L2542" s="19">
        <v>0</v>
      </c>
      <c r="M2542" s="19">
        <v>0</v>
      </c>
      <c r="N2542" s="19" t="s">
        <v>2394</v>
      </c>
      <c r="O2542" s="20">
        <v>4</v>
      </c>
      <c r="S2542" s="19" t="s">
        <v>20</v>
      </c>
      <c r="T2542" s="19" t="s">
        <v>1471</v>
      </c>
    </row>
    <row r="2543" spans="1:20">
      <c r="A2543" s="20">
        <v>202604332546959</v>
      </c>
      <c r="B2543" s="19" t="s">
        <v>20</v>
      </c>
      <c r="C2543" s="19" t="s">
        <v>21</v>
      </c>
      <c r="D2543" s="19" t="s">
        <v>20</v>
      </c>
      <c r="E2543" s="21">
        <v>46235</v>
      </c>
      <c r="F2543" s="21">
        <v>46599</v>
      </c>
      <c r="G2543" s="21"/>
      <c r="H2543" s="21">
        <v>46235</v>
      </c>
      <c r="I2543" s="21">
        <v>46599</v>
      </c>
      <c r="J2543" s="19" t="s">
        <v>2068</v>
      </c>
      <c r="L2543" s="19">
        <v>105.034736</v>
      </c>
      <c r="M2543" s="19">
        <v>105.034736</v>
      </c>
      <c r="N2543" s="19" t="s">
        <v>1475</v>
      </c>
      <c r="O2543" s="20">
        <v>4</v>
      </c>
      <c r="S2543" s="19" t="s">
        <v>20</v>
      </c>
      <c r="T2543" s="19" t="s">
        <v>1471</v>
      </c>
    </row>
    <row r="2544" spans="1:20">
      <c r="A2544" s="20">
        <v>202604332547814</v>
      </c>
      <c r="B2544" s="19" t="s">
        <v>20</v>
      </c>
      <c r="C2544" s="19" t="s">
        <v>21</v>
      </c>
      <c r="D2544" s="19" t="s">
        <v>20</v>
      </c>
      <c r="E2544" s="21">
        <v>46235</v>
      </c>
      <c r="F2544" s="21">
        <v>46599</v>
      </c>
      <c r="G2544" s="21"/>
      <c r="H2544" s="21">
        <v>46235</v>
      </c>
      <c r="I2544" s="21">
        <v>46599</v>
      </c>
      <c r="J2544" s="19" t="s">
        <v>2106</v>
      </c>
      <c r="L2544" s="19">
        <v>0</v>
      </c>
      <c r="M2544" s="19">
        <v>0</v>
      </c>
      <c r="N2544" s="19" t="s">
        <v>2394</v>
      </c>
      <c r="O2544" s="20">
        <v>4</v>
      </c>
      <c r="S2544" s="19" t="s">
        <v>20</v>
      </c>
      <c r="T2544" s="19" t="s">
        <v>1471</v>
      </c>
    </row>
    <row r="2545" spans="1:20">
      <c r="A2545" s="20">
        <v>202604332547814</v>
      </c>
      <c r="B2545" s="19" t="s">
        <v>20</v>
      </c>
      <c r="C2545" s="19" t="s">
        <v>21</v>
      </c>
      <c r="D2545" s="19" t="s">
        <v>20</v>
      </c>
      <c r="E2545" s="21">
        <v>46235</v>
      </c>
      <c r="F2545" s="21">
        <v>46599</v>
      </c>
      <c r="G2545" s="21"/>
      <c r="H2545" s="21">
        <v>46235</v>
      </c>
      <c r="I2545" s="21">
        <v>46599</v>
      </c>
      <c r="J2545" s="19" t="s">
        <v>2106</v>
      </c>
      <c r="L2545" s="19">
        <v>132.52252100000001</v>
      </c>
      <c r="M2545" s="19">
        <v>132.52252100000001</v>
      </c>
      <c r="N2545" s="19" t="s">
        <v>1475</v>
      </c>
      <c r="O2545" s="20">
        <v>4</v>
      </c>
      <c r="S2545" s="19" t="s">
        <v>20</v>
      </c>
      <c r="T2545" s="19" t="s">
        <v>1471</v>
      </c>
    </row>
    <row r="2546" spans="1:20">
      <c r="A2546" s="20">
        <v>202604332548428</v>
      </c>
      <c r="B2546" s="19" t="s">
        <v>20</v>
      </c>
      <c r="C2546" s="19" t="s">
        <v>21</v>
      </c>
      <c r="D2546" s="19" t="s">
        <v>20</v>
      </c>
      <c r="E2546" s="21">
        <v>46235</v>
      </c>
      <c r="F2546" s="21">
        <v>46599</v>
      </c>
      <c r="G2546" s="21"/>
      <c r="H2546" s="21">
        <v>46235</v>
      </c>
      <c r="I2546" s="21">
        <v>46599</v>
      </c>
      <c r="J2546" s="19" t="s">
        <v>1473</v>
      </c>
      <c r="L2546" s="19">
        <v>24.620673499999999</v>
      </c>
      <c r="M2546" s="19">
        <v>24.620673499999999</v>
      </c>
      <c r="N2546" s="19" t="s">
        <v>1475</v>
      </c>
      <c r="O2546" s="20">
        <v>1</v>
      </c>
      <c r="S2546" s="19" t="s">
        <v>20</v>
      </c>
      <c r="T2546" s="19" t="s">
        <v>1471</v>
      </c>
    </row>
    <row r="2547" spans="1:20">
      <c r="A2547" s="20">
        <v>202604332548918</v>
      </c>
      <c r="B2547" s="19" t="s">
        <v>20</v>
      </c>
      <c r="C2547" s="19" t="s">
        <v>21</v>
      </c>
      <c r="D2547" s="19" t="s">
        <v>20</v>
      </c>
      <c r="E2547" s="21">
        <v>46235</v>
      </c>
      <c r="F2547" s="21">
        <v>46599</v>
      </c>
      <c r="G2547" s="21"/>
      <c r="H2547" s="21">
        <v>46235</v>
      </c>
      <c r="I2547" s="21">
        <v>46599</v>
      </c>
      <c r="J2547" s="19" t="s">
        <v>2087</v>
      </c>
      <c r="L2547" s="19">
        <v>0</v>
      </c>
      <c r="M2547" s="19">
        <v>0</v>
      </c>
      <c r="N2547" s="19" t="s">
        <v>2394</v>
      </c>
      <c r="O2547" s="20">
        <v>3</v>
      </c>
      <c r="S2547" s="19" t="s">
        <v>20</v>
      </c>
      <c r="T2547" s="19" t="s">
        <v>1471</v>
      </c>
    </row>
    <row r="2548" spans="1:20">
      <c r="A2548" s="20">
        <v>202604332548918</v>
      </c>
      <c r="B2548" s="19" t="s">
        <v>20</v>
      </c>
      <c r="C2548" s="19" t="s">
        <v>21</v>
      </c>
      <c r="D2548" s="19" t="s">
        <v>20</v>
      </c>
      <c r="E2548" s="21">
        <v>46235</v>
      </c>
      <c r="F2548" s="21">
        <v>46599</v>
      </c>
      <c r="G2548" s="21"/>
      <c r="H2548" s="21">
        <v>46235</v>
      </c>
      <c r="I2548" s="21">
        <v>46599</v>
      </c>
      <c r="J2548" s="19" t="s">
        <v>2087</v>
      </c>
      <c r="L2548" s="19">
        <v>99.391890750000002</v>
      </c>
      <c r="M2548" s="19">
        <v>99.391890750000002</v>
      </c>
      <c r="N2548" s="19" t="s">
        <v>1475</v>
      </c>
      <c r="O2548" s="20">
        <v>3</v>
      </c>
      <c r="S2548" s="19" t="s">
        <v>20</v>
      </c>
      <c r="T2548" s="19" t="s">
        <v>1471</v>
      </c>
    </row>
    <row r="2549" spans="1:20">
      <c r="A2549" s="20">
        <v>202604332549568</v>
      </c>
      <c r="B2549" s="19" t="s">
        <v>20</v>
      </c>
      <c r="C2549" s="19" t="s">
        <v>21</v>
      </c>
      <c r="D2549" s="19" t="s">
        <v>20</v>
      </c>
      <c r="E2549" s="21">
        <v>46235</v>
      </c>
      <c r="F2549" s="21">
        <v>46599</v>
      </c>
      <c r="G2549" s="21"/>
      <c r="H2549" s="21">
        <v>46235</v>
      </c>
      <c r="I2549" s="21">
        <v>46599</v>
      </c>
      <c r="J2549" s="19" t="s">
        <v>2087</v>
      </c>
      <c r="L2549" s="19">
        <v>33.130630250000003</v>
      </c>
      <c r="M2549" s="19">
        <v>33.130630250000003</v>
      </c>
      <c r="N2549" s="19" t="s">
        <v>1475</v>
      </c>
      <c r="O2549" s="20">
        <v>1</v>
      </c>
      <c r="S2549" s="19" t="s">
        <v>20</v>
      </c>
      <c r="T2549" s="19" t="s">
        <v>1471</v>
      </c>
    </row>
    <row r="2550" spans="1:20">
      <c r="A2550" s="20">
        <v>202604332549713</v>
      </c>
      <c r="B2550" s="19" t="s">
        <v>20</v>
      </c>
      <c r="C2550" s="19" t="s">
        <v>21</v>
      </c>
      <c r="D2550" s="19" t="s">
        <v>20</v>
      </c>
      <c r="E2550" s="21">
        <v>46235</v>
      </c>
      <c r="F2550" s="21">
        <v>46599</v>
      </c>
      <c r="G2550" s="21"/>
      <c r="H2550" s="21">
        <v>46235</v>
      </c>
      <c r="I2550" s="21">
        <v>46599</v>
      </c>
      <c r="J2550" s="19" t="s">
        <v>2104</v>
      </c>
      <c r="L2550" s="19">
        <v>33.130630250000003</v>
      </c>
      <c r="M2550" s="19">
        <v>33.130630250000003</v>
      </c>
      <c r="N2550" s="19" t="s">
        <v>1475</v>
      </c>
      <c r="O2550" s="20">
        <v>1</v>
      </c>
      <c r="S2550" s="19" t="s">
        <v>20</v>
      </c>
      <c r="T2550" s="19" t="s">
        <v>1471</v>
      </c>
    </row>
    <row r="2551" spans="1:20">
      <c r="A2551" s="20">
        <v>202604332551914</v>
      </c>
      <c r="B2551" s="19" t="s">
        <v>20</v>
      </c>
      <c r="C2551" s="19" t="s">
        <v>21</v>
      </c>
      <c r="D2551" s="19" t="s">
        <v>20</v>
      </c>
      <c r="E2551" s="21">
        <v>46235</v>
      </c>
      <c r="F2551" s="21">
        <v>46599</v>
      </c>
      <c r="G2551" s="21"/>
      <c r="H2551" s="21">
        <v>46235</v>
      </c>
      <c r="I2551" s="21">
        <v>46599</v>
      </c>
      <c r="J2551" s="19" t="s">
        <v>2068</v>
      </c>
      <c r="L2551" s="19">
        <v>0</v>
      </c>
      <c r="M2551" s="19">
        <v>0</v>
      </c>
      <c r="N2551" s="19" t="s">
        <v>2394</v>
      </c>
      <c r="O2551" s="20">
        <v>3</v>
      </c>
      <c r="S2551" s="19" t="s">
        <v>20</v>
      </c>
      <c r="T2551" s="19" t="s">
        <v>1471</v>
      </c>
    </row>
    <row r="2552" spans="1:20">
      <c r="A2552" s="20">
        <v>202604332551914</v>
      </c>
      <c r="B2552" s="19" t="s">
        <v>20</v>
      </c>
      <c r="C2552" s="19" t="s">
        <v>21</v>
      </c>
      <c r="D2552" s="19" t="s">
        <v>20</v>
      </c>
      <c r="E2552" s="21">
        <v>46235</v>
      </c>
      <c r="F2552" s="21">
        <v>46599</v>
      </c>
      <c r="G2552" s="21"/>
      <c r="H2552" s="21">
        <v>46235</v>
      </c>
      <c r="I2552" s="21">
        <v>46599</v>
      </c>
      <c r="J2552" s="19" t="s">
        <v>2068</v>
      </c>
      <c r="L2552" s="19">
        <v>78.776052000000007</v>
      </c>
      <c r="M2552" s="19">
        <v>78.776052000000007</v>
      </c>
      <c r="N2552" s="19" t="s">
        <v>1475</v>
      </c>
      <c r="O2552" s="20">
        <v>3</v>
      </c>
      <c r="S2552" s="19" t="s">
        <v>20</v>
      </c>
      <c r="T2552" s="19" t="s">
        <v>1471</v>
      </c>
    </row>
    <row r="2553" spans="1:20">
      <c r="A2553" s="20">
        <v>202604332552822</v>
      </c>
      <c r="B2553" s="19" t="s">
        <v>20</v>
      </c>
      <c r="C2553" s="19" t="s">
        <v>21</v>
      </c>
      <c r="D2553" s="19" t="s">
        <v>2480</v>
      </c>
      <c r="E2553" s="21">
        <v>46235</v>
      </c>
      <c r="F2553" s="21">
        <v>46599</v>
      </c>
      <c r="G2553" s="21"/>
      <c r="H2553" s="21">
        <v>46235</v>
      </c>
      <c r="I2553" s="21">
        <v>46599</v>
      </c>
      <c r="J2553" s="19" t="s">
        <v>2279</v>
      </c>
      <c r="L2553" s="19">
        <v>33.130630250000003</v>
      </c>
      <c r="M2553" s="19">
        <v>33.130630250000003</v>
      </c>
      <c r="N2553" s="19" t="s">
        <v>1467</v>
      </c>
      <c r="O2553" s="20">
        <v>1</v>
      </c>
      <c r="S2553" s="19" t="s">
        <v>20</v>
      </c>
      <c r="T2553" s="19" t="s">
        <v>1471</v>
      </c>
    </row>
    <row r="2554" spans="1:20">
      <c r="A2554" s="20">
        <v>202604332553153</v>
      </c>
      <c r="B2554" s="19" t="s">
        <v>20</v>
      </c>
      <c r="C2554" s="19" t="s">
        <v>21</v>
      </c>
      <c r="D2554" s="19" t="s">
        <v>20</v>
      </c>
      <c r="E2554" s="21">
        <v>46235</v>
      </c>
      <c r="F2554" s="21">
        <v>46599</v>
      </c>
      <c r="G2554" s="21"/>
      <c r="H2554" s="21">
        <v>46235</v>
      </c>
      <c r="I2554" s="21">
        <v>46599</v>
      </c>
      <c r="J2554" s="19" t="s">
        <v>2193</v>
      </c>
      <c r="L2554" s="19">
        <v>0</v>
      </c>
      <c r="M2554" s="19">
        <v>0</v>
      </c>
      <c r="N2554" s="19" t="s">
        <v>2394</v>
      </c>
      <c r="O2554" s="20">
        <v>3</v>
      </c>
      <c r="S2554" s="19" t="s">
        <v>20</v>
      </c>
      <c r="T2554" s="19" t="s">
        <v>1471</v>
      </c>
    </row>
    <row r="2555" spans="1:20">
      <c r="A2555" s="20">
        <v>202604332553153</v>
      </c>
      <c r="B2555" s="19" t="s">
        <v>20</v>
      </c>
      <c r="C2555" s="19" t="s">
        <v>21</v>
      </c>
      <c r="D2555" s="19" t="s">
        <v>20</v>
      </c>
      <c r="E2555" s="21">
        <v>46235</v>
      </c>
      <c r="F2555" s="21">
        <v>46599</v>
      </c>
      <c r="G2555" s="21"/>
      <c r="H2555" s="21">
        <v>46235</v>
      </c>
      <c r="I2555" s="21">
        <v>46599</v>
      </c>
      <c r="J2555" s="19" t="s">
        <v>2193</v>
      </c>
      <c r="L2555" s="19">
        <v>89.452685250000002</v>
      </c>
      <c r="M2555" s="19">
        <v>89.452685250000002</v>
      </c>
      <c r="N2555" s="19" t="s">
        <v>1475</v>
      </c>
      <c r="O2555" s="20">
        <v>3</v>
      </c>
      <c r="S2555" s="19" t="s">
        <v>20</v>
      </c>
      <c r="T2555" s="19" t="s">
        <v>1471</v>
      </c>
    </row>
    <row r="2556" spans="1:20">
      <c r="A2556" s="20">
        <v>202604332553828</v>
      </c>
      <c r="B2556" s="19" t="s">
        <v>20</v>
      </c>
      <c r="C2556" s="19" t="s">
        <v>21</v>
      </c>
      <c r="D2556" s="19" t="s">
        <v>20</v>
      </c>
      <c r="E2556" s="21">
        <v>46235</v>
      </c>
      <c r="F2556" s="21">
        <v>46599</v>
      </c>
      <c r="G2556" s="21"/>
      <c r="H2556" s="21">
        <v>46235</v>
      </c>
      <c r="I2556" s="21">
        <v>46599</v>
      </c>
      <c r="J2556" s="19" t="s">
        <v>2104</v>
      </c>
      <c r="L2556" s="19">
        <v>33.130630250000003</v>
      </c>
      <c r="M2556" s="19">
        <v>33.130630250000003</v>
      </c>
      <c r="N2556" s="19" t="s">
        <v>1475</v>
      </c>
      <c r="O2556" s="20">
        <v>1</v>
      </c>
      <c r="S2556" s="19" t="s">
        <v>20</v>
      </c>
      <c r="T2556" s="19" t="s">
        <v>1471</v>
      </c>
    </row>
    <row r="2557" spans="1:20">
      <c r="A2557" s="20">
        <v>202604332554614</v>
      </c>
      <c r="B2557" s="19" t="s">
        <v>20</v>
      </c>
      <c r="C2557" s="19" t="s">
        <v>21</v>
      </c>
      <c r="D2557" s="19" t="s">
        <v>20</v>
      </c>
      <c r="E2557" s="21">
        <v>46235</v>
      </c>
      <c r="F2557" s="21">
        <v>46599</v>
      </c>
      <c r="G2557" s="21"/>
      <c r="H2557" s="21">
        <v>46235</v>
      </c>
      <c r="I2557" s="21">
        <v>46599</v>
      </c>
      <c r="J2557" s="19" t="s">
        <v>2064</v>
      </c>
      <c r="L2557" s="19">
        <v>33.130630250000003</v>
      </c>
      <c r="M2557" s="19">
        <v>33.130630250000003</v>
      </c>
      <c r="N2557" s="19" t="s">
        <v>1475</v>
      </c>
      <c r="O2557" s="20">
        <v>1</v>
      </c>
      <c r="S2557" s="19" t="s">
        <v>20</v>
      </c>
      <c r="T2557" s="19" t="s">
        <v>1471</v>
      </c>
    </row>
    <row r="2558" spans="1:20">
      <c r="A2558" s="20">
        <v>202604332554818</v>
      </c>
      <c r="B2558" s="19" t="s">
        <v>20</v>
      </c>
      <c r="C2558" s="19" t="s">
        <v>21</v>
      </c>
      <c r="D2558" s="19" t="s">
        <v>20</v>
      </c>
      <c r="E2558" s="21">
        <v>46235</v>
      </c>
      <c r="F2558" s="21">
        <v>46599</v>
      </c>
      <c r="G2558" s="21"/>
      <c r="H2558" s="21">
        <v>46235</v>
      </c>
      <c r="I2558" s="21">
        <v>46599</v>
      </c>
      <c r="J2558" s="19" t="s">
        <v>2068</v>
      </c>
      <c r="L2558" s="19">
        <v>52.517367999999998</v>
      </c>
      <c r="M2558" s="19">
        <v>52.517367999999998</v>
      </c>
      <c r="N2558" s="19" t="s">
        <v>1475</v>
      </c>
      <c r="O2558" s="20">
        <v>2</v>
      </c>
      <c r="S2558" s="19" t="s">
        <v>20</v>
      </c>
      <c r="T2558" s="19" t="s">
        <v>1471</v>
      </c>
    </row>
    <row r="2559" spans="1:20">
      <c r="A2559" s="20">
        <v>202604332554972</v>
      </c>
      <c r="B2559" s="19" t="s">
        <v>20</v>
      </c>
      <c r="C2559" s="19" t="s">
        <v>21</v>
      </c>
      <c r="D2559" s="19" t="s">
        <v>20</v>
      </c>
      <c r="E2559" s="21">
        <v>46235</v>
      </c>
      <c r="F2559" s="21">
        <v>46599</v>
      </c>
      <c r="G2559" s="21"/>
      <c r="H2559" s="21">
        <v>46235</v>
      </c>
      <c r="I2559" s="21">
        <v>46599</v>
      </c>
      <c r="J2559" s="19" t="s">
        <v>2129</v>
      </c>
      <c r="L2559" s="19">
        <v>0</v>
      </c>
      <c r="M2559" s="19">
        <v>0</v>
      </c>
      <c r="N2559" s="19" t="s">
        <v>2394</v>
      </c>
      <c r="O2559" s="20">
        <v>2</v>
      </c>
      <c r="S2559" s="19" t="s">
        <v>20</v>
      </c>
      <c r="T2559" s="19" t="s">
        <v>1471</v>
      </c>
    </row>
    <row r="2560" spans="1:20">
      <c r="A2560" s="20">
        <v>202604332554972</v>
      </c>
      <c r="B2560" s="19" t="s">
        <v>20</v>
      </c>
      <c r="C2560" s="19" t="s">
        <v>21</v>
      </c>
      <c r="D2560" s="19" t="s">
        <v>20</v>
      </c>
      <c r="E2560" s="21">
        <v>46235</v>
      </c>
      <c r="F2560" s="21">
        <v>46599</v>
      </c>
      <c r="G2560" s="21"/>
      <c r="H2560" s="21">
        <v>46235</v>
      </c>
      <c r="I2560" s="21">
        <v>46599</v>
      </c>
      <c r="J2560" s="19" t="s">
        <v>2129</v>
      </c>
      <c r="L2560" s="19">
        <v>66.261260500000006</v>
      </c>
      <c r="M2560" s="19">
        <v>66.261260500000006</v>
      </c>
      <c r="N2560" s="19" t="s">
        <v>1475</v>
      </c>
      <c r="O2560" s="20">
        <v>2</v>
      </c>
      <c r="S2560" s="19" t="s">
        <v>20</v>
      </c>
      <c r="T2560" s="19" t="s">
        <v>1471</v>
      </c>
    </row>
    <row r="2561" spans="1:20">
      <c r="A2561" s="20">
        <v>202604332555514</v>
      </c>
      <c r="B2561" s="19" t="s">
        <v>20</v>
      </c>
      <c r="C2561" s="19" t="s">
        <v>21</v>
      </c>
      <c r="D2561" s="19" t="s">
        <v>20</v>
      </c>
      <c r="E2561" s="21">
        <v>46235</v>
      </c>
      <c r="F2561" s="21">
        <v>46599</v>
      </c>
      <c r="G2561" s="21"/>
      <c r="H2561" s="21">
        <v>46235</v>
      </c>
      <c r="I2561" s="21">
        <v>46599</v>
      </c>
      <c r="J2561" s="19" t="s">
        <v>2064</v>
      </c>
      <c r="L2561" s="19">
        <v>33.130630250000003</v>
      </c>
      <c r="M2561" s="19">
        <v>33.130630250000003</v>
      </c>
      <c r="N2561" s="19" t="s">
        <v>1475</v>
      </c>
      <c r="O2561" s="20">
        <v>1</v>
      </c>
      <c r="S2561" s="19" t="s">
        <v>20</v>
      </c>
      <c r="T2561" s="19" t="s">
        <v>1471</v>
      </c>
    </row>
    <row r="2562" spans="1:20">
      <c r="A2562" s="20">
        <v>202604332555709</v>
      </c>
      <c r="B2562" s="19" t="s">
        <v>20</v>
      </c>
      <c r="C2562" s="19" t="s">
        <v>21</v>
      </c>
      <c r="D2562" s="19" t="s">
        <v>20</v>
      </c>
      <c r="E2562" s="21">
        <v>46235</v>
      </c>
      <c r="F2562" s="21">
        <v>46599</v>
      </c>
      <c r="G2562" s="21"/>
      <c r="H2562" s="21">
        <v>46235</v>
      </c>
      <c r="I2562" s="21">
        <v>46599</v>
      </c>
      <c r="J2562" s="19" t="s">
        <v>2064</v>
      </c>
      <c r="L2562" s="19">
        <v>0</v>
      </c>
      <c r="M2562" s="19">
        <v>0</v>
      </c>
      <c r="N2562" s="19" t="s">
        <v>2394</v>
      </c>
      <c r="O2562" s="20">
        <v>2</v>
      </c>
      <c r="S2562" s="19" t="s">
        <v>20</v>
      </c>
      <c r="T2562" s="19" t="s">
        <v>1471</v>
      </c>
    </row>
    <row r="2563" spans="1:20">
      <c r="A2563" s="20">
        <v>202604332555709</v>
      </c>
      <c r="B2563" s="19" t="s">
        <v>20</v>
      </c>
      <c r="C2563" s="19" t="s">
        <v>21</v>
      </c>
      <c r="D2563" s="19" t="s">
        <v>20</v>
      </c>
      <c r="E2563" s="21">
        <v>46235</v>
      </c>
      <c r="F2563" s="21">
        <v>46599</v>
      </c>
      <c r="G2563" s="21"/>
      <c r="H2563" s="21">
        <v>46235</v>
      </c>
      <c r="I2563" s="21">
        <v>46599</v>
      </c>
      <c r="J2563" s="19" t="s">
        <v>2064</v>
      </c>
      <c r="L2563" s="19">
        <v>66.261260500000006</v>
      </c>
      <c r="M2563" s="19">
        <v>66.261260500000006</v>
      </c>
      <c r="N2563" s="19" t="s">
        <v>1475</v>
      </c>
      <c r="O2563" s="20">
        <v>2</v>
      </c>
      <c r="S2563" s="19" t="s">
        <v>20</v>
      </c>
      <c r="T2563" s="19" t="s">
        <v>1471</v>
      </c>
    </row>
    <row r="2564" spans="1:20">
      <c r="A2564" s="20">
        <v>202604332558848</v>
      </c>
      <c r="B2564" s="19" t="s">
        <v>20</v>
      </c>
      <c r="C2564" s="19" t="s">
        <v>21</v>
      </c>
      <c r="D2564" s="19" t="s">
        <v>20</v>
      </c>
      <c r="E2564" s="21">
        <v>46235</v>
      </c>
      <c r="F2564" s="21">
        <v>46599</v>
      </c>
      <c r="G2564" s="21"/>
      <c r="H2564" s="21">
        <v>46235</v>
      </c>
      <c r="I2564" s="21">
        <v>46599</v>
      </c>
      <c r="J2564" s="19" t="s">
        <v>2064</v>
      </c>
      <c r="L2564" s="19">
        <v>0</v>
      </c>
      <c r="M2564" s="19">
        <v>0</v>
      </c>
      <c r="N2564" s="19" t="s">
        <v>2394</v>
      </c>
      <c r="O2564" s="20">
        <v>5</v>
      </c>
      <c r="S2564" s="19" t="s">
        <v>20</v>
      </c>
      <c r="T2564" s="19" t="s">
        <v>1471</v>
      </c>
    </row>
    <row r="2565" spans="1:20">
      <c r="A2565" s="20">
        <v>202604332558848</v>
      </c>
      <c r="B2565" s="19" t="s">
        <v>20</v>
      </c>
      <c r="C2565" s="19" t="s">
        <v>21</v>
      </c>
      <c r="D2565" s="19" t="s">
        <v>20</v>
      </c>
      <c r="E2565" s="21">
        <v>46235</v>
      </c>
      <c r="F2565" s="21">
        <v>46599</v>
      </c>
      <c r="G2565" s="21"/>
      <c r="H2565" s="21">
        <v>46235</v>
      </c>
      <c r="I2565" s="21">
        <v>46599</v>
      </c>
      <c r="J2565" s="19" t="s">
        <v>2064</v>
      </c>
      <c r="L2565" s="19">
        <v>165.65315125000001</v>
      </c>
      <c r="M2565" s="19">
        <v>165.65315125000001</v>
      </c>
      <c r="N2565" s="19" t="s">
        <v>1475</v>
      </c>
      <c r="O2565" s="20">
        <v>5</v>
      </c>
      <c r="S2565" s="19" t="s">
        <v>20</v>
      </c>
      <c r="T2565" s="19" t="s">
        <v>1471</v>
      </c>
    </row>
    <row r="2566" spans="1:20">
      <c r="A2566" s="20">
        <v>202604332560500</v>
      </c>
      <c r="B2566" s="19" t="s">
        <v>20</v>
      </c>
      <c r="C2566" s="19" t="s">
        <v>21</v>
      </c>
      <c r="D2566" s="19" t="s">
        <v>20</v>
      </c>
      <c r="E2566" s="21">
        <v>46235</v>
      </c>
      <c r="F2566" s="21">
        <v>46599</v>
      </c>
      <c r="G2566" s="21"/>
      <c r="H2566" s="21">
        <v>46235</v>
      </c>
      <c r="I2566" s="21">
        <v>46599</v>
      </c>
      <c r="J2566" s="19" t="s">
        <v>2193</v>
      </c>
      <c r="L2566" s="19">
        <v>29.817561749999999</v>
      </c>
      <c r="M2566" s="19">
        <v>29.817561749999999</v>
      </c>
      <c r="N2566" s="19" t="s">
        <v>1475</v>
      </c>
      <c r="O2566" s="20">
        <v>1</v>
      </c>
      <c r="S2566" s="19" t="s">
        <v>20</v>
      </c>
      <c r="T2566" s="19" t="s">
        <v>1471</v>
      </c>
    </row>
    <row r="2567" spans="1:20">
      <c r="A2567" s="20">
        <v>202604332560757</v>
      </c>
      <c r="B2567" s="19" t="s">
        <v>20</v>
      </c>
      <c r="C2567" s="19" t="s">
        <v>21</v>
      </c>
      <c r="D2567" s="19" t="s">
        <v>20</v>
      </c>
      <c r="E2567" s="21">
        <v>46235</v>
      </c>
      <c r="F2567" s="21">
        <v>46599</v>
      </c>
      <c r="G2567" s="21"/>
      <c r="H2567" s="21">
        <v>46235</v>
      </c>
      <c r="I2567" s="21">
        <v>46599</v>
      </c>
      <c r="J2567" s="19" t="s">
        <v>2272</v>
      </c>
      <c r="L2567" s="19">
        <v>33.130630250000003</v>
      </c>
      <c r="M2567" s="19">
        <v>33.130630250000003</v>
      </c>
      <c r="N2567" s="19" t="s">
        <v>1475</v>
      </c>
      <c r="O2567" s="20">
        <v>1</v>
      </c>
      <c r="S2567" s="19" t="s">
        <v>20</v>
      </c>
      <c r="T2567" s="19" t="s">
        <v>1471</v>
      </c>
    </row>
    <row r="2568" spans="1:20">
      <c r="A2568" s="20">
        <v>202604332561103</v>
      </c>
      <c r="B2568" s="19" t="s">
        <v>20</v>
      </c>
      <c r="C2568" s="19" t="s">
        <v>21</v>
      </c>
      <c r="D2568" s="19" t="s">
        <v>20</v>
      </c>
      <c r="E2568" s="21">
        <v>46235</v>
      </c>
      <c r="F2568" s="21">
        <v>46599</v>
      </c>
      <c r="G2568" s="21"/>
      <c r="H2568" s="21">
        <v>46235</v>
      </c>
      <c r="I2568" s="21">
        <v>46599</v>
      </c>
      <c r="J2568" s="19" t="s">
        <v>2064</v>
      </c>
      <c r="L2568" s="19">
        <v>33.130630250000003</v>
      </c>
      <c r="M2568" s="19">
        <v>33.130630250000003</v>
      </c>
      <c r="N2568" s="19" t="s">
        <v>1475</v>
      </c>
      <c r="O2568" s="20">
        <v>1</v>
      </c>
      <c r="S2568" s="19" t="s">
        <v>20</v>
      </c>
      <c r="T2568" s="19" t="s">
        <v>1471</v>
      </c>
    </row>
    <row r="2569" spans="1:20">
      <c r="A2569" s="20">
        <v>202604332561181</v>
      </c>
      <c r="B2569" s="19" t="s">
        <v>20</v>
      </c>
      <c r="C2569" s="19" t="s">
        <v>21</v>
      </c>
      <c r="D2569" s="19" t="s">
        <v>20</v>
      </c>
      <c r="E2569" s="21">
        <v>46235</v>
      </c>
      <c r="F2569" s="21">
        <v>46599</v>
      </c>
      <c r="G2569" s="21"/>
      <c r="H2569" s="21">
        <v>46235</v>
      </c>
      <c r="I2569" s="21">
        <v>46599</v>
      </c>
      <c r="J2569" s="19" t="s">
        <v>2068</v>
      </c>
      <c r="L2569" s="19">
        <v>0</v>
      </c>
      <c r="M2569" s="19">
        <v>0</v>
      </c>
      <c r="N2569" s="19" t="s">
        <v>2394</v>
      </c>
      <c r="O2569" s="20">
        <v>2</v>
      </c>
      <c r="S2569" s="19" t="s">
        <v>20</v>
      </c>
      <c r="T2569" s="19" t="s">
        <v>1471</v>
      </c>
    </row>
    <row r="2570" spans="1:20">
      <c r="A2570" s="20">
        <v>202604332561181</v>
      </c>
      <c r="B2570" s="19" t="s">
        <v>20</v>
      </c>
      <c r="C2570" s="19" t="s">
        <v>21</v>
      </c>
      <c r="D2570" s="19" t="s">
        <v>20</v>
      </c>
      <c r="E2570" s="21">
        <v>46235</v>
      </c>
      <c r="F2570" s="21">
        <v>46599</v>
      </c>
      <c r="G2570" s="21"/>
      <c r="H2570" s="21">
        <v>46235</v>
      </c>
      <c r="I2570" s="21">
        <v>46599</v>
      </c>
      <c r="J2570" s="19" t="s">
        <v>2068</v>
      </c>
      <c r="L2570" s="19">
        <v>52.517367999999998</v>
      </c>
      <c r="M2570" s="19">
        <v>52.517367999999998</v>
      </c>
      <c r="N2570" s="19" t="s">
        <v>1475</v>
      </c>
      <c r="O2570" s="20">
        <v>2</v>
      </c>
      <c r="S2570" s="19" t="s">
        <v>20</v>
      </c>
      <c r="T2570" s="19" t="s">
        <v>1471</v>
      </c>
    </row>
    <row r="2571" spans="1:20">
      <c r="A2571" s="20">
        <v>202604332561300</v>
      </c>
      <c r="B2571" s="19" t="s">
        <v>20</v>
      </c>
      <c r="C2571" s="19" t="s">
        <v>21</v>
      </c>
      <c r="D2571" s="19" t="s">
        <v>20</v>
      </c>
      <c r="E2571" s="21">
        <v>46235</v>
      </c>
      <c r="F2571" s="21">
        <v>46599</v>
      </c>
      <c r="G2571" s="21"/>
      <c r="H2571" s="21">
        <v>46235</v>
      </c>
      <c r="I2571" s="21">
        <v>46599</v>
      </c>
      <c r="J2571" s="19" t="s">
        <v>2146</v>
      </c>
      <c r="L2571" s="19">
        <v>23.968290750000001</v>
      </c>
      <c r="M2571" s="19">
        <v>23.968290750000001</v>
      </c>
      <c r="N2571" s="19" t="s">
        <v>1475</v>
      </c>
      <c r="O2571" s="20">
        <v>1</v>
      </c>
      <c r="S2571" s="19" t="s">
        <v>20</v>
      </c>
      <c r="T2571" s="19" t="s">
        <v>1471</v>
      </c>
    </row>
    <row r="2572" spans="1:20">
      <c r="A2572" s="20">
        <v>202604332562694</v>
      </c>
      <c r="B2572" s="19" t="s">
        <v>20</v>
      </c>
      <c r="C2572" s="19" t="s">
        <v>21</v>
      </c>
      <c r="D2572" s="19" t="s">
        <v>2479</v>
      </c>
      <c r="E2572" s="21">
        <v>46235</v>
      </c>
      <c r="F2572" s="21">
        <v>46599</v>
      </c>
      <c r="G2572" s="21"/>
      <c r="H2572" s="21">
        <v>46235</v>
      </c>
      <c r="I2572" s="21">
        <v>46599</v>
      </c>
      <c r="J2572" s="19" t="s">
        <v>2262</v>
      </c>
      <c r="L2572" s="19">
        <v>12.183627</v>
      </c>
      <c r="M2572" s="19">
        <v>12.183627</v>
      </c>
      <c r="N2572" s="19" t="s">
        <v>1467</v>
      </c>
      <c r="O2572" s="20">
        <v>3</v>
      </c>
      <c r="S2572" s="19" t="s">
        <v>20</v>
      </c>
      <c r="T2572" s="19" t="s">
        <v>1471</v>
      </c>
    </row>
    <row r="2573" spans="1:20">
      <c r="A2573" s="20">
        <v>202604332562701</v>
      </c>
      <c r="B2573" s="19" t="s">
        <v>20</v>
      </c>
      <c r="C2573" s="19" t="s">
        <v>21</v>
      </c>
      <c r="D2573" s="19" t="s">
        <v>20</v>
      </c>
      <c r="E2573" s="21">
        <v>46235</v>
      </c>
      <c r="F2573" s="21">
        <v>46599</v>
      </c>
      <c r="G2573" s="21"/>
      <c r="H2573" s="21">
        <v>46235</v>
      </c>
      <c r="I2573" s="21">
        <v>46599</v>
      </c>
      <c r="J2573" s="19" t="s">
        <v>2104</v>
      </c>
      <c r="L2573" s="19">
        <v>0</v>
      </c>
      <c r="M2573" s="19">
        <v>0</v>
      </c>
      <c r="N2573" s="19" t="s">
        <v>2394</v>
      </c>
      <c r="O2573" s="20">
        <v>2</v>
      </c>
      <c r="S2573" s="19" t="s">
        <v>20</v>
      </c>
      <c r="T2573" s="19" t="s">
        <v>1471</v>
      </c>
    </row>
    <row r="2574" spans="1:20">
      <c r="A2574" s="20">
        <v>202604332562701</v>
      </c>
      <c r="B2574" s="19" t="s">
        <v>20</v>
      </c>
      <c r="C2574" s="19" t="s">
        <v>21</v>
      </c>
      <c r="D2574" s="19" t="s">
        <v>2478</v>
      </c>
      <c r="E2574" s="21">
        <v>46235</v>
      </c>
      <c r="F2574" s="21">
        <v>46599</v>
      </c>
      <c r="G2574" s="21"/>
      <c r="H2574" s="21">
        <v>46235</v>
      </c>
      <c r="I2574" s="21">
        <v>46599</v>
      </c>
      <c r="J2574" s="19" t="s">
        <v>2104</v>
      </c>
      <c r="L2574" s="19">
        <v>66.261260500000006</v>
      </c>
      <c r="M2574" s="19">
        <v>66.261260500000006</v>
      </c>
      <c r="N2574" s="19" t="s">
        <v>1467</v>
      </c>
      <c r="O2574" s="20">
        <v>2</v>
      </c>
      <c r="S2574" s="19" t="s">
        <v>20</v>
      </c>
      <c r="T2574" s="19" t="s">
        <v>1471</v>
      </c>
    </row>
    <row r="2575" spans="1:20">
      <c r="A2575" s="20">
        <v>202604332563280</v>
      </c>
      <c r="B2575" s="19" t="s">
        <v>20</v>
      </c>
      <c r="C2575" s="19" t="s">
        <v>21</v>
      </c>
      <c r="D2575" s="19" t="s">
        <v>20</v>
      </c>
      <c r="E2575" s="21">
        <v>46235</v>
      </c>
      <c r="F2575" s="21">
        <v>46599</v>
      </c>
      <c r="G2575" s="21"/>
      <c r="H2575" s="21">
        <v>46235</v>
      </c>
      <c r="I2575" s="21">
        <v>46599</v>
      </c>
      <c r="J2575" s="19" t="s">
        <v>2065</v>
      </c>
      <c r="L2575" s="19">
        <v>0</v>
      </c>
      <c r="M2575" s="19">
        <v>0</v>
      </c>
      <c r="N2575" s="19" t="s">
        <v>2394</v>
      </c>
      <c r="O2575" s="20">
        <v>3</v>
      </c>
      <c r="S2575" s="19" t="s">
        <v>20</v>
      </c>
      <c r="T2575" s="19" t="s">
        <v>1471</v>
      </c>
    </row>
    <row r="2576" spans="1:20">
      <c r="A2576" s="20">
        <v>202604332563280</v>
      </c>
      <c r="B2576" s="19" t="s">
        <v>20</v>
      </c>
      <c r="C2576" s="19" t="s">
        <v>21</v>
      </c>
      <c r="D2576" s="19" t="s">
        <v>20</v>
      </c>
      <c r="E2576" s="21">
        <v>46235</v>
      </c>
      <c r="F2576" s="21">
        <v>46599</v>
      </c>
      <c r="G2576" s="21"/>
      <c r="H2576" s="21">
        <v>46235</v>
      </c>
      <c r="I2576" s="21">
        <v>46599</v>
      </c>
      <c r="J2576" s="19" t="s">
        <v>2065</v>
      </c>
      <c r="L2576" s="19">
        <v>78.776052000000007</v>
      </c>
      <c r="M2576" s="19">
        <v>78.776052000000007</v>
      </c>
      <c r="N2576" s="19" t="s">
        <v>1475</v>
      </c>
      <c r="O2576" s="20">
        <v>3</v>
      </c>
      <c r="S2576" s="19" t="s">
        <v>20</v>
      </c>
      <c r="T2576" s="19" t="s">
        <v>1471</v>
      </c>
    </row>
    <row r="2577" spans="1:20">
      <c r="A2577" s="20">
        <v>202604332564229</v>
      </c>
      <c r="B2577" s="19" t="s">
        <v>20</v>
      </c>
      <c r="C2577" s="19" t="s">
        <v>21</v>
      </c>
      <c r="D2577" s="19" t="s">
        <v>20</v>
      </c>
      <c r="E2577" s="21">
        <v>46235</v>
      </c>
      <c r="F2577" s="21">
        <v>46599</v>
      </c>
      <c r="G2577" s="21"/>
      <c r="H2577" s="21">
        <v>46235</v>
      </c>
      <c r="I2577" s="21">
        <v>46599</v>
      </c>
      <c r="J2577" s="19" t="s">
        <v>2068</v>
      </c>
      <c r="L2577" s="19">
        <v>0</v>
      </c>
      <c r="M2577" s="19">
        <v>0</v>
      </c>
      <c r="N2577" s="19" t="s">
        <v>2394</v>
      </c>
      <c r="O2577" s="20">
        <v>3</v>
      </c>
      <c r="S2577" s="19" t="s">
        <v>20</v>
      </c>
      <c r="T2577" s="19" t="s">
        <v>1471</v>
      </c>
    </row>
    <row r="2578" spans="1:20">
      <c r="A2578" s="20">
        <v>202604332564229</v>
      </c>
      <c r="B2578" s="19" t="s">
        <v>20</v>
      </c>
      <c r="C2578" s="19" t="s">
        <v>21</v>
      </c>
      <c r="D2578" s="19" t="s">
        <v>20</v>
      </c>
      <c r="E2578" s="21">
        <v>46235</v>
      </c>
      <c r="F2578" s="21">
        <v>46599</v>
      </c>
      <c r="G2578" s="21"/>
      <c r="H2578" s="21">
        <v>46235</v>
      </c>
      <c r="I2578" s="21">
        <v>46599</v>
      </c>
      <c r="J2578" s="19" t="s">
        <v>2068</v>
      </c>
      <c r="L2578" s="19">
        <v>78.776052000000007</v>
      </c>
      <c r="M2578" s="19">
        <v>78.776052000000007</v>
      </c>
      <c r="N2578" s="19" t="s">
        <v>1475</v>
      </c>
      <c r="O2578" s="20">
        <v>3</v>
      </c>
      <c r="S2578" s="19" t="s">
        <v>20</v>
      </c>
      <c r="T2578" s="19" t="s">
        <v>1471</v>
      </c>
    </row>
    <row r="2579" spans="1:20">
      <c r="A2579" s="20">
        <v>202604332565594</v>
      </c>
      <c r="B2579" s="19" t="s">
        <v>20</v>
      </c>
      <c r="C2579" s="19" t="s">
        <v>21</v>
      </c>
      <c r="D2579" s="19" t="s">
        <v>20</v>
      </c>
      <c r="E2579" s="21">
        <v>46235</v>
      </c>
      <c r="F2579" s="21">
        <v>46599</v>
      </c>
      <c r="G2579" s="21"/>
      <c r="H2579" s="21">
        <v>46235</v>
      </c>
      <c r="I2579" s="21">
        <v>46599</v>
      </c>
      <c r="J2579" s="19" t="s">
        <v>2068</v>
      </c>
      <c r="L2579" s="19">
        <v>26.258683999999999</v>
      </c>
      <c r="M2579" s="19">
        <v>26.258683999999999</v>
      </c>
      <c r="N2579" s="19" t="s">
        <v>1475</v>
      </c>
      <c r="O2579" s="20">
        <v>1</v>
      </c>
      <c r="S2579" s="19" t="s">
        <v>20</v>
      </c>
      <c r="T2579" s="19" t="s">
        <v>1471</v>
      </c>
    </row>
    <row r="2580" spans="1:20">
      <c r="A2580" s="20">
        <v>202604332566765</v>
      </c>
      <c r="B2580" s="19" t="s">
        <v>20</v>
      </c>
      <c r="C2580" s="19" t="s">
        <v>21</v>
      </c>
      <c r="D2580" s="19" t="s">
        <v>20</v>
      </c>
      <c r="E2580" s="21">
        <v>46235</v>
      </c>
      <c r="F2580" s="21">
        <v>46599</v>
      </c>
      <c r="G2580" s="21"/>
      <c r="H2580" s="21">
        <v>46235</v>
      </c>
      <c r="I2580" s="21">
        <v>46599</v>
      </c>
      <c r="J2580" s="19" t="s">
        <v>2068</v>
      </c>
      <c r="L2580" s="19">
        <v>26.258683999999999</v>
      </c>
      <c r="M2580" s="19">
        <v>26.258683999999999</v>
      </c>
      <c r="N2580" s="19" t="s">
        <v>1475</v>
      </c>
      <c r="O2580" s="20">
        <v>1</v>
      </c>
      <c r="S2580" s="19" t="s">
        <v>20</v>
      </c>
      <c r="T2580" s="19" t="s">
        <v>1471</v>
      </c>
    </row>
    <row r="2581" spans="1:20">
      <c r="A2581" s="20">
        <v>202604332567892</v>
      </c>
      <c r="B2581" s="19" t="s">
        <v>20</v>
      </c>
      <c r="C2581" s="19" t="s">
        <v>21</v>
      </c>
      <c r="D2581" s="19" t="s">
        <v>20</v>
      </c>
      <c r="E2581" s="21">
        <v>46235</v>
      </c>
      <c r="F2581" s="21">
        <v>46599</v>
      </c>
      <c r="G2581" s="21"/>
      <c r="H2581" s="21">
        <v>46235</v>
      </c>
      <c r="I2581" s="21">
        <v>46599</v>
      </c>
      <c r="J2581" s="19" t="s">
        <v>2093</v>
      </c>
      <c r="L2581" s="19">
        <v>28.776034249999999</v>
      </c>
      <c r="M2581" s="19">
        <v>28.776034249999999</v>
      </c>
      <c r="N2581" s="19" t="s">
        <v>1475</v>
      </c>
      <c r="O2581" s="20">
        <v>1</v>
      </c>
      <c r="S2581" s="19" t="s">
        <v>20</v>
      </c>
      <c r="T2581" s="19" t="s">
        <v>1471</v>
      </c>
    </row>
    <row r="2582" spans="1:20">
      <c r="A2582" s="20">
        <v>202604332568047</v>
      </c>
      <c r="B2582" s="19" t="s">
        <v>20</v>
      </c>
      <c r="C2582" s="19" t="s">
        <v>21</v>
      </c>
      <c r="D2582" s="19" t="s">
        <v>20</v>
      </c>
      <c r="E2582" s="21">
        <v>46235</v>
      </c>
      <c r="F2582" s="21">
        <v>46599</v>
      </c>
      <c r="G2582" s="21"/>
      <c r="H2582" s="21">
        <v>46235</v>
      </c>
      <c r="I2582" s="21">
        <v>46599</v>
      </c>
      <c r="J2582" s="19" t="s">
        <v>2062</v>
      </c>
      <c r="L2582" s="19">
        <v>33.130630250000003</v>
      </c>
      <c r="M2582" s="19">
        <v>33.130630250000003</v>
      </c>
      <c r="N2582" s="19" t="s">
        <v>1475</v>
      </c>
      <c r="O2582" s="20">
        <v>1</v>
      </c>
      <c r="S2582" s="19" t="s">
        <v>20</v>
      </c>
      <c r="T2582" s="19" t="s">
        <v>1471</v>
      </c>
    </row>
    <row r="2583" spans="1:20">
      <c r="A2583" s="20">
        <v>202604332568345</v>
      </c>
      <c r="B2583" s="19" t="s">
        <v>20</v>
      </c>
      <c r="C2583" s="19" t="s">
        <v>21</v>
      </c>
      <c r="D2583" s="19" t="s">
        <v>20</v>
      </c>
      <c r="E2583" s="21">
        <v>46235</v>
      </c>
      <c r="F2583" s="21">
        <v>46599</v>
      </c>
      <c r="G2583" s="21"/>
      <c r="H2583" s="21">
        <v>46235</v>
      </c>
      <c r="I2583" s="21">
        <v>46599</v>
      </c>
      <c r="J2583" s="19" t="s">
        <v>2069</v>
      </c>
      <c r="L2583" s="19">
        <v>66.261260500000006</v>
      </c>
      <c r="M2583" s="19">
        <v>66.261260500000006</v>
      </c>
      <c r="N2583" s="19" t="s">
        <v>1475</v>
      </c>
      <c r="O2583" s="20">
        <v>2</v>
      </c>
      <c r="S2583" s="19" t="s">
        <v>20</v>
      </c>
      <c r="T2583" s="19" t="s">
        <v>1471</v>
      </c>
    </row>
    <row r="2584" spans="1:20">
      <c r="A2584" s="20">
        <v>202604332569690</v>
      </c>
      <c r="B2584" s="19" t="s">
        <v>20</v>
      </c>
      <c r="C2584" s="19" t="s">
        <v>21</v>
      </c>
      <c r="D2584" s="19" t="s">
        <v>20</v>
      </c>
      <c r="E2584" s="21">
        <v>46235</v>
      </c>
      <c r="F2584" s="21">
        <v>46599</v>
      </c>
      <c r="G2584" s="21"/>
      <c r="H2584" s="21">
        <v>46235</v>
      </c>
      <c r="I2584" s="21">
        <v>46599</v>
      </c>
      <c r="J2584" s="19" t="s">
        <v>2064</v>
      </c>
      <c r="L2584" s="19">
        <v>33.130630250000003</v>
      </c>
      <c r="M2584" s="19">
        <v>33.130630250000003</v>
      </c>
      <c r="N2584" s="19" t="s">
        <v>1475</v>
      </c>
      <c r="O2584" s="20">
        <v>1</v>
      </c>
      <c r="S2584" s="19" t="s">
        <v>20</v>
      </c>
      <c r="T2584" s="19" t="s">
        <v>1471</v>
      </c>
    </row>
    <row r="2585" spans="1:20">
      <c r="A2585" s="20">
        <v>202604332570021</v>
      </c>
      <c r="B2585" s="19" t="s">
        <v>20</v>
      </c>
      <c r="C2585" s="19" t="s">
        <v>21</v>
      </c>
      <c r="D2585" s="19" t="s">
        <v>20</v>
      </c>
      <c r="E2585" s="21">
        <v>46235</v>
      </c>
      <c r="F2585" s="21">
        <v>46599</v>
      </c>
      <c r="G2585" s="21"/>
      <c r="H2585" s="21">
        <v>46235</v>
      </c>
      <c r="I2585" s="21">
        <v>46599</v>
      </c>
      <c r="J2585" s="19" t="s">
        <v>2068</v>
      </c>
      <c r="L2585" s="19">
        <v>0</v>
      </c>
      <c r="M2585" s="19">
        <v>0</v>
      </c>
      <c r="N2585" s="19" t="s">
        <v>2394</v>
      </c>
      <c r="O2585" s="20">
        <v>2</v>
      </c>
      <c r="S2585" s="19" t="s">
        <v>20</v>
      </c>
      <c r="T2585" s="19" t="s">
        <v>1471</v>
      </c>
    </row>
    <row r="2586" spans="1:20">
      <c r="A2586" s="20">
        <v>202604332570021</v>
      </c>
      <c r="B2586" s="19" t="s">
        <v>20</v>
      </c>
      <c r="C2586" s="19" t="s">
        <v>21</v>
      </c>
      <c r="D2586" s="19" t="s">
        <v>20</v>
      </c>
      <c r="E2586" s="21">
        <v>46235</v>
      </c>
      <c r="F2586" s="21">
        <v>46599</v>
      </c>
      <c r="G2586" s="21"/>
      <c r="H2586" s="21">
        <v>46235</v>
      </c>
      <c r="I2586" s="21">
        <v>46599</v>
      </c>
      <c r="J2586" s="19" t="s">
        <v>2068</v>
      </c>
      <c r="L2586" s="19">
        <v>52.517367999999998</v>
      </c>
      <c r="M2586" s="19">
        <v>52.517367999999998</v>
      </c>
      <c r="N2586" s="19" t="s">
        <v>1475</v>
      </c>
      <c r="O2586" s="20">
        <v>2</v>
      </c>
      <c r="S2586" s="19" t="s">
        <v>20</v>
      </c>
      <c r="T2586" s="19" t="s">
        <v>1471</v>
      </c>
    </row>
    <row r="2587" spans="1:20">
      <c r="A2587" s="20">
        <v>202604332570969</v>
      </c>
      <c r="B2587" s="19" t="s">
        <v>20</v>
      </c>
      <c r="C2587" s="19" t="s">
        <v>21</v>
      </c>
      <c r="D2587" s="19" t="s">
        <v>20</v>
      </c>
      <c r="E2587" s="21">
        <v>46235</v>
      </c>
      <c r="F2587" s="21">
        <v>46599</v>
      </c>
      <c r="G2587" s="21"/>
      <c r="H2587" s="21">
        <v>46235</v>
      </c>
      <c r="I2587" s="21">
        <v>46599</v>
      </c>
      <c r="J2587" s="19" t="s">
        <v>2064</v>
      </c>
      <c r="L2587" s="19">
        <v>33.130630250000003</v>
      </c>
      <c r="M2587" s="19">
        <v>33.130630250000003</v>
      </c>
      <c r="N2587" s="19" t="s">
        <v>1475</v>
      </c>
      <c r="O2587" s="20">
        <v>1</v>
      </c>
      <c r="S2587" s="19" t="s">
        <v>20</v>
      </c>
      <c r="T2587" s="19" t="s">
        <v>1471</v>
      </c>
    </row>
    <row r="2588" spans="1:20">
      <c r="A2588" s="20">
        <v>202604332571819</v>
      </c>
      <c r="B2588" s="19" t="s">
        <v>20</v>
      </c>
      <c r="C2588" s="19" t="s">
        <v>21</v>
      </c>
      <c r="D2588" s="19" t="s">
        <v>2477</v>
      </c>
      <c r="E2588" s="21">
        <v>46235</v>
      </c>
      <c r="F2588" s="21">
        <v>46599</v>
      </c>
      <c r="G2588" s="21"/>
      <c r="H2588" s="21">
        <v>46235</v>
      </c>
      <c r="I2588" s="21">
        <v>46599</v>
      </c>
      <c r="J2588" s="19" t="s">
        <v>2180</v>
      </c>
      <c r="L2588" s="19">
        <v>32.370006750000002</v>
      </c>
      <c r="M2588" s="19">
        <v>32.370006750000002</v>
      </c>
      <c r="N2588" s="19" t="s">
        <v>1467</v>
      </c>
      <c r="O2588" s="20">
        <v>1</v>
      </c>
      <c r="S2588" s="19" t="s">
        <v>20</v>
      </c>
      <c r="T2588" s="19" t="s">
        <v>1471</v>
      </c>
    </row>
    <row r="2589" spans="1:20">
      <c r="A2589" s="20">
        <v>202604332572366</v>
      </c>
      <c r="B2589" s="19" t="s">
        <v>20</v>
      </c>
      <c r="C2589" s="19" t="s">
        <v>21</v>
      </c>
      <c r="D2589" s="19" t="s">
        <v>20</v>
      </c>
      <c r="E2589" s="21">
        <v>46235</v>
      </c>
      <c r="F2589" s="21">
        <v>46599</v>
      </c>
      <c r="G2589" s="21"/>
      <c r="H2589" s="21">
        <v>46235</v>
      </c>
      <c r="I2589" s="21">
        <v>46599</v>
      </c>
      <c r="J2589" s="19" t="s">
        <v>2087</v>
      </c>
      <c r="L2589" s="19">
        <v>33.130630250000003</v>
      </c>
      <c r="M2589" s="19">
        <v>33.130630250000003</v>
      </c>
      <c r="N2589" s="19" t="s">
        <v>1475</v>
      </c>
      <c r="O2589" s="20">
        <v>1</v>
      </c>
      <c r="S2589" s="19" t="s">
        <v>20</v>
      </c>
      <c r="T2589" s="19" t="s">
        <v>1471</v>
      </c>
    </row>
    <row r="2590" spans="1:20">
      <c r="A2590" s="20">
        <v>202604332573482</v>
      </c>
      <c r="B2590" s="19" t="s">
        <v>20</v>
      </c>
      <c r="C2590" s="19" t="s">
        <v>21</v>
      </c>
      <c r="D2590" s="19" t="s">
        <v>20</v>
      </c>
      <c r="E2590" s="21">
        <v>46235</v>
      </c>
      <c r="F2590" s="21">
        <v>46599</v>
      </c>
      <c r="G2590" s="21"/>
      <c r="H2590" s="21">
        <v>46235</v>
      </c>
      <c r="I2590" s="21">
        <v>46599</v>
      </c>
      <c r="J2590" s="19" t="s">
        <v>2104</v>
      </c>
      <c r="L2590" s="19">
        <v>0</v>
      </c>
      <c r="M2590" s="19">
        <v>0</v>
      </c>
      <c r="N2590" s="19" t="s">
        <v>2394</v>
      </c>
      <c r="O2590" s="20">
        <v>4</v>
      </c>
      <c r="S2590" s="19" t="s">
        <v>20</v>
      </c>
      <c r="T2590" s="19" t="s">
        <v>1471</v>
      </c>
    </row>
    <row r="2591" spans="1:20">
      <c r="A2591" s="20">
        <v>202604332573482</v>
      </c>
      <c r="B2591" s="19" t="s">
        <v>20</v>
      </c>
      <c r="C2591" s="19" t="s">
        <v>21</v>
      </c>
      <c r="D2591" s="19" t="s">
        <v>2476</v>
      </c>
      <c r="E2591" s="21">
        <v>46235</v>
      </c>
      <c r="F2591" s="21">
        <v>46599</v>
      </c>
      <c r="G2591" s="21"/>
      <c r="H2591" s="21">
        <v>46235</v>
      </c>
      <c r="I2591" s="21">
        <v>46599</v>
      </c>
      <c r="J2591" s="19" t="s">
        <v>2104</v>
      </c>
      <c r="L2591" s="19">
        <v>66.908733999999995</v>
      </c>
      <c r="M2591" s="19">
        <v>66.908733999999995</v>
      </c>
      <c r="N2591" s="19" t="s">
        <v>1467</v>
      </c>
      <c r="O2591" s="20">
        <v>4</v>
      </c>
      <c r="S2591" s="19" t="s">
        <v>20</v>
      </c>
      <c r="T2591" s="19" t="s">
        <v>1471</v>
      </c>
    </row>
    <row r="2592" spans="1:20">
      <c r="A2592" s="20">
        <v>202604332573935</v>
      </c>
      <c r="B2592" s="19" t="s">
        <v>20</v>
      </c>
      <c r="C2592" s="19" t="s">
        <v>21</v>
      </c>
      <c r="D2592" s="19" t="s">
        <v>2475</v>
      </c>
      <c r="E2592" s="21">
        <v>46235</v>
      </c>
      <c r="F2592" s="21">
        <v>46599</v>
      </c>
      <c r="G2592" s="21"/>
      <c r="H2592" s="21">
        <v>46235</v>
      </c>
      <c r="I2592" s="21">
        <v>46599</v>
      </c>
      <c r="J2592" s="19" t="s">
        <v>2129</v>
      </c>
      <c r="L2592" s="19">
        <v>99.391890750000002</v>
      </c>
      <c r="M2592" s="19">
        <v>99.391890750000002</v>
      </c>
      <c r="N2592" s="19" t="s">
        <v>1467</v>
      </c>
      <c r="O2592" s="20">
        <v>3</v>
      </c>
      <c r="S2592" s="19" t="s">
        <v>20</v>
      </c>
      <c r="T2592" s="19" t="s">
        <v>1471</v>
      </c>
    </row>
    <row r="2593" spans="1:20">
      <c r="A2593" s="20">
        <v>202604332574168</v>
      </c>
      <c r="B2593" s="19" t="s">
        <v>20</v>
      </c>
      <c r="C2593" s="19" t="s">
        <v>21</v>
      </c>
      <c r="D2593" s="19" t="s">
        <v>20</v>
      </c>
      <c r="E2593" s="21">
        <v>46235</v>
      </c>
      <c r="F2593" s="21">
        <v>46599</v>
      </c>
      <c r="G2593" s="21"/>
      <c r="H2593" s="21">
        <v>46235</v>
      </c>
      <c r="I2593" s="21">
        <v>46599</v>
      </c>
      <c r="J2593" s="19" t="s">
        <v>2064</v>
      </c>
      <c r="L2593" s="19">
        <v>0</v>
      </c>
      <c r="M2593" s="19">
        <v>0</v>
      </c>
      <c r="N2593" s="19" t="s">
        <v>2394</v>
      </c>
      <c r="O2593" s="20">
        <v>4</v>
      </c>
      <c r="S2593" s="19" t="s">
        <v>20</v>
      </c>
      <c r="T2593" s="19" t="s">
        <v>1471</v>
      </c>
    </row>
    <row r="2594" spans="1:20">
      <c r="A2594" s="20">
        <v>202604332574168</v>
      </c>
      <c r="B2594" s="19" t="s">
        <v>20</v>
      </c>
      <c r="C2594" s="19" t="s">
        <v>21</v>
      </c>
      <c r="D2594" s="19" t="s">
        <v>2474</v>
      </c>
      <c r="E2594" s="21">
        <v>46235</v>
      </c>
      <c r="F2594" s="21">
        <v>46599</v>
      </c>
      <c r="G2594" s="21"/>
      <c r="H2594" s="21">
        <v>46235</v>
      </c>
      <c r="I2594" s="21">
        <v>46599</v>
      </c>
      <c r="J2594" s="19" t="s">
        <v>2064</v>
      </c>
      <c r="L2594" s="19">
        <v>66.908733999999995</v>
      </c>
      <c r="M2594" s="19">
        <v>66.908733999999995</v>
      </c>
      <c r="N2594" s="19" t="s">
        <v>1467</v>
      </c>
      <c r="O2594" s="20">
        <v>4</v>
      </c>
      <c r="S2594" s="19" t="s">
        <v>20</v>
      </c>
      <c r="T2594" s="19" t="s">
        <v>1471</v>
      </c>
    </row>
    <row r="2595" spans="1:20">
      <c r="A2595" s="20">
        <v>202604332574795</v>
      </c>
      <c r="B2595" s="19" t="s">
        <v>20</v>
      </c>
      <c r="C2595" s="19" t="s">
        <v>21</v>
      </c>
      <c r="D2595" s="19" t="s">
        <v>20</v>
      </c>
      <c r="E2595" s="21">
        <v>46235</v>
      </c>
      <c r="F2595" s="21">
        <v>46599</v>
      </c>
      <c r="G2595" s="21"/>
      <c r="H2595" s="21">
        <v>46235</v>
      </c>
      <c r="I2595" s="21">
        <v>46599</v>
      </c>
      <c r="J2595" s="19" t="s">
        <v>2104</v>
      </c>
      <c r="L2595" s="19">
        <v>33.130630250000003</v>
      </c>
      <c r="M2595" s="19">
        <v>33.130630250000003</v>
      </c>
      <c r="N2595" s="19" t="s">
        <v>1475</v>
      </c>
      <c r="O2595" s="20">
        <v>1</v>
      </c>
      <c r="S2595" s="19" t="s">
        <v>20</v>
      </c>
      <c r="T2595" s="19" t="s">
        <v>1471</v>
      </c>
    </row>
    <row r="2596" spans="1:20">
      <c r="A2596" s="20">
        <v>202604332576024</v>
      </c>
      <c r="B2596" s="19" t="s">
        <v>20</v>
      </c>
      <c r="C2596" s="19" t="s">
        <v>21</v>
      </c>
      <c r="D2596" s="19" t="s">
        <v>20</v>
      </c>
      <c r="E2596" s="21">
        <v>46235</v>
      </c>
      <c r="F2596" s="21">
        <v>46599</v>
      </c>
      <c r="G2596" s="21"/>
      <c r="H2596" s="21">
        <v>46235</v>
      </c>
      <c r="I2596" s="21">
        <v>46599</v>
      </c>
      <c r="J2596" s="19" t="s">
        <v>2104</v>
      </c>
      <c r="L2596" s="19">
        <v>0</v>
      </c>
      <c r="M2596" s="19">
        <v>0</v>
      </c>
      <c r="N2596" s="19" t="s">
        <v>2394</v>
      </c>
      <c r="O2596" s="20">
        <v>3</v>
      </c>
      <c r="S2596" s="19" t="s">
        <v>20</v>
      </c>
      <c r="T2596" s="19" t="s">
        <v>1471</v>
      </c>
    </row>
    <row r="2597" spans="1:20">
      <c r="A2597" s="20">
        <v>202604332576024</v>
      </c>
      <c r="B2597" s="19" t="s">
        <v>20</v>
      </c>
      <c r="C2597" s="19" t="s">
        <v>21</v>
      </c>
      <c r="D2597" s="19" t="s">
        <v>20</v>
      </c>
      <c r="E2597" s="21">
        <v>46235</v>
      </c>
      <c r="F2597" s="21">
        <v>46599</v>
      </c>
      <c r="G2597" s="21"/>
      <c r="H2597" s="21">
        <v>46235</v>
      </c>
      <c r="I2597" s="21">
        <v>46599</v>
      </c>
      <c r="J2597" s="19" t="s">
        <v>2104</v>
      </c>
      <c r="L2597" s="19">
        <v>99.391890750000002</v>
      </c>
      <c r="M2597" s="19">
        <v>99.391890750000002</v>
      </c>
      <c r="N2597" s="19" t="s">
        <v>1475</v>
      </c>
      <c r="O2597" s="20">
        <v>3</v>
      </c>
      <c r="S2597" s="19" t="s">
        <v>20</v>
      </c>
      <c r="T2597" s="19" t="s">
        <v>1471</v>
      </c>
    </row>
    <row r="2598" spans="1:20">
      <c r="A2598" s="20">
        <v>202604332576214</v>
      </c>
      <c r="B2598" s="19" t="s">
        <v>20</v>
      </c>
      <c r="C2598" s="19" t="s">
        <v>21</v>
      </c>
      <c r="D2598" s="19" t="s">
        <v>20</v>
      </c>
      <c r="E2598" s="21">
        <v>46235</v>
      </c>
      <c r="F2598" s="21">
        <v>46599</v>
      </c>
      <c r="G2598" s="21"/>
      <c r="H2598" s="21">
        <v>46235</v>
      </c>
      <c r="I2598" s="21">
        <v>46599</v>
      </c>
      <c r="J2598" s="19" t="s">
        <v>2092</v>
      </c>
      <c r="L2598" s="19">
        <v>193.29779500000001</v>
      </c>
      <c r="M2598" s="19">
        <v>193.29779500000001</v>
      </c>
      <c r="N2598" s="19" t="s">
        <v>1475</v>
      </c>
      <c r="O2598" s="20">
        <v>5</v>
      </c>
      <c r="S2598" s="19" t="s">
        <v>20</v>
      </c>
      <c r="T2598" s="19" t="s">
        <v>1471</v>
      </c>
    </row>
    <row r="2599" spans="1:20">
      <c r="A2599" s="20">
        <v>202604332576768</v>
      </c>
      <c r="B2599" s="19" t="s">
        <v>20</v>
      </c>
      <c r="C2599" s="19" t="s">
        <v>21</v>
      </c>
      <c r="D2599" s="19" t="s">
        <v>2473</v>
      </c>
      <c r="E2599" s="21">
        <v>46235</v>
      </c>
      <c r="F2599" s="21">
        <v>46599</v>
      </c>
      <c r="G2599" s="21"/>
      <c r="H2599" s="21">
        <v>46235</v>
      </c>
      <c r="I2599" s="21">
        <v>46599</v>
      </c>
      <c r="J2599" s="19" t="s">
        <v>2087</v>
      </c>
      <c r="L2599" s="19">
        <v>132.52252100000001</v>
      </c>
      <c r="M2599" s="19">
        <v>132.52252100000001</v>
      </c>
      <c r="N2599" s="19" t="s">
        <v>1467</v>
      </c>
      <c r="O2599" s="20">
        <v>4</v>
      </c>
      <c r="S2599" s="19" t="s">
        <v>20</v>
      </c>
      <c r="T2599" s="19" t="s">
        <v>1471</v>
      </c>
    </row>
    <row r="2600" spans="1:20">
      <c r="A2600" s="20">
        <v>202604332576843</v>
      </c>
      <c r="B2600" s="19" t="s">
        <v>20</v>
      </c>
      <c r="C2600" s="19" t="s">
        <v>21</v>
      </c>
      <c r="D2600" s="19" t="s">
        <v>20</v>
      </c>
      <c r="E2600" s="21">
        <v>46235</v>
      </c>
      <c r="F2600" s="21">
        <v>46599</v>
      </c>
      <c r="G2600" s="21"/>
      <c r="H2600" s="21">
        <v>46235</v>
      </c>
      <c r="I2600" s="21">
        <v>46599</v>
      </c>
      <c r="J2600" s="19" t="s">
        <v>2184</v>
      </c>
      <c r="L2600" s="19">
        <v>0</v>
      </c>
      <c r="M2600" s="19">
        <v>0</v>
      </c>
      <c r="N2600" s="19" t="s">
        <v>2394</v>
      </c>
      <c r="O2600" s="20">
        <v>3</v>
      </c>
      <c r="S2600" s="19" t="s">
        <v>20</v>
      </c>
      <c r="T2600" s="19" t="s">
        <v>1471</v>
      </c>
    </row>
    <row r="2601" spans="1:20">
      <c r="A2601" s="20">
        <v>202604332576843</v>
      </c>
      <c r="B2601" s="19" t="s">
        <v>20</v>
      </c>
      <c r="C2601" s="19" t="s">
        <v>21</v>
      </c>
      <c r="D2601" s="19" t="s">
        <v>20</v>
      </c>
      <c r="E2601" s="21">
        <v>46235</v>
      </c>
      <c r="F2601" s="21">
        <v>46599</v>
      </c>
      <c r="G2601" s="21"/>
      <c r="H2601" s="21">
        <v>46235</v>
      </c>
      <c r="I2601" s="21">
        <v>46599</v>
      </c>
      <c r="J2601" s="19" t="s">
        <v>2184</v>
      </c>
      <c r="L2601" s="19">
        <v>89.452685250000002</v>
      </c>
      <c r="M2601" s="19">
        <v>89.452685250000002</v>
      </c>
      <c r="N2601" s="19" t="s">
        <v>1475</v>
      </c>
      <c r="O2601" s="20">
        <v>3</v>
      </c>
      <c r="S2601" s="19" t="s">
        <v>20</v>
      </c>
      <c r="T2601" s="19" t="s">
        <v>1471</v>
      </c>
    </row>
    <row r="2602" spans="1:20">
      <c r="A2602" s="20">
        <v>202604332580792</v>
      </c>
      <c r="B2602" s="19" t="s">
        <v>20</v>
      </c>
      <c r="C2602" s="19" t="s">
        <v>21</v>
      </c>
      <c r="D2602" s="19" t="s">
        <v>20</v>
      </c>
      <c r="E2602" s="21">
        <v>46235</v>
      </c>
      <c r="F2602" s="21">
        <v>46599</v>
      </c>
      <c r="G2602" s="21"/>
      <c r="H2602" s="21">
        <v>46235</v>
      </c>
      <c r="I2602" s="21">
        <v>46599</v>
      </c>
      <c r="J2602" s="19" t="s">
        <v>2104</v>
      </c>
      <c r="L2602" s="19">
        <v>0</v>
      </c>
      <c r="M2602" s="19">
        <v>0</v>
      </c>
      <c r="N2602" s="19" t="s">
        <v>2394</v>
      </c>
      <c r="O2602" s="20">
        <v>2</v>
      </c>
      <c r="S2602" s="19" t="s">
        <v>20</v>
      </c>
      <c r="T2602" s="19" t="s">
        <v>1471</v>
      </c>
    </row>
    <row r="2603" spans="1:20">
      <c r="A2603" s="20">
        <v>202604332580792</v>
      </c>
      <c r="B2603" s="19" t="s">
        <v>20</v>
      </c>
      <c r="C2603" s="19" t="s">
        <v>21</v>
      </c>
      <c r="D2603" s="19" t="s">
        <v>20</v>
      </c>
      <c r="E2603" s="21">
        <v>46235</v>
      </c>
      <c r="F2603" s="21">
        <v>46599</v>
      </c>
      <c r="G2603" s="21"/>
      <c r="H2603" s="21">
        <v>46235</v>
      </c>
      <c r="I2603" s="21">
        <v>46599</v>
      </c>
      <c r="J2603" s="19" t="s">
        <v>2104</v>
      </c>
      <c r="L2603" s="19">
        <v>66.261260500000006</v>
      </c>
      <c r="M2603" s="19">
        <v>66.261260500000006</v>
      </c>
      <c r="N2603" s="19" t="s">
        <v>1475</v>
      </c>
      <c r="O2603" s="20">
        <v>2</v>
      </c>
      <c r="S2603" s="19" t="s">
        <v>20</v>
      </c>
      <c r="T2603" s="19" t="s">
        <v>1471</v>
      </c>
    </row>
    <row r="2604" spans="1:20">
      <c r="A2604" s="20">
        <v>202604332580947</v>
      </c>
      <c r="B2604" s="19" t="s">
        <v>20</v>
      </c>
      <c r="C2604" s="19" t="s">
        <v>21</v>
      </c>
      <c r="D2604" s="19" t="s">
        <v>20</v>
      </c>
      <c r="E2604" s="21">
        <v>46235</v>
      </c>
      <c r="F2604" s="21">
        <v>46599</v>
      </c>
      <c r="G2604" s="21"/>
      <c r="H2604" s="21">
        <v>46235</v>
      </c>
      <c r="I2604" s="21">
        <v>46599</v>
      </c>
      <c r="J2604" s="19" t="s">
        <v>2086</v>
      </c>
      <c r="L2604" s="19">
        <v>0</v>
      </c>
      <c r="M2604" s="19">
        <v>0</v>
      </c>
      <c r="N2604" s="19" t="s">
        <v>2394</v>
      </c>
      <c r="O2604" s="20">
        <v>3</v>
      </c>
      <c r="S2604" s="19" t="s">
        <v>20</v>
      </c>
      <c r="T2604" s="19" t="s">
        <v>1471</v>
      </c>
    </row>
    <row r="2605" spans="1:20">
      <c r="A2605" s="20">
        <v>202604332580947</v>
      </c>
      <c r="B2605" s="19" t="s">
        <v>20</v>
      </c>
      <c r="C2605" s="19" t="s">
        <v>21</v>
      </c>
      <c r="D2605" s="19" t="s">
        <v>20</v>
      </c>
      <c r="E2605" s="21">
        <v>46235</v>
      </c>
      <c r="F2605" s="21">
        <v>46599</v>
      </c>
      <c r="G2605" s="21"/>
      <c r="H2605" s="21">
        <v>46235</v>
      </c>
      <c r="I2605" s="21">
        <v>46599</v>
      </c>
      <c r="J2605" s="19" t="s">
        <v>2086</v>
      </c>
      <c r="L2605" s="19">
        <v>99.391890750000002</v>
      </c>
      <c r="M2605" s="19">
        <v>99.391890750000002</v>
      </c>
      <c r="N2605" s="19" t="s">
        <v>1475</v>
      </c>
      <c r="O2605" s="20">
        <v>3</v>
      </c>
      <c r="S2605" s="19" t="s">
        <v>20</v>
      </c>
      <c r="T2605" s="19" t="s">
        <v>1471</v>
      </c>
    </row>
    <row r="2606" spans="1:20">
      <c r="A2606" s="20">
        <v>202604332581338</v>
      </c>
      <c r="B2606" s="19" t="s">
        <v>20</v>
      </c>
      <c r="C2606" s="19" t="s">
        <v>21</v>
      </c>
      <c r="D2606" s="19" t="s">
        <v>20</v>
      </c>
      <c r="E2606" s="21">
        <v>46235</v>
      </c>
      <c r="F2606" s="21">
        <v>46599</v>
      </c>
      <c r="G2606" s="21"/>
      <c r="H2606" s="21">
        <v>46235</v>
      </c>
      <c r="I2606" s="21">
        <v>46599</v>
      </c>
      <c r="J2606" s="19" t="s">
        <v>2087</v>
      </c>
      <c r="L2606" s="19">
        <v>0</v>
      </c>
      <c r="M2606" s="19">
        <v>0</v>
      </c>
      <c r="N2606" s="19" t="s">
        <v>2394</v>
      </c>
      <c r="O2606" s="20">
        <v>5</v>
      </c>
      <c r="S2606" s="19" t="s">
        <v>20</v>
      </c>
      <c r="T2606" s="19" t="s">
        <v>1471</v>
      </c>
    </row>
    <row r="2607" spans="1:20">
      <c r="A2607" s="20">
        <v>202604332581338</v>
      </c>
      <c r="B2607" s="19" t="s">
        <v>20</v>
      </c>
      <c r="C2607" s="19" t="s">
        <v>21</v>
      </c>
      <c r="D2607" s="19" t="s">
        <v>20</v>
      </c>
      <c r="E2607" s="21">
        <v>46235</v>
      </c>
      <c r="F2607" s="21">
        <v>46599</v>
      </c>
      <c r="G2607" s="21"/>
      <c r="H2607" s="21">
        <v>46235</v>
      </c>
      <c r="I2607" s="21">
        <v>46599</v>
      </c>
      <c r="J2607" s="19" t="s">
        <v>2087</v>
      </c>
      <c r="L2607" s="19">
        <v>165.65315125000001</v>
      </c>
      <c r="M2607" s="19">
        <v>165.65315125000001</v>
      </c>
      <c r="N2607" s="19" t="s">
        <v>1475</v>
      </c>
      <c r="O2607" s="20">
        <v>5</v>
      </c>
      <c r="S2607" s="19" t="s">
        <v>20</v>
      </c>
      <c r="T2607" s="19" t="s">
        <v>1471</v>
      </c>
    </row>
    <row r="2608" spans="1:20">
      <c r="A2608" s="20">
        <v>202604332583167</v>
      </c>
      <c r="B2608" s="19" t="s">
        <v>20</v>
      </c>
      <c r="C2608" s="19" t="s">
        <v>21</v>
      </c>
      <c r="D2608" s="19" t="s">
        <v>20</v>
      </c>
      <c r="E2608" s="21">
        <v>46235</v>
      </c>
      <c r="F2608" s="21">
        <v>46599</v>
      </c>
      <c r="G2608" s="21"/>
      <c r="H2608" s="21">
        <v>46235</v>
      </c>
      <c r="I2608" s="21">
        <v>46599</v>
      </c>
      <c r="J2608" s="19" t="s">
        <v>2102</v>
      </c>
      <c r="L2608" s="19">
        <v>0</v>
      </c>
      <c r="M2608" s="19">
        <v>0</v>
      </c>
      <c r="N2608" s="19" t="s">
        <v>2394</v>
      </c>
      <c r="O2608" s="20">
        <v>3</v>
      </c>
      <c r="S2608" s="19" t="s">
        <v>20</v>
      </c>
      <c r="T2608" s="19" t="s">
        <v>1471</v>
      </c>
    </row>
    <row r="2609" spans="1:20">
      <c r="A2609" s="20">
        <v>202604332583167</v>
      </c>
      <c r="B2609" s="19" t="s">
        <v>20</v>
      </c>
      <c r="C2609" s="19" t="s">
        <v>21</v>
      </c>
      <c r="D2609" s="19" t="s">
        <v>20</v>
      </c>
      <c r="E2609" s="21">
        <v>46235</v>
      </c>
      <c r="F2609" s="21">
        <v>46599</v>
      </c>
      <c r="G2609" s="21"/>
      <c r="H2609" s="21">
        <v>46235</v>
      </c>
      <c r="I2609" s="21">
        <v>46599</v>
      </c>
      <c r="J2609" s="19" t="s">
        <v>2102</v>
      </c>
      <c r="L2609" s="19">
        <v>78.776052000000007</v>
      </c>
      <c r="M2609" s="19">
        <v>78.776052000000007</v>
      </c>
      <c r="N2609" s="19" t="s">
        <v>1475</v>
      </c>
      <c r="O2609" s="20">
        <v>3</v>
      </c>
      <c r="S2609" s="19" t="s">
        <v>20</v>
      </c>
      <c r="T2609" s="19" t="s">
        <v>1471</v>
      </c>
    </row>
    <row r="2610" spans="1:20">
      <c r="A2610" s="20">
        <v>202604332583277</v>
      </c>
      <c r="B2610" s="19" t="s">
        <v>20</v>
      </c>
      <c r="C2610" s="19" t="s">
        <v>21</v>
      </c>
      <c r="D2610" s="19" t="s">
        <v>20</v>
      </c>
      <c r="E2610" s="21">
        <v>46235</v>
      </c>
      <c r="F2610" s="21">
        <v>46599</v>
      </c>
      <c r="G2610" s="21"/>
      <c r="H2610" s="21">
        <v>46235</v>
      </c>
      <c r="I2610" s="21">
        <v>46599</v>
      </c>
      <c r="J2610" s="19" t="s">
        <v>1473</v>
      </c>
      <c r="L2610" s="19">
        <v>73.8620205</v>
      </c>
      <c r="M2610" s="19">
        <v>73.8620205</v>
      </c>
      <c r="N2610" s="19" t="s">
        <v>1475</v>
      </c>
      <c r="O2610" s="20">
        <v>3</v>
      </c>
      <c r="S2610" s="19" t="s">
        <v>20</v>
      </c>
      <c r="T2610" s="19" t="s">
        <v>1471</v>
      </c>
    </row>
    <row r="2611" spans="1:20">
      <c r="A2611" s="20">
        <v>202604332583855</v>
      </c>
      <c r="B2611" s="19" t="s">
        <v>20</v>
      </c>
      <c r="C2611" s="19" t="s">
        <v>21</v>
      </c>
      <c r="D2611" s="19" t="s">
        <v>20</v>
      </c>
      <c r="E2611" s="21">
        <v>46235</v>
      </c>
      <c r="F2611" s="21">
        <v>46599</v>
      </c>
      <c r="G2611" s="21"/>
      <c r="H2611" s="21">
        <v>46235</v>
      </c>
      <c r="I2611" s="21">
        <v>46599</v>
      </c>
      <c r="J2611" s="19" t="s">
        <v>2180</v>
      </c>
      <c r="L2611" s="19">
        <v>32.370006750000002</v>
      </c>
      <c r="M2611" s="19">
        <v>32.370006750000002</v>
      </c>
      <c r="N2611" s="19" t="s">
        <v>1475</v>
      </c>
      <c r="O2611" s="20">
        <v>1</v>
      </c>
      <c r="S2611" s="19" t="s">
        <v>20</v>
      </c>
      <c r="T2611" s="19" t="s">
        <v>1471</v>
      </c>
    </row>
    <row r="2612" spans="1:20">
      <c r="A2612" s="20">
        <v>202604332584283</v>
      </c>
      <c r="B2612" s="19" t="s">
        <v>20</v>
      </c>
      <c r="C2612" s="19" t="s">
        <v>21</v>
      </c>
      <c r="D2612" s="19" t="s">
        <v>20</v>
      </c>
      <c r="E2612" s="21">
        <v>46235</v>
      </c>
      <c r="F2612" s="21">
        <v>46599</v>
      </c>
      <c r="G2612" s="21"/>
      <c r="H2612" s="21">
        <v>46235</v>
      </c>
      <c r="I2612" s="21">
        <v>46599</v>
      </c>
      <c r="J2612" s="19" t="s">
        <v>2064</v>
      </c>
      <c r="L2612" s="19">
        <v>33.130630250000003</v>
      </c>
      <c r="M2612" s="19">
        <v>33.130630250000003</v>
      </c>
      <c r="N2612" s="19" t="s">
        <v>1475</v>
      </c>
      <c r="O2612" s="20">
        <v>1</v>
      </c>
      <c r="S2612" s="19" t="s">
        <v>20</v>
      </c>
      <c r="T2612" s="19" t="s">
        <v>1471</v>
      </c>
    </row>
    <row r="2613" spans="1:20">
      <c r="A2613" s="20">
        <v>202604332586076</v>
      </c>
      <c r="B2613" s="19" t="s">
        <v>20</v>
      </c>
      <c r="C2613" s="19" t="s">
        <v>21</v>
      </c>
      <c r="D2613" s="19" t="s">
        <v>20</v>
      </c>
      <c r="E2613" s="21">
        <v>46235</v>
      </c>
      <c r="F2613" s="21">
        <v>46599</v>
      </c>
      <c r="G2613" s="21"/>
      <c r="H2613" s="21">
        <v>46235</v>
      </c>
      <c r="I2613" s="21">
        <v>46599</v>
      </c>
      <c r="J2613" s="19" t="s">
        <v>2092</v>
      </c>
      <c r="L2613" s="19">
        <v>0</v>
      </c>
      <c r="M2613" s="19">
        <v>0</v>
      </c>
      <c r="N2613" s="19" t="s">
        <v>2394</v>
      </c>
      <c r="O2613" s="20">
        <v>5</v>
      </c>
      <c r="S2613" s="19" t="s">
        <v>20</v>
      </c>
      <c r="T2613" s="19" t="s">
        <v>1471</v>
      </c>
    </row>
    <row r="2614" spans="1:20">
      <c r="A2614" s="20">
        <v>202604332586076</v>
      </c>
      <c r="B2614" s="19" t="s">
        <v>20</v>
      </c>
      <c r="C2614" s="19" t="s">
        <v>21</v>
      </c>
      <c r="D2614" s="19" t="s">
        <v>2472</v>
      </c>
      <c r="E2614" s="21">
        <v>46235</v>
      </c>
      <c r="F2614" s="21">
        <v>46599</v>
      </c>
      <c r="G2614" s="21"/>
      <c r="H2614" s="21">
        <v>46235</v>
      </c>
      <c r="I2614" s="21">
        <v>46599</v>
      </c>
      <c r="J2614" s="19" t="s">
        <v>2092</v>
      </c>
      <c r="L2614" s="19">
        <v>99.579117499999995</v>
      </c>
      <c r="M2614" s="19">
        <v>99.579117499999995</v>
      </c>
      <c r="N2614" s="19" t="s">
        <v>1467</v>
      </c>
      <c r="O2614" s="20">
        <v>5</v>
      </c>
      <c r="S2614" s="19" t="s">
        <v>20</v>
      </c>
      <c r="T2614" s="19" t="s">
        <v>1471</v>
      </c>
    </row>
    <row r="2615" spans="1:20">
      <c r="A2615" s="20">
        <v>202604332587154</v>
      </c>
      <c r="B2615" s="19" t="s">
        <v>20</v>
      </c>
      <c r="C2615" s="19" t="s">
        <v>21</v>
      </c>
      <c r="D2615" s="19" t="s">
        <v>20</v>
      </c>
      <c r="E2615" s="21">
        <v>46235</v>
      </c>
      <c r="F2615" s="21">
        <v>46599</v>
      </c>
      <c r="G2615" s="21"/>
      <c r="H2615" s="21">
        <v>46235</v>
      </c>
      <c r="I2615" s="21">
        <v>46599</v>
      </c>
      <c r="J2615" s="19" t="s">
        <v>2109</v>
      </c>
      <c r="L2615" s="19">
        <v>0</v>
      </c>
      <c r="M2615" s="19">
        <v>0</v>
      </c>
      <c r="N2615" s="19" t="s">
        <v>2394</v>
      </c>
      <c r="O2615" s="20">
        <v>2</v>
      </c>
      <c r="S2615" s="19" t="s">
        <v>20</v>
      </c>
      <c r="T2615" s="19" t="s">
        <v>1471</v>
      </c>
    </row>
    <row r="2616" spans="1:20">
      <c r="A2616" s="20">
        <v>202604332587154</v>
      </c>
      <c r="B2616" s="19" t="s">
        <v>20</v>
      </c>
      <c r="C2616" s="19" t="s">
        <v>21</v>
      </c>
      <c r="D2616" s="19" t="s">
        <v>2471</v>
      </c>
      <c r="E2616" s="21">
        <v>46235</v>
      </c>
      <c r="F2616" s="21">
        <v>46599</v>
      </c>
      <c r="G2616" s="21"/>
      <c r="H2616" s="21">
        <v>46235</v>
      </c>
      <c r="I2616" s="21">
        <v>46599</v>
      </c>
      <c r="J2616" s="19" t="s">
        <v>2109</v>
      </c>
      <c r="L2616" s="19">
        <v>59.635123499999999</v>
      </c>
      <c r="M2616" s="19">
        <v>59.635123499999999</v>
      </c>
      <c r="N2616" s="19" t="s">
        <v>1467</v>
      </c>
      <c r="O2616" s="20">
        <v>2</v>
      </c>
      <c r="S2616" s="19" t="s">
        <v>20</v>
      </c>
      <c r="T2616" s="19" t="s">
        <v>1471</v>
      </c>
    </row>
    <row r="2617" spans="1:20">
      <c r="A2617" s="20">
        <v>202604332588116</v>
      </c>
      <c r="B2617" s="19" t="s">
        <v>20</v>
      </c>
      <c r="C2617" s="19" t="s">
        <v>21</v>
      </c>
      <c r="D2617" s="19" t="s">
        <v>20</v>
      </c>
      <c r="E2617" s="21">
        <v>46235</v>
      </c>
      <c r="F2617" s="21">
        <v>46599</v>
      </c>
      <c r="G2617" s="21"/>
      <c r="H2617" s="21">
        <v>46235</v>
      </c>
      <c r="I2617" s="21">
        <v>46599</v>
      </c>
      <c r="J2617" s="19" t="s">
        <v>2093</v>
      </c>
      <c r="L2617" s="19">
        <v>0</v>
      </c>
      <c r="M2617" s="19">
        <v>0</v>
      </c>
      <c r="N2617" s="19" t="s">
        <v>2394</v>
      </c>
      <c r="O2617" s="20">
        <v>3</v>
      </c>
      <c r="S2617" s="19" t="s">
        <v>20</v>
      </c>
      <c r="T2617" s="19" t="s">
        <v>1471</v>
      </c>
    </row>
    <row r="2618" spans="1:20">
      <c r="A2618" s="20">
        <v>202604332588116</v>
      </c>
      <c r="B2618" s="19" t="s">
        <v>20</v>
      </c>
      <c r="C2618" s="19" t="s">
        <v>21</v>
      </c>
      <c r="D2618" s="19" t="s">
        <v>2470</v>
      </c>
      <c r="E2618" s="21">
        <v>46235</v>
      </c>
      <c r="F2618" s="21">
        <v>46599</v>
      </c>
      <c r="G2618" s="21"/>
      <c r="H2618" s="21">
        <v>46235</v>
      </c>
      <c r="I2618" s="21">
        <v>46599</v>
      </c>
      <c r="J2618" s="19" t="s">
        <v>2093</v>
      </c>
      <c r="L2618" s="19">
        <v>86.328102749999999</v>
      </c>
      <c r="M2618" s="19">
        <v>86.328102749999999</v>
      </c>
      <c r="N2618" s="19" t="s">
        <v>1467</v>
      </c>
      <c r="O2618" s="20">
        <v>3</v>
      </c>
      <c r="S2618" s="19" t="s">
        <v>20</v>
      </c>
      <c r="T2618" s="19" t="s">
        <v>1471</v>
      </c>
    </row>
    <row r="2619" spans="1:20">
      <c r="A2619" s="20">
        <v>202604332588133</v>
      </c>
      <c r="B2619" s="19" t="s">
        <v>20</v>
      </c>
      <c r="C2619" s="19" t="s">
        <v>21</v>
      </c>
      <c r="D2619" s="19" t="s">
        <v>2469</v>
      </c>
      <c r="E2619" s="21">
        <v>46235</v>
      </c>
      <c r="F2619" s="21">
        <v>46599</v>
      </c>
      <c r="G2619" s="21"/>
      <c r="H2619" s="21">
        <v>46235</v>
      </c>
      <c r="I2619" s="21">
        <v>46599</v>
      </c>
      <c r="J2619" s="19" t="s">
        <v>2153</v>
      </c>
      <c r="L2619" s="19">
        <v>23.968290750000001</v>
      </c>
      <c r="M2619" s="19">
        <v>23.968290750000001</v>
      </c>
      <c r="N2619" s="19" t="s">
        <v>1467</v>
      </c>
      <c r="O2619" s="20">
        <v>1</v>
      </c>
      <c r="S2619" s="19" t="s">
        <v>20</v>
      </c>
      <c r="T2619" s="19" t="s">
        <v>1471</v>
      </c>
    </row>
    <row r="2620" spans="1:20">
      <c r="A2620" s="20">
        <v>202604332588398</v>
      </c>
      <c r="B2620" s="19" t="s">
        <v>20</v>
      </c>
      <c r="C2620" s="19" t="s">
        <v>21</v>
      </c>
      <c r="D2620" s="19" t="s">
        <v>20</v>
      </c>
      <c r="E2620" s="21">
        <v>46235</v>
      </c>
      <c r="F2620" s="21">
        <v>46599</v>
      </c>
      <c r="G2620" s="21"/>
      <c r="H2620" s="21">
        <v>46235</v>
      </c>
      <c r="I2620" s="21">
        <v>46599</v>
      </c>
      <c r="J2620" s="19" t="s">
        <v>2065</v>
      </c>
      <c r="L2620" s="19">
        <v>78.776052000000007</v>
      </c>
      <c r="M2620" s="19">
        <v>78.776052000000007</v>
      </c>
      <c r="N2620" s="19" t="s">
        <v>1475</v>
      </c>
      <c r="O2620" s="20">
        <v>3</v>
      </c>
      <c r="S2620" s="19" t="s">
        <v>20</v>
      </c>
      <c r="T2620" s="19" t="s">
        <v>1471</v>
      </c>
    </row>
    <row r="2621" spans="1:20">
      <c r="A2621" s="20">
        <v>202604332589489</v>
      </c>
      <c r="B2621" s="19" t="s">
        <v>20</v>
      </c>
      <c r="C2621" s="19" t="s">
        <v>21</v>
      </c>
      <c r="D2621" s="19" t="s">
        <v>20</v>
      </c>
      <c r="E2621" s="21">
        <v>46235</v>
      </c>
      <c r="F2621" s="21">
        <v>46599</v>
      </c>
      <c r="G2621" s="21"/>
      <c r="H2621" s="21">
        <v>46235</v>
      </c>
      <c r="I2621" s="21">
        <v>46599</v>
      </c>
      <c r="J2621" s="19" t="s">
        <v>2103</v>
      </c>
      <c r="L2621" s="19">
        <v>0</v>
      </c>
      <c r="M2621" s="19">
        <v>0</v>
      </c>
      <c r="N2621" s="19" t="s">
        <v>2394</v>
      </c>
      <c r="O2621" s="20">
        <v>3</v>
      </c>
      <c r="S2621" s="19" t="s">
        <v>20</v>
      </c>
      <c r="T2621" s="19" t="s">
        <v>1471</v>
      </c>
    </row>
    <row r="2622" spans="1:20">
      <c r="A2622" s="20">
        <v>202604332589489</v>
      </c>
      <c r="B2622" s="19" t="s">
        <v>20</v>
      </c>
      <c r="C2622" s="19" t="s">
        <v>21</v>
      </c>
      <c r="D2622" s="19" t="s">
        <v>20</v>
      </c>
      <c r="E2622" s="21">
        <v>46235</v>
      </c>
      <c r="F2622" s="21">
        <v>46599</v>
      </c>
      <c r="G2622" s="21"/>
      <c r="H2622" s="21">
        <v>46235</v>
      </c>
      <c r="I2622" s="21">
        <v>46599</v>
      </c>
      <c r="J2622" s="19" t="s">
        <v>2103</v>
      </c>
      <c r="L2622" s="19">
        <v>71.904872249999997</v>
      </c>
      <c r="M2622" s="19">
        <v>71.904872249999997</v>
      </c>
      <c r="N2622" s="19" t="s">
        <v>1475</v>
      </c>
      <c r="O2622" s="20">
        <v>3</v>
      </c>
      <c r="S2622" s="19" t="s">
        <v>20</v>
      </c>
      <c r="T2622" s="19" t="s">
        <v>1471</v>
      </c>
    </row>
    <row r="2623" spans="1:20">
      <c r="A2623" s="20">
        <v>202604332589675</v>
      </c>
      <c r="B2623" s="19" t="s">
        <v>20</v>
      </c>
      <c r="C2623" s="19" t="s">
        <v>21</v>
      </c>
      <c r="D2623" s="19" t="s">
        <v>20</v>
      </c>
      <c r="E2623" s="21">
        <v>46235</v>
      </c>
      <c r="F2623" s="21">
        <v>46599</v>
      </c>
      <c r="G2623" s="21"/>
      <c r="H2623" s="21">
        <v>46235</v>
      </c>
      <c r="I2623" s="21">
        <v>46599</v>
      </c>
      <c r="J2623" s="19" t="s">
        <v>2129</v>
      </c>
      <c r="L2623" s="19">
        <v>0</v>
      </c>
      <c r="M2623" s="19">
        <v>0</v>
      </c>
      <c r="N2623" s="19" t="s">
        <v>2394</v>
      </c>
      <c r="O2623" s="20">
        <v>2</v>
      </c>
      <c r="S2623" s="19" t="s">
        <v>20</v>
      </c>
      <c r="T2623" s="19" t="s">
        <v>1471</v>
      </c>
    </row>
    <row r="2624" spans="1:20">
      <c r="A2624" s="20">
        <v>202604332589675</v>
      </c>
      <c r="B2624" s="19" t="s">
        <v>20</v>
      </c>
      <c r="C2624" s="19" t="s">
        <v>21</v>
      </c>
      <c r="D2624" s="19" t="s">
        <v>2468</v>
      </c>
      <c r="E2624" s="21">
        <v>46235</v>
      </c>
      <c r="F2624" s="21">
        <v>46599</v>
      </c>
      <c r="G2624" s="21"/>
      <c r="H2624" s="21">
        <v>46235</v>
      </c>
      <c r="I2624" s="21">
        <v>46599</v>
      </c>
      <c r="J2624" s="19" t="s">
        <v>2129</v>
      </c>
      <c r="L2624" s="19">
        <v>66.261260500000006</v>
      </c>
      <c r="M2624" s="19">
        <v>66.261260500000006</v>
      </c>
      <c r="N2624" s="19" t="s">
        <v>1467</v>
      </c>
      <c r="O2624" s="20">
        <v>2</v>
      </c>
      <c r="S2624" s="19" t="s">
        <v>20</v>
      </c>
      <c r="T2624" s="19" t="s">
        <v>1471</v>
      </c>
    </row>
    <row r="2625" spans="1:20">
      <c r="A2625" s="20">
        <v>202604332589909</v>
      </c>
      <c r="B2625" s="19" t="s">
        <v>20</v>
      </c>
      <c r="C2625" s="19" t="s">
        <v>21</v>
      </c>
      <c r="D2625" s="19" t="s">
        <v>20</v>
      </c>
      <c r="E2625" s="21">
        <v>46235</v>
      </c>
      <c r="F2625" s="21">
        <v>46599</v>
      </c>
      <c r="G2625" s="21"/>
      <c r="H2625" s="21">
        <v>46235</v>
      </c>
      <c r="I2625" s="21">
        <v>46599</v>
      </c>
      <c r="J2625" s="19" t="s">
        <v>2064</v>
      </c>
      <c r="L2625" s="19">
        <v>0</v>
      </c>
      <c r="M2625" s="19">
        <v>0</v>
      </c>
      <c r="N2625" s="19" t="s">
        <v>2394</v>
      </c>
      <c r="O2625" s="20">
        <v>2</v>
      </c>
      <c r="S2625" s="19" t="s">
        <v>20</v>
      </c>
      <c r="T2625" s="19" t="s">
        <v>1471</v>
      </c>
    </row>
    <row r="2626" spans="1:20">
      <c r="A2626" s="20">
        <v>202604332589909</v>
      </c>
      <c r="B2626" s="19" t="s">
        <v>20</v>
      </c>
      <c r="C2626" s="19" t="s">
        <v>21</v>
      </c>
      <c r="D2626" s="19" t="s">
        <v>20</v>
      </c>
      <c r="E2626" s="21">
        <v>46235</v>
      </c>
      <c r="F2626" s="21">
        <v>46599</v>
      </c>
      <c r="G2626" s="21"/>
      <c r="H2626" s="21">
        <v>46235</v>
      </c>
      <c r="I2626" s="21">
        <v>46599</v>
      </c>
      <c r="J2626" s="19" t="s">
        <v>2064</v>
      </c>
      <c r="L2626" s="19">
        <v>66.261260500000006</v>
      </c>
      <c r="M2626" s="19">
        <v>66.261260500000006</v>
      </c>
      <c r="N2626" s="19" t="s">
        <v>1475</v>
      </c>
      <c r="O2626" s="20">
        <v>2</v>
      </c>
      <c r="S2626" s="19" t="s">
        <v>20</v>
      </c>
      <c r="T2626" s="19" t="s">
        <v>1471</v>
      </c>
    </row>
    <row r="2627" spans="1:20">
      <c r="A2627" s="20">
        <v>202604332591727</v>
      </c>
      <c r="B2627" s="19" t="s">
        <v>20</v>
      </c>
      <c r="C2627" s="19" t="s">
        <v>21</v>
      </c>
      <c r="D2627" s="19" t="s">
        <v>20</v>
      </c>
      <c r="E2627" s="21">
        <v>46235</v>
      </c>
      <c r="F2627" s="21">
        <v>46599</v>
      </c>
      <c r="G2627" s="21"/>
      <c r="H2627" s="21">
        <v>46235</v>
      </c>
      <c r="I2627" s="21">
        <v>46599</v>
      </c>
      <c r="J2627" s="19" t="s">
        <v>2428</v>
      </c>
      <c r="L2627" s="19">
        <v>0</v>
      </c>
      <c r="M2627" s="19">
        <v>0</v>
      </c>
      <c r="N2627" s="19" t="s">
        <v>2394</v>
      </c>
      <c r="O2627" s="20">
        <v>2</v>
      </c>
      <c r="S2627" s="19" t="s">
        <v>20</v>
      </c>
      <c r="T2627" s="19" t="s">
        <v>1471</v>
      </c>
    </row>
    <row r="2628" spans="1:20">
      <c r="A2628" s="20">
        <v>202604332591727</v>
      </c>
      <c r="B2628" s="19" t="s">
        <v>20</v>
      </c>
      <c r="C2628" s="19" t="s">
        <v>21</v>
      </c>
      <c r="D2628" s="19" t="s">
        <v>2467</v>
      </c>
      <c r="E2628" s="21">
        <v>46235</v>
      </c>
      <c r="F2628" s="21">
        <v>46599</v>
      </c>
      <c r="G2628" s="21"/>
      <c r="H2628" s="21">
        <v>46235</v>
      </c>
      <c r="I2628" s="21">
        <v>46599</v>
      </c>
      <c r="J2628" s="19" t="s">
        <v>2428</v>
      </c>
      <c r="L2628" s="19">
        <v>30.108959500000001</v>
      </c>
      <c r="M2628" s="19">
        <v>30.108959500000001</v>
      </c>
      <c r="N2628" s="19" t="s">
        <v>1467</v>
      </c>
      <c r="O2628" s="20">
        <v>2</v>
      </c>
      <c r="S2628" s="19" t="s">
        <v>20</v>
      </c>
      <c r="T2628" s="19" t="s">
        <v>1471</v>
      </c>
    </row>
    <row r="2629" spans="1:20">
      <c r="A2629" s="20">
        <v>202604332592741</v>
      </c>
      <c r="B2629" s="19" t="s">
        <v>20</v>
      </c>
      <c r="C2629" s="19" t="s">
        <v>21</v>
      </c>
      <c r="D2629" s="19" t="s">
        <v>20</v>
      </c>
      <c r="E2629" s="21">
        <v>46235</v>
      </c>
      <c r="F2629" s="21">
        <v>46599</v>
      </c>
      <c r="G2629" s="21"/>
      <c r="H2629" s="21">
        <v>46235</v>
      </c>
      <c r="I2629" s="21">
        <v>46599</v>
      </c>
      <c r="J2629" s="19" t="s">
        <v>2069</v>
      </c>
      <c r="L2629" s="19">
        <v>33.130630250000003</v>
      </c>
      <c r="M2629" s="19">
        <v>33.130630250000003</v>
      </c>
      <c r="N2629" s="19" t="s">
        <v>1475</v>
      </c>
      <c r="O2629" s="20">
        <v>1</v>
      </c>
      <c r="S2629" s="19" t="s">
        <v>20</v>
      </c>
      <c r="T2629" s="19" t="s">
        <v>1471</v>
      </c>
    </row>
    <row r="2630" spans="1:20">
      <c r="A2630" s="20">
        <v>202604332593030</v>
      </c>
      <c r="B2630" s="19" t="s">
        <v>20</v>
      </c>
      <c r="C2630" s="19" t="s">
        <v>21</v>
      </c>
      <c r="D2630" s="19" t="s">
        <v>2466</v>
      </c>
      <c r="E2630" s="21">
        <v>46235</v>
      </c>
      <c r="F2630" s="21">
        <v>46599</v>
      </c>
      <c r="G2630" s="21"/>
      <c r="H2630" s="21">
        <v>46235</v>
      </c>
      <c r="I2630" s="21">
        <v>46599</v>
      </c>
      <c r="J2630" s="19" t="s">
        <v>2089</v>
      </c>
      <c r="L2630" s="19">
        <v>52.657601</v>
      </c>
      <c r="M2630" s="19">
        <v>52.657601</v>
      </c>
      <c r="N2630" s="19" t="s">
        <v>1467</v>
      </c>
      <c r="O2630" s="20">
        <v>4</v>
      </c>
      <c r="S2630" s="19" t="s">
        <v>20</v>
      </c>
      <c r="T2630" s="19" t="s">
        <v>1471</v>
      </c>
    </row>
    <row r="2631" spans="1:20">
      <c r="A2631" s="20">
        <v>202604332595416</v>
      </c>
      <c r="B2631" s="19" t="s">
        <v>20</v>
      </c>
      <c r="C2631" s="19" t="s">
        <v>21</v>
      </c>
      <c r="D2631" s="19" t="s">
        <v>20</v>
      </c>
      <c r="E2631" s="21">
        <v>46235</v>
      </c>
      <c r="F2631" s="21">
        <v>46599</v>
      </c>
      <c r="G2631" s="21"/>
      <c r="H2631" s="21">
        <v>46235</v>
      </c>
      <c r="I2631" s="21">
        <v>46599</v>
      </c>
      <c r="J2631" s="19" t="s">
        <v>2104</v>
      </c>
      <c r="L2631" s="19">
        <v>0</v>
      </c>
      <c r="M2631" s="19">
        <v>0</v>
      </c>
      <c r="N2631" s="19" t="s">
        <v>2394</v>
      </c>
      <c r="O2631" s="20">
        <v>2</v>
      </c>
      <c r="S2631" s="19" t="s">
        <v>20</v>
      </c>
      <c r="T2631" s="19" t="s">
        <v>1471</v>
      </c>
    </row>
    <row r="2632" spans="1:20">
      <c r="A2632" s="20">
        <v>202604332595416</v>
      </c>
      <c r="B2632" s="19" t="s">
        <v>20</v>
      </c>
      <c r="C2632" s="19" t="s">
        <v>21</v>
      </c>
      <c r="D2632" s="19" t="s">
        <v>20</v>
      </c>
      <c r="E2632" s="21">
        <v>46235</v>
      </c>
      <c r="F2632" s="21">
        <v>46599</v>
      </c>
      <c r="G2632" s="21"/>
      <c r="H2632" s="21">
        <v>46235</v>
      </c>
      <c r="I2632" s="21">
        <v>46599</v>
      </c>
      <c r="J2632" s="19" t="s">
        <v>2104</v>
      </c>
      <c r="L2632" s="19">
        <v>66.261260500000006</v>
      </c>
      <c r="M2632" s="19">
        <v>66.261260500000006</v>
      </c>
      <c r="N2632" s="19" t="s">
        <v>1475</v>
      </c>
      <c r="O2632" s="20">
        <v>2</v>
      </c>
      <c r="S2632" s="19" t="s">
        <v>20</v>
      </c>
      <c r="T2632" s="19" t="s">
        <v>1471</v>
      </c>
    </row>
    <row r="2633" spans="1:20">
      <c r="A2633" s="20">
        <v>202604332595591</v>
      </c>
      <c r="B2633" s="19" t="s">
        <v>20</v>
      </c>
      <c r="C2633" s="19" t="s">
        <v>21</v>
      </c>
      <c r="D2633" s="19" t="s">
        <v>20</v>
      </c>
      <c r="E2633" s="21">
        <v>46235</v>
      </c>
      <c r="F2633" s="21">
        <v>46599</v>
      </c>
      <c r="G2633" s="21"/>
      <c r="H2633" s="21">
        <v>46235</v>
      </c>
      <c r="I2633" s="21">
        <v>46599</v>
      </c>
      <c r="J2633" s="19" t="s">
        <v>2064</v>
      </c>
      <c r="L2633" s="19">
        <v>33.130630250000003</v>
      </c>
      <c r="M2633" s="19">
        <v>33.130630250000003</v>
      </c>
      <c r="N2633" s="19" t="s">
        <v>1475</v>
      </c>
      <c r="O2633" s="20">
        <v>1</v>
      </c>
      <c r="S2633" s="19" t="s">
        <v>20</v>
      </c>
      <c r="T2633" s="19" t="s">
        <v>1471</v>
      </c>
    </row>
    <row r="2634" spans="1:20">
      <c r="A2634" s="20">
        <v>202604332597894</v>
      </c>
      <c r="B2634" s="19" t="s">
        <v>20</v>
      </c>
      <c r="C2634" s="19" t="s">
        <v>21</v>
      </c>
      <c r="D2634" s="19" t="s">
        <v>20</v>
      </c>
      <c r="E2634" s="21">
        <v>46235</v>
      </c>
      <c r="F2634" s="21">
        <v>46599</v>
      </c>
      <c r="G2634" s="21"/>
      <c r="H2634" s="21">
        <v>46235</v>
      </c>
      <c r="I2634" s="21">
        <v>46599</v>
      </c>
      <c r="J2634" s="19" t="s">
        <v>2064</v>
      </c>
      <c r="L2634" s="19">
        <v>0</v>
      </c>
      <c r="M2634" s="19">
        <v>0</v>
      </c>
      <c r="N2634" s="19" t="s">
        <v>2394</v>
      </c>
      <c r="O2634" s="20">
        <v>4</v>
      </c>
      <c r="S2634" s="19" t="s">
        <v>20</v>
      </c>
      <c r="T2634" s="19" t="s">
        <v>1471</v>
      </c>
    </row>
    <row r="2635" spans="1:20">
      <c r="A2635" s="20">
        <v>202604332597894</v>
      </c>
      <c r="B2635" s="19" t="s">
        <v>20</v>
      </c>
      <c r="C2635" s="19" t="s">
        <v>21</v>
      </c>
      <c r="D2635" s="19" t="s">
        <v>20</v>
      </c>
      <c r="E2635" s="21">
        <v>46235</v>
      </c>
      <c r="F2635" s="21">
        <v>46599</v>
      </c>
      <c r="G2635" s="21"/>
      <c r="H2635" s="21">
        <v>46235</v>
      </c>
      <c r="I2635" s="21">
        <v>46599</v>
      </c>
      <c r="J2635" s="19" t="s">
        <v>2064</v>
      </c>
      <c r="L2635" s="19">
        <v>132.52252100000001</v>
      </c>
      <c r="M2635" s="19">
        <v>132.52252100000001</v>
      </c>
      <c r="N2635" s="19" t="s">
        <v>1475</v>
      </c>
      <c r="O2635" s="20">
        <v>4</v>
      </c>
      <c r="S2635" s="19" t="s">
        <v>20</v>
      </c>
      <c r="T2635" s="19" t="s">
        <v>1471</v>
      </c>
    </row>
    <row r="2636" spans="1:20">
      <c r="A2636" s="20">
        <v>202604332598003</v>
      </c>
      <c r="B2636" s="19" t="s">
        <v>20</v>
      </c>
      <c r="C2636" s="19" t="s">
        <v>21</v>
      </c>
      <c r="D2636" s="19" t="s">
        <v>20</v>
      </c>
      <c r="E2636" s="21">
        <v>46235</v>
      </c>
      <c r="F2636" s="21">
        <v>46599</v>
      </c>
      <c r="G2636" s="21"/>
      <c r="H2636" s="21">
        <v>46235</v>
      </c>
      <c r="I2636" s="21">
        <v>46599</v>
      </c>
      <c r="J2636" s="19" t="s">
        <v>2085</v>
      </c>
      <c r="L2636" s="19">
        <v>24.620673499999999</v>
      </c>
      <c r="M2636" s="19">
        <v>24.620673499999999</v>
      </c>
      <c r="N2636" s="19" t="s">
        <v>1475</v>
      </c>
      <c r="O2636" s="20">
        <v>1</v>
      </c>
      <c r="S2636" s="19" t="s">
        <v>20</v>
      </c>
      <c r="T2636" s="19" t="s">
        <v>1471</v>
      </c>
    </row>
    <row r="2637" spans="1:20">
      <c r="A2637" s="20">
        <v>202604332598034</v>
      </c>
      <c r="B2637" s="19" t="s">
        <v>20</v>
      </c>
      <c r="C2637" s="19" t="s">
        <v>21</v>
      </c>
      <c r="D2637" s="19" t="s">
        <v>20</v>
      </c>
      <c r="E2637" s="21">
        <v>46235</v>
      </c>
      <c r="F2637" s="21">
        <v>46599</v>
      </c>
      <c r="G2637" s="21"/>
      <c r="H2637" s="21">
        <v>46235</v>
      </c>
      <c r="I2637" s="21">
        <v>46599</v>
      </c>
      <c r="J2637" s="19" t="s">
        <v>2093</v>
      </c>
      <c r="L2637" s="19">
        <v>0</v>
      </c>
      <c r="M2637" s="19">
        <v>0</v>
      </c>
      <c r="N2637" s="19" t="s">
        <v>2394</v>
      </c>
      <c r="O2637" s="20">
        <v>2</v>
      </c>
      <c r="S2637" s="19" t="s">
        <v>20</v>
      </c>
      <c r="T2637" s="19" t="s">
        <v>1471</v>
      </c>
    </row>
    <row r="2638" spans="1:20">
      <c r="A2638" s="20">
        <v>202604332598034</v>
      </c>
      <c r="B2638" s="19" t="s">
        <v>20</v>
      </c>
      <c r="C2638" s="19" t="s">
        <v>21</v>
      </c>
      <c r="D2638" s="19" t="s">
        <v>20</v>
      </c>
      <c r="E2638" s="21">
        <v>46235</v>
      </c>
      <c r="F2638" s="21">
        <v>46599</v>
      </c>
      <c r="G2638" s="21"/>
      <c r="H2638" s="21">
        <v>46235</v>
      </c>
      <c r="I2638" s="21">
        <v>46599</v>
      </c>
      <c r="J2638" s="19" t="s">
        <v>2093</v>
      </c>
      <c r="L2638" s="19">
        <v>57.552068499999997</v>
      </c>
      <c r="M2638" s="19">
        <v>57.552068499999997</v>
      </c>
      <c r="N2638" s="19" t="s">
        <v>1475</v>
      </c>
      <c r="O2638" s="20">
        <v>2</v>
      </c>
      <c r="S2638" s="19" t="s">
        <v>20</v>
      </c>
      <c r="T2638" s="19" t="s">
        <v>1471</v>
      </c>
    </row>
    <row r="2639" spans="1:20">
      <c r="A2639" s="20">
        <v>202604332598048</v>
      </c>
      <c r="B2639" s="19" t="s">
        <v>20</v>
      </c>
      <c r="C2639" s="19" t="s">
        <v>21</v>
      </c>
      <c r="D2639" s="19" t="s">
        <v>20</v>
      </c>
      <c r="E2639" s="21">
        <v>46235</v>
      </c>
      <c r="F2639" s="21">
        <v>46599</v>
      </c>
      <c r="G2639" s="21"/>
      <c r="H2639" s="21">
        <v>46235</v>
      </c>
      <c r="I2639" s="21">
        <v>46599</v>
      </c>
      <c r="J2639" s="19" t="s">
        <v>2093</v>
      </c>
      <c r="L2639" s="19">
        <v>115.10413699999999</v>
      </c>
      <c r="M2639" s="19">
        <v>115.10413699999999</v>
      </c>
      <c r="N2639" s="19" t="s">
        <v>1475</v>
      </c>
      <c r="O2639" s="20">
        <v>4</v>
      </c>
      <c r="S2639" s="19" t="s">
        <v>20</v>
      </c>
      <c r="T2639" s="19" t="s">
        <v>1471</v>
      </c>
    </row>
    <row r="2640" spans="1:20">
      <c r="A2640" s="20">
        <v>202604332598408</v>
      </c>
      <c r="B2640" s="19" t="s">
        <v>20</v>
      </c>
      <c r="C2640" s="19" t="s">
        <v>21</v>
      </c>
      <c r="D2640" s="19" t="s">
        <v>20</v>
      </c>
      <c r="E2640" s="21">
        <v>46235</v>
      </c>
      <c r="F2640" s="21">
        <v>46599</v>
      </c>
      <c r="G2640" s="21"/>
      <c r="H2640" s="21">
        <v>46235</v>
      </c>
      <c r="I2640" s="21">
        <v>46599</v>
      </c>
      <c r="J2640" s="19" t="s">
        <v>2064</v>
      </c>
      <c r="L2640" s="19">
        <v>0</v>
      </c>
      <c r="M2640" s="19">
        <v>0</v>
      </c>
      <c r="N2640" s="19" t="s">
        <v>2394</v>
      </c>
      <c r="O2640" s="20">
        <v>6</v>
      </c>
      <c r="S2640" s="19" t="s">
        <v>20</v>
      </c>
      <c r="T2640" s="19" t="s">
        <v>1471</v>
      </c>
    </row>
    <row r="2641" spans="1:20">
      <c r="A2641" s="20">
        <v>202604332598408</v>
      </c>
      <c r="B2641" s="19" t="s">
        <v>20</v>
      </c>
      <c r="C2641" s="19" t="s">
        <v>21</v>
      </c>
      <c r="D2641" s="19" t="s">
        <v>20</v>
      </c>
      <c r="E2641" s="21">
        <v>46235</v>
      </c>
      <c r="F2641" s="21">
        <v>46599</v>
      </c>
      <c r="G2641" s="21"/>
      <c r="H2641" s="21">
        <v>46235</v>
      </c>
      <c r="I2641" s="21">
        <v>46599</v>
      </c>
      <c r="J2641" s="19" t="s">
        <v>2064</v>
      </c>
      <c r="L2641" s="19">
        <v>198.7837815</v>
      </c>
      <c r="M2641" s="19">
        <v>198.7837815</v>
      </c>
      <c r="N2641" s="19" t="s">
        <v>1475</v>
      </c>
      <c r="O2641" s="20">
        <v>6</v>
      </c>
      <c r="S2641" s="19" t="s">
        <v>20</v>
      </c>
      <c r="T2641" s="19" t="s">
        <v>1471</v>
      </c>
    </row>
    <row r="2642" spans="1:20">
      <c r="A2642" s="20">
        <v>202604332599226</v>
      </c>
      <c r="B2642" s="19" t="s">
        <v>20</v>
      </c>
      <c r="C2642" s="19" t="s">
        <v>21</v>
      </c>
      <c r="D2642" s="19" t="s">
        <v>20</v>
      </c>
      <c r="E2642" s="21">
        <v>46235</v>
      </c>
      <c r="F2642" s="21">
        <v>46599</v>
      </c>
      <c r="G2642" s="21"/>
      <c r="H2642" s="21">
        <v>46235</v>
      </c>
      <c r="I2642" s="21">
        <v>46599</v>
      </c>
      <c r="J2642" s="19" t="s">
        <v>2104</v>
      </c>
      <c r="L2642" s="19">
        <v>0</v>
      </c>
      <c r="M2642" s="19">
        <v>0</v>
      </c>
      <c r="N2642" s="19" t="s">
        <v>2394</v>
      </c>
      <c r="O2642" s="20">
        <v>4</v>
      </c>
      <c r="S2642" s="19" t="s">
        <v>20</v>
      </c>
      <c r="T2642" s="19" t="s">
        <v>1471</v>
      </c>
    </row>
    <row r="2643" spans="1:20">
      <c r="A2643" s="20">
        <v>202604332599226</v>
      </c>
      <c r="B2643" s="19" t="s">
        <v>20</v>
      </c>
      <c r="C2643" s="19" t="s">
        <v>21</v>
      </c>
      <c r="D2643" s="19" t="s">
        <v>20</v>
      </c>
      <c r="E2643" s="21">
        <v>46235</v>
      </c>
      <c r="F2643" s="21">
        <v>46599</v>
      </c>
      <c r="G2643" s="21"/>
      <c r="H2643" s="21">
        <v>46235</v>
      </c>
      <c r="I2643" s="21">
        <v>46599</v>
      </c>
      <c r="J2643" s="19" t="s">
        <v>2104</v>
      </c>
      <c r="L2643" s="19">
        <v>132.52252100000001</v>
      </c>
      <c r="M2643" s="19">
        <v>132.52252100000001</v>
      </c>
      <c r="N2643" s="19" t="s">
        <v>1475</v>
      </c>
      <c r="O2643" s="20">
        <v>4</v>
      </c>
      <c r="S2643" s="19" t="s">
        <v>20</v>
      </c>
      <c r="T2643" s="19" t="s">
        <v>1471</v>
      </c>
    </row>
    <row r="2644" spans="1:20">
      <c r="A2644" s="20">
        <v>202604333452914</v>
      </c>
      <c r="B2644" s="19" t="s">
        <v>20</v>
      </c>
      <c r="C2644" s="19" t="s">
        <v>21</v>
      </c>
      <c r="D2644" s="19" t="s">
        <v>20</v>
      </c>
      <c r="E2644" s="21">
        <v>46235</v>
      </c>
      <c r="F2644" s="21">
        <v>46599</v>
      </c>
      <c r="G2644" s="21"/>
      <c r="H2644" s="21">
        <v>46235</v>
      </c>
      <c r="I2644" s="21">
        <v>46599</v>
      </c>
      <c r="J2644" s="19" t="s">
        <v>2093</v>
      </c>
      <c r="L2644" s="19">
        <v>0</v>
      </c>
      <c r="M2644" s="19">
        <v>0</v>
      </c>
      <c r="N2644" s="19" t="s">
        <v>2394</v>
      </c>
      <c r="O2644" s="20">
        <v>4</v>
      </c>
      <c r="S2644" s="19" t="s">
        <v>20</v>
      </c>
      <c r="T2644" s="19" t="s">
        <v>1471</v>
      </c>
    </row>
    <row r="2645" spans="1:20">
      <c r="A2645" s="20">
        <v>202604333452914</v>
      </c>
      <c r="B2645" s="19" t="s">
        <v>20</v>
      </c>
      <c r="C2645" s="19" t="s">
        <v>21</v>
      </c>
      <c r="D2645" s="19" t="s">
        <v>20</v>
      </c>
      <c r="E2645" s="21">
        <v>46235</v>
      </c>
      <c r="F2645" s="21">
        <v>46599</v>
      </c>
      <c r="G2645" s="21"/>
      <c r="H2645" s="21">
        <v>46235</v>
      </c>
      <c r="I2645" s="21">
        <v>46599</v>
      </c>
      <c r="J2645" s="19" t="s">
        <v>2093</v>
      </c>
      <c r="L2645" s="19">
        <v>115.10413699999999</v>
      </c>
      <c r="M2645" s="19">
        <v>115.10413699999999</v>
      </c>
      <c r="N2645" s="19" t="s">
        <v>1475</v>
      </c>
      <c r="O2645" s="20">
        <v>4</v>
      </c>
      <c r="S2645" s="19" t="s">
        <v>20</v>
      </c>
      <c r="T2645" s="19" t="s">
        <v>1471</v>
      </c>
    </row>
    <row r="2646" spans="1:20">
      <c r="A2646" s="20">
        <v>202604333454432</v>
      </c>
      <c r="B2646" s="19" t="s">
        <v>20</v>
      </c>
      <c r="C2646" s="19" t="s">
        <v>21</v>
      </c>
      <c r="D2646" s="19" t="s">
        <v>20</v>
      </c>
      <c r="E2646" s="21">
        <v>46235</v>
      </c>
      <c r="F2646" s="21">
        <v>46599</v>
      </c>
      <c r="G2646" s="21"/>
      <c r="H2646" s="21">
        <v>46235</v>
      </c>
      <c r="I2646" s="21">
        <v>46599</v>
      </c>
      <c r="J2646" s="19" t="s">
        <v>2094</v>
      </c>
      <c r="L2646" s="19">
        <v>0</v>
      </c>
      <c r="M2646" s="19">
        <v>0</v>
      </c>
      <c r="N2646" s="19" t="s">
        <v>2394</v>
      </c>
      <c r="O2646" s="20">
        <v>5</v>
      </c>
      <c r="S2646" s="19" t="s">
        <v>20</v>
      </c>
      <c r="T2646" s="19" t="s">
        <v>1471</v>
      </c>
    </row>
    <row r="2647" spans="1:20">
      <c r="A2647" s="20">
        <v>202604333454432</v>
      </c>
      <c r="B2647" s="19" t="s">
        <v>20</v>
      </c>
      <c r="C2647" s="19" t="s">
        <v>21</v>
      </c>
      <c r="D2647" s="19" t="s">
        <v>20</v>
      </c>
      <c r="E2647" s="21">
        <v>46235</v>
      </c>
      <c r="F2647" s="21">
        <v>46599</v>
      </c>
      <c r="G2647" s="21"/>
      <c r="H2647" s="21">
        <v>46235</v>
      </c>
      <c r="I2647" s="21">
        <v>46599</v>
      </c>
      <c r="J2647" s="19" t="s">
        <v>2094</v>
      </c>
      <c r="L2647" s="19">
        <v>55.750100000000003</v>
      </c>
      <c r="M2647" s="19">
        <v>55.750100000000003</v>
      </c>
      <c r="N2647" s="19" t="s">
        <v>1475</v>
      </c>
      <c r="O2647" s="20">
        <v>5</v>
      </c>
      <c r="S2647" s="19" t="s">
        <v>20</v>
      </c>
      <c r="T2647" s="19" t="s">
        <v>1471</v>
      </c>
    </row>
    <row r="2648" spans="1:20">
      <c r="A2648" s="20">
        <v>202604333455679</v>
      </c>
      <c r="B2648" s="19" t="s">
        <v>20</v>
      </c>
      <c r="C2648" s="19" t="s">
        <v>21</v>
      </c>
      <c r="D2648" s="19" t="s">
        <v>20</v>
      </c>
      <c r="E2648" s="21">
        <v>46235</v>
      </c>
      <c r="F2648" s="21">
        <v>46599</v>
      </c>
      <c r="G2648" s="21"/>
      <c r="H2648" s="21">
        <v>46235</v>
      </c>
      <c r="I2648" s="21">
        <v>46599</v>
      </c>
      <c r="J2648" s="19" t="s">
        <v>2064</v>
      </c>
      <c r="L2648" s="19">
        <v>0</v>
      </c>
      <c r="M2648" s="19">
        <v>0</v>
      </c>
      <c r="N2648" s="19" t="s">
        <v>2394</v>
      </c>
      <c r="O2648" s="20">
        <v>4</v>
      </c>
      <c r="S2648" s="19" t="s">
        <v>20</v>
      </c>
      <c r="T2648" s="19" t="s">
        <v>1471</v>
      </c>
    </row>
    <row r="2649" spans="1:20">
      <c r="A2649" s="20">
        <v>202604333455679</v>
      </c>
      <c r="B2649" s="19" t="s">
        <v>20</v>
      </c>
      <c r="C2649" s="19" t="s">
        <v>21</v>
      </c>
      <c r="D2649" s="19" t="s">
        <v>20</v>
      </c>
      <c r="E2649" s="21">
        <v>46235</v>
      </c>
      <c r="F2649" s="21">
        <v>46599</v>
      </c>
      <c r="G2649" s="21"/>
      <c r="H2649" s="21">
        <v>46235</v>
      </c>
      <c r="I2649" s="21">
        <v>46599</v>
      </c>
      <c r="J2649" s="19" t="s">
        <v>2064</v>
      </c>
      <c r="L2649" s="19">
        <v>132.52252100000001</v>
      </c>
      <c r="M2649" s="19">
        <v>132.52252100000001</v>
      </c>
      <c r="N2649" s="19" t="s">
        <v>1475</v>
      </c>
      <c r="O2649" s="20">
        <v>4</v>
      </c>
      <c r="S2649" s="19" t="s">
        <v>20</v>
      </c>
      <c r="T2649" s="19" t="s">
        <v>1471</v>
      </c>
    </row>
    <row r="2650" spans="1:20">
      <c r="A2650" s="20">
        <v>202604333457702</v>
      </c>
      <c r="B2650" s="19" t="s">
        <v>20</v>
      </c>
      <c r="C2650" s="19" t="s">
        <v>21</v>
      </c>
      <c r="D2650" s="19" t="s">
        <v>20</v>
      </c>
      <c r="E2650" s="21">
        <v>46235</v>
      </c>
      <c r="F2650" s="21">
        <v>46599</v>
      </c>
      <c r="G2650" s="21"/>
      <c r="H2650" s="21">
        <v>46235</v>
      </c>
      <c r="I2650" s="21">
        <v>46599</v>
      </c>
      <c r="J2650" s="19" t="s">
        <v>2066</v>
      </c>
      <c r="L2650" s="19">
        <v>66.261260500000006</v>
      </c>
      <c r="M2650" s="19">
        <v>66.261260500000006</v>
      </c>
      <c r="N2650" s="19" t="s">
        <v>1475</v>
      </c>
      <c r="O2650" s="20">
        <v>2</v>
      </c>
      <c r="S2650" s="19" t="s">
        <v>20</v>
      </c>
      <c r="T2650" s="19" t="s">
        <v>1471</v>
      </c>
    </row>
    <row r="2651" spans="1:20">
      <c r="A2651" s="20">
        <v>202604333457900</v>
      </c>
      <c r="B2651" s="19" t="s">
        <v>20</v>
      </c>
      <c r="C2651" s="19" t="s">
        <v>21</v>
      </c>
      <c r="D2651" s="19" t="s">
        <v>20</v>
      </c>
      <c r="E2651" s="21">
        <v>46235</v>
      </c>
      <c r="F2651" s="21">
        <v>46599</v>
      </c>
      <c r="G2651" s="21"/>
      <c r="H2651" s="21">
        <v>46235</v>
      </c>
      <c r="I2651" s="21">
        <v>46599</v>
      </c>
      <c r="J2651" s="19" t="s">
        <v>2066</v>
      </c>
      <c r="L2651" s="19">
        <v>33.130630250000003</v>
      </c>
      <c r="M2651" s="19">
        <v>33.130630250000003</v>
      </c>
      <c r="N2651" s="19" t="s">
        <v>1475</v>
      </c>
      <c r="O2651" s="20">
        <v>1</v>
      </c>
      <c r="S2651" s="19" t="s">
        <v>20</v>
      </c>
      <c r="T2651" s="19" t="s">
        <v>1471</v>
      </c>
    </row>
    <row r="2652" spans="1:20">
      <c r="A2652" s="20">
        <v>202604333459851</v>
      </c>
      <c r="B2652" s="19" t="s">
        <v>20</v>
      </c>
      <c r="C2652" s="19" t="s">
        <v>21</v>
      </c>
      <c r="D2652" s="19" t="s">
        <v>2465</v>
      </c>
      <c r="E2652" s="21">
        <v>46235</v>
      </c>
      <c r="F2652" s="21">
        <v>46599</v>
      </c>
      <c r="G2652" s="21"/>
      <c r="H2652" s="21">
        <v>46235</v>
      </c>
      <c r="I2652" s="21">
        <v>46599</v>
      </c>
      <c r="J2652" s="19" t="s">
        <v>2064</v>
      </c>
      <c r="L2652" s="19">
        <v>16.727183499999999</v>
      </c>
      <c r="M2652" s="19">
        <v>16.727183499999999</v>
      </c>
      <c r="N2652" s="19" t="s">
        <v>1467</v>
      </c>
      <c r="O2652" s="20">
        <v>1</v>
      </c>
      <c r="S2652" s="19" t="s">
        <v>20</v>
      </c>
      <c r="T2652" s="19" t="s">
        <v>1471</v>
      </c>
    </row>
    <row r="2653" spans="1:20">
      <c r="A2653" s="20">
        <v>202604333459862</v>
      </c>
      <c r="B2653" s="19" t="s">
        <v>20</v>
      </c>
      <c r="C2653" s="19" t="s">
        <v>21</v>
      </c>
      <c r="D2653" s="19" t="s">
        <v>20</v>
      </c>
      <c r="E2653" s="21">
        <v>46235</v>
      </c>
      <c r="F2653" s="21">
        <v>46599</v>
      </c>
      <c r="G2653" s="21"/>
      <c r="H2653" s="21">
        <v>46235</v>
      </c>
      <c r="I2653" s="21">
        <v>46599</v>
      </c>
      <c r="J2653" s="19" t="s">
        <v>2285</v>
      </c>
      <c r="L2653" s="19">
        <v>0</v>
      </c>
      <c r="M2653" s="19">
        <v>0</v>
      </c>
      <c r="N2653" s="19" t="s">
        <v>2394</v>
      </c>
      <c r="O2653" s="20">
        <v>4</v>
      </c>
      <c r="S2653" s="19" t="s">
        <v>20</v>
      </c>
      <c r="T2653" s="19" t="s">
        <v>1471</v>
      </c>
    </row>
    <row r="2654" spans="1:20">
      <c r="A2654" s="20">
        <v>202604333459862</v>
      </c>
      <c r="B2654" s="19" t="s">
        <v>20</v>
      </c>
      <c r="C2654" s="19" t="s">
        <v>21</v>
      </c>
      <c r="D2654" s="19" t="s">
        <v>20</v>
      </c>
      <c r="E2654" s="21">
        <v>46235</v>
      </c>
      <c r="F2654" s="21">
        <v>46599</v>
      </c>
      <c r="G2654" s="21"/>
      <c r="H2654" s="21">
        <v>46235</v>
      </c>
      <c r="I2654" s="21">
        <v>46599</v>
      </c>
      <c r="J2654" s="19" t="s">
        <v>2285</v>
      </c>
      <c r="L2654" s="19">
        <v>55.544969999999999</v>
      </c>
      <c r="M2654" s="19">
        <v>55.544969999999999</v>
      </c>
      <c r="N2654" s="19" t="s">
        <v>1475</v>
      </c>
      <c r="O2654" s="20">
        <v>4</v>
      </c>
      <c r="S2654" s="19" t="s">
        <v>20</v>
      </c>
      <c r="T2654" s="19" t="s">
        <v>1471</v>
      </c>
    </row>
    <row r="2655" spans="1:20">
      <c r="A2655" s="20">
        <v>202604333461537</v>
      </c>
      <c r="B2655" s="19" t="s">
        <v>20</v>
      </c>
      <c r="C2655" s="19" t="s">
        <v>21</v>
      </c>
      <c r="D2655" s="19" t="s">
        <v>2464</v>
      </c>
      <c r="E2655" s="21">
        <v>46235</v>
      </c>
      <c r="F2655" s="21">
        <v>46599</v>
      </c>
      <c r="G2655" s="21"/>
      <c r="H2655" s="21">
        <v>46235</v>
      </c>
      <c r="I2655" s="21">
        <v>46599</v>
      </c>
      <c r="J2655" s="19" t="s">
        <v>2182</v>
      </c>
      <c r="L2655" s="19">
        <v>23.968290750000001</v>
      </c>
      <c r="M2655" s="19">
        <v>23.968290750000001</v>
      </c>
      <c r="N2655" s="19" t="s">
        <v>1467</v>
      </c>
      <c r="O2655" s="20">
        <v>1</v>
      </c>
      <c r="S2655" s="19" t="s">
        <v>20</v>
      </c>
      <c r="T2655" s="19" t="s">
        <v>1471</v>
      </c>
    </row>
    <row r="2656" spans="1:20">
      <c r="A2656" s="20">
        <v>202604333461956</v>
      </c>
      <c r="B2656" s="19" t="s">
        <v>20</v>
      </c>
      <c r="C2656" s="19" t="s">
        <v>21</v>
      </c>
      <c r="D2656" s="19" t="s">
        <v>20</v>
      </c>
      <c r="E2656" s="21">
        <v>46235</v>
      </c>
      <c r="F2656" s="21">
        <v>46599</v>
      </c>
      <c r="G2656" s="21"/>
      <c r="H2656" s="21">
        <v>46235</v>
      </c>
      <c r="I2656" s="21">
        <v>46599</v>
      </c>
      <c r="J2656" s="19" t="s">
        <v>2128</v>
      </c>
      <c r="L2656" s="19">
        <v>0</v>
      </c>
      <c r="M2656" s="19">
        <v>0</v>
      </c>
      <c r="N2656" s="19" t="s">
        <v>2394</v>
      </c>
      <c r="O2656" s="20">
        <v>4</v>
      </c>
      <c r="S2656" s="19" t="s">
        <v>20</v>
      </c>
      <c r="T2656" s="19" t="s">
        <v>1471</v>
      </c>
    </row>
    <row r="2657" spans="1:20">
      <c r="A2657" s="20">
        <v>202604333461956</v>
      </c>
      <c r="B2657" s="19" t="s">
        <v>20</v>
      </c>
      <c r="C2657" s="19" t="s">
        <v>21</v>
      </c>
      <c r="D2657" s="19" t="s">
        <v>20</v>
      </c>
      <c r="E2657" s="21">
        <v>46235</v>
      </c>
      <c r="F2657" s="21">
        <v>46599</v>
      </c>
      <c r="G2657" s="21"/>
      <c r="H2657" s="21">
        <v>46235</v>
      </c>
      <c r="I2657" s="21">
        <v>46599</v>
      </c>
      <c r="J2657" s="19" t="s">
        <v>2128</v>
      </c>
      <c r="L2657" s="19">
        <v>119.270247</v>
      </c>
      <c r="M2657" s="19">
        <v>119.270247</v>
      </c>
      <c r="N2657" s="19" t="s">
        <v>1475</v>
      </c>
      <c r="O2657" s="20">
        <v>4</v>
      </c>
      <c r="S2657" s="19" t="s">
        <v>20</v>
      </c>
      <c r="T2657" s="19" t="s">
        <v>1471</v>
      </c>
    </row>
    <row r="2658" spans="1:20">
      <c r="A2658" s="20">
        <v>202604333462434</v>
      </c>
      <c r="B2658" s="19" t="s">
        <v>20</v>
      </c>
      <c r="C2658" s="19" t="s">
        <v>21</v>
      </c>
      <c r="D2658" s="19" t="s">
        <v>20</v>
      </c>
      <c r="E2658" s="21">
        <v>46235</v>
      </c>
      <c r="F2658" s="21">
        <v>46599</v>
      </c>
      <c r="G2658" s="21"/>
      <c r="H2658" s="21">
        <v>46235</v>
      </c>
      <c r="I2658" s="21">
        <v>46599</v>
      </c>
      <c r="J2658" s="19" t="s">
        <v>2095</v>
      </c>
      <c r="L2658" s="19">
        <v>0</v>
      </c>
      <c r="M2658" s="19">
        <v>0</v>
      </c>
      <c r="N2658" s="19" t="s">
        <v>2394</v>
      </c>
      <c r="O2658" s="20">
        <v>2</v>
      </c>
      <c r="S2658" s="19" t="s">
        <v>20</v>
      </c>
      <c r="T2658" s="19" t="s">
        <v>1471</v>
      </c>
    </row>
    <row r="2659" spans="1:20">
      <c r="A2659" s="20">
        <v>202604333462434</v>
      </c>
      <c r="B2659" s="19" t="s">
        <v>20</v>
      </c>
      <c r="C2659" s="19" t="s">
        <v>21</v>
      </c>
      <c r="D2659" s="19" t="s">
        <v>20</v>
      </c>
      <c r="E2659" s="21">
        <v>46235</v>
      </c>
      <c r="F2659" s="21">
        <v>46599</v>
      </c>
      <c r="G2659" s="21"/>
      <c r="H2659" s="21">
        <v>46235</v>
      </c>
      <c r="I2659" s="21">
        <v>46599</v>
      </c>
      <c r="J2659" s="19" t="s">
        <v>2095</v>
      </c>
      <c r="L2659" s="19">
        <v>66.261260500000006</v>
      </c>
      <c r="M2659" s="19">
        <v>66.261260500000006</v>
      </c>
      <c r="N2659" s="19" t="s">
        <v>1475</v>
      </c>
      <c r="O2659" s="20">
        <v>2</v>
      </c>
      <c r="S2659" s="19" t="s">
        <v>20</v>
      </c>
      <c r="T2659" s="19" t="s">
        <v>1471</v>
      </c>
    </row>
    <row r="2660" spans="1:20">
      <c r="A2660" s="20">
        <v>202604333466488</v>
      </c>
      <c r="B2660" s="19" t="s">
        <v>20</v>
      </c>
      <c r="C2660" s="19" t="s">
        <v>21</v>
      </c>
      <c r="D2660" s="19" t="s">
        <v>20</v>
      </c>
      <c r="E2660" s="21">
        <v>46235</v>
      </c>
      <c r="F2660" s="21">
        <v>46599</v>
      </c>
      <c r="G2660" s="21"/>
      <c r="H2660" s="21">
        <v>46235</v>
      </c>
      <c r="I2660" s="21">
        <v>46599</v>
      </c>
      <c r="J2660" s="19" t="s">
        <v>2089</v>
      </c>
      <c r="L2660" s="19">
        <v>0</v>
      </c>
      <c r="M2660" s="19">
        <v>0</v>
      </c>
      <c r="N2660" s="19" t="s">
        <v>2394</v>
      </c>
      <c r="O2660" s="20">
        <v>4</v>
      </c>
      <c r="S2660" s="19" t="s">
        <v>20</v>
      </c>
      <c r="T2660" s="19" t="s">
        <v>1471</v>
      </c>
    </row>
    <row r="2661" spans="1:20">
      <c r="A2661" s="20">
        <v>202604333466488</v>
      </c>
      <c r="B2661" s="19" t="s">
        <v>20</v>
      </c>
      <c r="C2661" s="19" t="s">
        <v>21</v>
      </c>
      <c r="D2661" s="19" t="s">
        <v>2463</v>
      </c>
      <c r="E2661" s="21">
        <v>46235</v>
      </c>
      <c r="F2661" s="21">
        <v>46599</v>
      </c>
      <c r="G2661" s="21"/>
      <c r="H2661" s="21">
        <v>46235</v>
      </c>
      <c r="I2661" s="21">
        <v>46599</v>
      </c>
      <c r="J2661" s="19" t="s">
        <v>2089</v>
      </c>
      <c r="L2661" s="19">
        <v>95.873163000000005</v>
      </c>
      <c r="M2661" s="19">
        <v>95.873163000000005</v>
      </c>
      <c r="N2661" s="19" t="s">
        <v>1467</v>
      </c>
      <c r="O2661" s="20">
        <v>4</v>
      </c>
      <c r="S2661" s="19" t="s">
        <v>20</v>
      </c>
      <c r="T2661" s="19" t="s">
        <v>1471</v>
      </c>
    </row>
    <row r="2662" spans="1:20">
      <c r="A2662" s="20">
        <v>202604333466953</v>
      </c>
      <c r="B2662" s="19" t="s">
        <v>20</v>
      </c>
      <c r="C2662" s="19" t="s">
        <v>21</v>
      </c>
      <c r="D2662" s="19" t="s">
        <v>20</v>
      </c>
      <c r="E2662" s="21">
        <v>46235</v>
      </c>
      <c r="F2662" s="21">
        <v>46599</v>
      </c>
      <c r="G2662" s="21"/>
      <c r="H2662" s="21">
        <v>46235</v>
      </c>
      <c r="I2662" s="21">
        <v>46599</v>
      </c>
      <c r="J2662" s="19" t="s">
        <v>2104</v>
      </c>
      <c r="L2662" s="19">
        <v>0</v>
      </c>
      <c r="M2662" s="19">
        <v>0</v>
      </c>
      <c r="N2662" s="19" t="s">
        <v>2394</v>
      </c>
      <c r="O2662" s="20">
        <v>3</v>
      </c>
      <c r="S2662" s="19" t="s">
        <v>20</v>
      </c>
      <c r="T2662" s="19" t="s">
        <v>1471</v>
      </c>
    </row>
    <row r="2663" spans="1:20">
      <c r="A2663" s="20">
        <v>202604333466953</v>
      </c>
      <c r="B2663" s="19" t="s">
        <v>20</v>
      </c>
      <c r="C2663" s="19" t="s">
        <v>21</v>
      </c>
      <c r="D2663" s="19" t="s">
        <v>20</v>
      </c>
      <c r="E2663" s="21">
        <v>46235</v>
      </c>
      <c r="F2663" s="21">
        <v>46599</v>
      </c>
      <c r="G2663" s="21"/>
      <c r="H2663" s="21">
        <v>46235</v>
      </c>
      <c r="I2663" s="21">
        <v>46599</v>
      </c>
      <c r="J2663" s="19" t="s">
        <v>2104</v>
      </c>
      <c r="L2663" s="19">
        <v>99.391890750000002</v>
      </c>
      <c r="M2663" s="19">
        <v>99.391890750000002</v>
      </c>
      <c r="N2663" s="19" t="s">
        <v>1475</v>
      </c>
      <c r="O2663" s="20">
        <v>3</v>
      </c>
      <c r="S2663" s="19" t="s">
        <v>20</v>
      </c>
      <c r="T2663" s="19" t="s">
        <v>1471</v>
      </c>
    </row>
    <row r="2664" spans="1:20">
      <c r="A2664" s="20">
        <v>202604333467244</v>
      </c>
      <c r="B2664" s="19" t="s">
        <v>20</v>
      </c>
      <c r="C2664" s="19" t="s">
        <v>21</v>
      </c>
      <c r="D2664" s="19" t="s">
        <v>20</v>
      </c>
      <c r="E2664" s="21">
        <v>46235</v>
      </c>
      <c r="F2664" s="21">
        <v>46599</v>
      </c>
      <c r="G2664" s="21"/>
      <c r="H2664" s="21">
        <v>46235</v>
      </c>
      <c r="I2664" s="21">
        <v>46599</v>
      </c>
      <c r="J2664" s="19" t="s">
        <v>2064</v>
      </c>
      <c r="L2664" s="19">
        <v>0</v>
      </c>
      <c r="M2664" s="19">
        <v>0</v>
      </c>
      <c r="N2664" s="19" t="s">
        <v>2394</v>
      </c>
      <c r="O2664" s="20">
        <v>2</v>
      </c>
      <c r="S2664" s="19" t="s">
        <v>20</v>
      </c>
      <c r="T2664" s="19" t="s">
        <v>1471</v>
      </c>
    </row>
    <row r="2665" spans="1:20">
      <c r="A2665" s="20">
        <v>202604333467244</v>
      </c>
      <c r="B2665" s="19" t="s">
        <v>20</v>
      </c>
      <c r="C2665" s="19" t="s">
        <v>21</v>
      </c>
      <c r="D2665" s="19" t="s">
        <v>20</v>
      </c>
      <c r="E2665" s="21">
        <v>46235</v>
      </c>
      <c r="F2665" s="21">
        <v>46599</v>
      </c>
      <c r="G2665" s="21"/>
      <c r="H2665" s="21">
        <v>46235</v>
      </c>
      <c r="I2665" s="21">
        <v>46599</v>
      </c>
      <c r="J2665" s="19" t="s">
        <v>2064</v>
      </c>
      <c r="L2665" s="19">
        <v>66.261260500000006</v>
      </c>
      <c r="M2665" s="19">
        <v>66.261260500000006</v>
      </c>
      <c r="N2665" s="19" t="s">
        <v>1475</v>
      </c>
      <c r="O2665" s="20">
        <v>2</v>
      </c>
      <c r="S2665" s="19" t="s">
        <v>20</v>
      </c>
      <c r="T2665" s="19" t="s">
        <v>1471</v>
      </c>
    </row>
    <row r="2666" spans="1:20">
      <c r="A2666" s="20">
        <v>202604333469653</v>
      </c>
      <c r="B2666" s="19" t="s">
        <v>20</v>
      </c>
      <c r="C2666" s="19" t="s">
        <v>21</v>
      </c>
      <c r="D2666" s="19" t="s">
        <v>20</v>
      </c>
      <c r="E2666" s="21">
        <v>46235</v>
      </c>
      <c r="F2666" s="21">
        <v>46599</v>
      </c>
      <c r="G2666" s="21"/>
      <c r="H2666" s="21">
        <v>46235</v>
      </c>
      <c r="I2666" s="21">
        <v>46599</v>
      </c>
      <c r="J2666" s="19" t="s">
        <v>2068</v>
      </c>
      <c r="L2666" s="19">
        <v>0</v>
      </c>
      <c r="M2666" s="19">
        <v>0</v>
      </c>
      <c r="N2666" s="19" t="s">
        <v>2394</v>
      </c>
      <c r="O2666" s="20">
        <v>2</v>
      </c>
      <c r="S2666" s="19" t="s">
        <v>20</v>
      </c>
      <c r="T2666" s="19" t="s">
        <v>1471</v>
      </c>
    </row>
    <row r="2667" spans="1:20">
      <c r="A2667" s="20">
        <v>202604333469653</v>
      </c>
      <c r="B2667" s="19" t="s">
        <v>20</v>
      </c>
      <c r="C2667" s="19" t="s">
        <v>21</v>
      </c>
      <c r="D2667" s="19" t="s">
        <v>20</v>
      </c>
      <c r="E2667" s="21">
        <v>46235</v>
      </c>
      <c r="F2667" s="21">
        <v>46599</v>
      </c>
      <c r="G2667" s="21"/>
      <c r="H2667" s="21">
        <v>46235</v>
      </c>
      <c r="I2667" s="21">
        <v>46599</v>
      </c>
      <c r="J2667" s="19" t="s">
        <v>2068</v>
      </c>
      <c r="L2667" s="19">
        <v>52.517367999999998</v>
      </c>
      <c r="M2667" s="19">
        <v>52.517367999999998</v>
      </c>
      <c r="N2667" s="19" t="s">
        <v>1475</v>
      </c>
      <c r="O2667" s="20">
        <v>2</v>
      </c>
      <c r="S2667" s="19" t="s">
        <v>20</v>
      </c>
      <c r="T2667" s="19" t="s">
        <v>1471</v>
      </c>
    </row>
    <row r="2668" spans="1:20">
      <c r="A2668" s="20">
        <v>202604333470832</v>
      </c>
      <c r="B2668" s="19" t="s">
        <v>20</v>
      </c>
      <c r="C2668" s="19" t="s">
        <v>21</v>
      </c>
      <c r="D2668" s="19" t="s">
        <v>20</v>
      </c>
      <c r="E2668" s="21">
        <v>46235</v>
      </c>
      <c r="F2668" s="21">
        <v>46599</v>
      </c>
      <c r="G2668" s="21"/>
      <c r="H2668" s="21">
        <v>46235</v>
      </c>
      <c r="I2668" s="21">
        <v>46599</v>
      </c>
      <c r="J2668" s="19" t="s">
        <v>2102</v>
      </c>
      <c r="L2668" s="19">
        <v>26.258683999999999</v>
      </c>
      <c r="M2668" s="19">
        <v>26.258683999999999</v>
      </c>
      <c r="N2668" s="19" t="s">
        <v>1475</v>
      </c>
      <c r="O2668" s="20">
        <v>1</v>
      </c>
      <c r="S2668" s="19" t="s">
        <v>20</v>
      </c>
      <c r="T2668" s="19" t="s">
        <v>1471</v>
      </c>
    </row>
    <row r="2669" spans="1:20">
      <c r="A2669" s="20">
        <v>202604333471899</v>
      </c>
      <c r="B2669" s="19" t="s">
        <v>20</v>
      </c>
      <c r="C2669" s="19" t="s">
        <v>21</v>
      </c>
      <c r="D2669" s="19" t="s">
        <v>20</v>
      </c>
      <c r="E2669" s="21">
        <v>46235</v>
      </c>
      <c r="F2669" s="21">
        <v>46599</v>
      </c>
      <c r="G2669" s="21"/>
      <c r="H2669" s="21">
        <v>46235</v>
      </c>
      <c r="I2669" s="21">
        <v>46599</v>
      </c>
      <c r="J2669" s="19" t="s">
        <v>2085</v>
      </c>
      <c r="L2669" s="19">
        <v>24.620673499999999</v>
      </c>
      <c r="M2669" s="19">
        <v>24.620673499999999</v>
      </c>
      <c r="N2669" s="19" t="s">
        <v>1475</v>
      </c>
      <c r="O2669" s="20">
        <v>1</v>
      </c>
      <c r="S2669" s="19" t="s">
        <v>20</v>
      </c>
      <c r="T2669" s="19" t="s">
        <v>1471</v>
      </c>
    </row>
    <row r="2670" spans="1:20">
      <c r="A2670" s="20">
        <v>202604333472578</v>
      </c>
      <c r="B2670" s="19" t="s">
        <v>20</v>
      </c>
      <c r="C2670" s="19" t="s">
        <v>21</v>
      </c>
      <c r="D2670" s="19" t="s">
        <v>20</v>
      </c>
      <c r="E2670" s="21">
        <v>46235</v>
      </c>
      <c r="F2670" s="21">
        <v>46599</v>
      </c>
      <c r="G2670" s="21"/>
      <c r="H2670" s="21">
        <v>46235</v>
      </c>
      <c r="I2670" s="21">
        <v>46599</v>
      </c>
      <c r="J2670" s="19" t="s">
        <v>2068</v>
      </c>
      <c r="L2670" s="19">
        <v>0</v>
      </c>
      <c r="M2670" s="19">
        <v>0</v>
      </c>
      <c r="N2670" s="19" t="s">
        <v>2394</v>
      </c>
      <c r="O2670" s="20">
        <v>2</v>
      </c>
      <c r="S2670" s="19" t="s">
        <v>20</v>
      </c>
      <c r="T2670" s="19" t="s">
        <v>1471</v>
      </c>
    </row>
    <row r="2671" spans="1:20">
      <c r="A2671" s="20">
        <v>202604333472578</v>
      </c>
      <c r="B2671" s="19" t="s">
        <v>20</v>
      </c>
      <c r="C2671" s="19" t="s">
        <v>21</v>
      </c>
      <c r="D2671" s="19" t="s">
        <v>20</v>
      </c>
      <c r="E2671" s="21">
        <v>46235</v>
      </c>
      <c r="F2671" s="21">
        <v>46599</v>
      </c>
      <c r="G2671" s="21"/>
      <c r="H2671" s="21">
        <v>46235</v>
      </c>
      <c r="I2671" s="21">
        <v>46599</v>
      </c>
      <c r="J2671" s="19" t="s">
        <v>2068</v>
      </c>
      <c r="L2671" s="19">
        <v>52.517367999999998</v>
      </c>
      <c r="M2671" s="19">
        <v>52.517367999999998</v>
      </c>
      <c r="N2671" s="19" t="s">
        <v>1475</v>
      </c>
      <c r="O2671" s="20">
        <v>2</v>
      </c>
      <c r="S2671" s="19" t="s">
        <v>20</v>
      </c>
      <c r="T2671" s="19" t="s">
        <v>1471</v>
      </c>
    </row>
    <row r="2672" spans="1:20">
      <c r="A2672" s="20">
        <v>202604333475210</v>
      </c>
      <c r="B2672" s="19" t="s">
        <v>20</v>
      </c>
      <c r="C2672" s="19" t="s">
        <v>21</v>
      </c>
      <c r="D2672" s="19" t="s">
        <v>20</v>
      </c>
      <c r="E2672" s="21">
        <v>46235</v>
      </c>
      <c r="F2672" s="21">
        <v>46599</v>
      </c>
      <c r="G2672" s="21"/>
      <c r="H2672" s="21">
        <v>46235</v>
      </c>
      <c r="I2672" s="21">
        <v>46599</v>
      </c>
      <c r="J2672" s="19" t="s">
        <v>2068</v>
      </c>
      <c r="L2672" s="19">
        <v>0</v>
      </c>
      <c r="M2672" s="19">
        <v>0</v>
      </c>
      <c r="N2672" s="19" t="s">
        <v>2394</v>
      </c>
      <c r="O2672" s="20">
        <v>2</v>
      </c>
      <c r="S2672" s="19" t="s">
        <v>20</v>
      </c>
      <c r="T2672" s="19" t="s">
        <v>1471</v>
      </c>
    </row>
    <row r="2673" spans="1:20">
      <c r="A2673" s="20">
        <v>202604333475210</v>
      </c>
      <c r="B2673" s="19" t="s">
        <v>20</v>
      </c>
      <c r="C2673" s="19" t="s">
        <v>21</v>
      </c>
      <c r="D2673" s="19" t="s">
        <v>20</v>
      </c>
      <c r="E2673" s="21">
        <v>46235</v>
      </c>
      <c r="F2673" s="21">
        <v>46599</v>
      </c>
      <c r="G2673" s="21"/>
      <c r="H2673" s="21">
        <v>46235</v>
      </c>
      <c r="I2673" s="21">
        <v>46599</v>
      </c>
      <c r="J2673" s="19" t="s">
        <v>2068</v>
      </c>
      <c r="L2673" s="19">
        <v>52.517367999999998</v>
      </c>
      <c r="M2673" s="19">
        <v>52.517367999999998</v>
      </c>
      <c r="N2673" s="19" t="s">
        <v>1475</v>
      </c>
      <c r="O2673" s="20">
        <v>2</v>
      </c>
      <c r="S2673" s="19" t="s">
        <v>20</v>
      </c>
      <c r="T2673" s="19" t="s">
        <v>1471</v>
      </c>
    </row>
    <row r="2674" spans="1:20">
      <c r="A2674" s="20">
        <v>202604333475966</v>
      </c>
      <c r="B2674" s="19" t="s">
        <v>20</v>
      </c>
      <c r="C2674" s="19" t="s">
        <v>21</v>
      </c>
      <c r="D2674" s="19" t="s">
        <v>20</v>
      </c>
      <c r="E2674" s="21">
        <v>46235</v>
      </c>
      <c r="F2674" s="21">
        <v>46599</v>
      </c>
      <c r="G2674" s="21"/>
      <c r="H2674" s="21">
        <v>46235</v>
      </c>
      <c r="I2674" s="21">
        <v>46599</v>
      </c>
      <c r="J2674" s="19" t="s">
        <v>2080</v>
      </c>
      <c r="L2674" s="19">
        <v>33.130630250000003</v>
      </c>
      <c r="M2674" s="19">
        <v>33.130630250000003</v>
      </c>
      <c r="N2674" s="19" t="s">
        <v>1475</v>
      </c>
      <c r="O2674" s="20">
        <v>1</v>
      </c>
      <c r="S2674" s="19" t="s">
        <v>20</v>
      </c>
      <c r="T2674" s="19" t="s">
        <v>1471</v>
      </c>
    </row>
    <row r="2675" spans="1:20">
      <c r="A2675" s="20">
        <v>202604333476643</v>
      </c>
      <c r="B2675" s="19" t="s">
        <v>20</v>
      </c>
      <c r="C2675" s="19" t="s">
        <v>21</v>
      </c>
      <c r="D2675" s="19" t="s">
        <v>20</v>
      </c>
      <c r="E2675" s="21">
        <v>46235</v>
      </c>
      <c r="F2675" s="21">
        <v>46599</v>
      </c>
      <c r="G2675" s="21"/>
      <c r="H2675" s="21">
        <v>46235</v>
      </c>
      <c r="I2675" s="21">
        <v>46599</v>
      </c>
      <c r="J2675" s="19" t="s">
        <v>2106</v>
      </c>
      <c r="L2675" s="19">
        <v>0</v>
      </c>
      <c r="M2675" s="19">
        <v>0</v>
      </c>
      <c r="N2675" s="19" t="s">
        <v>2394</v>
      </c>
      <c r="O2675" s="20">
        <v>2</v>
      </c>
      <c r="S2675" s="19" t="s">
        <v>20</v>
      </c>
      <c r="T2675" s="19" t="s">
        <v>1471</v>
      </c>
    </row>
    <row r="2676" spans="1:20">
      <c r="A2676" s="20">
        <v>202604333476643</v>
      </c>
      <c r="B2676" s="19" t="s">
        <v>20</v>
      </c>
      <c r="C2676" s="19" t="s">
        <v>21</v>
      </c>
      <c r="D2676" s="19" t="s">
        <v>2462</v>
      </c>
      <c r="E2676" s="21">
        <v>46235</v>
      </c>
      <c r="F2676" s="21">
        <v>46599</v>
      </c>
      <c r="G2676" s="21"/>
      <c r="H2676" s="21">
        <v>46235</v>
      </c>
      <c r="I2676" s="21">
        <v>46599</v>
      </c>
      <c r="J2676" s="19" t="s">
        <v>2106</v>
      </c>
      <c r="L2676" s="19">
        <v>66.261260500000006</v>
      </c>
      <c r="M2676" s="19">
        <v>66.261260500000006</v>
      </c>
      <c r="N2676" s="19" t="s">
        <v>1467</v>
      </c>
      <c r="O2676" s="20">
        <v>2</v>
      </c>
      <c r="S2676" s="19" t="s">
        <v>20</v>
      </c>
      <c r="T2676" s="19" t="s">
        <v>1471</v>
      </c>
    </row>
    <row r="2677" spans="1:20">
      <c r="A2677" s="20">
        <v>202604333476697</v>
      </c>
      <c r="B2677" s="19" t="s">
        <v>20</v>
      </c>
      <c r="C2677" s="19" t="s">
        <v>21</v>
      </c>
      <c r="D2677" s="19" t="s">
        <v>20</v>
      </c>
      <c r="E2677" s="21">
        <v>46235</v>
      </c>
      <c r="F2677" s="21">
        <v>46599</v>
      </c>
      <c r="G2677" s="21"/>
      <c r="H2677" s="21">
        <v>46235</v>
      </c>
      <c r="I2677" s="21">
        <v>46599</v>
      </c>
      <c r="J2677" s="19" t="s">
        <v>2461</v>
      </c>
      <c r="L2677" s="19">
        <v>0</v>
      </c>
      <c r="M2677" s="19">
        <v>0</v>
      </c>
      <c r="N2677" s="19" t="s">
        <v>2394</v>
      </c>
      <c r="O2677" s="20">
        <v>4</v>
      </c>
      <c r="S2677" s="19" t="s">
        <v>20</v>
      </c>
      <c r="T2677" s="19" t="s">
        <v>1471</v>
      </c>
    </row>
    <row r="2678" spans="1:20">
      <c r="A2678" s="20">
        <v>202604333476697</v>
      </c>
      <c r="B2678" s="19" t="s">
        <v>20</v>
      </c>
      <c r="C2678" s="19" t="s">
        <v>21</v>
      </c>
      <c r="D2678" s="19" t="s">
        <v>20</v>
      </c>
      <c r="E2678" s="21">
        <v>46235</v>
      </c>
      <c r="F2678" s="21">
        <v>46599</v>
      </c>
      <c r="G2678" s="21"/>
      <c r="H2678" s="21">
        <v>46235</v>
      </c>
      <c r="I2678" s="21">
        <v>46599</v>
      </c>
      <c r="J2678" s="19" t="s">
        <v>2461</v>
      </c>
      <c r="L2678" s="19">
        <v>106.017973</v>
      </c>
      <c r="M2678" s="19">
        <v>106.017973</v>
      </c>
      <c r="N2678" s="19" t="s">
        <v>1475</v>
      </c>
      <c r="O2678" s="20">
        <v>4</v>
      </c>
      <c r="S2678" s="19" t="s">
        <v>20</v>
      </c>
      <c r="T2678" s="19" t="s">
        <v>1471</v>
      </c>
    </row>
    <row r="2679" spans="1:20">
      <c r="A2679" s="20">
        <v>202604333476743</v>
      </c>
      <c r="B2679" s="19" t="s">
        <v>20</v>
      </c>
      <c r="C2679" s="19" t="s">
        <v>21</v>
      </c>
      <c r="D2679" s="19" t="s">
        <v>20</v>
      </c>
      <c r="E2679" s="21">
        <v>46235</v>
      </c>
      <c r="F2679" s="21">
        <v>46599</v>
      </c>
      <c r="G2679" s="21"/>
      <c r="H2679" s="21">
        <v>46235</v>
      </c>
      <c r="I2679" s="21">
        <v>46599</v>
      </c>
      <c r="J2679" s="19" t="s">
        <v>2065</v>
      </c>
      <c r="L2679" s="19">
        <v>78.776052000000007</v>
      </c>
      <c r="M2679" s="19">
        <v>78.776052000000007</v>
      </c>
      <c r="N2679" s="19" t="s">
        <v>1475</v>
      </c>
      <c r="O2679" s="20">
        <v>3</v>
      </c>
      <c r="S2679" s="19" t="s">
        <v>20</v>
      </c>
      <c r="T2679" s="19" t="s">
        <v>1471</v>
      </c>
    </row>
    <row r="2680" spans="1:20">
      <c r="A2680" s="20">
        <v>202604333480609</v>
      </c>
      <c r="B2680" s="19" t="s">
        <v>20</v>
      </c>
      <c r="C2680" s="19" t="s">
        <v>21</v>
      </c>
      <c r="D2680" s="19" t="s">
        <v>20</v>
      </c>
      <c r="E2680" s="21">
        <v>46235</v>
      </c>
      <c r="F2680" s="21">
        <v>46599</v>
      </c>
      <c r="G2680" s="21"/>
      <c r="H2680" s="21">
        <v>46235</v>
      </c>
      <c r="I2680" s="21">
        <v>46599</v>
      </c>
      <c r="J2680" s="19" t="s">
        <v>2064</v>
      </c>
      <c r="L2680" s="19">
        <v>0</v>
      </c>
      <c r="M2680" s="19">
        <v>0</v>
      </c>
      <c r="N2680" s="19" t="s">
        <v>2394</v>
      </c>
      <c r="O2680" s="20">
        <v>2</v>
      </c>
      <c r="S2680" s="19" t="s">
        <v>20</v>
      </c>
      <c r="T2680" s="19" t="s">
        <v>1471</v>
      </c>
    </row>
    <row r="2681" spans="1:20">
      <c r="A2681" s="20">
        <v>202604333480609</v>
      </c>
      <c r="B2681" s="19" t="s">
        <v>20</v>
      </c>
      <c r="C2681" s="19" t="s">
        <v>21</v>
      </c>
      <c r="D2681" s="19" t="s">
        <v>20</v>
      </c>
      <c r="E2681" s="21">
        <v>46235</v>
      </c>
      <c r="F2681" s="21">
        <v>46599</v>
      </c>
      <c r="G2681" s="21"/>
      <c r="H2681" s="21">
        <v>46235</v>
      </c>
      <c r="I2681" s="21">
        <v>46599</v>
      </c>
      <c r="J2681" s="19" t="s">
        <v>2064</v>
      </c>
      <c r="L2681" s="19">
        <v>66.261260500000006</v>
      </c>
      <c r="M2681" s="19">
        <v>66.261260500000006</v>
      </c>
      <c r="N2681" s="19" t="s">
        <v>1475</v>
      </c>
      <c r="O2681" s="20">
        <v>2</v>
      </c>
      <c r="S2681" s="19" t="s">
        <v>20</v>
      </c>
      <c r="T2681" s="19" t="s">
        <v>1471</v>
      </c>
    </row>
    <row r="2682" spans="1:20">
      <c r="A2682" s="20">
        <v>202604333482492</v>
      </c>
      <c r="B2682" s="19" t="s">
        <v>20</v>
      </c>
      <c r="C2682" s="19" t="s">
        <v>21</v>
      </c>
      <c r="D2682" s="19" t="s">
        <v>20</v>
      </c>
      <c r="E2682" s="21">
        <v>46235</v>
      </c>
      <c r="F2682" s="21">
        <v>46599</v>
      </c>
      <c r="G2682" s="21"/>
      <c r="H2682" s="21">
        <v>46235</v>
      </c>
      <c r="I2682" s="21">
        <v>46599</v>
      </c>
      <c r="J2682" s="19" t="s">
        <v>2064</v>
      </c>
      <c r="L2682" s="19">
        <v>33.130630250000003</v>
      </c>
      <c r="M2682" s="19">
        <v>33.130630250000003</v>
      </c>
      <c r="N2682" s="19" t="s">
        <v>1475</v>
      </c>
      <c r="O2682" s="20">
        <v>1</v>
      </c>
      <c r="S2682" s="19" t="s">
        <v>20</v>
      </c>
      <c r="T2682" s="19" t="s">
        <v>1471</v>
      </c>
    </row>
    <row r="2683" spans="1:20">
      <c r="A2683" s="20">
        <v>202604333485775</v>
      </c>
      <c r="B2683" s="19" t="s">
        <v>20</v>
      </c>
      <c r="C2683" s="19" t="s">
        <v>21</v>
      </c>
      <c r="D2683" s="19" t="s">
        <v>20</v>
      </c>
      <c r="E2683" s="21">
        <v>46235</v>
      </c>
      <c r="F2683" s="21">
        <v>46599</v>
      </c>
      <c r="G2683" s="21"/>
      <c r="H2683" s="21">
        <v>46235</v>
      </c>
      <c r="I2683" s="21">
        <v>46599</v>
      </c>
      <c r="J2683" s="19" t="s">
        <v>2073</v>
      </c>
      <c r="L2683" s="19">
        <v>26.258683999999999</v>
      </c>
      <c r="M2683" s="19">
        <v>26.258683999999999</v>
      </c>
      <c r="N2683" s="19" t="s">
        <v>1475</v>
      </c>
      <c r="O2683" s="20">
        <v>1</v>
      </c>
      <c r="S2683" s="19" t="s">
        <v>20</v>
      </c>
      <c r="T2683" s="19" t="s">
        <v>1471</v>
      </c>
    </row>
    <row r="2684" spans="1:20">
      <c r="A2684" s="20">
        <v>202604333487160</v>
      </c>
      <c r="B2684" s="19" t="s">
        <v>20</v>
      </c>
      <c r="C2684" s="19" t="s">
        <v>21</v>
      </c>
      <c r="D2684" s="19" t="s">
        <v>20</v>
      </c>
      <c r="E2684" s="21">
        <v>46235</v>
      </c>
      <c r="F2684" s="21">
        <v>46599</v>
      </c>
      <c r="G2684" s="21"/>
      <c r="H2684" s="21">
        <v>46235</v>
      </c>
      <c r="I2684" s="21">
        <v>46599</v>
      </c>
      <c r="J2684" s="19" t="s">
        <v>2086</v>
      </c>
      <c r="L2684" s="19">
        <v>0</v>
      </c>
      <c r="M2684" s="19">
        <v>0</v>
      </c>
      <c r="N2684" s="19" t="s">
        <v>2394</v>
      </c>
      <c r="O2684" s="20">
        <v>2</v>
      </c>
      <c r="S2684" s="19" t="s">
        <v>20</v>
      </c>
      <c r="T2684" s="19" t="s">
        <v>1471</v>
      </c>
    </row>
    <row r="2685" spans="1:20">
      <c r="A2685" s="20">
        <v>202604333487160</v>
      </c>
      <c r="B2685" s="19" t="s">
        <v>20</v>
      </c>
      <c r="C2685" s="19" t="s">
        <v>21</v>
      </c>
      <c r="D2685" s="19" t="s">
        <v>20</v>
      </c>
      <c r="E2685" s="21">
        <v>46235</v>
      </c>
      <c r="F2685" s="21">
        <v>46599</v>
      </c>
      <c r="G2685" s="21"/>
      <c r="H2685" s="21">
        <v>46235</v>
      </c>
      <c r="I2685" s="21">
        <v>46599</v>
      </c>
      <c r="J2685" s="19" t="s">
        <v>2086</v>
      </c>
      <c r="L2685" s="19">
        <v>66.261260500000006</v>
      </c>
      <c r="M2685" s="19">
        <v>66.261260500000006</v>
      </c>
      <c r="N2685" s="19" t="s">
        <v>1475</v>
      </c>
      <c r="O2685" s="20">
        <v>2</v>
      </c>
      <c r="S2685" s="19" t="s">
        <v>20</v>
      </c>
      <c r="T2685" s="19" t="s">
        <v>1471</v>
      </c>
    </row>
    <row r="2686" spans="1:20">
      <c r="A2686" s="20">
        <v>202604333488366</v>
      </c>
      <c r="B2686" s="19" t="s">
        <v>20</v>
      </c>
      <c r="C2686" s="19" t="s">
        <v>21</v>
      </c>
      <c r="D2686" s="19" t="s">
        <v>20</v>
      </c>
      <c r="E2686" s="21">
        <v>46235</v>
      </c>
      <c r="F2686" s="21">
        <v>46599</v>
      </c>
      <c r="G2686" s="21"/>
      <c r="H2686" s="21">
        <v>46235</v>
      </c>
      <c r="I2686" s="21">
        <v>46599</v>
      </c>
      <c r="J2686" s="19" t="s">
        <v>2109</v>
      </c>
      <c r="L2686" s="19">
        <v>59.635123499999999</v>
      </c>
      <c r="M2686" s="19">
        <v>59.635123499999999</v>
      </c>
      <c r="N2686" s="19" t="s">
        <v>1475</v>
      </c>
      <c r="O2686" s="20">
        <v>2</v>
      </c>
      <c r="S2686" s="19" t="s">
        <v>20</v>
      </c>
      <c r="T2686" s="19" t="s">
        <v>1471</v>
      </c>
    </row>
    <row r="2687" spans="1:20">
      <c r="A2687" s="20">
        <v>202604333488716</v>
      </c>
      <c r="B2687" s="19" t="s">
        <v>20</v>
      </c>
      <c r="C2687" s="19" t="s">
        <v>21</v>
      </c>
      <c r="D2687" s="19" t="s">
        <v>20</v>
      </c>
      <c r="E2687" s="21">
        <v>46235</v>
      </c>
      <c r="F2687" s="21">
        <v>46599</v>
      </c>
      <c r="G2687" s="21"/>
      <c r="H2687" s="21">
        <v>46235</v>
      </c>
      <c r="I2687" s="21">
        <v>46599</v>
      </c>
      <c r="J2687" s="19" t="s">
        <v>2118</v>
      </c>
      <c r="L2687" s="19">
        <v>33.130630250000003</v>
      </c>
      <c r="M2687" s="19">
        <v>33.130630250000003</v>
      </c>
      <c r="N2687" s="19" t="s">
        <v>1475</v>
      </c>
      <c r="O2687" s="20">
        <v>1</v>
      </c>
      <c r="S2687" s="19" t="s">
        <v>20</v>
      </c>
      <c r="T2687" s="19" t="s">
        <v>1471</v>
      </c>
    </row>
    <row r="2688" spans="1:20">
      <c r="A2688" s="20">
        <v>202604333489101</v>
      </c>
      <c r="B2688" s="19" t="s">
        <v>20</v>
      </c>
      <c r="C2688" s="19" t="s">
        <v>21</v>
      </c>
      <c r="D2688" s="19" t="s">
        <v>20</v>
      </c>
      <c r="E2688" s="21">
        <v>46235</v>
      </c>
      <c r="F2688" s="21">
        <v>46599</v>
      </c>
      <c r="G2688" s="21"/>
      <c r="H2688" s="21">
        <v>46235</v>
      </c>
      <c r="I2688" s="21">
        <v>46599</v>
      </c>
      <c r="J2688" s="19" t="s">
        <v>2068</v>
      </c>
      <c r="L2688" s="19">
        <v>0</v>
      </c>
      <c r="M2688" s="19">
        <v>0</v>
      </c>
      <c r="N2688" s="19" t="s">
        <v>2394</v>
      </c>
      <c r="O2688" s="20">
        <v>4</v>
      </c>
      <c r="S2688" s="19" t="s">
        <v>20</v>
      </c>
      <c r="T2688" s="19" t="s">
        <v>1471</v>
      </c>
    </row>
    <row r="2689" spans="1:20">
      <c r="A2689" s="20">
        <v>202604333489101</v>
      </c>
      <c r="B2689" s="19" t="s">
        <v>20</v>
      </c>
      <c r="C2689" s="19" t="s">
        <v>21</v>
      </c>
      <c r="D2689" s="19" t="s">
        <v>20</v>
      </c>
      <c r="E2689" s="21">
        <v>46235</v>
      </c>
      <c r="F2689" s="21">
        <v>46599</v>
      </c>
      <c r="G2689" s="21"/>
      <c r="H2689" s="21">
        <v>46235</v>
      </c>
      <c r="I2689" s="21">
        <v>46599</v>
      </c>
      <c r="J2689" s="19" t="s">
        <v>2068</v>
      </c>
      <c r="L2689" s="19">
        <v>105.034736</v>
      </c>
      <c r="M2689" s="19">
        <v>105.034736</v>
      </c>
      <c r="N2689" s="19" t="s">
        <v>1475</v>
      </c>
      <c r="O2689" s="20">
        <v>4</v>
      </c>
      <c r="S2689" s="19" t="s">
        <v>20</v>
      </c>
      <c r="T2689" s="19" t="s">
        <v>1471</v>
      </c>
    </row>
    <row r="2690" spans="1:20">
      <c r="A2690" s="20">
        <v>202604333492014</v>
      </c>
      <c r="B2690" s="19" t="s">
        <v>20</v>
      </c>
      <c r="C2690" s="19" t="s">
        <v>21</v>
      </c>
      <c r="D2690" s="19" t="s">
        <v>20</v>
      </c>
      <c r="E2690" s="21">
        <v>46235</v>
      </c>
      <c r="F2690" s="21">
        <v>46599</v>
      </c>
      <c r="G2690" s="21"/>
      <c r="H2690" s="21">
        <v>46235</v>
      </c>
      <c r="I2690" s="21">
        <v>46599</v>
      </c>
      <c r="J2690" s="19" t="s">
        <v>2114</v>
      </c>
      <c r="L2690" s="19">
        <v>66.261260500000006</v>
      </c>
      <c r="M2690" s="19">
        <v>66.261260500000006</v>
      </c>
      <c r="N2690" s="19" t="s">
        <v>1475</v>
      </c>
      <c r="O2690" s="20">
        <v>2</v>
      </c>
      <c r="S2690" s="19" t="s">
        <v>20</v>
      </c>
      <c r="T2690" s="19" t="s">
        <v>1471</v>
      </c>
    </row>
    <row r="2691" spans="1:20">
      <c r="A2691" s="20">
        <v>202604333492067</v>
      </c>
      <c r="B2691" s="19" t="s">
        <v>20</v>
      </c>
      <c r="C2691" s="19" t="s">
        <v>21</v>
      </c>
      <c r="D2691" s="19" t="s">
        <v>20</v>
      </c>
      <c r="E2691" s="21">
        <v>46235</v>
      </c>
      <c r="F2691" s="21">
        <v>46599</v>
      </c>
      <c r="G2691" s="21"/>
      <c r="H2691" s="21">
        <v>46235</v>
      </c>
      <c r="I2691" s="21">
        <v>46599</v>
      </c>
      <c r="J2691" s="19" t="s">
        <v>2132</v>
      </c>
      <c r="L2691" s="19">
        <v>29.817561749999999</v>
      </c>
      <c r="M2691" s="19">
        <v>29.817561749999999</v>
      </c>
      <c r="N2691" s="19" t="s">
        <v>1475</v>
      </c>
      <c r="O2691" s="20">
        <v>1</v>
      </c>
      <c r="S2691" s="19" t="s">
        <v>20</v>
      </c>
      <c r="T2691" s="19" t="s">
        <v>1471</v>
      </c>
    </row>
    <row r="2692" spans="1:20">
      <c r="A2692" s="20">
        <v>202604333495766</v>
      </c>
      <c r="B2692" s="19" t="s">
        <v>20</v>
      </c>
      <c r="C2692" s="19" t="s">
        <v>21</v>
      </c>
      <c r="D2692" s="19" t="s">
        <v>20</v>
      </c>
      <c r="E2692" s="21">
        <v>46235</v>
      </c>
      <c r="F2692" s="21">
        <v>46599</v>
      </c>
      <c r="G2692" s="21"/>
      <c r="H2692" s="21">
        <v>46235</v>
      </c>
      <c r="I2692" s="21">
        <v>46599</v>
      </c>
      <c r="J2692" s="19" t="s">
        <v>2104</v>
      </c>
      <c r="L2692" s="19">
        <v>33.130630250000003</v>
      </c>
      <c r="M2692" s="19">
        <v>33.130630250000003</v>
      </c>
      <c r="N2692" s="19" t="s">
        <v>1475</v>
      </c>
      <c r="O2692" s="20">
        <v>1</v>
      </c>
      <c r="S2692" s="19" t="s">
        <v>20</v>
      </c>
      <c r="T2692" s="19" t="s">
        <v>1471</v>
      </c>
    </row>
    <row r="2693" spans="1:20">
      <c r="A2693" s="20">
        <v>202604333500306</v>
      </c>
      <c r="B2693" s="19" t="s">
        <v>20</v>
      </c>
      <c r="C2693" s="19" t="s">
        <v>21</v>
      </c>
      <c r="D2693" s="19" t="s">
        <v>2460</v>
      </c>
      <c r="E2693" s="21">
        <v>46235</v>
      </c>
      <c r="F2693" s="21">
        <v>46599</v>
      </c>
      <c r="G2693" s="21"/>
      <c r="H2693" s="21">
        <v>46235</v>
      </c>
      <c r="I2693" s="21">
        <v>46599</v>
      </c>
      <c r="J2693" s="19" t="s">
        <v>2128</v>
      </c>
      <c r="L2693" s="19">
        <v>15.05447975</v>
      </c>
      <c r="M2693" s="19">
        <v>15.05447975</v>
      </c>
      <c r="N2693" s="19" t="s">
        <v>1467</v>
      </c>
      <c r="O2693" s="20">
        <v>1</v>
      </c>
      <c r="S2693" s="19" t="s">
        <v>20</v>
      </c>
      <c r="T2693" s="19" t="s">
        <v>1471</v>
      </c>
    </row>
    <row r="2694" spans="1:20">
      <c r="A2694" s="20">
        <v>202604333501124</v>
      </c>
      <c r="B2694" s="19" t="s">
        <v>20</v>
      </c>
      <c r="C2694" s="19" t="s">
        <v>21</v>
      </c>
      <c r="D2694" s="19" t="s">
        <v>20</v>
      </c>
      <c r="E2694" s="21">
        <v>46235</v>
      </c>
      <c r="F2694" s="21">
        <v>46599</v>
      </c>
      <c r="G2694" s="21"/>
      <c r="H2694" s="21">
        <v>46235</v>
      </c>
      <c r="I2694" s="21">
        <v>46599</v>
      </c>
      <c r="J2694" s="19" t="s">
        <v>2087</v>
      </c>
      <c r="L2694" s="19">
        <v>33.130630250000003</v>
      </c>
      <c r="M2694" s="19">
        <v>33.130630250000003</v>
      </c>
      <c r="N2694" s="19" t="s">
        <v>1475</v>
      </c>
      <c r="O2694" s="20">
        <v>1</v>
      </c>
      <c r="S2694" s="19" t="s">
        <v>20</v>
      </c>
      <c r="T2694" s="19" t="s">
        <v>1471</v>
      </c>
    </row>
    <row r="2695" spans="1:20">
      <c r="A2695" s="20">
        <v>202604333501139</v>
      </c>
      <c r="B2695" s="19" t="s">
        <v>20</v>
      </c>
      <c r="C2695" s="19" t="s">
        <v>21</v>
      </c>
      <c r="D2695" s="19" t="s">
        <v>20</v>
      </c>
      <c r="E2695" s="21">
        <v>46235</v>
      </c>
      <c r="F2695" s="21">
        <v>46599</v>
      </c>
      <c r="G2695" s="21"/>
      <c r="H2695" s="21">
        <v>46235</v>
      </c>
      <c r="I2695" s="21">
        <v>46599</v>
      </c>
      <c r="J2695" s="19" t="s">
        <v>2120</v>
      </c>
      <c r="L2695" s="19">
        <v>37.947955</v>
      </c>
      <c r="M2695" s="19">
        <v>37.947955</v>
      </c>
      <c r="N2695" s="19" t="s">
        <v>1475</v>
      </c>
      <c r="O2695" s="20">
        <v>1</v>
      </c>
      <c r="S2695" s="19" t="s">
        <v>20</v>
      </c>
      <c r="T2695" s="19" t="s">
        <v>1471</v>
      </c>
    </row>
    <row r="2696" spans="1:20">
      <c r="A2696" s="20">
        <v>202604333501347</v>
      </c>
      <c r="B2696" s="19" t="s">
        <v>20</v>
      </c>
      <c r="C2696" s="19" t="s">
        <v>21</v>
      </c>
      <c r="D2696" s="19" t="s">
        <v>20</v>
      </c>
      <c r="E2696" s="21">
        <v>46235</v>
      </c>
      <c r="F2696" s="21">
        <v>46599</v>
      </c>
      <c r="G2696" s="21"/>
      <c r="H2696" s="21">
        <v>46235</v>
      </c>
      <c r="I2696" s="21">
        <v>46599</v>
      </c>
      <c r="J2696" s="19" t="s">
        <v>2243</v>
      </c>
      <c r="L2696" s="19">
        <v>0</v>
      </c>
      <c r="M2696" s="19">
        <v>0</v>
      </c>
      <c r="N2696" s="19" t="s">
        <v>2394</v>
      </c>
      <c r="O2696" s="20">
        <v>3</v>
      </c>
      <c r="S2696" s="19" t="s">
        <v>20</v>
      </c>
      <c r="T2696" s="19" t="s">
        <v>1471</v>
      </c>
    </row>
    <row r="2697" spans="1:20">
      <c r="A2697" s="20">
        <v>202604333501347</v>
      </c>
      <c r="B2697" s="19" t="s">
        <v>20</v>
      </c>
      <c r="C2697" s="19" t="s">
        <v>21</v>
      </c>
      <c r="D2697" s="19" t="s">
        <v>20</v>
      </c>
      <c r="E2697" s="21">
        <v>46235</v>
      </c>
      <c r="F2697" s="21">
        <v>46599</v>
      </c>
      <c r="G2697" s="21"/>
      <c r="H2697" s="21">
        <v>46235</v>
      </c>
      <c r="I2697" s="21">
        <v>46599</v>
      </c>
      <c r="J2697" s="19" t="s">
        <v>2243</v>
      </c>
      <c r="L2697" s="19">
        <v>99.391890750000002</v>
      </c>
      <c r="M2697" s="19">
        <v>99.391890750000002</v>
      </c>
      <c r="N2697" s="19" t="s">
        <v>1475</v>
      </c>
      <c r="O2697" s="20">
        <v>3</v>
      </c>
      <c r="S2697" s="19" t="s">
        <v>20</v>
      </c>
      <c r="T2697" s="19" t="s">
        <v>1471</v>
      </c>
    </row>
    <row r="2698" spans="1:20">
      <c r="A2698" s="20">
        <v>202604333501393</v>
      </c>
      <c r="B2698" s="19" t="s">
        <v>20</v>
      </c>
      <c r="C2698" s="19" t="s">
        <v>21</v>
      </c>
      <c r="D2698" s="19" t="s">
        <v>20</v>
      </c>
      <c r="E2698" s="21">
        <v>46235</v>
      </c>
      <c r="F2698" s="21">
        <v>46599</v>
      </c>
      <c r="G2698" s="21"/>
      <c r="H2698" s="21">
        <v>46235</v>
      </c>
      <c r="I2698" s="21">
        <v>46599</v>
      </c>
      <c r="J2698" s="19" t="s">
        <v>2099</v>
      </c>
      <c r="L2698" s="19">
        <v>0</v>
      </c>
      <c r="M2698" s="19">
        <v>0</v>
      </c>
      <c r="N2698" s="19" t="s">
        <v>2394</v>
      </c>
      <c r="O2698" s="20">
        <v>2</v>
      </c>
      <c r="S2698" s="19" t="s">
        <v>20</v>
      </c>
      <c r="T2698" s="19" t="s">
        <v>1471</v>
      </c>
    </row>
    <row r="2699" spans="1:20">
      <c r="A2699" s="20">
        <v>202604333501393</v>
      </c>
      <c r="B2699" s="19" t="s">
        <v>20</v>
      </c>
      <c r="C2699" s="19" t="s">
        <v>21</v>
      </c>
      <c r="D2699" s="19" t="s">
        <v>2459</v>
      </c>
      <c r="E2699" s="21">
        <v>46235</v>
      </c>
      <c r="F2699" s="21">
        <v>46599</v>
      </c>
      <c r="G2699" s="21"/>
      <c r="H2699" s="21">
        <v>46235</v>
      </c>
      <c r="I2699" s="21">
        <v>46599</v>
      </c>
      <c r="J2699" s="19" t="s">
        <v>2099</v>
      </c>
      <c r="L2699" s="19">
        <v>52.517367999999998</v>
      </c>
      <c r="M2699" s="19">
        <v>52.517367999999998</v>
      </c>
      <c r="N2699" s="19" t="s">
        <v>1467</v>
      </c>
      <c r="O2699" s="20">
        <v>2</v>
      </c>
      <c r="S2699" s="19" t="s">
        <v>20</v>
      </c>
      <c r="T2699" s="19" t="s">
        <v>1471</v>
      </c>
    </row>
    <row r="2700" spans="1:20">
      <c r="A2700" s="20">
        <v>202604333501477</v>
      </c>
      <c r="B2700" s="19" t="s">
        <v>20</v>
      </c>
      <c r="C2700" s="19" t="s">
        <v>21</v>
      </c>
      <c r="D2700" s="19" t="s">
        <v>20</v>
      </c>
      <c r="E2700" s="21">
        <v>46235</v>
      </c>
      <c r="F2700" s="21">
        <v>46599</v>
      </c>
      <c r="G2700" s="21"/>
      <c r="H2700" s="21">
        <v>46235</v>
      </c>
      <c r="I2700" s="21">
        <v>46599</v>
      </c>
      <c r="J2700" s="19" t="s">
        <v>2279</v>
      </c>
      <c r="L2700" s="19">
        <v>0</v>
      </c>
      <c r="M2700" s="19">
        <v>0</v>
      </c>
      <c r="N2700" s="19" t="s">
        <v>2394</v>
      </c>
      <c r="O2700" s="20">
        <v>2</v>
      </c>
      <c r="S2700" s="19" t="s">
        <v>20</v>
      </c>
      <c r="T2700" s="19" t="s">
        <v>1471</v>
      </c>
    </row>
    <row r="2701" spans="1:20">
      <c r="A2701" s="20">
        <v>202604333501477</v>
      </c>
      <c r="B2701" s="19" t="s">
        <v>20</v>
      </c>
      <c r="C2701" s="19" t="s">
        <v>21</v>
      </c>
      <c r="D2701" s="19" t="s">
        <v>20</v>
      </c>
      <c r="E2701" s="21">
        <v>46235</v>
      </c>
      <c r="F2701" s="21">
        <v>46599</v>
      </c>
      <c r="G2701" s="21"/>
      <c r="H2701" s="21">
        <v>46235</v>
      </c>
      <c r="I2701" s="21">
        <v>46599</v>
      </c>
      <c r="J2701" s="19" t="s">
        <v>2279</v>
      </c>
      <c r="L2701" s="19">
        <v>66.261260500000006</v>
      </c>
      <c r="M2701" s="19">
        <v>66.261260500000006</v>
      </c>
      <c r="N2701" s="19" t="s">
        <v>1475</v>
      </c>
      <c r="O2701" s="20">
        <v>2</v>
      </c>
      <c r="S2701" s="19" t="s">
        <v>20</v>
      </c>
      <c r="T2701" s="19" t="s">
        <v>1471</v>
      </c>
    </row>
    <row r="2702" spans="1:20">
      <c r="A2702" s="20">
        <v>202604333503508</v>
      </c>
      <c r="B2702" s="19" t="s">
        <v>20</v>
      </c>
      <c r="C2702" s="19" t="s">
        <v>21</v>
      </c>
      <c r="D2702" s="19" t="s">
        <v>20</v>
      </c>
      <c r="E2702" s="21">
        <v>46235</v>
      </c>
      <c r="F2702" s="21">
        <v>46599</v>
      </c>
      <c r="G2702" s="21"/>
      <c r="H2702" s="21">
        <v>46235</v>
      </c>
      <c r="I2702" s="21">
        <v>46599</v>
      </c>
      <c r="J2702" s="19" t="s">
        <v>2068</v>
      </c>
      <c r="L2702" s="19">
        <v>0</v>
      </c>
      <c r="M2702" s="19">
        <v>0</v>
      </c>
      <c r="N2702" s="19" t="s">
        <v>2394</v>
      </c>
      <c r="O2702" s="20">
        <v>3</v>
      </c>
      <c r="S2702" s="19" t="s">
        <v>20</v>
      </c>
      <c r="T2702" s="19" t="s">
        <v>1471</v>
      </c>
    </row>
    <row r="2703" spans="1:20">
      <c r="A2703" s="20">
        <v>202604333503508</v>
      </c>
      <c r="B2703" s="19" t="s">
        <v>20</v>
      </c>
      <c r="C2703" s="19" t="s">
        <v>21</v>
      </c>
      <c r="D2703" s="19" t="s">
        <v>20</v>
      </c>
      <c r="E2703" s="21">
        <v>46235</v>
      </c>
      <c r="F2703" s="21">
        <v>46599</v>
      </c>
      <c r="G2703" s="21"/>
      <c r="H2703" s="21">
        <v>46235</v>
      </c>
      <c r="I2703" s="21">
        <v>46599</v>
      </c>
      <c r="J2703" s="19" t="s">
        <v>2068</v>
      </c>
      <c r="L2703" s="19">
        <v>78.776052000000007</v>
      </c>
      <c r="M2703" s="19">
        <v>78.776052000000007</v>
      </c>
      <c r="N2703" s="19" t="s">
        <v>1475</v>
      </c>
      <c r="O2703" s="20">
        <v>3</v>
      </c>
      <c r="S2703" s="19" t="s">
        <v>20</v>
      </c>
      <c r="T2703" s="19" t="s">
        <v>1471</v>
      </c>
    </row>
    <row r="2704" spans="1:20">
      <c r="A2704" s="20">
        <v>202604333505938</v>
      </c>
      <c r="B2704" s="19" t="s">
        <v>20</v>
      </c>
      <c r="C2704" s="19" t="s">
        <v>21</v>
      </c>
      <c r="D2704" s="19" t="s">
        <v>20</v>
      </c>
      <c r="E2704" s="21">
        <v>46235</v>
      </c>
      <c r="F2704" s="21">
        <v>46599</v>
      </c>
      <c r="G2704" s="21"/>
      <c r="H2704" s="21">
        <v>46235</v>
      </c>
      <c r="I2704" s="21">
        <v>46599</v>
      </c>
      <c r="J2704" s="19" t="s">
        <v>2064</v>
      </c>
      <c r="L2704" s="19">
        <v>0</v>
      </c>
      <c r="M2704" s="19">
        <v>0</v>
      </c>
      <c r="N2704" s="19" t="s">
        <v>2394</v>
      </c>
      <c r="O2704" s="20">
        <v>3</v>
      </c>
      <c r="S2704" s="19" t="s">
        <v>20</v>
      </c>
      <c r="T2704" s="19" t="s">
        <v>1471</v>
      </c>
    </row>
    <row r="2705" spans="1:20">
      <c r="A2705" s="20">
        <v>202604333505938</v>
      </c>
      <c r="B2705" s="19" t="s">
        <v>20</v>
      </c>
      <c r="C2705" s="19" t="s">
        <v>21</v>
      </c>
      <c r="D2705" s="19" t="s">
        <v>20</v>
      </c>
      <c r="E2705" s="21">
        <v>46235</v>
      </c>
      <c r="F2705" s="21">
        <v>46599</v>
      </c>
      <c r="G2705" s="21"/>
      <c r="H2705" s="21">
        <v>46235</v>
      </c>
      <c r="I2705" s="21">
        <v>46599</v>
      </c>
      <c r="J2705" s="19" t="s">
        <v>2064</v>
      </c>
      <c r="L2705" s="19">
        <v>99.391890750000002</v>
      </c>
      <c r="M2705" s="19">
        <v>99.391890750000002</v>
      </c>
      <c r="N2705" s="19" t="s">
        <v>1475</v>
      </c>
      <c r="O2705" s="20">
        <v>3</v>
      </c>
      <c r="S2705" s="19" t="s">
        <v>20</v>
      </c>
      <c r="T2705" s="19" t="s">
        <v>1471</v>
      </c>
    </row>
    <row r="2706" spans="1:20">
      <c r="A2706" s="20">
        <v>202604333507884</v>
      </c>
      <c r="B2706" s="19" t="s">
        <v>20</v>
      </c>
      <c r="C2706" s="19" t="s">
        <v>21</v>
      </c>
      <c r="D2706" s="19" t="s">
        <v>2458</v>
      </c>
      <c r="E2706" s="21">
        <v>46235</v>
      </c>
      <c r="F2706" s="21">
        <v>46599</v>
      </c>
      <c r="G2706" s="21"/>
      <c r="H2706" s="21">
        <v>46235</v>
      </c>
      <c r="I2706" s="21">
        <v>46599</v>
      </c>
      <c r="J2706" s="19" t="s">
        <v>2099</v>
      </c>
      <c r="L2706" s="19">
        <v>26.258683999999999</v>
      </c>
      <c r="M2706" s="19">
        <v>26.258683999999999</v>
      </c>
      <c r="N2706" s="19" t="s">
        <v>1467</v>
      </c>
      <c r="O2706" s="20">
        <v>1</v>
      </c>
      <c r="S2706" s="19" t="s">
        <v>20</v>
      </c>
      <c r="T2706" s="19" t="s">
        <v>1471</v>
      </c>
    </row>
    <row r="2707" spans="1:20">
      <c r="A2707" s="20">
        <v>202604333508189</v>
      </c>
      <c r="B2707" s="19" t="s">
        <v>20</v>
      </c>
      <c r="C2707" s="19" t="s">
        <v>21</v>
      </c>
      <c r="D2707" s="19" t="s">
        <v>20</v>
      </c>
      <c r="E2707" s="21">
        <v>46235</v>
      </c>
      <c r="F2707" s="21">
        <v>46599</v>
      </c>
      <c r="G2707" s="21"/>
      <c r="H2707" s="21">
        <v>46235</v>
      </c>
      <c r="I2707" s="21">
        <v>46599</v>
      </c>
      <c r="J2707" s="19" t="s">
        <v>2093</v>
      </c>
      <c r="L2707" s="19">
        <v>0</v>
      </c>
      <c r="M2707" s="19">
        <v>0</v>
      </c>
      <c r="N2707" s="19" t="s">
        <v>2394</v>
      </c>
      <c r="O2707" s="20">
        <v>3</v>
      </c>
      <c r="S2707" s="19" t="s">
        <v>20</v>
      </c>
      <c r="T2707" s="19" t="s">
        <v>1471</v>
      </c>
    </row>
    <row r="2708" spans="1:20">
      <c r="A2708" s="20">
        <v>202604333508189</v>
      </c>
      <c r="B2708" s="19" t="s">
        <v>20</v>
      </c>
      <c r="C2708" s="19" t="s">
        <v>21</v>
      </c>
      <c r="D2708" s="19" t="s">
        <v>20</v>
      </c>
      <c r="E2708" s="21">
        <v>46235</v>
      </c>
      <c r="F2708" s="21">
        <v>46599</v>
      </c>
      <c r="G2708" s="21"/>
      <c r="H2708" s="21">
        <v>46235</v>
      </c>
      <c r="I2708" s="21">
        <v>46599</v>
      </c>
      <c r="J2708" s="19" t="s">
        <v>2093</v>
      </c>
      <c r="L2708" s="19">
        <v>86.328102749999999</v>
      </c>
      <c r="M2708" s="19">
        <v>86.328102749999999</v>
      </c>
      <c r="N2708" s="19" t="s">
        <v>1475</v>
      </c>
      <c r="O2708" s="20">
        <v>3</v>
      </c>
      <c r="S2708" s="19" t="s">
        <v>20</v>
      </c>
      <c r="T2708" s="19" t="s">
        <v>1471</v>
      </c>
    </row>
    <row r="2709" spans="1:20">
      <c r="A2709" s="20">
        <v>202604333508545</v>
      </c>
      <c r="B2709" s="19" t="s">
        <v>20</v>
      </c>
      <c r="C2709" s="19" t="s">
        <v>21</v>
      </c>
      <c r="D2709" s="19" t="s">
        <v>2457</v>
      </c>
      <c r="E2709" s="21">
        <v>46235</v>
      </c>
      <c r="F2709" s="21">
        <v>46599</v>
      </c>
      <c r="G2709" s="21"/>
      <c r="H2709" s="21">
        <v>46235</v>
      </c>
      <c r="I2709" s="21">
        <v>46599</v>
      </c>
      <c r="J2709" s="19" t="s">
        <v>2078</v>
      </c>
      <c r="L2709" s="19">
        <v>9.3065327500000006</v>
      </c>
      <c r="M2709" s="19">
        <v>9.3065327500000006</v>
      </c>
      <c r="N2709" s="19" t="s">
        <v>1467</v>
      </c>
      <c r="O2709" s="20">
        <v>1</v>
      </c>
      <c r="S2709" s="19" t="s">
        <v>20</v>
      </c>
      <c r="T2709" s="19" t="s">
        <v>1471</v>
      </c>
    </row>
    <row r="2710" spans="1:20">
      <c r="A2710" s="20">
        <v>202604333508548</v>
      </c>
      <c r="B2710" s="19" t="s">
        <v>20</v>
      </c>
      <c r="C2710" s="19" t="s">
        <v>21</v>
      </c>
      <c r="D2710" s="19" t="s">
        <v>20</v>
      </c>
      <c r="E2710" s="21">
        <v>46235</v>
      </c>
      <c r="F2710" s="21">
        <v>46599</v>
      </c>
      <c r="G2710" s="21"/>
      <c r="H2710" s="21">
        <v>46235</v>
      </c>
      <c r="I2710" s="21">
        <v>46599</v>
      </c>
      <c r="J2710" s="19" t="s">
        <v>2069</v>
      </c>
      <c r="L2710" s="19">
        <v>0</v>
      </c>
      <c r="M2710" s="19">
        <v>0</v>
      </c>
      <c r="N2710" s="19" t="s">
        <v>2394</v>
      </c>
      <c r="O2710" s="20">
        <v>3</v>
      </c>
      <c r="S2710" s="19" t="s">
        <v>20</v>
      </c>
      <c r="T2710" s="19" t="s">
        <v>1471</v>
      </c>
    </row>
    <row r="2711" spans="1:20">
      <c r="A2711" s="20">
        <v>202604333508548</v>
      </c>
      <c r="B2711" s="19" t="s">
        <v>20</v>
      </c>
      <c r="C2711" s="19" t="s">
        <v>21</v>
      </c>
      <c r="D2711" s="19" t="s">
        <v>20</v>
      </c>
      <c r="E2711" s="21">
        <v>46235</v>
      </c>
      <c r="F2711" s="21">
        <v>46599</v>
      </c>
      <c r="G2711" s="21"/>
      <c r="H2711" s="21">
        <v>46235</v>
      </c>
      <c r="I2711" s="21">
        <v>46599</v>
      </c>
      <c r="J2711" s="19" t="s">
        <v>2069</v>
      </c>
      <c r="L2711" s="19">
        <v>99.391890750000002</v>
      </c>
      <c r="M2711" s="19">
        <v>99.391890750000002</v>
      </c>
      <c r="N2711" s="19" t="s">
        <v>1475</v>
      </c>
      <c r="O2711" s="20">
        <v>3</v>
      </c>
      <c r="S2711" s="19" t="s">
        <v>20</v>
      </c>
      <c r="T2711" s="19" t="s">
        <v>1471</v>
      </c>
    </row>
    <row r="2712" spans="1:20">
      <c r="A2712" s="20">
        <v>202604333508898</v>
      </c>
      <c r="B2712" s="19" t="s">
        <v>20</v>
      </c>
      <c r="C2712" s="19" t="s">
        <v>21</v>
      </c>
      <c r="D2712" s="19" t="s">
        <v>2456</v>
      </c>
      <c r="E2712" s="21">
        <v>46235</v>
      </c>
      <c r="F2712" s="21">
        <v>46599</v>
      </c>
      <c r="G2712" s="21"/>
      <c r="H2712" s="21">
        <v>46235</v>
      </c>
      <c r="I2712" s="21">
        <v>46599</v>
      </c>
      <c r="J2712" s="19" t="s">
        <v>2077</v>
      </c>
      <c r="L2712" s="19">
        <v>29.817561749999999</v>
      </c>
      <c r="M2712" s="19">
        <v>29.817561749999999</v>
      </c>
      <c r="N2712" s="19" t="s">
        <v>1467</v>
      </c>
      <c r="O2712" s="20">
        <v>1</v>
      </c>
      <c r="S2712" s="19" t="s">
        <v>20</v>
      </c>
      <c r="T2712" s="19" t="s">
        <v>1471</v>
      </c>
    </row>
    <row r="2713" spans="1:20">
      <c r="A2713" s="20">
        <v>202604333508966</v>
      </c>
      <c r="B2713" s="19" t="s">
        <v>20</v>
      </c>
      <c r="C2713" s="19" t="s">
        <v>21</v>
      </c>
      <c r="D2713" s="19" t="s">
        <v>2455</v>
      </c>
      <c r="E2713" s="21">
        <v>46235</v>
      </c>
      <c r="F2713" s="21">
        <v>46599</v>
      </c>
      <c r="G2713" s="21"/>
      <c r="H2713" s="21">
        <v>46235</v>
      </c>
      <c r="I2713" s="21">
        <v>46599</v>
      </c>
      <c r="J2713" s="19" t="s">
        <v>2109</v>
      </c>
      <c r="L2713" s="19">
        <v>29.817561749999999</v>
      </c>
      <c r="M2713" s="19">
        <v>29.817561749999999</v>
      </c>
      <c r="N2713" s="19" t="s">
        <v>1467</v>
      </c>
      <c r="O2713" s="20">
        <v>1</v>
      </c>
      <c r="S2713" s="19" t="s">
        <v>20</v>
      </c>
      <c r="T2713" s="19" t="s">
        <v>1471</v>
      </c>
    </row>
    <row r="2714" spans="1:20">
      <c r="A2714" s="20">
        <v>202604333509717</v>
      </c>
      <c r="B2714" s="19" t="s">
        <v>20</v>
      </c>
      <c r="C2714" s="19" t="s">
        <v>21</v>
      </c>
      <c r="D2714" s="19" t="s">
        <v>2454</v>
      </c>
      <c r="E2714" s="21">
        <v>46235</v>
      </c>
      <c r="F2714" s="21">
        <v>46599</v>
      </c>
      <c r="G2714" s="21"/>
      <c r="H2714" s="21">
        <v>46235</v>
      </c>
      <c r="I2714" s="21">
        <v>46599</v>
      </c>
      <c r="J2714" s="19" t="s">
        <v>2114</v>
      </c>
      <c r="L2714" s="19">
        <v>33.130630250000003</v>
      </c>
      <c r="M2714" s="19">
        <v>33.130630250000003</v>
      </c>
      <c r="N2714" s="19" t="s">
        <v>1467</v>
      </c>
      <c r="O2714" s="20">
        <v>1</v>
      </c>
      <c r="S2714" s="19" t="s">
        <v>20</v>
      </c>
      <c r="T2714" s="19" t="s">
        <v>1471</v>
      </c>
    </row>
    <row r="2715" spans="1:20">
      <c r="A2715" s="20">
        <v>202604333512380</v>
      </c>
      <c r="B2715" s="19" t="s">
        <v>20</v>
      </c>
      <c r="C2715" s="19" t="s">
        <v>21</v>
      </c>
      <c r="D2715" s="19" t="s">
        <v>20</v>
      </c>
      <c r="E2715" s="21">
        <v>46235</v>
      </c>
      <c r="F2715" s="21">
        <v>46599</v>
      </c>
      <c r="G2715" s="21"/>
      <c r="H2715" s="21">
        <v>46235</v>
      </c>
      <c r="I2715" s="21">
        <v>46599</v>
      </c>
      <c r="J2715" s="19" t="s">
        <v>2095</v>
      </c>
      <c r="L2715" s="19">
        <v>0</v>
      </c>
      <c r="M2715" s="19">
        <v>0</v>
      </c>
      <c r="N2715" s="19" t="s">
        <v>2394</v>
      </c>
      <c r="O2715" s="20">
        <v>5</v>
      </c>
      <c r="S2715" s="19" t="s">
        <v>20</v>
      </c>
      <c r="T2715" s="19" t="s">
        <v>1471</v>
      </c>
    </row>
    <row r="2716" spans="1:20">
      <c r="A2716" s="20">
        <v>202604333512380</v>
      </c>
      <c r="B2716" s="19" t="s">
        <v>20</v>
      </c>
      <c r="C2716" s="19" t="s">
        <v>21</v>
      </c>
      <c r="D2716" s="19" t="s">
        <v>20</v>
      </c>
      <c r="E2716" s="21">
        <v>46235</v>
      </c>
      <c r="F2716" s="21">
        <v>46599</v>
      </c>
      <c r="G2716" s="21"/>
      <c r="H2716" s="21">
        <v>46235</v>
      </c>
      <c r="I2716" s="21">
        <v>46599</v>
      </c>
      <c r="J2716" s="19" t="s">
        <v>2095</v>
      </c>
      <c r="L2716" s="19">
        <v>165.65315125000001</v>
      </c>
      <c r="M2716" s="19">
        <v>165.65315125000001</v>
      </c>
      <c r="N2716" s="19" t="s">
        <v>1475</v>
      </c>
      <c r="O2716" s="20">
        <v>5</v>
      </c>
      <c r="S2716" s="19" t="s">
        <v>20</v>
      </c>
      <c r="T2716" s="19" t="s">
        <v>1471</v>
      </c>
    </row>
    <row r="2717" spans="1:20">
      <c r="A2717" s="20">
        <v>202604333513633</v>
      </c>
      <c r="B2717" s="19" t="s">
        <v>20</v>
      </c>
      <c r="C2717" s="19" t="s">
        <v>21</v>
      </c>
      <c r="D2717" s="19" t="s">
        <v>2453</v>
      </c>
      <c r="E2717" s="21">
        <v>46235</v>
      </c>
      <c r="F2717" s="21">
        <v>46599</v>
      </c>
      <c r="G2717" s="21"/>
      <c r="H2717" s="21">
        <v>46235</v>
      </c>
      <c r="I2717" s="21">
        <v>46599</v>
      </c>
      <c r="J2717" s="19" t="s">
        <v>2089</v>
      </c>
      <c r="L2717" s="19">
        <v>23.968290750000001</v>
      </c>
      <c r="M2717" s="19">
        <v>23.968290750000001</v>
      </c>
      <c r="N2717" s="19" t="s">
        <v>1467</v>
      </c>
      <c r="O2717" s="20">
        <v>1</v>
      </c>
      <c r="S2717" s="19" t="s">
        <v>20</v>
      </c>
      <c r="T2717" s="19" t="s">
        <v>1471</v>
      </c>
    </row>
    <row r="2718" spans="1:20">
      <c r="A2718" s="20">
        <v>202604333516717</v>
      </c>
      <c r="B2718" s="19" t="s">
        <v>20</v>
      </c>
      <c r="C2718" s="19" t="s">
        <v>21</v>
      </c>
      <c r="D2718" s="19" t="s">
        <v>20</v>
      </c>
      <c r="E2718" s="21">
        <v>46235</v>
      </c>
      <c r="F2718" s="21">
        <v>46599</v>
      </c>
      <c r="G2718" s="21"/>
      <c r="H2718" s="21">
        <v>46235</v>
      </c>
      <c r="I2718" s="21">
        <v>46599</v>
      </c>
      <c r="J2718" s="19" t="s">
        <v>2064</v>
      </c>
      <c r="L2718" s="19">
        <v>0</v>
      </c>
      <c r="M2718" s="19">
        <v>0</v>
      </c>
      <c r="N2718" s="19" t="s">
        <v>2394</v>
      </c>
      <c r="O2718" s="20">
        <v>3</v>
      </c>
      <c r="S2718" s="19" t="s">
        <v>20</v>
      </c>
      <c r="T2718" s="19" t="s">
        <v>1471</v>
      </c>
    </row>
    <row r="2719" spans="1:20">
      <c r="A2719" s="20">
        <v>202604333516717</v>
      </c>
      <c r="B2719" s="19" t="s">
        <v>20</v>
      </c>
      <c r="C2719" s="19" t="s">
        <v>21</v>
      </c>
      <c r="D2719" s="19" t="s">
        <v>20</v>
      </c>
      <c r="E2719" s="21">
        <v>46235</v>
      </c>
      <c r="F2719" s="21">
        <v>46599</v>
      </c>
      <c r="G2719" s="21"/>
      <c r="H2719" s="21">
        <v>46235</v>
      </c>
      <c r="I2719" s="21">
        <v>46599</v>
      </c>
      <c r="J2719" s="19" t="s">
        <v>2064</v>
      </c>
      <c r="L2719" s="19">
        <v>99.391890750000002</v>
      </c>
      <c r="M2719" s="19">
        <v>99.391890750000002</v>
      </c>
      <c r="N2719" s="19" t="s">
        <v>1475</v>
      </c>
      <c r="O2719" s="20">
        <v>3</v>
      </c>
      <c r="S2719" s="19" t="s">
        <v>20</v>
      </c>
      <c r="T2719" s="19" t="s">
        <v>1471</v>
      </c>
    </row>
    <row r="2720" spans="1:20">
      <c r="A2720" s="20">
        <v>202604333517458</v>
      </c>
      <c r="B2720" s="19" t="s">
        <v>20</v>
      </c>
      <c r="C2720" s="19" t="s">
        <v>21</v>
      </c>
      <c r="D2720" s="19" t="s">
        <v>20</v>
      </c>
      <c r="E2720" s="21">
        <v>46235</v>
      </c>
      <c r="F2720" s="21">
        <v>46599</v>
      </c>
      <c r="G2720" s="21"/>
      <c r="H2720" s="21">
        <v>46235</v>
      </c>
      <c r="I2720" s="21">
        <v>46599</v>
      </c>
      <c r="J2720" s="19" t="s">
        <v>2268</v>
      </c>
      <c r="L2720" s="19">
        <v>0</v>
      </c>
      <c r="M2720" s="19">
        <v>0</v>
      </c>
      <c r="N2720" s="19" t="s">
        <v>2394</v>
      </c>
      <c r="O2720" s="20">
        <v>3</v>
      </c>
      <c r="S2720" s="19" t="s">
        <v>20</v>
      </c>
      <c r="T2720" s="19" t="s">
        <v>1471</v>
      </c>
    </row>
    <row r="2721" spans="1:20">
      <c r="A2721" s="20">
        <v>202604333517458</v>
      </c>
      <c r="B2721" s="19" t="s">
        <v>20</v>
      </c>
      <c r="C2721" s="19" t="s">
        <v>21</v>
      </c>
      <c r="D2721" s="19" t="s">
        <v>20</v>
      </c>
      <c r="E2721" s="21">
        <v>46235</v>
      </c>
      <c r="F2721" s="21">
        <v>46599</v>
      </c>
      <c r="G2721" s="21"/>
      <c r="H2721" s="21">
        <v>46235</v>
      </c>
      <c r="I2721" s="21">
        <v>46599</v>
      </c>
      <c r="J2721" s="19" t="s">
        <v>2268</v>
      </c>
      <c r="L2721" s="19">
        <v>89.452685250000002</v>
      </c>
      <c r="M2721" s="19">
        <v>89.452685250000002</v>
      </c>
      <c r="N2721" s="19" t="s">
        <v>1475</v>
      </c>
      <c r="O2721" s="20">
        <v>3</v>
      </c>
      <c r="S2721" s="19" t="s">
        <v>20</v>
      </c>
      <c r="T2721" s="19" t="s">
        <v>1471</v>
      </c>
    </row>
    <row r="2722" spans="1:20">
      <c r="A2722" s="20">
        <v>202604333519066</v>
      </c>
      <c r="B2722" s="19" t="s">
        <v>20</v>
      </c>
      <c r="C2722" s="19" t="s">
        <v>21</v>
      </c>
      <c r="D2722" s="19" t="s">
        <v>20</v>
      </c>
      <c r="E2722" s="21">
        <v>46235</v>
      </c>
      <c r="F2722" s="21">
        <v>46599</v>
      </c>
      <c r="G2722" s="21"/>
      <c r="H2722" s="21">
        <v>46235</v>
      </c>
      <c r="I2722" s="21">
        <v>46599</v>
      </c>
      <c r="J2722" s="19" t="s">
        <v>2195</v>
      </c>
      <c r="L2722" s="19">
        <v>0</v>
      </c>
      <c r="M2722" s="19">
        <v>0</v>
      </c>
      <c r="N2722" s="19" t="s">
        <v>2394</v>
      </c>
      <c r="O2722" s="20">
        <v>3</v>
      </c>
      <c r="S2722" s="19" t="s">
        <v>20</v>
      </c>
      <c r="T2722" s="19" t="s">
        <v>1471</v>
      </c>
    </row>
    <row r="2723" spans="1:20">
      <c r="A2723" s="20">
        <v>202604333519066</v>
      </c>
      <c r="B2723" s="19" t="s">
        <v>20</v>
      </c>
      <c r="C2723" s="19" t="s">
        <v>21</v>
      </c>
      <c r="D2723" s="19" t="s">
        <v>20</v>
      </c>
      <c r="E2723" s="21">
        <v>46235</v>
      </c>
      <c r="F2723" s="21">
        <v>46599</v>
      </c>
      <c r="G2723" s="21"/>
      <c r="H2723" s="21">
        <v>46235</v>
      </c>
      <c r="I2723" s="21">
        <v>46599</v>
      </c>
      <c r="J2723" s="19" t="s">
        <v>2195</v>
      </c>
      <c r="L2723" s="19">
        <v>64.097631750000005</v>
      </c>
      <c r="M2723" s="19">
        <v>64.097631750000005</v>
      </c>
      <c r="N2723" s="19" t="s">
        <v>1475</v>
      </c>
      <c r="O2723" s="20">
        <v>3</v>
      </c>
      <c r="S2723" s="19" t="s">
        <v>20</v>
      </c>
      <c r="T2723" s="19" t="s">
        <v>1471</v>
      </c>
    </row>
    <row r="2724" spans="1:20">
      <c r="A2724" s="20">
        <v>202604333520669</v>
      </c>
      <c r="B2724" s="19" t="s">
        <v>20</v>
      </c>
      <c r="C2724" s="19" t="s">
        <v>21</v>
      </c>
      <c r="D2724" s="19" t="s">
        <v>20</v>
      </c>
      <c r="E2724" s="21">
        <v>46235</v>
      </c>
      <c r="F2724" s="21">
        <v>46599</v>
      </c>
      <c r="G2724" s="21"/>
      <c r="H2724" s="21">
        <v>46235</v>
      </c>
      <c r="I2724" s="21">
        <v>46599</v>
      </c>
      <c r="J2724" s="19" t="s">
        <v>2064</v>
      </c>
      <c r="L2724" s="19">
        <v>33.130630250000003</v>
      </c>
      <c r="M2724" s="19">
        <v>33.130630250000003</v>
      </c>
      <c r="N2724" s="19" t="s">
        <v>1475</v>
      </c>
      <c r="O2724" s="20">
        <v>1</v>
      </c>
      <c r="S2724" s="19" t="s">
        <v>20</v>
      </c>
      <c r="T2724" s="19" t="s">
        <v>1471</v>
      </c>
    </row>
    <row r="2725" spans="1:20">
      <c r="A2725" s="20">
        <v>202604333523828</v>
      </c>
      <c r="B2725" s="19" t="s">
        <v>20</v>
      </c>
      <c r="C2725" s="19" t="s">
        <v>21</v>
      </c>
      <c r="D2725" s="19" t="s">
        <v>20</v>
      </c>
      <c r="E2725" s="21">
        <v>46235</v>
      </c>
      <c r="F2725" s="21">
        <v>46599</v>
      </c>
      <c r="G2725" s="21"/>
      <c r="H2725" s="21">
        <v>46235</v>
      </c>
      <c r="I2725" s="21">
        <v>46599</v>
      </c>
      <c r="J2725" s="19" t="s">
        <v>2428</v>
      </c>
      <c r="L2725" s="19">
        <v>0</v>
      </c>
      <c r="M2725" s="19">
        <v>0</v>
      </c>
      <c r="N2725" s="19" t="s">
        <v>2394</v>
      </c>
      <c r="O2725" s="20">
        <v>4</v>
      </c>
      <c r="S2725" s="19" t="s">
        <v>20</v>
      </c>
      <c r="T2725" s="19" t="s">
        <v>1471</v>
      </c>
    </row>
    <row r="2726" spans="1:20">
      <c r="A2726" s="20">
        <v>202604333523828</v>
      </c>
      <c r="B2726" s="19" t="s">
        <v>20</v>
      </c>
      <c r="C2726" s="19" t="s">
        <v>21</v>
      </c>
      <c r="D2726" s="19" t="s">
        <v>2452</v>
      </c>
      <c r="E2726" s="21">
        <v>46235</v>
      </c>
      <c r="F2726" s="21">
        <v>46599</v>
      </c>
      <c r="G2726" s="21"/>
      <c r="H2726" s="21">
        <v>46235</v>
      </c>
      <c r="I2726" s="21">
        <v>46599</v>
      </c>
      <c r="J2726" s="19" t="s">
        <v>2428</v>
      </c>
      <c r="L2726" s="19">
        <v>119.270247</v>
      </c>
      <c r="M2726" s="19">
        <v>119.270247</v>
      </c>
      <c r="N2726" s="19" t="s">
        <v>1467</v>
      </c>
      <c r="O2726" s="20">
        <v>4</v>
      </c>
      <c r="S2726" s="19" t="s">
        <v>20</v>
      </c>
      <c r="T2726" s="19" t="s">
        <v>1471</v>
      </c>
    </row>
    <row r="2727" spans="1:20">
      <c r="A2727" s="20">
        <v>202604333525776</v>
      </c>
      <c r="B2727" s="19" t="s">
        <v>20</v>
      </c>
      <c r="C2727" s="19" t="s">
        <v>21</v>
      </c>
      <c r="D2727" s="19" t="s">
        <v>20</v>
      </c>
      <c r="E2727" s="21">
        <v>46235</v>
      </c>
      <c r="F2727" s="21">
        <v>46599</v>
      </c>
      <c r="G2727" s="21"/>
      <c r="H2727" s="21">
        <v>46235</v>
      </c>
      <c r="I2727" s="21">
        <v>46599</v>
      </c>
      <c r="J2727" s="19" t="s">
        <v>1473</v>
      </c>
      <c r="L2727" s="19">
        <v>24.620673499999999</v>
      </c>
      <c r="M2727" s="19">
        <v>24.620673499999999</v>
      </c>
      <c r="N2727" s="19" t="s">
        <v>1475</v>
      </c>
      <c r="O2727" s="20">
        <v>1</v>
      </c>
      <c r="S2727" s="19" t="s">
        <v>20</v>
      </c>
      <c r="T2727" s="19" t="s">
        <v>1471</v>
      </c>
    </row>
    <row r="2728" spans="1:20">
      <c r="A2728" s="20">
        <v>202604333532357</v>
      </c>
      <c r="B2728" s="19" t="s">
        <v>20</v>
      </c>
      <c r="C2728" s="19" t="s">
        <v>21</v>
      </c>
      <c r="D2728" s="19" t="s">
        <v>20</v>
      </c>
      <c r="E2728" s="21">
        <v>46235</v>
      </c>
      <c r="F2728" s="21">
        <v>46599</v>
      </c>
      <c r="G2728" s="21"/>
      <c r="H2728" s="21">
        <v>46235</v>
      </c>
      <c r="I2728" s="21">
        <v>46599</v>
      </c>
      <c r="J2728" s="19" t="s">
        <v>2064</v>
      </c>
      <c r="L2728" s="19">
        <v>33.130630250000003</v>
      </c>
      <c r="M2728" s="19">
        <v>33.130630250000003</v>
      </c>
      <c r="N2728" s="19" t="s">
        <v>1475</v>
      </c>
      <c r="O2728" s="20">
        <v>1</v>
      </c>
      <c r="S2728" s="19" t="s">
        <v>20</v>
      </c>
      <c r="T2728" s="19" t="s">
        <v>1471</v>
      </c>
    </row>
    <row r="2729" spans="1:20">
      <c r="A2729" s="20">
        <v>202604333532674</v>
      </c>
      <c r="B2729" s="19" t="s">
        <v>20</v>
      </c>
      <c r="C2729" s="19" t="s">
        <v>21</v>
      </c>
      <c r="D2729" s="19" t="s">
        <v>20</v>
      </c>
      <c r="E2729" s="21">
        <v>46235</v>
      </c>
      <c r="F2729" s="21">
        <v>46599</v>
      </c>
      <c r="G2729" s="21"/>
      <c r="H2729" s="21">
        <v>46235</v>
      </c>
      <c r="I2729" s="21">
        <v>46599</v>
      </c>
      <c r="J2729" s="19" t="s">
        <v>2067</v>
      </c>
      <c r="L2729" s="19">
        <v>105.33281325</v>
      </c>
      <c r="M2729" s="19">
        <v>105.33281325</v>
      </c>
      <c r="N2729" s="19" t="s">
        <v>1475</v>
      </c>
      <c r="O2729" s="20">
        <v>3</v>
      </c>
      <c r="S2729" s="19" t="s">
        <v>20</v>
      </c>
      <c r="T2729" s="19" t="s">
        <v>1471</v>
      </c>
    </row>
    <row r="2730" spans="1:20">
      <c r="A2730" s="20">
        <v>202604333534498</v>
      </c>
      <c r="B2730" s="19" t="s">
        <v>20</v>
      </c>
      <c r="C2730" s="19" t="s">
        <v>21</v>
      </c>
      <c r="D2730" s="19" t="s">
        <v>20</v>
      </c>
      <c r="E2730" s="21">
        <v>46235</v>
      </c>
      <c r="F2730" s="21">
        <v>46599</v>
      </c>
      <c r="G2730" s="21"/>
      <c r="H2730" s="21">
        <v>46235</v>
      </c>
      <c r="I2730" s="21">
        <v>46599</v>
      </c>
      <c r="J2730" s="19" t="s">
        <v>2128</v>
      </c>
      <c r="L2730" s="19">
        <v>0</v>
      </c>
      <c r="M2730" s="19">
        <v>0</v>
      </c>
      <c r="N2730" s="19" t="s">
        <v>2394</v>
      </c>
      <c r="O2730" s="20">
        <v>7</v>
      </c>
      <c r="S2730" s="19" t="s">
        <v>20</v>
      </c>
      <c r="T2730" s="19" t="s">
        <v>1471</v>
      </c>
    </row>
    <row r="2731" spans="1:20">
      <c r="A2731" s="20">
        <v>202604333534498</v>
      </c>
      <c r="B2731" s="19" t="s">
        <v>20</v>
      </c>
      <c r="C2731" s="19" t="s">
        <v>21</v>
      </c>
      <c r="D2731" s="19" t="s">
        <v>20</v>
      </c>
      <c r="E2731" s="21">
        <v>46235</v>
      </c>
      <c r="F2731" s="21">
        <v>46599</v>
      </c>
      <c r="G2731" s="21"/>
      <c r="H2731" s="21">
        <v>46235</v>
      </c>
      <c r="I2731" s="21">
        <v>46599</v>
      </c>
      <c r="J2731" s="19" t="s">
        <v>2128</v>
      </c>
      <c r="L2731" s="19">
        <v>208.72293225000001</v>
      </c>
      <c r="M2731" s="19">
        <v>208.72293225000001</v>
      </c>
      <c r="N2731" s="19" t="s">
        <v>1475</v>
      </c>
      <c r="O2731" s="20">
        <v>7</v>
      </c>
      <c r="S2731" s="19" t="s">
        <v>20</v>
      </c>
      <c r="T2731" s="19" t="s">
        <v>1471</v>
      </c>
    </row>
    <row r="2732" spans="1:20">
      <c r="A2732" s="20">
        <v>202604333537841</v>
      </c>
      <c r="B2732" s="19" t="s">
        <v>20</v>
      </c>
      <c r="C2732" s="19" t="s">
        <v>21</v>
      </c>
      <c r="D2732" s="19" t="s">
        <v>20</v>
      </c>
      <c r="E2732" s="21">
        <v>46235</v>
      </c>
      <c r="F2732" s="21">
        <v>46599</v>
      </c>
      <c r="G2732" s="21"/>
      <c r="H2732" s="21">
        <v>46235</v>
      </c>
      <c r="I2732" s="21">
        <v>46599</v>
      </c>
      <c r="J2732" s="19" t="s">
        <v>2083</v>
      </c>
      <c r="L2732" s="19">
        <v>0</v>
      </c>
      <c r="M2732" s="19">
        <v>0</v>
      </c>
      <c r="N2732" s="19" t="s">
        <v>2394</v>
      </c>
      <c r="O2732" s="20">
        <v>4</v>
      </c>
      <c r="S2732" s="19" t="s">
        <v>20</v>
      </c>
      <c r="T2732" s="19" t="s">
        <v>1471</v>
      </c>
    </row>
    <row r="2733" spans="1:20">
      <c r="A2733" s="20">
        <v>202604333537841</v>
      </c>
      <c r="B2733" s="19" t="s">
        <v>20</v>
      </c>
      <c r="C2733" s="19" t="s">
        <v>21</v>
      </c>
      <c r="D2733" s="19" t="s">
        <v>20</v>
      </c>
      <c r="E2733" s="21">
        <v>46235</v>
      </c>
      <c r="F2733" s="21">
        <v>46599</v>
      </c>
      <c r="G2733" s="21"/>
      <c r="H2733" s="21">
        <v>46235</v>
      </c>
      <c r="I2733" s="21">
        <v>46599</v>
      </c>
      <c r="J2733" s="19" t="s">
        <v>2083</v>
      </c>
      <c r="L2733" s="19">
        <v>132.52252100000001</v>
      </c>
      <c r="M2733" s="19">
        <v>132.52252100000001</v>
      </c>
      <c r="N2733" s="19" t="s">
        <v>1475</v>
      </c>
      <c r="O2733" s="20">
        <v>4</v>
      </c>
      <c r="S2733" s="19" t="s">
        <v>20</v>
      </c>
      <c r="T2733" s="19" t="s">
        <v>1471</v>
      </c>
    </row>
    <row r="2734" spans="1:20">
      <c r="A2734" s="20">
        <v>202604333540954</v>
      </c>
      <c r="B2734" s="19" t="s">
        <v>20</v>
      </c>
      <c r="C2734" s="19" t="s">
        <v>21</v>
      </c>
      <c r="D2734" s="19" t="s">
        <v>20</v>
      </c>
      <c r="E2734" s="21">
        <v>46235</v>
      </c>
      <c r="F2734" s="21">
        <v>46599</v>
      </c>
      <c r="G2734" s="21"/>
      <c r="H2734" s="21">
        <v>46235</v>
      </c>
      <c r="I2734" s="21">
        <v>46599</v>
      </c>
      <c r="J2734" s="19" t="s">
        <v>1473</v>
      </c>
      <c r="L2734" s="19">
        <v>24.620673499999999</v>
      </c>
      <c r="M2734" s="19">
        <v>24.620673499999999</v>
      </c>
      <c r="N2734" s="19" t="s">
        <v>1475</v>
      </c>
      <c r="O2734" s="20">
        <v>1</v>
      </c>
      <c r="S2734" s="19" t="s">
        <v>20</v>
      </c>
      <c r="T2734" s="19" t="s">
        <v>1471</v>
      </c>
    </row>
    <row r="2735" spans="1:20">
      <c r="A2735" s="20">
        <v>202604333541418</v>
      </c>
      <c r="B2735" s="19" t="s">
        <v>20</v>
      </c>
      <c r="C2735" s="19" t="s">
        <v>21</v>
      </c>
      <c r="D2735" s="19" t="s">
        <v>20</v>
      </c>
      <c r="E2735" s="21">
        <v>46235</v>
      </c>
      <c r="F2735" s="21">
        <v>46599</v>
      </c>
      <c r="G2735" s="21"/>
      <c r="H2735" s="21">
        <v>46235</v>
      </c>
      <c r="I2735" s="21">
        <v>46599</v>
      </c>
      <c r="J2735" s="19" t="s">
        <v>2118</v>
      </c>
      <c r="L2735" s="19">
        <v>66.261260500000006</v>
      </c>
      <c r="M2735" s="19">
        <v>66.261260500000006</v>
      </c>
      <c r="N2735" s="19" t="s">
        <v>1475</v>
      </c>
      <c r="O2735" s="20">
        <v>2</v>
      </c>
      <c r="S2735" s="19" t="s">
        <v>20</v>
      </c>
      <c r="T2735" s="19" t="s">
        <v>1471</v>
      </c>
    </row>
    <row r="2736" spans="1:20">
      <c r="A2736" s="20">
        <v>202604333541972</v>
      </c>
      <c r="B2736" s="19" t="s">
        <v>20</v>
      </c>
      <c r="C2736" s="19" t="s">
        <v>21</v>
      </c>
      <c r="D2736" s="19" t="s">
        <v>20</v>
      </c>
      <c r="E2736" s="21">
        <v>46235</v>
      </c>
      <c r="F2736" s="21">
        <v>46599</v>
      </c>
      <c r="G2736" s="21"/>
      <c r="H2736" s="21">
        <v>46235</v>
      </c>
      <c r="I2736" s="21">
        <v>46599</v>
      </c>
      <c r="J2736" s="19" t="s">
        <v>2095</v>
      </c>
      <c r="L2736" s="19">
        <v>0</v>
      </c>
      <c r="M2736" s="19">
        <v>0</v>
      </c>
      <c r="N2736" s="19" t="s">
        <v>2394</v>
      </c>
      <c r="O2736" s="20">
        <v>2</v>
      </c>
      <c r="S2736" s="19" t="s">
        <v>20</v>
      </c>
      <c r="T2736" s="19" t="s">
        <v>1471</v>
      </c>
    </row>
    <row r="2737" spans="1:20">
      <c r="A2737" s="20">
        <v>202604333541972</v>
      </c>
      <c r="B2737" s="19" t="s">
        <v>20</v>
      </c>
      <c r="C2737" s="19" t="s">
        <v>21</v>
      </c>
      <c r="D2737" s="19" t="s">
        <v>20</v>
      </c>
      <c r="E2737" s="21">
        <v>46235</v>
      </c>
      <c r="F2737" s="21">
        <v>46599</v>
      </c>
      <c r="G2737" s="21"/>
      <c r="H2737" s="21">
        <v>46235</v>
      </c>
      <c r="I2737" s="21">
        <v>46599</v>
      </c>
      <c r="J2737" s="19" t="s">
        <v>2095</v>
      </c>
      <c r="L2737" s="19">
        <v>66.261260500000006</v>
      </c>
      <c r="M2737" s="19">
        <v>66.261260500000006</v>
      </c>
      <c r="N2737" s="19" t="s">
        <v>1475</v>
      </c>
      <c r="O2737" s="20">
        <v>2</v>
      </c>
      <c r="S2737" s="19" t="s">
        <v>20</v>
      </c>
      <c r="T2737" s="19" t="s">
        <v>1471</v>
      </c>
    </row>
    <row r="2738" spans="1:20">
      <c r="A2738" s="20">
        <v>202604333542618</v>
      </c>
      <c r="B2738" s="19" t="s">
        <v>20</v>
      </c>
      <c r="C2738" s="19" t="s">
        <v>21</v>
      </c>
      <c r="D2738" s="19" t="s">
        <v>20</v>
      </c>
      <c r="E2738" s="21">
        <v>46235</v>
      </c>
      <c r="F2738" s="21">
        <v>46599</v>
      </c>
      <c r="G2738" s="21"/>
      <c r="H2738" s="21">
        <v>46235</v>
      </c>
      <c r="I2738" s="21">
        <v>46599</v>
      </c>
      <c r="J2738" s="19" t="s">
        <v>2243</v>
      </c>
      <c r="L2738" s="19">
        <v>0</v>
      </c>
      <c r="M2738" s="19">
        <v>0</v>
      </c>
      <c r="N2738" s="19" t="s">
        <v>2394</v>
      </c>
      <c r="O2738" s="20">
        <v>3</v>
      </c>
      <c r="S2738" s="19" t="s">
        <v>20</v>
      </c>
      <c r="T2738" s="19" t="s">
        <v>1471</v>
      </c>
    </row>
    <row r="2739" spans="1:20">
      <c r="A2739" s="20">
        <v>202604333542618</v>
      </c>
      <c r="B2739" s="19" t="s">
        <v>20</v>
      </c>
      <c r="C2739" s="19" t="s">
        <v>21</v>
      </c>
      <c r="D2739" s="19" t="s">
        <v>20</v>
      </c>
      <c r="E2739" s="21">
        <v>46235</v>
      </c>
      <c r="F2739" s="21">
        <v>46599</v>
      </c>
      <c r="G2739" s="21"/>
      <c r="H2739" s="21">
        <v>46235</v>
      </c>
      <c r="I2739" s="21">
        <v>46599</v>
      </c>
      <c r="J2739" s="19" t="s">
        <v>2243</v>
      </c>
      <c r="L2739" s="19">
        <v>99.391890750000002</v>
      </c>
      <c r="M2739" s="19">
        <v>99.391890750000002</v>
      </c>
      <c r="N2739" s="19" t="s">
        <v>1475</v>
      </c>
      <c r="O2739" s="20">
        <v>3</v>
      </c>
      <c r="S2739" s="19" t="s">
        <v>20</v>
      </c>
      <c r="T2739" s="19" t="s">
        <v>1471</v>
      </c>
    </row>
    <row r="2740" spans="1:20">
      <c r="A2740" s="20">
        <v>202604333544791</v>
      </c>
      <c r="B2740" s="19" t="s">
        <v>20</v>
      </c>
      <c r="C2740" s="19" t="s">
        <v>21</v>
      </c>
      <c r="D2740" s="19" t="s">
        <v>20</v>
      </c>
      <c r="E2740" s="21">
        <v>46235</v>
      </c>
      <c r="F2740" s="21">
        <v>46599</v>
      </c>
      <c r="G2740" s="21"/>
      <c r="H2740" s="21">
        <v>46235</v>
      </c>
      <c r="I2740" s="21">
        <v>46599</v>
      </c>
      <c r="J2740" s="19" t="s">
        <v>2120</v>
      </c>
      <c r="L2740" s="19">
        <v>37.947955</v>
      </c>
      <c r="M2740" s="19">
        <v>37.947955</v>
      </c>
      <c r="N2740" s="19" t="s">
        <v>1475</v>
      </c>
      <c r="O2740" s="20">
        <v>1</v>
      </c>
      <c r="S2740" s="19" t="s">
        <v>20</v>
      </c>
      <c r="T2740" s="19" t="s">
        <v>1471</v>
      </c>
    </row>
    <row r="2741" spans="1:20">
      <c r="A2741" s="20">
        <v>202604333547316</v>
      </c>
      <c r="B2741" s="19" t="s">
        <v>20</v>
      </c>
      <c r="C2741" s="19" t="s">
        <v>21</v>
      </c>
      <c r="D2741" s="19" t="s">
        <v>20</v>
      </c>
      <c r="E2741" s="21">
        <v>46235</v>
      </c>
      <c r="F2741" s="21">
        <v>46599</v>
      </c>
      <c r="G2741" s="21"/>
      <c r="H2741" s="21">
        <v>46235</v>
      </c>
      <c r="I2741" s="21">
        <v>46599</v>
      </c>
      <c r="J2741" s="19" t="s">
        <v>2190</v>
      </c>
      <c r="L2741" s="19">
        <v>33.130630250000003</v>
      </c>
      <c r="M2741" s="19">
        <v>33.130630250000003</v>
      </c>
      <c r="N2741" s="19" t="s">
        <v>1475</v>
      </c>
      <c r="O2741" s="20">
        <v>1</v>
      </c>
      <c r="S2741" s="19" t="s">
        <v>20</v>
      </c>
      <c r="T2741" s="19" t="s">
        <v>1471</v>
      </c>
    </row>
    <row r="2742" spans="1:20">
      <c r="A2742" s="20">
        <v>202604333548471</v>
      </c>
      <c r="B2742" s="19" t="s">
        <v>20</v>
      </c>
      <c r="C2742" s="19" t="s">
        <v>21</v>
      </c>
      <c r="D2742" s="19" t="s">
        <v>20</v>
      </c>
      <c r="E2742" s="21">
        <v>46235</v>
      </c>
      <c r="F2742" s="21">
        <v>46599</v>
      </c>
      <c r="G2742" s="21"/>
      <c r="H2742" s="21">
        <v>46235</v>
      </c>
      <c r="I2742" s="21">
        <v>46599</v>
      </c>
      <c r="J2742" s="19" t="s">
        <v>2103</v>
      </c>
      <c r="L2742" s="19">
        <v>0</v>
      </c>
      <c r="M2742" s="19">
        <v>0</v>
      </c>
      <c r="N2742" s="19" t="s">
        <v>2394</v>
      </c>
      <c r="O2742" s="20">
        <v>4</v>
      </c>
      <c r="S2742" s="19" t="s">
        <v>20</v>
      </c>
      <c r="T2742" s="19" t="s">
        <v>1471</v>
      </c>
    </row>
    <row r="2743" spans="1:20">
      <c r="A2743" s="20">
        <v>202604333548471</v>
      </c>
      <c r="B2743" s="19" t="s">
        <v>20</v>
      </c>
      <c r="C2743" s="19" t="s">
        <v>21</v>
      </c>
      <c r="D2743" s="19" t="s">
        <v>2451</v>
      </c>
      <c r="E2743" s="21">
        <v>46235</v>
      </c>
      <c r="F2743" s="21">
        <v>46599</v>
      </c>
      <c r="G2743" s="21"/>
      <c r="H2743" s="21">
        <v>46235</v>
      </c>
      <c r="I2743" s="21">
        <v>46599</v>
      </c>
      <c r="J2743" s="19" t="s">
        <v>2103</v>
      </c>
      <c r="L2743" s="19">
        <v>95.873163000000005</v>
      </c>
      <c r="M2743" s="19">
        <v>95.873163000000005</v>
      </c>
      <c r="N2743" s="19" t="s">
        <v>1467</v>
      </c>
      <c r="O2743" s="20">
        <v>4</v>
      </c>
      <c r="S2743" s="19" t="s">
        <v>20</v>
      </c>
      <c r="T2743" s="19" t="s">
        <v>1471</v>
      </c>
    </row>
    <row r="2744" spans="1:20">
      <c r="A2744" s="20">
        <v>202604333550329</v>
      </c>
      <c r="B2744" s="19" t="s">
        <v>20</v>
      </c>
      <c r="C2744" s="19" t="s">
        <v>21</v>
      </c>
      <c r="D2744" s="19" t="s">
        <v>2450</v>
      </c>
      <c r="E2744" s="21">
        <v>46235</v>
      </c>
      <c r="F2744" s="21">
        <v>46599</v>
      </c>
      <c r="G2744" s="21"/>
      <c r="H2744" s="21">
        <v>46235</v>
      </c>
      <c r="I2744" s="21">
        <v>46599</v>
      </c>
      <c r="J2744" s="19" t="s">
        <v>2449</v>
      </c>
      <c r="L2744" s="19">
        <v>29.817561749999999</v>
      </c>
      <c r="M2744" s="19">
        <v>29.817561749999999</v>
      </c>
      <c r="N2744" s="19" t="s">
        <v>1467</v>
      </c>
      <c r="O2744" s="20">
        <v>1</v>
      </c>
      <c r="S2744" s="19" t="s">
        <v>20</v>
      </c>
      <c r="T2744" s="19" t="s">
        <v>1471</v>
      </c>
    </row>
    <row r="2745" spans="1:20">
      <c r="A2745" s="20">
        <v>202604333550822</v>
      </c>
      <c r="B2745" s="19" t="s">
        <v>20</v>
      </c>
      <c r="C2745" s="19" t="s">
        <v>21</v>
      </c>
      <c r="D2745" s="19" t="s">
        <v>20</v>
      </c>
      <c r="E2745" s="21">
        <v>46235</v>
      </c>
      <c r="F2745" s="21">
        <v>46599</v>
      </c>
      <c r="G2745" s="21"/>
      <c r="H2745" s="21">
        <v>46235</v>
      </c>
      <c r="I2745" s="21">
        <v>46599</v>
      </c>
      <c r="J2745" s="19" t="s">
        <v>2114</v>
      </c>
      <c r="L2745" s="19">
        <v>66.261260500000006</v>
      </c>
      <c r="M2745" s="19">
        <v>66.261260500000006</v>
      </c>
      <c r="N2745" s="19" t="s">
        <v>1475</v>
      </c>
      <c r="O2745" s="20">
        <v>2</v>
      </c>
      <c r="S2745" s="19" t="s">
        <v>20</v>
      </c>
      <c r="T2745" s="19" t="s">
        <v>1471</v>
      </c>
    </row>
    <row r="2746" spans="1:20">
      <c r="A2746" s="20">
        <v>202604333551930</v>
      </c>
      <c r="B2746" s="19" t="s">
        <v>20</v>
      </c>
      <c r="C2746" s="19" t="s">
        <v>21</v>
      </c>
      <c r="D2746" s="19" t="s">
        <v>20</v>
      </c>
      <c r="E2746" s="21">
        <v>46235</v>
      </c>
      <c r="F2746" s="21">
        <v>46599</v>
      </c>
      <c r="G2746" s="21"/>
      <c r="H2746" s="21">
        <v>46235</v>
      </c>
      <c r="I2746" s="21">
        <v>46599</v>
      </c>
      <c r="J2746" s="19" t="s">
        <v>2069</v>
      </c>
      <c r="L2746" s="19">
        <v>0</v>
      </c>
      <c r="M2746" s="19">
        <v>0</v>
      </c>
      <c r="N2746" s="19" t="s">
        <v>2394</v>
      </c>
      <c r="O2746" s="20">
        <v>4</v>
      </c>
      <c r="S2746" s="19" t="s">
        <v>20</v>
      </c>
      <c r="T2746" s="19" t="s">
        <v>1471</v>
      </c>
    </row>
    <row r="2747" spans="1:20">
      <c r="A2747" s="20">
        <v>202604333551930</v>
      </c>
      <c r="B2747" s="19" t="s">
        <v>20</v>
      </c>
      <c r="C2747" s="19" t="s">
        <v>21</v>
      </c>
      <c r="D2747" s="19" t="s">
        <v>20</v>
      </c>
      <c r="E2747" s="21">
        <v>46235</v>
      </c>
      <c r="F2747" s="21">
        <v>46599</v>
      </c>
      <c r="G2747" s="21"/>
      <c r="H2747" s="21">
        <v>46235</v>
      </c>
      <c r="I2747" s="21">
        <v>46599</v>
      </c>
      <c r="J2747" s="19" t="s">
        <v>2069</v>
      </c>
      <c r="L2747" s="19">
        <v>132.52252100000001</v>
      </c>
      <c r="M2747" s="19">
        <v>132.52252100000001</v>
      </c>
      <c r="N2747" s="19" t="s">
        <v>1475</v>
      </c>
      <c r="O2747" s="20">
        <v>4</v>
      </c>
      <c r="S2747" s="19" t="s">
        <v>20</v>
      </c>
      <c r="T2747" s="19" t="s">
        <v>1471</v>
      </c>
    </row>
    <row r="2748" spans="1:20">
      <c r="A2748" s="20">
        <v>202604333554202</v>
      </c>
      <c r="B2748" s="19" t="s">
        <v>20</v>
      </c>
      <c r="C2748" s="19" t="s">
        <v>21</v>
      </c>
      <c r="D2748" s="19" t="s">
        <v>20</v>
      </c>
      <c r="E2748" s="21">
        <v>46235</v>
      </c>
      <c r="F2748" s="21">
        <v>46599</v>
      </c>
      <c r="G2748" s="21"/>
      <c r="H2748" s="21">
        <v>46235</v>
      </c>
      <c r="I2748" s="21">
        <v>46599</v>
      </c>
      <c r="J2748" s="19" t="s">
        <v>2080</v>
      </c>
      <c r="L2748" s="19">
        <v>0</v>
      </c>
      <c r="M2748" s="19">
        <v>0</v>
      </c>
      <c r="N2748" s="19" t="s">
        <v>2394</v>
      </c>
      <c r="O2748" s="20">
        <v>3</v>
      </c>
      <c r="S2748" s="19" t="s">
        <v>20</v>
      </c>
      <c r="T2748" s="19" t="s">
        <v>1471</v>
      </c>
    </row>
    <row r="2749" spans="1:20">
      <c r="A2749" s="20">
        <v>202604333554202</v>
      </c>
      <c r="B2749" s="19" t="s">
        <v>20</v>
      </c>
      <c r="C2749" s="19" t="s">
        <v>21</v>
      </c>
      <c r="D2749" s="19" t="s">
        <v>20</v>
      </c>
      <c r="E2749" s="21">
        <v>46235</v>
      </c>
      <c r="F2749" s="21">
        <v>46599</v>
      </c>
      <c r="G2749" s="21"/>
      <c r="H2749" s="21">
        <v>46235</v>
      </c>
      <c r="I2749" s="21">
        <v>46599</v>
      </c>
      <c r="J2749" s="19" t="s">
        <v>2080</v>
      </c>
      <c r="L2749" s="19">
        <v>99.391890750000002</v>
      </c>
      <c r="M2749" s="19">
        <v>99.391890750000002</v>
      </c>
      <c r="N2749" s="19" t="s">
        <v>1475</v>
      </c>
      <c r="O2749" s="20">
        <v>3</v>
      </c>
      <c r="S2749" s="19" t="s">
        <v>20</v>
      </c>
      <c r="T2749" s="19" t="s">
        <v>1471</v>
      </c>
    </row>
    <row r="2750" spans="1:20">
      <c r="A2750" s="20">
        <v>202604333555577</v>
      </c>
      <c r="B2750" s="19" t="s">
        <v>20</v>
      </c>
      <c r="C2750" s="19" t="s">
        <v>21</v>
      </c>
      <c r="D2750" s="19" t="s">
        <v>20</v>
      </c>
      <c r="E2750" s="21">
        <v>46235</v>
      </c>
      <c r="F2750" s="21">
        <v>46599</v>
      </c>
      <c r="G2750" s="21"/>
      <c r="H2750" s="21">
        <v>46235</v>
      </c>
      <c r="I2750" s="21">
        <v>46599</v>
      </c>
      <c r="J2750" s="19" t="s">
        <v>2066</v>
      </c>
      <c r="L2750" s="19">
        <v>33.130630250000003</v>
      </c>
      <c r="M2750" s="19">
        <v>33.130630250000003</v>
      </c>
      <c r="N2750" s="19" t="s">
        <v>1475</v>
      </c>
      <c r="O2750" s="20">
        <v>1</v>
      </c>
      <c r="S2750" s="19" t="s">
        <v>20</v>
      </c>
      <c r="T2750" s="19" t="s">
        <v>1471</v>
      </c>
    </row>
    <row r="2751" spans="1:20">
      <c r="A2751" s="20">
        <v>202604333556821</v>
      </c>
      <c r="B2751" s="19" t="s">
        <v>20</v>
      </c>
      <c r="C2751" s="19" t="s">
        <v>21</v>
      </c>
      <c r="D2751" s="19" t="s">
        <v>20</v>
      </c>
      <c r="E2751" s="21">
        <v>46235</v>
      </c>
      <c r="F2751" s="21">
        <v>46599</v>
      </c>
      <c r="G2751" s="21"/>
      <c r="H2751" s="21">
        <v>46235</v>
      </c>
      <c r="I2751" s="21">
        <v>46599</v>
      </c>
      <c r="J2751" s="19" t="s">
        <v>2228</v>
      </c>
      <c r="L2751" s="19">
        <v>57.469432500000003</v>
      </c>
      <c r="M2751" s="19">
        <v>57.469432500000003</v>
      </c>
      <c r="N2751" s="19" t="s">
        <v>1475</v>
      </c>
      <c r="O2751" s="20">
        <v>3</v>
      </c>
      <c r="S2751" s="19" t="s">
        <v>20</v>
      </c>
      <c r="T2751" s="19" t="s">
        <v>1471</v>
      </c>
    </row>
    <row r="2752" spans="1:20">
      <c r="A2752" s="20">
        <v>202604333557898</v>
      </c>
      <c r="B2752" s="19" t="s">
        <v>20</v>
      </c>
      <c r="C2752" s="19" t="s">
        <v>21</v>
      </c>
      <c r="D2752" s="19" t="s">
        <v>20</v>
      </c>
      <c r="E2752" s="21">
        <v>46235</v>
      </c>
      <c r="F2752" s="21">
        <v>46599</v>
      </c>
      <c r="G2752" s="21"/>
      <c r="H2752" s="21">
        <v>46235</v>
      </c>
      <c r="I2752" s="21">
        <v>46599</v>
      </c>
      <c r="J2752" s="19" t="s">
        <v>2089</v>
      </c>
      <c r="L2752" s="19">
        <v>23.968290750000001</v>
      </c>
      <c r="M2752" s="19">
        <v>23.968290750000001</v>
      </c>
      <c r="N2752" s="19" t="s">
        <v>1475</v>
      </c>
      <c r="O2752" s="20">
        <v>1</v>
      </c>
      <c r="S2752" s="19" t="s">
        <v>20</v>
      </c>
      <c r="T2752" s="19" t="s">
        <v>1471</v>
      </c>
    </row>
    <row r="2753" spans="1:20">
      <c r="A2753" s="20">
        <v>202604333558659</v>
      </c>
      <c r="B2753" s="19" t="s">
        <v>20</v>
      </c>
      <c r="C2753" s="19" t="s">
        <v>21</v>
      </c>
      <c r="D2753" s="19" t="s">
        <v>20</v>
      </c>
      <c r="E2753" s="21">
        <v>46235</v>
      </c>
      <c r="F2753" s="21">
        <v>46599</v>
      </c>
      <c r="G2753" s="21"/>
      <c r="H2753" s="21">
        <v>46235</v>
      </c>
      <c r="I2753" s="21">
        <v>46599</v>
      </c>
      <c r="J2753" s="19" t="s">
        <v>2244</v>
      </c>
      <c r="L2753" s="19">
        <v>0</v>
      </c>
      <c r="M2753" s="19">
        <v>0</v>
      </c>
      <c r="N2753" s="19" t="s">
        <v>2394</v>
      </c>
      <c r="O2753" s="20">
        <v>3</v>
      </c>
      <c r="S2753" s="19" t="s">
        <v>20</v>
      </c>
      <c r="T2753" s="19" t="s">
        <v>1471</v>
      </c>
    </row>
    <row r="2754" spans="1:20">
      <c r="A2754" s="20">
        <v>202604333558659</v>
      </c>
      <c r="B2754" s="19" t="s">
        <v>20</v>
      </c>
      <c r="C2754" s="19" t="s">
        <v>21</v>
      </c>
      <c r="D2754" s="19" t="s">
        <v>20</v>
      </c>
      <c r="E2754" s="21">
        <v>46235</v>
      </c>
      <c r="F2754" s="21">
        <v>46599</v>
      </c>
      <c r="G2754" s="21"/>
      <c r="H2754" s="21">
        <v>46235</v>
      </c>
      <c r="I2754" s="21">
        <v>46599</v>
      </c>
      <c r="J2754" s="19" t="s">
        <v>2244</v>
      </c>
      <c r="L2754" s="19">
        <v>89.452685250000002</v>
      </c>
      <c r="M2754" s="19">
        <v>89.452685250000002</v>
      </c>
      <c r="N2754" s="19" t="s">
        <v>1475</v>
      </c>
      <c r="O2754" s="20">
        <v>3</v>
      </c>
      <c r="S2754" s="19" t="s">
        <v>20</v>
      </c>
      <c r="T2754" s="19" t="s">
        <v>1471</v>
      </c>
    </row>
    <row r="2755" spans="1:20">
      <c r="A2755" s="20">
        <v>202604333559249</v>
      </c>
      <c r="B2755" s="19" t="s">
        <v>20</v>
      </c>
      <c r="C2755" s="19" t="s">
        <v>21</v>
      </c>
      <c r="D2755" s="19" t="s">
        <v>20</v>
      </c>
      <c r="E2755" s="21">
        <v>46235</v>
      </c>
      <c r="F2755" s="21">
        <v>46599</v>
      </c>
      <c r="G2755" s="21"/>
      <c r="H2755" s="21">
        <v>46235</v>
      </c>
      <c r="I2755" s="21">
        <v>46599</v>
      </c>
      <c r="J2755" s="19" t="s">
        <v>2243</v>
      </c>
      <c r="L2755" s="19">
        <v>33.130630250000003</v>
      </c>
      <c r="M2755" s="19">
        <v>33.130630250000003</v>
      </c>
      <c r="N2755" s="19" t="s">
        <v>1475</v>
      </c>
      <c r="O2755" s="20">
        <v>1</v>
      </c>
      <c r="S2755" s="19" t="s">
        <v>20</v>
      </c>
      <c r="T2755" s="19" t="s">
        <v>1471</v>
      </c>
    </row>
    <row r="2756" spans="1:20">
      <c r="A2756" s="20">
        <v>202604333561187</v>
      </c>
      <c r="B2756" s="19" t="s">
        <v>20</v>
      </c>
      <c r="C2756" s="19" t="s">
        <v>21</v>
      </c>
      <c r="D2756" s="19" t="s">
        <v>2448</v>
      </c>
      <c r="E2756" s="21">
        <v>46235</v>
      </c>
      <c r="F2756" s="21">
        <v>46599</v>
      </c>
      <c r="G2756" s="21"/>
      <c r="H2756" s="21">
        <v>46235</v>
      </c>
      <c r="I2756" s="21">
        <v>46599</v>
      </c>
      <c r="J2756" s="19" t="s">
        <v>2087</v>
      </c>
      <c r="L2756" s="19">
        <v>33.130630250000003</v>
      </c>
      <c r="M2756" s="19">
        <v>33.130630250000003</v>
      </c>
      <c r="N2756" s="19" t="s">
        <v>1467</v>
      </c>
      <c r="O2756" s="20">
        <v>1</v>
      </c>
      <c r="S2756" s="19" t="s">
        <v>20</v>
      </c>
      <c r="T2756" s="19" t="s">
        <v>1471</v>
      </c>
    </row>
    <row r="2757" spans="1:20">
      <c r="A2757" s="20">
        <v>202604333562620</v>
      </c>
      <c r="B2757" s="19" t="s">
        <v>20</v>
      </c>
      <c r="C2757" s="19" t="s">
        <v>21</v>
      </c>
      <c r="D2757" s="19" t="s">
        <v>20</v>
      </c>
      <c r="E2757" s="21">
        <v>46235</v>
      </c>
      <c r="F2757" s="21">
        <v>46599</v>
      </c>
      <c r="G2757" s="21"/>
      <c r="H2757" s="21">
        <v>46235</v>
      </c>
      <c r="I2757" s="21">
        <v>46599</v>
      </c>
      <c r="J2757" s="19" t="s">
        <v>2068</v>
      </c>
      <c r="L2757" s="19">
        <v>26.258683999999999</v>
      </c>
      <c r="M2757" s="19">
        <v>26.258683999999999</v>
      </c>
      <c r="N2757" s="19" t="s">
        <v>1475</v>
      </c>
      <c r="O2757" s="20">
        <v>1</v>
      </c>
      <c r="S2757" s="19" t="s">
        <v>20</v>
      </c>
      <c r="T2757" s="19" t="s">
        <v>1471</v>
      </c>
    </row>
    <row r="2758" spans="1:20">
      <c r="A2758" s="20">
        <v>202604333565473</v>
      </c>
      <c r="B2758" s="19" t="s">
        <v>20</v>
      </c>
      <c r="C2758" s="19" t="s">
        <v>21</v>
      </c>
      <c r="D2758" s="19" t="s">
        <v>20</v>
      </c>
      <c r="E2758" s="21">
        <v>46235</v>
      </c>
      <c r="F2758" s="21">
        <v>46599</v>
      </c>
      <c r="G2758" s="21"/>
      <c r="H2758" s="21">
        <v>46235</v>
      </c>
      <c r="I2758" s="21">
        <v>46599</v>
      </c>
      <c r="J2758" s="19" t="s">
        <v>2068</v>
      </c>
      <c r="L2758" s="19">
        <v>0</v>
      </c>
      <c r="M2758" s="19">
        <v>0</v>
      </c>
      <c r="N2758" s="19" t="s">
        <v>2394</v>
      </c>
      <c r="O2758" s="20">
        <v>2</v>
      </c>
      <c r="S2758" s="19" t="s">
        <v>20</v>
      </c>
      <c r="T2758" s="19" t="s">
        <v>1471</v>
      </c>
    </row>
    <row r="2759" spans="1:20">
      <c r="A2759" s="20">
        <v>202604333565473</v>
      </c>
      <c r="B2759" s="19" t="s">
        <v>20</v>
      </c>
      <c r="C2759" s="19" t="s">
        <v>21</v>
      </c>
      <c r="D2759" s="19" t="s">
        <v>2447</v>
      </c>
      <c r="E2759" s="21">
        <v>46235</v>
      </c>
      <c r="F2759" s="21">
        <v>46599</v>
      </c>
      <c r="G2759" s="21"/>
      <c r="H2759" s="21">
        <v>46235</v>
      </c>
      <c r="I2759" s="21">
        <v>46599</v>
      </c>
      <c r="J2759" s="19" t="s">
        <v>2068</v>
      </c>
      <c r="L2759" s="19">
        <v>19.899142999999999</v>
      </c>
      <c r="M2759" s="19">
        <v>19.899142999999999</v>
      </c>
      <c r="N2759" s="19" t="s">
        <v>1467</v>
      </c>
      <c r="O2759" s="20">
        <v>2</v>
      </c>
      <c r="S2759" s="19" t="s">
        <v>20</v>
      </c>
      <c r="T2759" s="19" t="s">
        <v>1471</v>
      </c>
    </row>
    <row r="2760" spans="1:20">
      <c r="A2760" s="20">
        <v>202604333565506</v>
      </c>
      <c r="B2760" s="19" t="s">
        <v>20</v>
      </c>
      <c r="C2760" s="19" t="s">
        <v>21</v>
      </c>
      <c r="D2760" s="19" t="s">
        <v>20</v>
      </c>
      <c r="E2760" s="21">
        <v>46235</v>
      </c>
      <c r="F2760" s="21">
        <v>46599</v>
      </c>
      <c r="G2760" s="21"/>
      <c r="H2760" s="21">
        <v>46235</v>
      </c>
      <c r="I2760" s="21">
        <v>46599</v>
      </c>
      <c r="J2760" s="19" t="s">
        <v>2064</v>
      </c>
      <c r="L2760" s="19">
        <v>0</v>
      </c>
      <c r="M2760" s="19">
        <v>0</v>
      </c>
      <c r="N2760" s="19" t="s">
        <v>2394</v>
      </c>
      <c r="O2760" s="20">
        <v>3</v>
      </c>
      <c r="S2760" s="19" t="s">
        <v>20</v>
      </c>
      <c r="T2760" s="19" t="s">
        <v>1471</v>
      </c>
    </row>
    <row r="2761" spans="1:20">
      <c r="A2761" s="20">
        <v>202604333565506</v>
      </c>
      <c r="B2761" s="19" t="s">
        <v>20</v>
      </c>
      <c r="C2761" s="19" t="s">
        <v>21</v>
      </c>
      <c r="D2761" s="19" t="s">
        <v>20</v>
      </c>
      <c r="E2761" s="21">
        <v>46235</v>
      </c>
      <c r="F2761" s="21">
        <v>46599</v>
      </c>
      <c r="G2761" s="21"/>
      <c r="H2761" s="21">
        <v>46235</v>
      </c>
      <c r="I2761" s="21">
        <v>46599</v>
      </c>
      <c r="J2761" s="19" t="s">
        <v>2064</v>
      </c>
      <c r="L2761" s="19">
        <v>99.391890750000002</v>
      </c>
      <c r="M2761" s="19">
        <v>99.391890750000002</v>
      </c>
      <c r="N2761" s="19" t="s">
        <v>1475</v>
      </c>
      <c r="O2761" s="20">
        <v>3</v>
      </c>
      <c r="S2761" s="19" t="s">
        <v>20</v>
      </c>
      <c r="T2761" s="19" t="s">
        <v>1471</v>
      </c>
    </row>
    <row r="2762" spans="1:20">
      <c r="A2762" s="20">
        <v>202604333565825</v>
      </c>
      <c r="B2762" s="19" t="s">
        <v>20</v>
      </c>
      <c r="C2762" s="19" t="s">
        <v>21</v>
      </c>
      <c r="D2762" s="19" t="s">
        <v>2446</v>
      </c>
      <c r="E2762" s="21">
        <v>46235</v>
      </c>
      <c r="F2762" s="21">
        <v>46599</v>
      </c>
      <c r="G2762" s="21"/>
      <c r="H2762" s="21">
        <v>46235</v>
      </c>
      <c r="I2762" s="21">
        <v>46599</v>
      </c>
      <c r="J2762" s="19" t="s">
        <v>2093</v>
      </c>
      <c r="L2762" s="19">
        <v>57.552068499999997</v>
      </c>
      <c r="M2762" s="19">
        <v>57.552068499999997</v>
      </c>
      <c r="N2762" s="19" t="s">
        <v>1467</v>
      </c>
      <c r="O2762" s="20">
        <v>2</v>
      </c>
      <c r="S2762" s="19" t="s">
        <v>20</v>
      </c>
      <c r="T2762" s="19" t="s">
        <v>1471</v>
      </c>
    </row>
    <row r="2763" spans="1:20">
      <c r="A2763" s="20">
        <v>202604333566471</v>
      </c>
      <c r="B2763" s="19" t="s">
        <v>20</v>
      </c>
      <c r="C2763" s="19" t="s">
        <v>21</v>
      </c>
      <c r="D2763" s="19" t="s">
        <v>20</v>
      </c>
      <c r="E2763" s="21">
        <v>46235</v>
      </c>
      <c r="F2763" s="21">
        <v>46599</v>
      </c>
      <c r="G2763" s="21"/>
      <c r="H2763" s="21">
        <v>46235</v>
      </c>
      <c r="I2763" s="21">
        <v>46599</v>
      </c>
      <c r="J2763" s="19" t="s">
        <v>2065</v>
      </c>
      <c r="L2763" s="19">
        <v>26.258683999999999</v>
      </c>
      <c r="M2763" s="19">
        <v>26.258683999999999</v>
      </c>
      <c r="N2763" s="19" t="s">
        <v>1475</v>
      </c>
      <c r="O2763" s="20">
        <v>1</v>
      </c>
      <c r="S2763" s="19" t="s">
        <v>20</v>
      </c>
      <c r="T2763" s="19" t="s">
        <v>1471</v>
      </c>
    </row>
    <row r="2764" spans="1:20">
      <c r="A2764" s="20">
        <v>202604333567183</v>
      </c>
      <c r="B2764" s="19" t="s">
        <v>20</v>
      </c>
      <c r="C2764" s="19" t="s">
        <v>21</v>
      </c>
      <c r="D2764" s="19" t="s">
        <v>2445</v>
      </c>
      <c r="E2764" s="21">
        <v>46235</v>
      </c>
      <c r="F2764" s="21">
        <v>46599</v>
      </c>
      <c r="G2764" s="21"/>
      <c r="H2764" s="21">
        <v>46235</v>
      </c>
      <c r="I2764" s="21">
        <v>46599</v>
      </c>
      <c r="J2764" s="19" t="s">
        <v>2139</v>
      </c>
      <c r="L2764" s="19">
        <v>38.659559000000002</v>
      </c>
      <c r="M2764" s="19">
        <v>38.659559000000002</v>
      </c>
      <c r="N2764" s="19" t="s">
        <v>1467</v>
      </c>
      <c r="O2764" s="20">
        <v>1</v>
      </c>
      <c r="S2764" s="19" t="s">
        <v>20</v>
      </c>
      <c r="T2764" s="19" t="s">
        <v>1471</v>
      </c>
    </row>
    <row r="2765" spans="1:20">
      <c r="A2765" s="20">
        <v>202604333571766</v>
      </c>
      <c r="B2765" s="19" t="s">
        <v>20</v>
      </c>
      <c r="C2765" s="19" t="s">
        <v>21</v>
      </c>
      <c r="D2765" s="19" t="s">
        <v>20</v>
      </c>
      <c r="E2765" s="21">
        <v>46235</v>
      </c>
      <c r="F2765" s="21">
        <v>46599</v>
      </c>
      <c r="G2765" s="21"/>
      <c r="H2765" s="21">
        <v>46235</v>
      </c>
      <c r="I2765" s="21">
        <v>46599</v>
      </c>
      <c r="J2765" s="19" t="s">
        <v>2161</v>
      </c>
      <c r="L2765" s="19">
        <v>0</v>
      </c>
      <c r="M2765" s="19">
        <v>0</v>
      </c>
      <c r="N2765" s="19" t="s">
        <v>2394</v>
      </c>
      <c r="O2765" s="20">
        <v>2</v>
      </c>
      <c r="S2765" s="19" t="s">
        <v>20</v>
      </c>
      <c r="T2765" s="19" t="s">
        <v>1471</v>
      </c>
    </row>
    <row r="2766" spans="1:20">
      <c r="A2766" s="20">
        <v>202604333571766</v>
      </c>
      <c r="B2766" s="19" t="s">
        <v>20</v>
      </c>
      <c r="C2766" s="19" t="s">
        <v>21</v>
      </c>
      <c r="D2766" s="19" t="s">
        <v>20</v>
      </c>
      <c r="E2766" s="21">
        <v>46235</v>
      </c>
      <c r="F2766" s="21">
        <v>46599</v>
      </c>
      <c r="G2766" s="21"/>
      <c r="H2766" s="21">
        <v>46235</v>
      </c>
      <c r="I2766" s="21">
        <v>46599</v>
      </c>
      <c r="J2766" s="19" t="s">
        <v>2161</v>
      </c>
      <c r="L2766" s="19">
        <v>77.319118000000003</v>
      </c>
      <c r="M2766" s="19">
        <v>77.319118000000003</v>
      </c>
      <c r="N2766" s="19" t="s">
        <v>1475</v>
      </c>
      <c r="O2766" s="20">
        <v>2</v>
      </c>
      <c r="S2766" s="19" t="s">
        <v>20</v>
      </c>
      <c r="T2766" s="19" t="s">
        <v>1471</v>
      </c>
    </row>
    <row r="2767" spans="1:20">
      <c r="A2767" s="20">
        <v>202604333574392</v>
      </c>
      <c r="B2767" s="19" t="s">
        <v>20</v>
      </c>
      <c r="C2767" s="19" t="s">
        <v>21</v>
      </c>
      <c r="D2767" s="19" t="s">
        <v>20</v>
      </c>
      <c r="E2767" s="21">
        <v>46235</v>
      </c>
      <c r="F2767" s="21">
        <v>46599</v>
      </c>
      <c r="G2767" s="21"/>
      <c r="H2767" s="21">
        <v>46235</v>
      </c>
      <c r="I2767" s="21">
        <v>46599</v>
      </c>
      <c r="J2767" s="19" t="s">
        <v>2064</v>
      </c>
      <c r="L2767" s="19">
        <v>0</v>
      </c>
      <c r="M2767" s="19">
        <v>0</v>
      </c>
      <c r="N2767" s="19" t="s">
        <v>2394</v>
      </c>
      <c r="O2767" s="20">
        <v>5</v>
      </c>
      <c r="S2767" s="19" t="s">
        <v>20</v>
      </c>
      <c r="T2767" s="19" t="s">
        <v>1471</v>
      </c>
    </row>
    <row r="2768" spans="1:20">
      <c r="A2768" s="20">
        <v>202604333574392</v>
      </c>
      <c r="B2768" s="19" t="s">
        <v>20</v>
      </c>
      <c r="C2768" s="19" t="s">
        <v>21</v>
      </c>
      <c r="D2768" s="19" t="s">
        <v>20</v>
      </c>
      <c r="E2768" s="21">
        <v>46235</v>
      </c>
      <c r="F2768" s="21">
        <v>46599</v>
      </c>
      <c r="G2768" s="21"/>
      <c r="H2768" s="21">
        <v>46235</v>
      </c>
      <c r="I2768" s="21">
        <v>46599</v>
      </c>
      <c r="J2768" s="19" t="s">
        <v>2064</v>
      </c>
      <c r="L2768" s="19">
        <v>165.65315125000001</v>
      </c>
      <c r="M2768" s="19">
        <v>165.65315125000001</v>
      </c>
      <c r="N2768" s="19" t="s">
        <v>1475</v>
      </c>
      <c r="O2768" s="20">
        <v>5</v>
      </c>
      <c r="S2768" s="19" t="s">
        <v>20</v>
      </c>
      <c r="T2768" s="19" t="s">
        <v>1471</v>
      </c>
    </row>
    <row r="2769" spans="1:20">
      <c r="A2769" s="20">
        <v>202604333575149</v>
      </c>
      <c r="B2769" s="19" t="s">
        <v>20</v>
      </c>
      <c r="C2769" s="19" t="s">
        <v>21</v>
      </c>
      <c r="D2769" s="19" t="s">
        <v>20</v>
      </c>
      <c r="E2769" s="21">
        <v>46235</v>
      </c>
      <c r="F2769" s="21">
        <v>46599</v>
      </c>
      <c r="G2769" s="21"/>
      <c r="H2769" s="21">
        <v>46235</v>
      </c>
      <c r="I2769" s="21">
        <v>46599</v>
      </c>
      <c r="J2769" s="19" t="s">
        <v>2064</v>
      </c>
      <c r="L2769" s="19">
        <v>0</v>
      </c>
      <c r="M2769" s="19">
        <v>0</v>
      </c>
      <c r="N2769" s="19" t="s">
        <v>2394</v>
      </c>
      <c r="O2769" s="20">
        <v>6</v>
      </c>
      <c r="S2769" s="19" t="s">
        <v>20</v>
      </c>
      <c r="T2769" s="19" t="s">
        <v>1471</v>
      </c>
    </row>
    <row r="2770" spans="1:20">
      <c r="A2770" s="20">
        <v>202604333575149</v>
      </c>
      <c r="B2770" s="19" t="s">
        <v>20</v>
      </c>
      <c r="C2770" s="19" t="s">
        <v>21</v>
      </c>
      <c r="D2770" s="19" t="s">
        <v>20</v>
      </c>
      <c r="E2770" s="21">
        <v>46235</v>
      </c>
      <c r="F2770" s="21">
        <v>46599</v>
      </c>
      <c r="G2770" s="21"/>
      <c r="H2770" s="21">
        <v>46235</v>
      </c>
      <c r="I2770" s="21">
        <v>46599</v>
      </c>
      <c r="J2770" s="19" t="s">
        <v>2064</v>
      </c>
      <c r="L2770" s="19">
        <v>198.7837815</v>
      </c>
      <c r="M2770" s="19">
        <v>198.7837815</v>
      </c>
      <c r="N2770" s="19" t="s">
        <v>1475</v>
      </c>
      <c r="O2770" s="20">
        <v>6</v>
      </c>
      <c r="S2770" s="19" t="s">
        <v>20</v>
      </c>
      <c r="T2770" s="19" t="s">
        <v>1471</v>
      </c>
    </row>
    <row r="2771" spans="1:20">
      <c r="A2771" s="20">
        <v>202604333576302</v>
      </c>
      <c r="B2771" s="19" t="s">
        <v>20</v>
      </c>
      <c r="C2771" s="19" t="s">
        <v>21</v>
      </c>
      <c r="D2771" s="19" t="s">
        <v>20</v>
      </c>
      <c r="E2771" s="21">
        <v>46235</v>
      </c>
      <c r="F2771" s="21">
        <v>46599</v>
      </c>
      <c r="G2771" s="21"/>
      <c r="H2771" s="21">
        <v>46235</v>
      </c>
      <c r="I2771" s="21">
        <v>46599</v>
      </c>
      <c r="J2771" s="19" t="s">
        <v>2068</v>
      </c>
      <c r="L2771" s="19">
        <v>0</v>
      </c>
      <c r="M2771" s="19">
        <v>0</v>
      </c>
      <c r="N2771" s="19" t="s">
        <v>2394</v>
      </c>
      <c r="O2771" s="20">
        <v>6</v>
      </c>
      <c r="S2771" s="19" t="s">
        <v>20</v>
      </c>
      <c r="T2771" s="19" t="s">
        <v>1471</v>
      </c>
    </row>
    <row r="2772" spans="1:20">
      <c r="A2772" s="20">
        <v>202604333576302</v>
      </c>
      <c r="B2772" s="19" t="s">
        <v>20</v>
      </c>
      <c r="C2772" s="19" t="s">
        <v>21</v>
      </c>
      <c r="D2772" s="19" t="s">
        <v>20</v>
      </c>
      <c r="E2772" s="21">
        <v>46235</v>
      </c>
      <c r="F2772" s="21">
        <v>46599</v>
      </c>
      <c r="G2772" s="21"/>
      <c r="H2772" s="21">
        <v>46235</v>
      </c>
      <c r="I2772" s="21">
        <v>46599</v>
      </c>
      <c r="J2772" s="19" t="s">
        <v>2068</v>
      </c>
      <c r="L2772" s="19">
        <v>157.55210400000001</v>
      </c>
      <c r="M2772" s="19">
        <v>157.55210400000001</v>
      </c>
      <c r="N2772" s="19" t="s">
        <v>1475</v>
      </c>
      <c r="O2772" s="20">
        <v>6</v>
      </c>
      <c r="S2772" s="19" t="s">
        <v>20</v>
      </c>
      <c r="T2772" s="19" t="s">
        <v>1471</v>
      </c>
    </row>
    <row r="2773" spans="1:20">
      <c r="A2773" s="20">
        <v>202604333577661</v>
      </c>
      <c r="B2773" s="19" t="s">
        <v>20</v>
      </c>
      <c r="C2773" s="19" t="s">
        <v>21</v>
      </c>
      <c r="D2773" s="19" t="s">
        <v>20</v>
      </c>
      <c r="E2773" s="21">
        <v>46235</v>
      </c>
      <c r="F2773" s="21">
        <v>46599</v>
      </c>
      <c r="G2773" s="21"/>
      <c r="H2773" s="21">
        <v>46235</v>
      </c>
      <c r="I2773" s="21">
        <v>46599</v>
      </c>
      <c r="J2773" s="19" t="s">
        <v>2068</v>
      </c>
      <c r="L2773" s="19">
        <v>26.258683999999999</v>
      </c>
      <c r="M2773" s="19">
        <v>26.258683999999999</v>
      </c>
      <c r="N2773" s="19" t="s">
        <v>1475</v>
      </c>
      <c r="O2773" s="20">
        <v>1</v>
      </c>
      <c r="S2773" s="19" t="s">
        <v>20</v>
      </c>
      <c r="T2773" s="19" t="s">
        <v>1471</v>
      </c>
    </row>
    <row r="2774" spans="1:20">
      <c r="A2774" s="20">
        <v>202604333581617</v>
      </c>
      <c r="B2774" s="19" t="s">
        <v>20</v>
      </c>
      <c r="C2774" s="19" t="s">
        <v>21</v>
      </c>
      <c r="D2774" s="19" t="s">
        <v>20</v>
      </c>
      <c r="E2774" s="21">
        <v>46235</v>
      </c>
      <c r="F2774" s="21">
        <v>46599</v>
      </c>
      <c r="G2774" s="21"/>
      <c r="H2774" s="21">
        <v>46235</v>
      </c>
      <c r="I2774" s="21">
        <v>46599</v>
      </c>
      <c r="J2774" s="19" t="s">
        <v>2095</v>
      </c>
      <c r="L2774" s="19">
        <v>33.130630250000003</v>
      </c>
      <c r="M2774" s="19">
        <v>33.130630250000003</v>
      </c>
      <c r="N2774" s="19" t="s">
        <v>1475</v>
      </c>
      <c r="O2774" s="20">
        <v>1</v>
      </c>
      <c r="S2774" s="19" t="s">
        <v>20</v>
      </c>
      <c r="T2774" s="19" t="s">
        <v>1471</v>
      </c>
    </row>
    <row r="2775" spans="1:20">
      <c r="A2775" s="20">
        <v>202604333582046</v>
      </c>
      <c r="B2775" s="19" t="s">
        <v>20</v>
      </c>
      <c r="C2775" s="19" t="s">
        <v>21</v>
      </c>
      <c r="D2775" s="19" t="s">
        <v>20</v>
      </c>
      <c r="E2775" s="21">
        <v>46235</v>
      </c>
      <c r="F2775" s="21">
        <v>46599</v>
      </c>
      <c r="G2775" s="21"/>
      <c r="H2775" s="21">
        <v>46235</v>
      </c>
      <c r="I2775" s="21">
        <v>46599</v>
      </c>
      <c r="J2775" s="19" t="s">
        <v>2128</v>
      </c>
      <c r="L2775" s="19">
        <v>29.817561749999999</v>
      </c>
      <c r="M2775" s="19">
        <v>29.817561749999999</v>
      </c>
      <c r="N2775" s="19" t="s">
        <v>1475</v>
      </c>
      <c r="O2775" s="20">
        <v>1</v>
      </c>
      <c r="S2775" s="19" t="s">
        <v>20</v>
      </c>
      <c r="T2775" s="19" t="s">
        <v>1471</v>
      </c>
    </row>
    <row r="2776" spans="1:20">
      <c r="A2776" s="20">
        <v>202604333582774</v>
      </c>
      <c r="B2776" s="19" t="s">
        <v>20</v>
      </c>
      <c r="C2776" s="19" t="s">
        <v>21</v>
      </c>
      <c r="D2776" s="19" t="s">
        <v>20</v>
      </c>
      <c r="E2776" s="21">
        <v>46235</v>
      </c>
      <c r="F2776" s="21">
        <v>46599</v>
      </c>
      <c r="G2776" s="21"/>
      <c r="H2776" s="21">
        <v>46235</v>
      </c>
      <c r="I2776" s="21">
        <v>46599</v>
      </c>
      <c r="J2776" s="19" t="s">
        <v>2101</v>
      </c>
      <c r="L2776" s="19">
        <v>29.817561749999999</v>
      </c>
      <c r="M2776" s="19">
        <v>29.817561749999999</v>
      </c>
      <c r="N2776" s="19" t="s">
        <v>1475</v>
      </c>
      <c r="O2776" s="20">
        <v>1</v>
      </c>
      <c r="S2776" s="19" t="s">
        <v>20</v>
      </c>
      <c r="T2776" s="19" t="s">
        <v>1471</v>
      </c>
    </row>
    <row r="2777" spans="1:20">
      <c r="A2777" s="20">
        <v>202604333583480</v>
      </c>
      <c r="B2777" s="19" t="s">
        <v>20</v>
      </c>
      <c r="C2777" s="19" t="s">
        <v>21</v>
      </c>
      <c r="D2777" s="19" t="s">
        <v>2444</v>
      </c>
      <c r="E2777" s="21">
        <v>46235</v>
      </c>
      <c r="F2777" s="21">
        <v>46599</v>
      </c>
      <c r="G2777" s="21"/>
      <c r="H2777" s="21">
        <v>46235</v>
      </c>
      <c r="I2777" s="21">
        <v>46599</v>
      </c>
      <c r="J2777" s="19" t="s">
        <v>2146</v>
      </c>
      <c r="L2777" s="19">
        <v>23.968290750000001</v>
      </c>
      <c r="M2777" s="19">
        <v>23.968290750000001</v>
      </c>
      <c r="N2777" s="19" t="s">
        <v>1467</v>
      </c>
      <c r="O2777" s="20">
        <v>1</v>
      </c>
      <c r="S2777" s="19" t="s">
        <v>20</v>
      </c>
      <c r="T2777" s="19" t="s">
        <v>1471</v>
      </c>
    </row>
    <row r="2778" spans="1:20">
      <c r="A2778" s="20">
        <v>202604333583903</v>
      </c>
      <c r="B2778" s="19" t="s">
        <v>20</v>
      </c>
      <c r="C2778" s="19" t="s">
        <v>21</v>
      </c>
      <c r="D2778" s="19" t="s">
        <v>20</v>
      </c>
      <c r="E2778" s="21">
        <v>46235</v>
      </c>
      <c r="F2778" s="21">
        <v>46599</v>
      </c>
      <c r="G2778" s="21"/>
      <c r="H2778" s="21">
        <v>46235</v>
      </c>
      <c r="I2778" s="21">
        <v>46599</v>
      </c>
      <c r="J2778" s="19" t="s">
        <v>2104</v>
      </c>
      <c r="L2778" s="19">
        <v>0</v>
      </c>
      <c r="M2778" s="19">
        <v>0</v>
      </c>
      <c r="N2778" s="19" t="s">
        <v>2394</v>
      </c>
      <c r="O2778" s="20">
        <v>4</v>
      </c>
      <c r="S2778" s="19" t="s">
        <v>20</v>
      </c>
      <c r="T2778" s="19" t="s">
        <v>1471</v>
      </c>
    </row>
    <row r="2779" spans="1:20">
      <c r="A2779" s="20">
        <v>202604333583903</v>
      </c>
      <c r="B2779" s="19" t="s">
        <v>20</v>
      </c>
      <c r="C2779" s="19" t="s">
        <v>21</v>
      </c>
      <c r="D2779" s="19" t="s">
        <v>2443</v>
      </c>
      <c r="E2779" s="21">
        <v>46235</v>
      </c>
      <c r="F2779" s="21">
        <v>46599</v>
      </c>
      <c r="G2779" s="21"/>
      <c r="H2779" s="21">
        <v>46235</v>
      </c>
      <c r="I2779" s="21">
        <v>46599</v>
      </c>
      <c r="J2779" s="19" t="s">
        <v>2104</v>
      </c>
      <c r="L2779" s="19">
        <v>132.52252100000001</v>
      </c>
      <c r="M2779" s="19">
        <v>132.52252100000001</v>
      </c>
      <c r="N2779" s="19" t="s">
        <v>1467</v>
      </c>
      <c r="O2779" s="20">
        <v>4</v>
      </c>
      <c r="S2779" s="19" t="s">
        <v>20</v>
      </c>
      <c r="T2779" s="19" t="s">
        <v>1471</v>
      </c>
    </row>
    <row r="2780" spans="1:20">
      <c r="A2780" s="20">
        <v>202604333585058</v>
      </c>
      <c r="B2780" s="19" t="s">
        <v>20</v>
      </c>
      <c r="C2780" s="19" t="s">
        <v>21</v>
      </c>
      <c r="D2780" s="19" t="s">
        <v>20</v>
      </c>
      <c r="E2780" s="21">
        <v>46235</v>
      </c>
      <c r="F2780" s="21">
        <v>46599</v>
      </c>
      <c r="G2780" s="21"/>
      <c r="H2780" s="21">
        <v>46235</v>
      </c>
      <c r="I2780" s="21">
        <v>46599</v>
      </c>
      <c r="J2780" s="19" t="s">
        <v>2114</v>
      </c>
      <c r="L2780" s="19">
        <v>66.261260500000006</v>
      </c>
      <c r="M2780" s="19">
        <v>66.261260500000006</v>
      </c>
      <c r="N2780" s="19" t="s">
        <v>1475</v>
      </c>
      <c r="O2780" s="20">
        <v>2</v>
      </c>
      <c r="S2780" s="19" t="s">
        <v>20</v>
      </c>
      <c r="T2780" s="19" t="s">
        <v>1471</v>
      </c>
    </row>
    <row r="2781" spans="1:20">
      <c r="A2781" s="20">
        <v>202604333585667</v>
      </c>
      <c r="B2781" s="19" t="s">
        <v>20</v>
      </c>
      <c r="C2781" s="19" t="s">
        <v>21</v>
      </c>
      <c r="D2781" s="19" t="s">
        <v>20</v>
      </c>
      <c r="E2781" s="21">
        <v>46235</v>
      </c>
      <c r="F2781" s="21">
        <v>46599</v>
      </c>
      <c r="G2781" s="21"/>
      <c r="H2781" s="21">
        <v>46235</v>
      </c>
      <c r="I2781" s="21">
        <v>46599</v>
      </c>
      <c r="J2781" s="19" t="s">
        <v>2081</v>
      </c>
      <c r="L2781" s="19">
        <v>38.659559000000002</v>
      </c>
      <c r="M2781" s="19">
        <v>38.659559000000002</v>
      </c>
      <c r="N2781" s="19" t="s">
        <v>1475</v>
      </c>
      <c r="O2781" s="20">
        <v>1</v>
      </c>
      <c r="S2781" s="19" t="s">
        <v>20</v>
      </c>
      <c r="T2781" s="19" t="s">
        <v>1471</v>
      </c>
    </row>
    <row r="2782" spans="1:20">
      <c r="A2782" s="20">
        <v>202604333586099</v>
      </c>
      <c r="B2782" s="19" t="s">
        <v>20</v>
      </c>
      <c r="C2782" s="19" t="s">
        <v>21</v>
      </c>
      <c r="D2782" s="19" t="s">
        <v>20</v>
      </c>
      <c r="E2782" s="21">
        <v>46235</v>
      </c>
      <c r="F2782" s="21">
        <v>46599</v>
      </c>
      <c r="G2782" s="21"/>
      <c r="H2782" s="21">
        <v>46235</v>
      </c>
      <c r="I2782" s="21">
        <v>46599</v>
      </c>
      <c r="J2782" s="19" t="s">
        <v>2085</v>
      </c>
      <c r="L2782" s="19">
        <v>0</v>
      </c>
      <c r="M2782" s="19">
        <v>0</v>
      </c>
      <c r="N2782" s="19" t="s">
        <v>2394</v>
      </c>
      <c r="O2782" s="20">
        <v>6</v>
      </c>
      <c r="S2782" s="19" t="s">
        <v>20</v>
      </c>
      <c r="T2782" s="19" t="s">
        <v>1471</v>
      </c>
    </row>
    <row r="2783" spans="1:20">
      <c r="A2783" s="20">
        <v>202604333586099</v>
      </c>
      <c r="B2783" s="19" t="s">
        <v>20</v>
      </c>
      <c r="C2783" s="19" t="s">
        <v>21</v>
      </c>
      <c r="D2783" s="19" t="s">
        <v>20</v>
      </c>
      <c r="E2783" s="21">
        <v>46235</v>
      </c>
      <c r="F2783" s="21">
        <v>46599</v>
      </c>
      <c r="G2783" s="21"/>
      <c r="H2783" s="21">
        <v>46235</v>
      </c>
      <c r="I2783" s="21">
        <v>46599</v>
      </c>
      <c r="J2783" s="19" t="s">
        <v>2085</v>
      </c>
      <c r="L2783" s="19">
        <v>147.724041</v>
      </c>
      <c r="M2783" s="19">
        <v>147.724041</v>
      </c>
      <c r="N2783" s="19" t="s">
        <v>1475</v>
      </c>
      <c r="O2783" s="20">
        <v>6</v>
      </c>
      <c r="S2783" s="19" t="s">
        <v>20</v>
      </c>
      <c r="T2783" s="19" t="s">
        <v>1471</v>
      </c>
    </row>
    <row r="2784" spans="1:20">
      <c r="A2784" s="20">
        <v>202604333586879</v>
      </c>
      <c r="B2784" s="19" t="s">
        <v>20</v>
      </c>
      <c r="C2784" s="19" t="s">
        <v>21</v>
      </c>
      <c r="D2784" s="19" t="s">
        <v>20</v>
      </c>
      <c r="E2784" s="21">
        <v>46235</v>
      </c>
      <c r="F2784" s="21">
        <v>46599</v>
      </c>
      <c r="G2784" s="21"/>
      <c r="H2784" s="21">
        <v>46235</v>
      </c>
      <c r="I2784" s="21">
        <v>46599</v>
      </c>
      <c r="J2784" s="19" t="s">
        <v>2064</v>
      </c>
      <c r="L2784" s="19">
        <v>0</v>
      </c>
      <c r="M2784" s="19">
        <v>0</v>
      </c>
      <c r="N2784" s="19" t="s">
        <v>2394</v>
      </c>
      <c r="O2784" s="20">
        <v>4</v>
      </c>
      <c r="S2784" s="19" t="s">
        <v>20</v>
      </c>
      <c r="T2784" s="19" t="s">
        <v>1471</v>
      </c>
    </row>
    <row r="2785" spans="1:20">
      <c r="A2785" s="20">
        <v>202604333586879</v>
      </c>
      <c r="B2785" s="19" t="s">
        <v>20</v>
      </c>
      <c r="C2785" s="19" t="s">
        <v>21</v>
      </c>
      <c r="D2785" s="19" t="s">
        <v>20</v>
      </c>
      <c r="E2785" s="21">
        <v>46235</v>
      </c>
      <c r="F2785" s="21">
        <v>46599</v>
      </c>
      <c r="G2785" s="21"/>
      <c r="H2785" s="21">
        <v>46235</v>
      </c>
      <c r="I2785" s="21">
        <v>46599</v>
      </c>
      <c r="J2785" s="19" t="s">
        <v>2064</v>
      </c>
      <c r="L2785" s="19">
        <v>132.52252100000001</v>
      </c>
      <c r="M2785" s="19">
        <v>132.52252100000001</v>
      </c>
      <c r="N2785" s="19" t="s">
        <v>1475</v>
      </c>
      <c r="O2785" s="20">
        <v>4</v>
      </c>
      <c r="S2785" s="19" t="s">
        <v>20</v>
      </c>
      <c r="T2785" s="19" t="s">
        <v>1471</v>
      </c>
    </row>
    <row r="2786" spans="1:20">
      <c r="A2786" s="20">
        <v>202604333587862</v>
      </c>
      <c r="B2786" s="19" t="s">
        <v>20</v>
      </c>
      <c r="C2786" s="19" t="s">
        <v>21</v>
      </c>
      <c r="D2786" s="19" t="s">
        <v>20</v>
      </c>
      <c r="E2786" s="21">
        <v>46235</v>
      </c>
      <c r="F2786" s="21">
        <v>46599</v>
      </c>
      <c r="G2786" s="21"/>
      <c r="H2786" s="21">
        <v>46235</v>
      </c>
      <c r="I2786" s="21">
        <v>46599</v>
      </c>
      <c r="J2786" s="19" t="s">
        <v>2182</v>
      </c>
      <c r="L2786" s="19">
        <v>0</v>
      </c>
      <c r="M2786" s="19">
        <v>0</v>
      </c>
      <c r="N2786" s="19" t="s">
        <v>2394</v>
      </c>
      <c r="O2786" s="20">
        <v>2</v>
      </c>
      <c r="S2786" s="19" t="s">
        <v>20</v>
      </c>
      <c r="T2786" s="19" t="s">
        <v>1471</v>
      </c>
    </row>
    <row r="2787" spans="1:20">
      <c r="A2787" s="20">
        <v>202604333587862</v>
      </c>
      <c r="B2787" s="19" t="s">
        <v>20</v>
      </c>
      <c r="C2787" s="19" t="s">
        <v>21</v>
      </c>
      <c r="D2787" s="19" t="s">
        <v>20</v>
      </c>
      <c r="E2787" s="21">
        <v>46235</v>
      </c>
      <c r="F2787" s="21">
        <v>46599</v>
      </c>
      <c r="G2787" s="21"/>
      <c r="H2787" s="21">
        <v>46235</v>
      </c>
      <c r="I2787" s="21">
        <v>46599</v>
      </c>
      <c r="J2787" s="19" t="s">
        <v>2182</v>
      </c>
      <c r="L2787" s="19">
        <v>47.936581500000003</v>
      </c>
      <c r="M2787" s="19">
        <v>47.936581500000003</v>
      </c>
      <c r="N2787" s="19" t="s">
        <v>1475</v>
      </c>
      <c r="O2787" s="20">
        <v>2</v>
      </c>
      <c r="S2787" s="19" t="s">
        <v>20</v>
      </c>
      <c r="T2787" s="19" t="s">
        <v>1471</v>
      </c>
    </row>
    <row r="2788" spans="1:20">
      <c r="A2788" s="20">
        <v>202604333587967</v>
      </c>
      <c r="B2788" s="19" t="s">
        <v>20</v>
      </c>
      <c r="C2788" s="19" t="s">
        <v>21</v>
      </c>
      <c r="D2788" s="19" t="s">
        <v>20</v>
      </c>
      <c r="E2788" s="21">
        <v>46235</v>
      </c>
      <c r="F2788" s="21">
        <v>46599</v>
      </c>
      <c r="G2788" s="21"/>
      <c r="H2788" s="21">
        <v>46235</v>
      </c>
      <c r="I2788" s="21">
        <v>46599</v>
      </c>
      <c r="J2788" s="19" t="s">
        <v>2069</v>
      </c>
      <c r="L2788" s="19">
        <v>0</v>
      </c>
      <c r="M2788" s="19">
        <v>0</v>
      </c>
      <c r="N2788" s="19" t="s">
        <v>2394</v>
      </c>
      <c r="O2788" s="20">
        <v>2</v>
      </c>
      <c r="S2788" s="19" t="s">
        <v>20</v>
      </c>
      <c r="T2788" s="19" t="s">
        <v>1471</v>
      </c>
    </row>
    <row r="2789" spans="1:20">
      <c r="A2789" s="20">
        <v>202604333587967</v>
      </c>
      <c r="B2789" s="19" t="s">
        <v>20</v>
      </c>
      <c r="C2789" s="19" t="s">
        <v>21</v>
      </c>
      <c r="D2789" s="19" t="s">
        <v>20</v>
      </c>
      <c r="E2789" s="21">
        <v>46235</v>
      </c>
      <c r="F2789" s="21">
        <v>46599</v>
      </c>
      <c r="G2789" s="21"/>
      <c r="H2789" s="21">
        <v>46235</v>
      </c>
      <c r="I2789" s="21">
        <v>46599</v>
      </c>
      <c r="J2789" s="19" t="s">
        <v>2069</v>
      </c>
      <c r="L2789" s="19">
        <v>66.261260500000006</v>
      </c>
      <c r="M2789" s="19">
        <v>66.261260500000006</v>
      </c>
      <c r="N2789" s="19" t="s">
        <v>1475</v>
      </c>
      <c r="O2789" s="20">
        <v>2</v>
      </c>
      <c r="S2789" s="19" t="s">
        <v>20</v>
      </c>
      <c r="T2789" s="19" t="s">
        <v>1471</v>
      </c>
    </row>
    <row r="2790" spans="1:20">
      <c r="A2790" s="20">
        <v>202604333589473</v>
      </c>
      <c r="B2790" s="19" t="s">
        <v>20</v>
      </c>
      <c r="C2790" s="19" t="s">
        <v>21</v>
      </c>
      <c r="D2790" s="19" t="s">
        <v>20</v>
      </c>
      <c r="E2790" s="21">
        <v>46235</v>
      </c>
      <c r="F2790" s="21">
        <v>46599</v>
      </c>
      <c r="G2790" s="21"/>
      <c r="H2790" s="21">
        <v>46235</v>
      </c>
      <c r="I2790" s="21">
        <v>46599</v>
      </c>
      <c r="J2790" s="19" t="s">
        <v>2068</v>
      </c>
      <c r="L2790" s="19">
        <v>26.258683999999999</v>
      </c>
      <c r="M2790" s="19">
        <v>26.258683999999999</v>
      </c>
      <c r="N2790" s="19" t="s">
        <v>1475</v>
      </c>
      <c r="O2790" s="20">
        <v>1</v>
      </c>
      <c r="S2790" s="19" t="s">
        <v>20</v>
      </c>
      <c r="T2790" s="19" t="s">
        <v>1471</v>
      </c>
    </row>
    <row r="2791" spans="1:20">
      <c r="A2791" s="20">
        <v>202604333594621</v>
      </c>
      <c r="B2791" s="19" t="s">
        <v>20</v>
      </c>
      <c r="C2791" s="19" t="s">
        <v>21</v>
      </c>
      <c r="D2791" s="19" t="s">
        <v>20</v>
      </c>
      <c r="E2791" s="21">
        <v>46235</v>
      </c>
      <c r="F2791" s="21">
        <v>46599</v>
      </c>
      <c r="G2791" s="21"/>
      <c r="H2791" s="21">
        <v>46235</v>
      </c>
      <c r="I2791" s="21">
        <v>46599</v>
      </c>
      <c r="J2791" s="19" t="s">
        <v>2064</v>
      </c>
      <c r="L2791" s="19">
        <v>33.130630250000003</v>
      </c>
      <c r="M2791" s="19">
        <v>33.130630250000003</v>
      </c>
      <c r="N2791" s="19" t="s">
        <v>1475</v>
      </c>
      <c r="O2791" s="20">
        <v>1</v>
      </c>
      <c r="S2791" s="19" t="s">
        <v>20</v>
      </c>
      <c r="T2791" s="19" t="s">
        <v>1471</v>
      </c>
    </row>
    <row r="2792" spans="1:20">
      <c r="A2792" s="20">
        <v>202604333599708</v>
      </c>
      <c r="B2792" s="19" t="s">
        <v>20</v>
      </c>
      <c r="C2792" s="19" t="s">
        <v>21</v>
      </c>
      <c r="D2792" s="19" t="s">
        <v>20</v>
      </c>
      <c r="E2792" s="21">
        <v>46235</v>
      </c>
      <c r="F2792" s="21">
        <v>46599</v>
      </c>
      <c r="G2792" s="21"/>
      <c r="H2792" s="21">
        <v>46235</v>
      </c>
      <c r="I2792" s="21">
        <v>46599</v>
      </c>
      <c r="J2792" s="19" t="s">
        <v>2087</v>
      </c>
      <c r="L2792" s="19">
        <v>0</v>
      </c>
      <c r="M2792" s="19">
        <v>0</v>
      </c>
      <c r="N2792" s="19" t="s">
        <v>2394</v>
      </c>
      <c r="O2792" s="20">
        <v>2</v>
      </c>
      <c r="S2792" s="19" t="s">
        <v>20</v>
      </c>
      <c r="T2792" s="19" t="s">
        <v>1471</v>
      </c>
    </row>
    <row r="2793" spans="1:20">
      <c r="A2793" s="20">
        <v>202604333599708</v>
      </c>
      <c r="B2793" s="19" t="s">
        <v>20</v>
      </c>
      <c r="C2793" s="19" t="s">
        <v>21</v>
      </c>
      <c r="D2793" s="19" t="s">
        <v>20</v>
      </c>
      <c r="E2793" s="21">
        <v>46235</v>
      </c>
      <c r="F2793" s="21">
        <v>46599</v>
      </c>
      <c r="G2793" s="21"/>
      <c r="H2793" s="21">
        <v>46235</v>
      </c>
      <c r="I2793" s="21">
        <v>46599</v>
      </c>
      <c r="J2793" s="19" t="s">
        <v>2087</v>
      </c>
      <c r="L2793" s="19">
        <v>66.261260500000006</v>
      </c>
      <c r="M2793" s="19">
        <v>66.261260500000006</v>
      </c>
      <c r="N2793" s="19" t="s">
        <v>1475</v>
      </c>
      <c r="O2793" s="20">
        <v>2</v>
      </c>
      <c r="S2793" s="19" t="s">
        <v>20</v>
      </c>
      <c r="T2793" s="19" t="s">
        <v>1471</v>
      </c>
    </row>
    <row r="2794" spans="1:20">
      <c r="A2794" s="20">
        <v>202604333602185</v>
      </c>
      <c r="B2794" s="19" t="s">
        <v>20</v>
      </c>
      <c r="C2794" s="19" t="s">
        <v>21</v>
      </c>
      <c r="D2794" s="19" t="s">
        <v>20</v>
      </c>
      <c r="E2794" s="21">
        <v>46235</v>
      </c>
      <c r="F2794" s="21">
        <v>46599</v>
      </c>
      <c r="G2794" s="21"/>
      <c r="H2794" s="21">
        <v>46235</v>
      </c>
      <c r="I2794" s="21">
        <v>46599</v>
      </c>
      <c r="J2794" s="19" t="s">
        <v>2086</v>
      </c>
      <c r="L2794" s="19">
        <v>0</v>
      </c>
      <c r="M2794" s="19">
        <v>0</v>
      </c>
      <c r="N2794" s="19" t="s">
        <v>2394</v>
      </c>
      <c r="O2794" s="20">
        <v>4</v>
      </c>
      <c r="S2794" s="19" t="s">
        <v>20</v>
      </c>
      <c r="T2794" s="19" t="s">
        <v>1471</v>
      </c>
    </row>
    <row r="2795" spans="1:20">
      <c r="A2795" s="20">
        <v>202604333602185</v>
      </c>
      <c r="B2795" s="19" t="s">
        <v>20</v>
      </c>
      <c r="C2795" s="19" t="s">
        <v>21</v>
      </c>
      <c r="D2795" s="19" t="s">
        <v>2442</v>
      </c>
      <c r="E2795" s="21">
        <v>46235</v>
      </c>
      <c r="F2795" s="21">
        <v>46599</v>
      </c>
      <c r="G2795" s="21"/>
      <c r="H2795" s="21">
        <v>46235</v>
      </c>
      <c r="I2795" s="21">
        <v>46599</v>
      </c>
      <c r="J2795" s="19" t="s">
        <v>2086</v>
      </c>
      <c r="L2795" s="19">
        <v>132.52252100000001</v>
      </c>
      <c r="M2795" s="19">
        <v>132.52252100000001</v>
      </c>
      <c r="N2795" s="19" t="s">
        <v>1467</v>
      </c>
      <c r="O2795" s="20">
        <v>4</v>
      </c>
      <c r="S2795" s="19" t="s">
        <v>20</v>
      </c>
      <c r="T2795" s="19" t="s">
        <v>1471</v>
      </c>
    </row>
    <row r="2796" spans="1:20">
      <c r="A2796" s="20">
        <v>202604333606253</v>
      </c>
      <c r="B2796" s="19" t="s">
        <v>20</v>
      </c>
      <c r="C2796" s="19" t="s">
        <v>21</v>
      </c>
      <c r="D2796" s="19" t="s">
        <v>20</v>
      </c>
      <c r="E2796" s="21">
        <v>46235</v>
      </c>
      <c r="F2796" s="21">
        <v>46599</v>
      </c>
      <c r="G2796" s="21"/>
      <c r="H2796" s="21">
        <v>46235</v>
      </c>
      <c r="I2796" s="21">
        <v>46599</v>
      </c>
      <c r="J2796" s="19" t="s">
        <v>2155</v>
      </c>
      <c r="L2796" s="19">
        <v>66.261260500000006</v>
      </c>
      <c r="M2796" s="19">
        <v>66.261260500000006</v>
      </c>
      <c r="N2796" s="19" t="s">
        <v>1475</v>
      </c>
      <c r="O2796" s="20">
        <v>2</v>
      </c>
      <c r="S2796" s="19" t="s">
        <v>20</v>
      </c>
      <c r="T2796" s="19" t="s">
        <v>1471</v>
      </c>
    </row>
    <row r="2797" spans="1:20">
      <c r="A2797" s="20">
        <v>202604333607073</v>
      </c>
      <c r="B2797" s="19" t="s">
        <v>20</v>
      </c>
      <c r="C2797" s="19" t="s">
        <v>21</v>
      </c>
      <c r="D2797" s="19" t="s">
        <v>20</v>
      </c>
      <c r="E2797" s="21">
        <v>46235</v>
      </c>
      <c r="F2797" s="21">
        <v>46599</v>
      </c>
      <c r="G2797" s="21"/>
      <c r="H2797" s="21">
        <v>46235</v>
      </c>
      <c r="I2797" s="21">
        <v>46599</v>
      </c>
      <c r="J2797" s="19" t="s">
        <v>2086</v>
      </c>
      <c r="L2797" s="19">
        <v>0</v>
      </c>
      <c r="M2797" s="19">
        <v>0</v>
      </c>
      <c r="N2797" s="19" t="s">
        <v>2394</v>
      </c>
      <c r="O2797" s="20">
        <v>5</v>
      </c>
      <c r="S2797" s="19" t="s">
        <v>20</v>
      </c>
      <c r="T2797" s="19" t="s">
        <v>1471</v>
      </c>
    </row>
    <row r="2798" spans="1:20">
      <c r="A2798" s="20">
        <v>202604333607073</v>
      </c>
      <c r="B2798" s="19" t="s">
        <v>20</v>
      </c>
      <c r="C2798" s="19" t="s">
        <v>21</v>
      </c>
      <c r="D2798" s="19" t="s">
        <v>20</v>
      </c>
      <c r="E2798" s="21">
        <v>46235</v>
      </c>
      <c r="F2798" s="21">
        <v>46599</v>
      </c>
      <c r="G2798" s="21"/>
      <c r="H2798" s="21">
        <v>46235</v>
      </c>
      <c r="I2798" s="21">
        <v>46599</v>
      </c>
      <c r="J2798" s="19" t="s">
        <v>2086</v>
      </c>
      <c r="L2798" s="19">
        <v>165.65315125000001</v>
      </c>
      <c r="M2798" s="19">
        <v>165.65315125000001</v>
      </c>
      <c r="N2798" s="19" t="s">
        <v>1475</v>
      </c>
      <c r="O2798" s="20">
        <v>5</v>
      </c>
      <c r="S2798" s="19" t="s">
        <v>20</v>
      </c>
      <c r="T2798" s="19" t="s">
        <v>1471</v>
      </c>
    </row>
    <row r="2799" spans="1:20">
      <c r="A2799" s="20">
        <v>202604333607978</v>
      </c>
      <c r="B2799" s="19" t="s">
        <v>20</v>
      </c>
      <c r="C2799" s="19" t="s">
        <v>21</v>
      </c>
      <c r="D2799" s="19" t="s">
        <v>20</v>
      </c>
      <c r="E2799" s="21">
        <v>46235</v>
      </c>
      <c r="F2799" s="21">
        <v>46599</v>
      </c>
      <c r="G2799" s="21"/>
      <c r="H2799" s="21">
        <v>46235</v>
      </c>
      <c r="I2799" s="21">
        <v>46599</v>
      </c>
      <c r="J2799" s="19" t="s">
        <v>2087</v>
      </c>
      <c r="L2799" s="19">
        <v>132.52252100000001</v>
      </c>
      <c r="M2799" s="19">
        <v>132.52252100000001</v>
      </c>
      <c r="N2799" s="19" t="s">
        <v>1475</v>
      </c>
      <c r="O2799" s="20">
        <v>4</v>
      </c>
      <c r="S2799" s="19" t="s">
        <v>20</v>
      </c>
      <c r="T2799" s="19" t="s">
        <v>1471</v>
      </c>
    </row>
    <row r="2800" spans="1:20">
      <c r="A2800" s="20">
        <v>202604333608607</v>
      </c>
      <c r="B2800" s="19" t="s">
        <v>20</v>
      </c>
      <c r="C2800" s="19" t="s">
        <v>21</v>
      </c>
      <c r="D2800" s="19" t="s">
        <v>20</v>
      </c>
      <c r="E2800" s="21">
        <v>46235</v>
      </c>
      <c r="F2800" s="21">
        <v>46599</v>
      </c>
      <c r="G2800" s="21"/>
      <c r="H2800" s="21">
        <v>46235</v>
      </c>
      <c r="I2800" s="21">
        <v>46599</v>
      </c>
      <c r="J2800" s="19" t="s">
        <v>2065</v>
      </c>
      <c r="L2800" s="19">
        <v>26.258683999999999</v>
      </c>
      <c r="M2800" s="19">
        <v>26.258683999999999</v>
      </c>
      <c r="N2800" s="19" t="s">
        <v>1475</v>
      </c>
      <c r="O2800" s="20">
        <v>1</v>
      </c>
      <c r="S2800" s="19" t="s">
        <v>20</v>
      </c>
      <c r="T2800" s="19" t="s">
        <v>1471</v>
      </c>
    </row>
    <row r="2801" spans="1:20">
      <c r="A2801" s="20">
        <v>202604333609999</v>
      </c>
      <c r="B2801" s="19" t="s">
        <v>20</v>
      </c>
      <c r="C2801" s="19" t="s">
        <v>21</v>
      </c>
      <c r="D2801" s="19" t="s">
        <v>20</v>
      </c>
      <c r="E2801" s="21">
        <v>46235</v>
      </c>
      <c r="F2801" s="21">
        <v>46599</v>
      </c>
      <c r="G2801" s="21"/>
      <c r="H2801" s="21">
        <v>46235</v>
      </c>
      <c r="I2801" s="21">
        <v>46599</v>
      </c>
      <c r="J2801" s="19" t="s">
        <v>2068</v>
      </c>
      <c r="L2801" s="19">
        <v>0</v>
      </c>
      <c r="M2801" s="19">
        <v>0</v>
      </c>
      <c r="N2801" s="19" t="s">
        <v>2394</v>
      </c>
      <c r="O2801" s="20">
        <v>5</v>
      </c>
      <c r="S2801" s="19" t="s">
        <v>20</v>
      </c>
      <c r="T2801" s="19" t="s">
        <v>1471</v>
      </c>
    </row>
    <row r="2802" spans="1:20">
      <c r="A2802" s="20">
        <v>202604333609999</v>
      </c>
      <c r="B2802" s="19" t="s">
        <v>20</v>
      </c>
      <c r="C2802" s="19" t="s">
        <v>21</v>
      </c>
      <c r="D2802" s="19" t="s">
        <v>20</v>
      </c>
      <c r="E2802" s="21">
        <v>46235</v>
      </c>
      <c r="F2802" s="21">
        <v>46599</v>
      </c>
      <c r="G2802" s="21"/>
      <c r="H2802" s="21">
        <v>46235</v>
      </c>
      <c r="I2802" s="21">
        <v>46599</v>
      </c>
      <c r="J2802" s="19" t="s">
        <v>2068</v>
      </c>
      <c r="L2802" s="19">
        <v>131.29342</v>
      </c>
      <c r="M2802" s="19">
        <v>131.29342</v>
      </c>
      <c r="N2802" s="19" t="s">
        <v>1475</v>
      </c>
      <c r="O2802" s="20">
        <v>5</v>
      </c>
      <c r="S2802" s="19" t="s">
        <v>20</v>
      </c>
      <c r="T2802" s="19" t="s">
        <v>1471</v>
      </c>
    </row>
    <row r="2803" spans="1:20">
      <c r="A2803" s="20">
        <v>202604333610100</v>
      </c>
      <c r="B2803" s="19" t="s">
        <v>20</v>
      </c>
      <c r="C2803" s="19" t="s">
        <v>21</v>
      </c>
      <c r="D2803" s="19" t="s">
        <v>20</v>
      </c>
      <c r="E2803" s="21">
        <v>46235</v>
      </c>
      <c r="F2803" s="21">
        <v>46599</v>
      </c>
      <c r="G2803" s="21"/>
      <c r="H2803" s="21">
        <v>46235</v>
      </c>
      <c r="I2803" s="21">
        <v>46599</v>
      </c>
      <c r="J2803" s="19" t="s">
        <v>2068</v>
      </c>
      <c r="L2803" s="19">
        <v>26.258683999999999</v>
      </c>
      <c r="M2803" s="19">
        <v>26.258683999999999</v>
      </c>
      <c r="N2803" s="19" t="s">
        <v>1475</v>
      </c>
      <c r="O2803" s="20">
        <v>1</v>
      </c>
      <c r="S2803" s="19" t="s">
        <v>20</v>
      </c>
      <c r="T2803" s="19" t="s">
        <v>1471</v>
      </c>
    </row>
    <row r="2804" spans="1:20">
      <c r="A2804" s="20">
        <v>202604333611312</v>
      </c>
      <c r="B2804" s="19" t="s">
        <v>20</v>
      </c>
      <c r="C2804" s="19" t="s">
        <v>21</v>
      </c>
      <c r="D2804" s="19" t="s">
        <v>20</v>
      </c>
      <c r="E2804" s="21">
        <v>46235</v>
      </c>
      <c r="F2804" s="21">
        <v>46599</v>
      </c>
      <c r="G2804" s="21"/>
      <c r="H2804" s="21">
        <v>46235</v>
      </c>
      <c r="I2804" s="21">
        <v>46599</v>
      </c>
      <c r="J2804" s="19" t="s">
        <v>2064</v>
      </c>
      <c r="L2804" s="19">
        <v>33.130630250000003</v>
      </c>
      <c r="M2804" s="19">
        <v>33.130630250000003</v>
      </c>
      <c r="N2804" s="19" t="s">
        <v>1475</v>
      </c>
      <c r="O2804" s="20">
        <v>1</v>
      </c>
      <c r="S2804" s="19" t="s">
        <v>20</v>
      </c>
      <c r="T2804" s="19" t="s">
        <v>1471</v>
      </c>
    </row>
    <row r="2805" spans="1:20">
      <c r="A2805" s="20">
        <v>202604333613078</v>
      </c>
      <c r="B2805" s="19" t="s">
        <v>20</v>
      </c>
      <c r="C2805" s="19" t="s">
        <v>21</v>
      </c>
      <c r="D2805" s="19" t="s">
        <v>20</v>
      </c>
      <c r="E2805" s="21">
        <v>46235</v>
      </c>
      <c r="F2805" s="21">
        <v>46599</v>
      </c>
      <c r="G2805" s="21"/>
      <c r="H2805" s="21">
        <v>46235</v>
      </c>
      <c r="I2805" s="21">
        <v>46599</v>
      </c>
      <c r="J2805" s="19" t="s">
        <v>2064</v>
      </c>
      <c r="L2805" s="19">
        <v>0</v>
      </c>
      <c r="M2805" s="19">
        <v>0</v>
      </c>
      <c r="N2805" s="19" t="s">
        <v>2394</v>
      </c>
      <c r="O2805" s="20">
        <v>4</v>
      </c>
      <c r="S2805" s="19" t="s">
        <v>20</v>
      </c>
      <c r="T2805" s="19" t="s">
        <v>1471</v>
      </c>
    </row>
    <row r="2806" spans="1:20">
      <c r="A2806" s="20">
        <v>202604333613078</v>
      </c>
      <c r="B2806" s="19" t="s">
        <v>20</v>
      </c>
      <c r="C2806" s="19" t="s">
        <v>21</v>
      </c>
      <c r="D2806" s="19" t="s">
        <v>20</v>
      </c>
      <c r="E2806" s="21">
        <v>46235</v>
      </c>
      <c r="F2806" s="21">
        <v>46599</v>
      </c>
      <c r="G2806" s="21"/>
      <c r="H2806" s="21">
        <v>46235</v>
      </c>
      <c r="I2806" s="21">
        <v>46599</v>
      </c>
      <c r="J2806" s="19" t="s">
        <v>2064</v>
      </c>
      <c r="L2806" s="19">
        <v>132.52252100000001</v>
      </c>
      <c r="M2806" s="19">
        <v>132.52252100000001</v>
      </c>
      <c r="N2806" s="19" t="s">
        <v>1475</v>
      </c>
      <c r="O2806" s="20">
        <v>4</v>
      </c>
      <c r="S2806" s="19" t="s">
        <v>20</v>
      </c>
      <c r="T2806" s="19" t="s">
        <v>1471</v>
      </c>
    </row>
    <row r="2807" spans="1:20">
      <c r="A2807" s="20">
        <v>202604333613719</v>
      </c>
      <c r="B2807" s="19" t="s">
        <v>20</v>
      </c>
      <c r="C2807" s="19" t="s">
        <v>21</v>
      </c>
      <c r="D2807" s="19" t="s">
        <v>20</v>
      </c>
      <c r="E2807" s="21">
        <v>46235</v>
      </c>
      <c r="F2807" s="21">
        <v>46599</v>
      </c>
      <c r="G2807" s="21"/>
      <c r="H2807" s="21">
        <v>46235</v>
      </c>
      <c r="I2807" s="21">
        <v>46599</v>
      </c>
      <c r="J2807" s="19" t="s">
        <v>2087</v>
      </c>
      <c r="L2807" s="19">
        <v>0</v>
      </c>
      <c r="M2807" s="19">
        <v>0</v>
      </c>
      <c r="N2807" s="19" t="s">
        <v>2394</v>
      </c>
      <c r="O2807" s="20">
        <v>5</v>
      </c>
      <c r="S2807" s="19" t="s">
        <v>20</v>
      </c>
      <c r="T2807" s="19" t="s">
        <v>1471</v>
      </c>
    </row>
    <row r="2808" spans="1:20">
      <c r="A2808" s="20">
        <v>202604333613719</v>
      </c>
      <c r="B2808" s="19" t="s">
        <v>20</v>
      </c>
      <c r="C2808" s="19" t="s">
        <v>21</v>
      </c>
      <c r="D2808" s="19" t="s">
        <v>20</v>
      </c>
      <c r="E2808" s="21">
        <v>46235</v>
      </c>
      <c r="F2808" s="21">
        <v>46599</v>
      </c>
      <c r="G2808" s="21"/>
      <c r="H2808" s="21">
        <v>46235</v>
      </c>
      <c r="I2808" s="21">
        <v>46599</v>
      </c>
      <c r="J2808" s="19" t="s">
        <v>2087</v>
      </c>
      <c r="L2808" s="19">
        <v>165.65315125000001</v>
      </c>
      <c r="M2808" s="19">
        <v>165.65315125000001</v>
      </c>
      <c r="N2808" s="19" t="s">
        <v>1475</v>
      </c>
      <c r="O2808" s="20">
        <v>5</v>
      </c>
      <c r="S2808" s="19" t="s">
        <v>20</v>
      </c>
      <c r="T2808" s="19" t="s">
        <v>1471</v>
      </c>
    </row>
    <row r="2809" spans="1:20">
      <c r="A2809" s="20">
        <v>202604333613755</v>
      </c>
      <c r="B2809" s="19" t="s">
        <v>20</v>
      </c>
      <c r="C2809" s="19" t="s">
        <v>21</v>
      </c>
      <c r="D2809" s="19" t="s">
        <v>20</v>
      </c>
      <c r="E2809" s="21">
        <v>46235</v>
      </c>
      <c r="F2809" s="21">
        <v>46599</v>
      </c>
      <c r="G2809" s="21"/>
      <c r="H2809" s="21">
        <v>46235</v>
      </c>
      <c r="I2809" s="21">
        <v>46599</v>
      </c>
      <c r="J2809" s="19" t="s">
        <v>2080</v>
      </c>
      <c r="L2809" s="19">
        <v>66.261260500000006</v>
      </c>
      <c r="M2809" s="19">
        <v>66.261260500000006</v>
      </c>
      <c r="N2809" s="19" t="s">
        <v>1475</v>
      </c>
      <c r="O2809" s="20">
        <v>2</v>
      </c>
      <c r="S2809" s="19" t="s">
        <v>20</v>
      </c>
      <c r="T2809" s="19" t="s">
        <v>1471</v>
      </c>
    </row>
    <row r="2810" spans="1:20">
      <c r="A2810" s="20">
        <v>202604333614743</v>
      </c>
      <c r="B2810" s="19" t="s">
        <v>20</v>
      </c>
      <c r="C2810" s="19" t="s">
        <v>21</v>
      </c>
      <c r="D2810" s="19" t="s">
        <v>2441</v>
      </c>
      <c r="E2810" s="21">
        <v>46235</v>
      </c>
      <c r="F2810" s="21">
        <v>46599</v>
      </c>
      <c r="G2810" s="21"/>
      <c r="H2810" s="21">
        <v>46235</v>
      </c>
      <c r="I2810" s="21">
        <v>46599</v>
      </c>
      <c r="J2810" s="19" t="s">
        <v>2068</v>
      </c>
      <c r="L2810" s="19">
        <v>29.8487145</v>
      </c>
      <c r="M2810" s="19">
        <v>29.8487145</v>
      </c>
      <c r="N2810" s="19" t="s">
        <v>1467</v>
      </c>
      <c r="O2810" s="20">
        <v>3</v>
      </c>
      <c r="S2810" s="19" t="s">
        <v>20</v>
      </c>
      <c r="T2810" s="19" t="s">
        <v>1471</v>
      </c>
    </row>
    <row r="2811" spans="1:20">
      <c r="A2811" s="20">
        <v>202604333616151</v>
      </c>
      <c r="B2811" s="19" t="s">
        <v>20</v>
      </c>
      <c r="C2811" s="19" t="s">
        <v>21</v>
      </c>
      <c r="D2811" s="19" t="s">
        <v>20</v>
      </c>
      <c r="E2811" s="21">
        <v>46235</v>
      </c>
      <c r="F2811" s="21">
        <v>46599</v>
      </c>
      <c r="G2811" s="21"/>
      <c r="H2811" s="21">
        <v>46235</v>
      </c>
      <c r="I2811" s="21">
        <v>46599</v>
      </c>
      <c r="J2811" s="19" t="s">
        <v>2085</v>
      </c>
      <c r="L2811" s="19">
        <v>0</v>
      </c>
      <c r="M2811" s="19">
        <v>0</v>
      </c>
      <c r="N2811" s="19" t="s">
        <v>2394</v>
      </c>
      <c r="O2811" s="20">
        <v>4</v>
      </c>
      <c r="S2811" s="19" t="s">
        <v>20</v>
      </c>
      <c r="T2811" s="19" t="s">
        <v>1471</v>
      </c>
    </row>
    <row r="2812" spans="1:20">
      <c r="A2812" s="20">
        <v>202604333616151</v>
      </c>
      <c r="B2812" s="19" t="s">
        <v>20</v>
      </c>
      <c r="C2812" s="19" t="s">
        <v>21</v>
      </c>
      <c r="D2812" s="19" t="s">
        <v>20</v>
      </c>
      <c r="E2812" s="21">
        <v>46235</v>
      </c>
      <c r="F2812" s="21">
        <v>46599</v>
      </c>
      <c r="G2812" s="21"/>
      <c r="H2812" s="21">
        <v>46235</v>
      </c>
      <c r="I2812" s="21">
        <v>46599</v>
      </c>
      <c r="J2812" s="19" t="s">
        <v>2085</v>
      </c>
      <c r="L2812" s="19">
        <v>98.482693999999995</v>
      </c>
      <c r="M2812" s="19">
        <v>98.482693999999995</v>
      </c>
      <c r="N2812" s="19" t="s">
        <v>1475</v>
      </c>
      <c r="O2812" s="20">
        <v>4</v>
      </c>
      <c r="S2812" s="19" t="s">
        <v>20</v>
      </c>
      <c r="T2812" s="19" t="s">
        <v>1471</v>
      </c>
    </row>
    <row r="2813" spans="1:20">
      <c r="A2813" s="20">
        <v>202604333616156</v>
      </c>
      <c r="B2813" s="19" t="s">
        <v>20</v>
      </c>
      <c r="C2813" s="19" t="s">
        <v>21</v>
      </c>
      <c r="D2813" s="19" t="s">
        <v>20</v>
      </c>
      <c r="E2813" s="21">
        <v>46235</v>
      </c>
      <c r="F2813" s="21">
        <v>46599</v>
      </c>
      <c r="G2813" s="21"/>
      <c r="H2813" s="21">
        <v>46235</v>
      </c>
      <c r="I2813" s="21">
        <v>46599</v>
      </c>
      <c r="J2813" s="19" t="s">
        <v>2272</v>
      </c>
      <c r="L2813" s="19">
        <v>66.261260500000006</v>
      </c>
      <c r="M2813" s="19">
        <v>66.261260500000006</v>
      </c>
      <c r="N2813" s="19" t="s">
        <v>1475</v>
      </c>
      <c r="O2813" s="20">
        <v>2</v>
      </c>
      <c r="S2813" s="19" t="s">
        <v>20</v>
      </c>
      <c r="T2813" s="19" t="s">
        <v>1471</v>
      </c>
    </row>
    <row r="2814" spans="1:20">
      <c r="A2814" s="20">
        <v>202604333618153</v>
      </c>
      <c r="B2814" s="19" t="s">
        <v>20</v>
      </c>
      <c r="C2814" s="19" t="s">
        <v>21</v>
      </c>
      <c r="D2814" s="19" t="s">
        <v>20</v>
      </c>
      <c r="E2814" s="21">
        <v>46235</v>
      </c>
      <c r="F2814" s="21">
        <v>46599</v>
      </c>
      <c r="G2814" s="21"/>
      <c r="H2814" s="21">
        <v>46235</v>
      </c>
      <c r="I2814" s="21">
        <v>46599</v>
      </c>
      <c r="J2814" s="19" t="s">
        <v>2087</v>
      </c>
      <c r="L2814" s="19">
        <v>66.261260500000006</v>
      </c>
      <c r="M2814" s="19">
        <v>66.261260500000006</v>
      </c>
      <c r="N2814" s="19" t="s">
        <v>1475</v>
      </c>
      <c r="O2814" s="20">
        <v>2</v>
      </c>
      <c r="S2814" s="19" t="s">
        <v>20</v>
      </c>
      <c r="T2814" s="19" t="s">
        <v>1471</v>
      </c>
    </row>
    <row r="2815" spans="1:20">
      <c r="A2815" s="20">
        <v>202604333622099</v>
      </c>
      <c r="B2815" s="19" t="s">
        <v>20</v>
      </c>
      <c r="C2815" s="19" t="s">
        <v>21</v>
      </c>
      <c r="D2815" s="19" t="s">
        <v>20</v>
      </c>
      <c r="E2815" s="21">
        <v>46235</v>
      </c>
      <c r="F2815" s="21">
        <v>46599</v>
      </c>
      <c r="G2815" s="21"/>
      <c r="H2815" s="21">
        <v>46235</v>
      </c>
      <c r="I2815" s="21">
        <v>46599</v>
      </c>
      <c r="J2815" s="19" t="s">
        <v>2093</v>
      </c>
      <c r="L2815" s="19">
        <v>0</v>
      </c>
      <c r="M2815" s="19">
        <v>0</v>
      </c>
      <c r="N2815" s="19" t="s">
        <v>2394</v>
      </c>
      <c r="O2815" s="20">
        <v>2</v>
      </c>
      <c r="S2815" s="19" t="s">
        <v>20</v>
      </c>
      <c r="T2815" s="19" t="s">
        <v>1471</v>
      </c>
    </row>
    <row r="2816" spans="1:20">
      <c r="A2816" s="20">
        <v>202604333622099</v>
      </c>
      <c r="B2816" s="19" t="s">
        <v>20</v>
      </c>
      <c r="C2816" s="19" t="s">
        <v>21</v>
      </c>
      <c r="D2816" s="19" t="s">
        <v>20</v>
      </c>
      <c r="E2816" s="21">
        <v>46235</v>
      </c>
      <c r="F2816" s="21">
        <v>46599</v>
      </c>
      <c r="G2816" s="21"/>
      <c r="H2816" s="21">
        <v>46235</v>
      </c>
      <c r="I2816" s="21">
        <v>46599</v>
      </c>
      <c r="J2816" s="19" t="s">
        <v>2093</v>
      </c>
      <c r="L2816" s="19">
        <v>57.552068499999997</v>
      </c>
      <c r="M2816" s="19">
        <v>57.552068499999997</v>
      </c>
      <c r="N2816" s="19" t="s">
        <v>1475</v>
      </c>
      <c r="O2816" s="20">
        <v>2</v>
      </c>
      <c r="S2816" s="19" t="s">
        <v>20</v>
      </c>
      <c r="T2816" s="19" t="s">
        <v>1471</v>
      </c>
    </row>
    <row r="2817" spans="1:20">
      <c r="A2817" s="20">
        <v>202604333622310</v>
      </c>
      <c r="B2817" s="19" t="s">
        <v>20</v>
      </c>
      <c r="C2817" s="19" t="s">
        <v>21</v>
      </c>
      <c r="D2817" s="19" t="s">
        <v>20</v>
      </c>
      <c r="E2817" s="21">
        <v>46235</v>
      </c>
      <c r="F2817" s="21">
        <v>46599</v>
      </c>
      <c r="G2817" s="21"/>
      <c r="H2817" s="21">
        <v>46235</v>
      </c>
      <c r="I2817" s="21">
        <v>46599</v>
      </c>
      <c r="J2817" s="19" t="s">
        <v>2064</v>
      </c>
      <c r="L2817" s="19">
        <v>0</v>
      </c>
      <c r="M2817" s="19">
        <v>0</v>
      </c>
      <c r="N2817" s="19" t="s">
        <v>2394</v>
      </c>
      <c r="O2817" s="20">
        <v>6</v>
      </c>
      <c r="S2817" s="19" t="s">
        <v>20</v>
      </c>
      <c r="T2817" s="19" t="s">
        <v>1471</v>
      </c>
    </row>
    <row r="2818" spans="1:20">
      <c r="A2818" s="20">
        <v>202604333622310</v>
      </c>
      <c r="B2818" s="19" t="s">
        <v>20</v>
      </c>
      <c r="C2818" s="19" t="s">
        <v>21</v>
      </c>
      <c r="D2818" s="19" t="s">
        <v>20</v>
      </c>
      <c r="E2818" s="21">
        <v>46235</v>
      </c>
      <c r="F2818" s="21">
        <v>46599</v>
      </c>
      <c r="G2818" s="21"/>
      <c r="H2818" s="21">
        <v>46235</v>
      </c>
      <c r="I2818" s="21">
        <v>46599</v>
      </c>
      <c r="J2818" s="19" t="s">
        <v>2064</v>
      </c>
      <c r="L2818" s="19">
        <v>198.7837815</v>
      </c>
      <c r="M2818" s="19">
        <v>198.7837815</v>
      </c>
      <c r="N2818" s="19" t="s">
        <v>1475</v>
      </c>
      <c r="O2818" s="20">
        <v>6</v>
      </c>
      <c r="S2818" s="19" t="s">
        <v>20</v>
      </c>
      <c r="T2818" s="19" t="s">
        <v>1471</v>
      </c>
    </row>
    <row r="2819" spans="1:20">
      <c r="A2819" s="20">
        <v>202604333623179</v>
      </c>
      <c r="B2819" s="19" t="s">
        <v>20</v>
      </c>
      <c r="C2819" s="19" t="s">
        <v>21</v>
      </c>
      <c r="D2819" s="19" t="s">
        <v>20</v>
      </c>
      <c r="E2819" s="21">
        <v>46235</v>
      </c>
      <c r="F2819" s="21">
        <v>46599</v>
      </c>
      <c r="G2819" s="21"/>
      <c r="H2819" s="21">
        <v>46235</v>
      </c>
      <c r="I2819" s="21">
        <v>46599</v>
      </c>
      <c r="J2819" s="19" t="s">
        <v>2104</v>
      </c>
      <c r="L2819" s="19">
        <v>0</v>
      </c>
      <c r="M2819" s="19">
        <v>0</v>
      </c>
      <c r="N2819" s="19" t="s">
        <v>2394</v>
      </c>
      <c r="O2819" s="20">
        <v>4</v>
      </c>
      <c r="S2819" s="19" t="s">
        <v>20</v>
      </c>
      <c r="T2819" s="19" t="s">
        <v>1471</v>
      </c>
    </row>
    <row r="2820" spans="1:20">
      <c r="A2820" s="20">
        <v>202604333623179</v>
      </c>
      <c r="B2820" s="19" t="s">
        <v>20</v>
      </c>
      <c r="C2820" s="19" t="s">
        <v>21</v>
      </c>
      <c r="D2820" s="19" t="s">
        <v>20</v>
      </c>
      <c r="E2820" s="21">
        <v>46235</v>
      </c>
      <c r="F2820" s="21">
        <v>46599</v>
      </c>
      <c r="G2820" s="21"/>
      <c r="H2820" s="21">
        <v>46235</v>
      </c>
      <c r="I2820" s="21">
        <v>46599</v>
      </c>
      <c r="J2820" s="19" t="s">
        <v>2104</v>
      </c>
      <c r="L2820" s="19">
        <v>132.52252100000001</v>
      </c>
      <c r="M2820" s="19">
        <v>132.52252100000001</v>
      </c>
      <c r="N2820" s="19" t="s">
        <v>1475</v>
      </c>
      <c r="O2820" s="20">
        <v>4</v>
      </c>
      <c r="S2820" s="19" t="s">
        <v>20</v>
      </c>
      <c r="T2820" s="19" t="s">
        <v>1471</v>
      </c>
    </row>
    <row r="2821" spans="1:20">
      <c r="A2821" s="20">
        <v>202604333625802</v>
      </c>
      <c r="B2821" s="19" t="s">
        <v>20</v>
      </c>
      <c r="C2821" s="19" t="s">
        <v>21</v>
      </c>
      <c r="D2821" s="19" t="s">
        <v>20</v>
      </c>
      <c r="E2821" s="21">
        <v>46235</v>
      </c>
      <c r="F2821" s="21">
        <v>46599</v>
      </c>
      <c r="G2821" s="21"/>
      <c r="H2821" s="21">
        <v>46235</v>
      </c>
      <c r="I2821" s="21">
        <v>46599</v>
      </c>
      <c r="J2821" s="19" t="s">
        <v>2062</v>
      </c>
      <c r="L2821" s="19">
        <v>0</v>
      </c>
      <c r="M2821" s="19">
        <v>0</v>
      </c>
      <c r="N2821" s="19" t="s">
        <v>2394</v>
      </c>
      <c r="O2821" s="20">
        <v>5</v>
      </c>
      <c r="S2821" s="19" t="s">
        <v>20</v>
      </c>
      <c r="T2821" s="19" t="s">
        <v>1471</v>
      </c>
    </row>
    <row r="2822" spans="1:20">
      <c r="A2822" s="20">
        <v>202604333625802</v>
      </c>
      <c r="B2822" s="19" t="s">
        <v>20</v>
      </c>
      <c r="C2822" s="19" t="s">
        <v>21</v>
      </c>
      <c r="D2822" s="19" t="s">
        <v>20</v>
      </c>
      <c r="E2822" s="21">
        <v>46235</v>
      </c>
      <c r="F2822" s="21">
        <v>46599</v>
      </c>
      <c r="G2822" s="21"/>
      <c r="H2822" s="21">
        <v>46235</v>
      </c>
      <c r="I2822" s="21">
        <v>46599</v>
      </c>
      <c r="J2822" s="19" t="s">
        <v>2062</v>
      </c>
      <c r="L2822" s="19">
        <v>165.65315125000001</v>
      </c>
      <c r="M2822" s="19">
        <v>165.65315125000001</v>
      </c>
      <c r="N2822" s="19" t="s">
        <v>1475</v>
      </c>
      <c r="O2822" s="20">
        <v>5</v>
      </c>
      <c r="S2822" s="19" t="s">
        <v>20</v>
      </c>
      <c r="T2822" s="19" t="s">
        <v>1471</v>
      </c>
    </row>
    <row r="2823" spans="1:20">
      <c r="A2823" s="20">
        <v>202604333625822</v>
      </c>
      <c r="B2823" s="19" t="s">
        <v>20</v>
      </c>
      <c r="C2823" s="19" t="s">
        <v>21</v>
      </c>
      <c r="D2823" s="19" t="s">
        <v>20</v>
      </c>
      <c r="E2823" s="21">
        <v>46235</v>
      </c>
      <c r="F2823" s="21">
        <v>46599</v>
      </c>
      <c r="G2823" s="21"/>
      <c r="H2823" s="21">
        <v>46235</v>
      </c>
      <c r="I2823" s="21">
        <v>46599</v>
      </c>
      <c r="J2823" s="19" t="s">
        <v>2087</v>
      </c>
      <c r="L2823" s="19">
        <v>0</v>
      </c>
      <c r="M2823" s="19">
        <v>0</v>
      </c>
      <c r="N2823" s="19" t="s">
        <v>2394</v>
      </c>
      <c r="O2823" s="20">
        <v>2</v>
      </c>
      <c r="S2823" s="19" t="s">
        <v>20</v>
      </c>
      <c r="T2823" s="19" t="s">
        <v>1471</v>
      </c>
    </row>
    <row r="2824" spans="1:20">
      <c r="A2824" s="20">
        <v>202604333625822</v>
      </c>
      <c r="B2824" s="19" t="s">
        <v>20</v>
      </c>
      <c r="C2824" s="19" t="s">
        <v>21</v>
      </c>
      <c r="D2824" s="19" t="s">
        <v>20</v>
      </c>
      <c r="E2824" s="21">
        <v>46235</v>
      </c>
      <c r="F2824" s="21">
        <v>46599</v>
      </c>
      <c r="G2824" s="21"/>
      <c r="H2824" s="21">
        <v>46235</v>
      </c>
      <c r="I2824" s="21">
        <v>46599</v>
      </c>
      <c r="J2824" s="19" t="s">
        <v>2087</v>
      </c>
      <c r="L2824" s="19">
        <v>66.261260500000006</v>
      </c>
      <c r="M2824" s="19">
        <v>66.261260500000006</v>
      </c>
      <c r="N2824" s="19" t="s">
        <v>1475</v>
      </c>
      <c r="O2824" s="20">
        <v>2</v>
      </c>
      <c r="S2824" s="19" t="s">
        <v>20</v>
      </c>
      <c r="T2824" s="19" t="s">
        <v>1471</v>
      </c>
    </row>
    <row r="2825" spans="1:20">
      <c r="A2825" s="20">
        <v>202604333626029</v>
      </c>
      <c r="B2825" s="19" t="s">
        <v>20</v>
      </c>
      <c r="C2825" s="19" t="s">
        <v>21</v>
      </c>
      <c r="D2825" s="19" t="s">
        <v>2440</v>
      </c>
      <c r="E2825" s="21">
        <v>46235</v>
      </c>
      <c r="F2825" s="21">
        <v>46599</v>
      </c>
      <c r="G2825" s="21"/>
      <c r="H2825" s="21">
        <v>46235</v>
      </c>
      <c r="I2825" s="21">
        <v>46599</v>
      </c>
      <c r="J2825" s="19" t="s">
        <v>2202</v>
      </c>
      <c r="L2825" s="19">
        <v>13.8862425</v>
      </c>
      <c r="M2825" s="19">
        <v>13.8862425</v>
      </c>
      <c r="N2825" s="19" t="s">
        <v>1467</v>
      </c>
      <c r="O2825" s="20">
        <v>1</v>
      </c>
      <c r="S2825" s="19" t="s">
        <v>20</v>
      </c>
      <c r="T2825" s="19" t="s">
        <v>1471</v>
      </c>
    </row>
    <row r="2826" spans="1:20">
      <c r="A2826" s="20">
        <v>202604333626760</v>
      </c>
      <c r="B2826" s="19" t="s">
        <v>20</v>
      </c>
      <c r="C2826" s="19" t="s">
        <v>21</v>
      </c>
      <c r="D2826" s="19" t="s">
        <v>20</v>
      </c>
      <c r="E2826" s="21">
        <v>46235</v>
      </c>
      <c r="F2826" s="21">
        <v>46599</v>
      </c>
      <c r="G2826" s="21"/>
      <c r="H2826" s="21">
        <v>46235</v>
      </c>
      <c r="I2826" s="21">
        <v>46599</v>
      </c>
      <c r="J2826" s="19" t="s">
        <v>2092</v>
      </c>
      <c r="L2826" s="19">
        <v>0</v>
      </c>
      <c r="M2826" s="19">
        <v>0</v>
      </c>
      <c r="N2826" s="19" t="s">
        <v>2394</v>
      </c>
      <c r="O2826" s="20">
        <v>3</v>
      </c>
      <c r="S2826" s="19" t="s">
        <v>20</v>
      </c>
      <c r="T2826" s="19" t="s">
        <v>1471</v>
      </c>
    </row>
    <row r="2827" spans="1:20">
      <c r="A2827" s="20">
        <v>202604333626760</v>
      </c>
      <c r="B2827" s="19" t="s">
        <v>20</v>
      </c>
      <c r="C2827" s="19" t="s">
        <v>21</v>
      </c>
      <c r="D2827" s="19" t="s">
        <v>20</v>
      </c>
      <c r="E2827" s="21">
        <v>46235</v>
      </c>
      <c r="F2827" s="21">
        <v>46599</v>
      </c>
      <c r="G2827" s="21"/>
      <c r="H2827" s="21">
        <v>46235</v>
      </c>
      <c r="I2827" s="21">
        <v>46599</v>
      </c>
      <c r="J2827" s="19" t="s">
        <v>2092</v>
      </c>
      <c r="L2827" s="19">
        <v>115.978677</v>
      </c>
      <c r="M2827" s="19">
        <v>115.978677</v>
      </c>
      <c r="N2827" s="19" t="s">
        <v>1475</v>
      </c>
      <c r="O2827" s="20">
        <v>3</v>
      </c>
      <c r="S2827" s="19" t="s">
        <v>20</v>
      </c>
      <c r="T2827" s="19" t="s">
        <v>1471</v>
      </c>
    </row>
    <row r="2828" spans="1:20">
      <c r="A2828" s="20">
        <v>202604333626800</v>
      </c>
      <c r="B2828" s="19" t="s">
        <v>20</v>
      </c>
      <c r="C2828" s="19" t="s">
        <v>21</v>
      </c>
      <c r="D2828" s="19" t="s">
        <v>20</v>
      </c>
      <c r="E2828" s="21">
        <v>46235</v>
      </c>
      <c r="F2828" s="21">
        <v>46599</v>
      </c>
      <c r="G2828" s="21"/>
      <c r="H2828" s="21">
        <v>46235</v>
      </c>
      <c r="I2828" s="21">
        <v>46599</v>
      </c>
      <c r="J2828" s="19" t="s">
        <v>2062</v>
      </c>
      <c r="L2828" s="19">
        <v>0</v>
      </c>
      <c r="M2828" s="19">
        <v>0</v>
      </c>
      <c r="N2828" s="19" t="s">
        <v>2394</v>
      </c>
      <c r="O2828" s="20">
        <v>4</v>
      </c>
      <c r="S2828" s="19" t="s">
        <v>20</v>
      </c>
      <c r="T2828" s="19" t="s">
        <v>1471</v>
      </c>
    </row>
    <row r="2829" spans="1:20">
      <c r="A2829" s="20">
        <v>202604333626800</v>
      </c>
      <c r="B2829" s="19" t="s">
        <v>20</v>
      </c>
      <c r="C2829" s="19" t="s">
        <v>21</v>
      </c>
      <c r="D2829" s="19" t="s">
        <v>20</v>
      </c>
      <c r="E2829" s="21">
        <v>46235</v>
      </c>
      <c r="F2829" s="21">
        <v>46599</v>
      </c>
      <c r="G2829" s="21"/>
      <c r="H2829" s="21">
        <v>46235</v>
      </c>
      <c r="I2829" s="21">
        <v>46599</v>
      </c>
      <c r="J2829" s="19" t="s">
        <v>2062</v>
      </c>
      <c r="L2829" s="19">
        <v>132.52252100000001</v>
      </c>
      <c r="M2829" s="19">
        <v>132.52252100000001</v>
      </c>
      <c r="N2829" s="19" t="s">
        <v>1475</v>
      </c>
      <c r="O2829" s="20">
        <v>4</v>
      </c>
      <c r="S2829" s="19" t="s">
        <v>20</v>
      </c>
      <c r="T2829" s="19" t="s">
        <v>1471</v>
      </c>
    </row>
    <row r="2830" spans="1:20">
      <c r="A2830" s="20">
        <v>202604333629367</v>
      </c>
      <c r="B2830" s="19" t="s">
        <v>20</v>
      </c>
      <c r="C2830" s="19" t="s">
        <v>21</v>
      </c>
      <c r="D2830" s="19" t="s">
        <v>20</v>
      </c>
      <c r="E2830" s="21">
        <v>46235</v>
      </c>
      <c r="F2830" s="21">
        <v>46599</v>
      </c>
      <c r="G2830" s="21"/>
      <c r="H2830" s="21">
        <v>46235</v>
      </c>
      <c r="I2830" s="21">
        <v>46599</v>
      </c>
      <c r="J2830" s="19" t="s">
        <v>2064</v>
      </c>
      <c r="L2830" s="19">
        <v>33.130630250000003</v>
      </c>
      <c r="M2830" s="19">
        <v>33.130630250000003</v>
      </c>
      <c r="N2830" s="19" t="s">
        <v>1475</v>
      </c>
      <c r="O2830" s="20">
        <v>1</v>
      </c>
      <c r="S2830" s="19" t="s">
        <v>20</v>
      </c>
      <c r="T2830" s="19" t="s">
        <v>1471</v>
      </c>
    </row>
    <row r="2831" spans="1:20">
      <c r="A2831" s="20">
        <v>202604333629548</v>
      </c>
      <c r="B2831" s="19" t="s">
        <v>20</v>
      </c>
      <c r="C2831" s="19" t="s">
        <v>21</v>
      </c>
      <c r="D2831" s="19" t="s">
        <v>20</v>
      </c>
      <c r="E2831" s="21">
        <v>46235</v>
      </c>
      <c r="F2831" s="21">
        <v>46599</v>
      </c>
      <c r="G2831" s="21"/>
      <c r="H2831" s="21">
        <v>46235</v>
      </c>
      <c r="I2831" s="21">
        <v>46599</v>
      </c>
      <c r="J2831" s="19" t="s">
        <v>2064</v>
      </c>
      <c r="L2831" s="19">
        <v>0</v>
      </c>
      <c r="M2831" s="19">
        <v>0</v>
      </c>
      <c r="N2831" s="19" t="s">
        <v>2394</v>
      </c>
      <c r="O2831" s="20">
        <v>3</v>
      </c>
      <c r="S2831" s="19" t="s">
        <v>20</v>
      </c>
      <c r="T2831" s="19" t="s">
        <v>1471</v>
      </c>
    </row>
    <row r="2832" spans="1:20">
      <c r="A2832" s="20">
        <v>202604333629548</v>
      </c>
      <c r="B2832" s="19" t="s">
        <v>20</v>
      </c>
      <c r="C2832" s="19" t="s">
        <v>21</v>
      </c>
      <c r="D2832" s="19" t="s">
        <v>20</v>
      </c>
      <c r="E2832" s="21">
        <v>46235</v>
      </c>
      <c r="F2832" s="21">
        <v>46599</v>
      </c>
      <c r="G2832" s="21"/>
      <c r="H2832" s="21">
        <v>46235</v>
      </c>
      <c r="I2832" s="21">
        <v>46599</v>
      </c>
      <c r="J2832" s="19" t="s">
        <v>2064</v>
      </c>
      <c r="L2832" s="19">
        <v>99.391890750000002</v>
      </c>
      <c r="M2832" s="19">
        <v>99.391890750000002</v>
      </c>
      <c r="N2832" s="19" t="s">
        <v>1475</v>
      </c>
      <c r="O2832" s="20">
        <v>3</v>
      </c>
      <c r="S2832" s="19" t="s">
        <v>20</v>
      </c>
      <c r="T2832" s="19" t="s">
        <v>1471</v>
      </c>
    </row>
    <row r="2833" spans="1:20">
      <c r="A2833" s="20">
        <v>202604333630084</v>
      </c>
      <c r="B2833" s="19" t="s">
        <v>20</v>
      </c>
      <c r="C2833" s="19" t="s">
        <v>21</v>
      </c>
      <c r="D2833" s="19" t="s">
        <v>20</v>
      </c>
      <c r="E2833" s="21">
        <v>46235</v>
      </c>
      <c r="F2833" s="21">
        <v>46599</v>
      </c>
      <c r="G2833" s="21"/>
      <c r="H2833" s="21">
        <v>46235</v>
      </c>
      <c r="I2833" s="21">
        <v>46599</v>
      </c>
      <c r="J2833" s="19" t="s">
        <v>2064</v>
      </c>
      <c r="L2833" s="19">
        <v>0</v>
      </c>
      <c r="M2833" s="19">
        <v>0</v>
      </c>
      <c r="N2833" s="19" t="s">
        <v>2394</v>
      </c>
      <c r="O2833" s="20">
        <v>3</v>
      </c>
      <c r="S2833" s="19" t="s">
        <v>20</v>
      </c>
      <c r="T2833" s="19" t="s">
        <v>1471</v>
      </c>
    </row>
    <row r="2834" spans="1:20">
      <c r="A2834" s="20">
        <v>202604333630084</v>
      </c>
      <c r="B2834" s="19" t="s">
        <v>20</v>
      </c>
      <c r="C2834" s="19" t="s">
        <v>21</v>
      </c>
      <c r="D2834" s="19" t="s">
        <v>20</v>
      </c>
      <c r="E2834" s="21">
        <v>46235</v>
      </c>
      <c r="F2834" s="21">
        <v>46599</v>
      </c>
      <c r="G2834" s="21"/>
      <c r="H2834" s="21">
        <v>46235</v>
      </c>
      <c r="I2834" s="21">
        <v>46599</v>
      </c>
      <c r="J2834" s="19" t="s">
        <v>2064</v>
      </c>
      <c r="L2834" s="19">
        <v>99.391890750000002</v>
      </c>
      <c r="M2834" s="19">
        <v>99.391890750000002</v>
      </c>
      <c r="N2834" s="19" t="s">
        <v>1475</v>
      </c>
      <c r="O2834" s="20">
        <v>3</v>
      </c>
      <c r="S2834" s="19" t="s">
        <v>20</v>
      </c>
      <c r="T2834" s="19" t="s">
        <v>1471</v>
      </c>
    </row>
    <row r="2835" spans="1:20">
      <c r="A2835" s="20">
        <v>202604333631151</v>
      </c>
      <c r="B2835" s="19" t="s">
        <v>20</v>
      </c>
      <c r="C2835" s="19" t="s">
        <v>21</v>
      </c>
      <c r="D2835" s="19" t="s">
        <v>2439</v>
      </c>
      <c r="E2835" s="21">
        <v>46235</v>
      </c>
      <c r="F2835" s="21">
        <v>46599</v>
      </c>
      <c r="G2835" s="21"/>
      <c r="H2835" s="21">
        <v>46235</v>
      </c>
      <c r="I2835" s="21">
        <v>46599</v>
      </c>
      <c r="J2835" s="19" t="s">
        <v>2109</v>
      </c>
      <c r="L2835" s="19">
        <v>29.817561749999999</v>
      </c>
      <c r="M2835" s="19">
        <v>29.817561749999999</v>
      </c>
      <c r="N2835" s="19" t="s">
        <v>1467</v>
      </c>
      <c r="O2835" s="20">
        <v>1</v>
      </c>
      <c r="S2835" s="19" t="s">
        <v>20</v>
      </c>
      <c r="T2835" s="19" t="s">
        <v>1471</v>
      </c>
    </row>
    <row r="2836" spans="1:20">
      <c r="A2836" s="20">
        <v>202604333633781</v>
      </c>
      <c r="B2836" s="19" t="s">
        <v>20</v>
      </c>
      <c r="C2836" s="19" t="s">
        <v>21</v>
      </c>
      <c r="D2836" s="19" t="s">
        <v>20</v>
      </c>
      <c r="E2836" s="21">
        <v>46235</v>
      </c>
      <c r="F2836" s="21">
        <v>46599</v>
      </c>
      <c r="G2836" s="21"/>
      <c r="H2836" s="21">
        <v>46235</v>
      </c>
      <c r="I2836" s="21">
        <v>46599</v>
      </c>
      <c r="J2836" s="19" t="s">
        <v>2085</v>
      </c>
      <c r="L2836" s="19">
        <v>73.8620205</v>
      </c>
      <c r="M2836" s="19">
        <v>73.8620205</v>
      </c>
      <c r="N2836" s="19" t="s">
        <v>1475</v>
      </c>
      <c r="O2836" s="20">
        <v>3</v>
      </c>
      <c r="S2836" s="19" t="s">
        <v>20</v>
      </c>
      <c r="T2836" s="19" t="s">
        <v>1471</v>
      </c>
    </row>
    <row r="2837" spans="1:20">
      <c r="A2837" s="20">
        <v>202604333634227</v>
      </c>
      <c r="B2837" s="19" t="s">
        <v>20</v>
      </c>
      <c r="C2837" s="19" t="s">
        <v>21</v>
      </c>
      <c r="D2837" s="19" t="s">
        <v>20</v>
      </c>
      <c r="E2837" s="21">
        <v>46235</v>
      </c>
      <c r="F2837" s="21">
        <v>46599</v>
      </c>
      <c r="G2837" s="21"/>
      <c r="H2837" s="21">
        <v>46235</v>
      </c>
      <c r="I2837" s="21">
        <v>46599</v>
      </c>
      <c r="J2837" s="19" t="s">
        <v>2080</v>
      </c>
      <c r="L2837" s="19">
        <v>33.130630250000003</v>
      </c>
      <c r="M2837" s="19">
        <v>33.130630250000003</v>
      </c>
      <c r="N2837" s="19" t="s">
        <v>1475</v>
      </c>
      <c r="O2837" s="20">
        <v>1</v>
      </c>
      <c r="S2837" s="19" t="s">
        <v>20</v>
      </c>
      <c r="T2837" s="19" t="s">
        <v>1471</v>
      </c>
    </row>
    <row r="2838" spans="1:20">
      <c r="A2838" s="20">
        <v>202604333636155</v>
      </c>
      <c r="B2838" s="19" t="s">
        <v>20</v>
      </c>
      <c r="C2838" s="19" t="s">
        <v>21</v>
      </c>
      <c r="D2838" s="19" t="s">
        <v>20</v>
      </c>
      <c r="E2838" s="21">
        <v>46235</v>
      </c>
      <c r="F2838" s="21">
        <v>46599</v>
      </c>
      <c r="G2838" s="21"/>
      <c r="H2838" s="21">
        <v>46235</v>
      </c>
      <c r="I2838" s="21">
        <v>46599</v>
      </c>
      <c r="J2838" s="19" t="s">
        <v>2068</v>
      </c>
      <c r="L2838" s="19">
        <v>0</v>
      </c>
      <c r="M2838" s="19">
        <v>0</v>
      </c>
      <c r="N2838" s="19" t="s">
        <v>2394</v>
      </c>
      <c r="O2838" s="20">
        <v>3</v>
      </c>
      <c r="S2838" s="19" t="s">
        <v>20</v>
      </c>
      <c r="T2838" s="19" t="s">
        <v>1471</v>
      </c>
    </row>
    <row r="2839" spans="1:20">
      <c r="A2839" s="20">
        <v>202604333636155</v>
      </c>
      <c r="B2839" s="19" t="s">
        <v>20</v>
      </c>
      <c r="C2839" s="19" t="s">
        <v>21</v>
      </c>
      <c r="D2839" s="19" t="s">
        <v>20</v>
      </c>
      <c r="E2839" s="21">
        <v>46235</v>
      </c>
      <c r="F2839" s="21">
        <v>46599</v>
      </c>
      <c r="G2839" s="21"/>
      <c r="H2839" s="21">
        <v>46235</v>
      </c>
      <c r="I2839" s="21">
        <v>46599</v>
      </c>
      <c r="J2839" s="19" t="s">
        <v>2068</v>
      </c>
      <c r="L2839" s="19">
        <v>78.776052000000007</v>
      </c>
      <c r="M2839" s="19">
        <v>78.776052000000007</v>
      </c>
      <c r="N2839" s="19" t="s">
        <v>1475</v>
      </c>
      <c r="O2839" s="20">
        <v>3</v>
      </c>
      <c r="S2839" s="19" t="s">
        <v>20</v>
      </c>
      <c r="T2839" s="19" t="s">
        <v>1471</v>
      </c>
    </row>
    <row r="2840" spans="1:20">
      <c r="A2840" s="20">
        <v>202604333639999</v>
      </c>
      <c r="B2840" s="19" t="s">
        <v>20</v>
      </c>
      <c r="C2840" s="19" t="s">
        <v>21</v>
      </c>
      <c r="D2840" s="19" t="s">
        <v>20</v>
      </c>
      <c r="E2840" s="21">
        <v>46235</v>
      </c>
      <c r="F2840" s="21">
        <v>46599</v>
      </c>
      <c r="G2840" s="21"/>
      <c r="H2840" s="21">
        <v>46235</v>
      </c>
      <c r="I2840" s="21">
        <v>46599</v>
      </c>
      <c r="J2840" s="19" t="s">
        <v>2064</v>
      </c>
      <c r="L2840" s="19">
        <v>0</v>
      </c>
      <c r="M2840" s="19">
        <v>0</v>
      </c>
      <c r="N2840" s="19" t="s">
        <v>2394</v>
      </c>
      <c r="O2840" s="20">
        <v>2</v>
      </c>
      <c r="S2840" s="19" t="s">
        <v>20</v>
      </c>
      <c r="T2840" s="19" t="s">
        <v>1471</v>
      </c>
    </row>
    <row r="2841" spans="1:20">
      <c r="A2841" s="20">
        <v>202604333639999</v>
      </c>
      <c r="B2841" s="19" t="s">
        <v>20</v>
      </c>
      <c r="C2841" s="19" t="s">
        <v>21</v>
      </c>
      <c r="D2841" s="19" t="s">
        <v>20</v>
      </c>
      <c r="E2841" s="21">
        <v>46235</v>
      </c>
      <c r="F2841" s="21">
        <v>46599</v>
      </c>
      <c r="G2841" s="21"/>
      <c r="H2841" s="21">
        <v>46235</v>
      </c>
      <c r="I2841" s="21">
        <v>46599</v>
      </c>
      <c r="J2841" s="19" t="s">
        <v>2064</v>
      </c>
      <c r="L2841" s="19">
        <v>66.261260500000006</v>
      </c>
      <c r="M2841" s="19">
        <v>66.261260500000006</v>
      </c>
      <c r="N2841" s="19" t="s">
        <v>1475</v>
      </c>
      <c r="O2841" s="20">
        <v>2</v>
      </c>
      <c r="S2841" s="19" t="s">
        <v>20</v>
      </c>
      <c r="T2841" s="19" t="s">
        <v>1471</v>
      </c>
    </row>
    <row r="2842" spans="1:20">
      <c r="A2842" s="20">
        <v>202604333640025</v>
      </c>
      <c r="B2842" s="19" t="s">
        <v>20</v>
      </c>
      <c r="C2842" s="19" t="s">
        <v>21</v>
      </c>
      <c r="D2842" s="19" t="s">
        <v>20</v>
      </c>
      <c r="E2842" s="21">
        <v>46235</v>
      </c>
      <c r="F2842" s="21">
        <v>46599</v>
      </c>
      <c r="G2842" s="21"/>
      <c r="H2842" s="21">
        <v>46235</v>
      </c>
      <c r="I2842" s="21">
        <v>46599</v>
      </c>
      <c r="J2842" s="19" t="s">
        <v>2086</v>
      </c>
      <c r="L2842" s="19">
        <v>0</v>
      </c>
      <c r="M2842" s="19">
        <v>0</v>
      </c>
      <c r="N2842" s="19" t="s">
        <v>2394</v>
      </c>
      <c r="O2842" s="20">
        <v>8</v>
      </c>
      <c r="S2842" s="19" t="s">
        <v>20</v>
      </c>
      <c r="T2842" s="19" t="s">
        <v>1471</v>
      </c>
    </row>
    <row r="2843" spans="1:20">
      <c r="A2843" s="20">
        <v>202604333640025</v>
      </c>
      <c r="B2843" s="19" t="s">
        <v>20</v>
      </c>
      <c r="C2843" s="19" t="s">
        <v>21</v>
      </c>
      <c r="D2843" s="19" t="s">
        <v>20</v>
      </c>
      <c r="E2843" s="21">
        <v>46235</v>
      </c>
      <c r="F2843" s="21">
        <v>46599</v>
      </c>
      <c r="G2843" s="21"/>
      <c r="H2843" s="21">
        <v>46235</v>
      </c>
      <c r="I2843" s="21">
        <v>46599</v>
      </c>
      <c r="J2843" s="19" t="s">
        <v>2086</v>
      </c>
      <c r="L2843" s="19">
        <v>265.04504200000002</v>
      </c>
      <c r="M2843" s="19">
        <v>265.04504200000002</v>
      </c>
      <c r="N2843" s="19" t="s">
        <v>1475</v>
      </c>
      <c r="O2843" s="20">
        <v>8</v>
      </c>
      <c r="S2843" s="19" t="s">
        <v>20</v>
      </c>
      <c r="T2843" s="19" t="s">
        <v>1471</v>
      </c>
    </row>
    <row r="2844" spans="1:20">
      <c r="A2844" s="20">
        <v>202604333644556</v>
      </c>
      <c r="B2844" s="19" t="s">
        <v>20</v>
      </c>
      <c r="C2844" s="19" t="s">
        <v>21</v>
      </c>
      <c r="D2844" s="19" t="s">
        <v>20</v>
      </c>
      <c r="E2844" s="21">
        <v>46235</v>
      </c>
      <c r="F2844" s="21">
        <v>46599</v>
      </c>
      <c r="G2844" s="21"/>
      <c r="H2844" s="21">
        <v>46235</v>
      </c>
      <c r="I2844" s="21">
        <v>46599</v>
      </c>
      <c r="J2844" s="19" t="s">
        <v>2111</v>
      </c>
      <c r="L2844" s="19">
        <v>0</v>
      </c>
      <c r="M2844" s="19">
        <v>0</v>
      </c>
      <c r="N2844" s="19" t="s">
        <v>2394</v>
      </c>
      <c r="O2844" s="20">
        <v>4</v>
      </c>
      <c r="S2844" s="19" t="s">
        <v>20</v>
      </c>
      <c r="T2844" s="19" t="s">
        <v>1471</v>
      </c>
    </row>
    <row r="2845" spans="1:20">
      <c r="A2845" s="20">
        <v>202604333644556</v>
      </c>
      <c r="B2845" s="19" t="s">
        <v>20</v>
      </c>
      <c r="C2845" s="19" t="s">
        <v>21</v>
      </c>
      <c r="D2845" s="19" t="s">
        <v>20</v>
      </c>
      <c r="E2845" s="21">
        <v>46235</v>
      </c>
      <c r="F2845" s="21">
        <v>46599</v>
      </c>
      <c r="G2845" s="21"/>
      <c r="H2845" s="21">
        <v>46235</v>
      </c>
      <c r="I2845" s="21">
        <v>46599</v>
      </c>
      <c r="J2845" s="19" t="s">
        <v>2111</v>
      </c>
      <c r="L2845" s="19">
        <v>132.52252100000001</v>
      </c>
      <c r="M2845" s="19">
        <v>132.52252100000001</v>
      </c>
      <c r="N2845" s="19" t="s">
        <v>1475</v>
      </c>
      <c r="O2845" s="20">
        <v>4</v>
      </c>
      <c r="S2845" s="19" t="s">
        <v>20</v>
      </c>
      <c r="T2845" s="19" t="s">
        <v>1471</v>
      </c>
    </row>
    <row r="2846" spans="1:20">
      <c r="A2846" s="20">
        <v>202604333644599</v>
      </c>
      <c r="B2846" s="19" t="s">
        <v>20</v>
      </c>
      <c r="C2846" s="19" t="s">
        <v>21</v>
      </c>
      <c r="D2846" s="19" t="s">
        <v>20</v>
      </c>
      <c r="E2846" s="21">
        <v>46235</v>
      </c>
      <c r="F2846" s="21">
        <v>46599</v>
      </c>
      <c r="G2846" s="21"/>
      <c r="H2846" s="21">
        <v>46235</v>
      </c>
      <c r="I2846" s="21">
        <v>46599</v>
      </c>
      <c r="J2846" s="19" t="s">
        <v>2118</v>
      </c>
      <c r="L2846" s="19">
        <v>0</v>
      </c>
      <c r="M2846" s="19">
        <v>0</v>
      </c>
      <c r="N2846" s="19" t="s">
        <v>2394</v>
      </c>
      <c r="O2846" s="20">
        <v>3</v>
      </c>
      <c r="S2846" s="19" t="s">
        <v>20</v>
      </c>
      <c r="T2846" s="19" t="s">
        <v>1471</v>
      </c>
    </row>
    <row r="2847" spans="1:20">
      <c r="A2847" s="20">
        <v>202604333644599</v>
      </c>
      <c r="B2847" s="19" t="s">
        <v>20</v>
      </c>
      <c r="C2847" s="19" t="s">
        <v>21</v>
      </c>
      <c r="D2847" s="19" t="s">
        <v>20</v>
      </c>
      <c r="E2847" s="21">
        <v>46235</v>
      </c>
      <c r="F2847" s="21">
        <v>46599</v>
      </c>
      <c r="G2847" s="21"/>
      <c r="H2847" s="21">
        <v>46235</v>
      </c>
      <c r="I2847" s="21">
        <v>46599</v>
      </c>
      <c r="J2847" s="19" t="s">
        <v>2118</v>
      </c>
      <c r="L2847" s="19">
        <v>99.391890750000002</v>
      </c>
      <c r="M2847" s="19">
        <v>99.391890750000002</v>
      </c>
      <c r="N2847" s="19" t="s">
        <v>1475</v>
      </c>
      <c r="O2847" s="20">
        <v>3</v>
      </c>
      <c r="S2847" s="19" t="s">
        <v>20</v>
      </c>
      <c r="T2847" s="19" t="s">
        <v>1471</v>
      </c>
    </row>
    <row r="2848" spans="1:20">
      <c r="A2848" s="20">
        <v>202604333647185</v>
      </c>
      <c r="B2848" s="19" t="s">
        <v>20</v>
      </c>
      <c r="C2848" s="19" t="s">
        <v>21</v>
      </c>
      <c r="D2848" s="19" t="s">
        <v>20</v>
      </c>
      <c r="E2848" s="21">
        <v>46235</v>
      </c>
      <c r="F2848" s="21">
        <v>46599</v>
      </c>
      <c r="G2848" s="21"/>
      <c r="H2848" s="21">
        <v>46235</v>
      </c>
      <c r="I2848" s="21">
        <v>46599</v>
      </c>
      <c r="J2848" s="19" t="s">
        <v>2080</v>
      </c>
      <c r="L2848" s="19">
        <v>0</v>
      </c>
      <c r="M2848" s="19">
        <v>0</v>
      </c>
      <c r="N2848" s="19" t="s">
        <v>2394</v>
      </c>
      <c r="O2848" s="20">
        <v>4</v>
      </c>
      <c r="S2848" s="19" t="s">
        <v>20</v>
      </c>
      <c r="T2848" s="19" t="s">
        <v>1471</v>
      </c>
    </row>
    <row r="2849" spans="1:20">
      <c r="A2849" s="20">
        <v>202604333647185</v>
      </c>
      <c r="B2849" s="19" t="s">
        <v>20</v>
      </c>
      <c r="C2849" s="19" t="s">
        <v>21</v>
      </c>
      <c r="D2849" s="19" t="s">
        <v>20</v>
      </c>
      <c r="E2849" s="21">
        <v>46235</v>
      </c>
      <c r="F2849" s="21">
        <v>46599</v>
      </c>
      <c r="G2849" s="21"/>
      <c r="H2849" s="21">
        <v>46235</v>
      </c>
      <c r="I2849" s="21">
        <v>46599</v>
      </c>
      <c r="J2849" s="19" t="s">
        <v>2080</v>
      </c>
      <c r="L2849" s="19">
        <v>132.52252100000001</v>
      </c>
      <c r="M2849" s="19">
        <v>132.52252100000001</v>
      </c>
      <c r="N2849" s="19" t="s">
        <v>1475</v>
      </c>
      <c r="O2849" s="20">
        <v>4</v>
      </c>
      <c r="S2849" s="19" t="s">
        <v>20</v>
      </c>
      <c r="T2849" s="19" t="s">
        <v>1471</v>
      </c>
    </row>
    <row r="2850" spans="1:20">
      <c r="A2850" s="20">
        <v>202604333648549</v>
      </c>
      <c r="B2850" s="19" t="s">
        <v>20</v>
      </c>
      <c r="C2850" s="19" t="s">
        <v>21</v>
      </c>
      <c r="D2850" s="19" t="s">
        <v>20</v>
      </c>
      <c r="E2850" s="21">
        <v>46235</v>
      </c>
      <c r="F2850" s="21">
        <v>46599</v>
      </c>
      <c r="G2850" s="21"/>
      <c r="H2850" s="21">
        <v>46235</v>
      </c>
      <c r="I2850" s="21">
        <v>46599</v>
      </c>
      <c r="J2850" s="19" t="s">
        <v>2104</v>
      </c>
      <c r="L2850" s="19">
        <v>33.130630250000003</v>
      </c>
      <c r="M2850" s="19">
        <v>33.130630250000003</v>
      </c>
      <c r="N2850" s="19" t="s">
        <v>1475</v>
      </c>
      <c r="O2850" s="20">
        <v>1</v>
      </c>
      <c r="S2850" s="19" t="s">
        <v>20</v>
      </c>
      <c r="T2850" s="19" t="s">
        <v>1471</v>
      </c>
    </row>
    <row r="2851" spans="1:20">
      <c r="A2851" s="20">
        <v>202604333649649</v>
      </c>
      <c r="B2851" s="19" t="s">
        <v>20</v>
      </c>
      <c r="C2851" s="19" t="s">
        <v>21</v>
      </c>
      <c r="D2851" s="19" t="s">
        <v>20</v>
      </c>
      <c r="E2851" s="21">
        <v>46235</v>
      </c>
      <c r="F2851" s="21">
        <v>46599</v>
      </c>
      <c r="G2851" s="21"/>
      <c r="H2851" s="21">
        <v>46235</v>
      </c>
      <c r="I2851" s="21">
        <v>46599</v>
      </c>
      <c r="J2851" s="19" t="s">
        <v>2104</v>
      </c>
      <c r="L2851" s="19">
        <v>0</v>
      </c>
      <c r="M2851" s="19">
        <v>0</v>
      </c>
      <c r="N2851" s="19" t="s">
        <v>2394</v>
      </c>
      <c r="O2851" s="20">
        <v>3</v>
      </c>
      <c r="S2851" s="19" t="s">
        <v>20</v>
      </c>
      <c r="T2851" s="19" t="s">
        <v>1471</v>
      </c>
    </row>
    <row r="2852" spans="1:20">
      <c r="A2852" s="20">
        <v>202604333649649</v>
      </c>
      <c r="B2852" s="19" t="s">
        <v>20</v>
      </c>
      <c r="C2852" s="19" t="s">
        <v>21</v>
      </c>
      <c r="D2852" s="19" t="s">
        <v>2438</v>
      </c>
      <c r="E2852" s="21">
        <v>46235</v>
      </c>
      <c r="F2852" s="21">
        <v>46599</v>
      </c>
      <c r="G2852" s="21"/>
      <c r="H2852" s="21">
        <v>46235</v>
      </c>
      <c r="I2852" s="21">
        <v>46599</v>
      </c>
      <c r="J2852" s="19" t="s">
        <v>2104</v>
      </c>
      <c r="L2852" s="19">
        <v>50.1815505</v>
      </c>
      <c r="M2852" s="19">
        <v>50.1815505</v>
      </c>
      <c r="N2852" s="19" t="s">
        <v>1467</v>
      </c>
      <c r="O2852" s="20">
        <v>3</v>
      </c>
      <c r="S2852" s="19" t="s">
        <v>20</v>
      </c>
      <c r="T2852" s="19" t="s">
        <v>1471</v>
      </c>
    </row>
    <row r="2853" spans="1:20">
      <c r="A2853" s="20">
        <v>202604333651856</v>
      </c>
      <c r="B2853" s="19" t="s">
        <v>20</v>
      </c>
      <c r="C2853" s="19" t="s">
        <v>21</v>
      </c>
      <c r="D2853" s="19" t="s">
        <v>20</v>
      </c>
      <c r="E2853" s="21">
        <v>46235</v>
      </c>
      <c r="F2853" s="21">
        <v>46599</v>
      </c>
      <c r="G2853" s="21"/>
      <c r="H2853" s="21">
        <v>46235</v>
      </c>
      <c r="I2853" s="21">
        <v>46599</v>
      </c>
      <c r="J2853" s="19" t="s">
        <v>2068</v>
      </c>
      <c r="L2853" s="19">
        <v>52.517367999999998</v>
      </c>
      <c r="M2853" s="19">
        <v>52.517367999999998</v>
      </c>
      <c r="N2853" s="19" t="s">
        <v>1475</v>
      </c>
      <c r="O2853" s="20">
        <v>2</v>
      </c>
      <c r="S2853" s="19" t="s">
        <v>20</v>
      </c>
      <c r="T2853" s="19" t="s">
        <v>1471</v>
      </c>
    </row>
    <row r="2854" spans="1:20">
      <c r="A2854" s="20">
        <v>202604333651937</v>
      </c>
      <c r="B2854" s="19" t="s">
        <v>20</v>
      </c>
      <c r="C2854" s="19" t="s">
        <v>21</v>
      </c>
      <c r="D2854" s="19" t="s">
        <v>20</v>
      </c>
      <c r="E2854" s="21">
        <v>46235</v>
      </c>
      <c r="F2854" s="21">
        <v>46599</v>
      </c>
      <c r="G2854" s="21"/>
      <c r="H2854" s="21">
        <v>46235</v>
      </c>
      <c r="I2854" s="21">
        <v>46599</v>
      </c>
      <c r="J2854" s="19" t="s">
        <v>2064</v>
      </c>
      <c r="L2854" s="19">
        <v>0</v>
      </c>
      <c r="M2854" s="19">
        <v>0</v>
      </c>
      <c r="N2854" s="19" t="s">
        <v>2394</v>
      </c>
      <c r="O2854" s="20">
        <v>2</v>
      </c>
      <c r="S2854" s="19" t="s">
        <v>20</v>
      </c>
      <c r="T2854" s="19" t="s">
        <v>1471</v>
      </c>
    </row>
    <row r="2855" spans="1:20">
      <c r="A2855" s="20">
        <v>202604333651937</v>
      </c>
      <c r="B2855" s="19" t="s">
        <v>20</v>
      </c>
      <c r="C2855" s="19" t="s">
        <v>21</v>
      </c>
      <c r="D2855" s="19" t="s">
        <v>20</v>
      </c>
      <c r="E2855" s="21">
        <v>46235</v>
      </c>
      <c r="F2855" s="21">
        <v>46599</v>
      </c>
      <c r="G2855" s="21"/>
      <c r="H2855" s="21">
        <v>46235</v>
      </c>
      <c r="I2855" s="21">
        <v>46599</v>
      </c>
      <c r="J2855" s="19" t="s">
        <v>2064</v>
      </c>
      <c r="L2855" s="19">
        <v>66.261260500000006</v>
      </c>
      <c r="M2855" s="19">
        <v>66.261260500000006</v>
      </c>
      <c r="N2855" s="19" t="s">
        <v>1475</v>
      </c>
      <c r="O2855" s="20">
        <v>2</v>
      </c>
      <c r="S2855" s="19" t="s">
        <v>20</v>
      </c>
      <c r="T2855" s="19" t="s">
        <v>1471</v>
      </c>
    </row>
    <row r="2856" spans="1:20">
      <c r="A2856" s="20">
        <v>202604333654051</v>
      </c>
      <c r="B2856" s="19" t="s">
        <v>20</v>
      </c>
      <c r="C2856" s="19" t="s">
        <v>21</v>
      </c>
      <c r="D2856" s="19" t="s">
        <v>20</v>
      </c>
      <c r="E2856" s="21">
        <v>46235</v>
      </c>
      <c r="F2856" s="21">
        <v>46599</v>
      </c>
      <c r="G2856" s="21"/>
      <c r="H2856" s="21">
        <v>46235</v>
      </c>
      <c r="I2856" s="21">
        <v>46599</v>
      </c>
      <c r="J2856" s="19" t="s">
        <v>2118</v>
      </c>
      <c r="L2856" s="19">
        <v>33.130630250000003</v>
      </c>
      <c r="M2856" s="19">
        <v>33.130630250000003</v>
      </c>
      <c r="N2856" s="19" t="s">
        <v>1475</v>
      </c>
      <c r="O2856" s="20">
        <v>1</v>
      </c>
      <c r="S2856" s="19" t="s">
        <v>20</v>
      </c>
      <c r="T2856" s="19" t="s">
        <v>1471</v>
      </c>
    </row>
    <row r="2857" spans="1:20">
      <c r="A2857" s="20">
        <v>202604333656010</v>
      </c>
      <c r="B2857" s="19" t="s">
        <v>20</v>
      </c>
      <c r="C2857" s="19" t="s">
        <v>21</v>
      </c>
      <c r="D2857" s="19" t="s">
        <v>20</v>
      </c>
      <c r="E2857" s="21">
        <v>46235</v>
      </c>
      <c r="F2857" s="21">
        <v>46599</v>
      </c>
      <c r="G2857" s="21"/>
      <c r="H2857" s="21">
        <v>46235</v>
      </c>
      <c r="I2857" s="21">
        <v>46599</v>
      </c>
      <c r="J2857" s="19" t="s">
        <v>2064</v>
      </c>
      <c r="L2857" s="19">
        <v>99.391890750000002</v>
      </c>
      <c r="M2857" s="19">
        <v>99.391890750000002</v>
      </c>
      <c r="N2857" s="19" t="s">
        <v>1475</v>
      </c>
      <c r="O2857" s="20">
        <v>3</v>
      </c>
      <c r="S2857" s="19" t="s">
        <v>20</v>
      </c>
      <c r="T2857" s="19" t="s">
        <v>1471</v>
      </c>
    </row>
    <row r="2858" spans="1:20">
      <c r="A2858" s="20">
        <v>202604333657332</v>
      </c>
      <c r="B2858" s="19" t="s">
        <v>20</v>
      </c>
      <c r="C2858" s="19" t="s">
        <v>21</v>
      </c>
      <c r="D2858" s="19" t="s">
        <v>20</v>
      </c>
      <c r="E2858" s="21">
        <v>46235</v>
      </c>
      <c r="F2858" s="21">
        <v>46599</v>
      </c>
      <c r="G2858" s="21"/>
      <c r="H2858" s="21">
        <v>46235</v>
      </c>
      <c r="I2858" s="21">
        <v>46599</v>
      </c>
      <c r="J2858" s="19" t="s">
        <v>2093</v>
      </c>
      <c r="L2858" s="19">
        <v>0</v>
      </c>
      <c r="M2858" s="19">
        <v>0</v>
      </c>
      <c r="N2858" s="19" t="s">
        <v>2394</v>
      </c>
      <c r="O2858" s="20">
        <v>5</v>
      </c>
      <c r="S2858" s="19" t="s">
        <v>20</v>
      </c>
      <c r="T2858" s="19" t="s">
        <v>1471</v>
      </c>
    </row>
    <row r="2859" spans="1:20">
      <c r="A2859" s="20">
        <v>202604333657332</v>
      </c>
      <c r="B2859" s="19" t="s">
        <v>20</v>
      </c>
      <c r="C2859" s="19" t="s">
        <v>21</v>
      </c>
      <c r="D2859" s="19" t="s">
        <v>20</v>
      </c>
      <c r="E2859" s="21">
        <v>46235</v>
      </c>
      <c r="F2859" s="21">
        <v>46599</v>
      </c>
      <c r="G2859" s="21"/>
      <c r="H2859" s="21">
        <v>46235</v>
      </c>
      <c r="I2859" s="21">
        <v>46599</v>
      </c>
      <c r="J2859" s="19" t="s">
        <v>2093</v>
      </c>
      <c r="L2859" s="19">
        <v>143.88017124999999</v>
      </c>
      <c r="M2859" s="19">
        <v>143.88017124999999</v>
      </c>
      <c r="N2859" s="19" t="s">
        <v>1475</v>
      </c>
      <c r="O2859" s="20">
        <v>5</v>
      </c>
      <c r="S2859" s="19" t="s">
        <v>20</v>
      </c>
      <c r="T2859" s="19" t="s">
        <v>1471</v>
      </c>
    </row>
    <row r="2860" spans="1:20">
      <c r="A2860" s="20">
        <v>202604333657900</v>
      </c>
      <c r="B2860" s="19" t="s">
        <v>20</v>
      </c>
      <c r="C2860" s="19" t="s">
        <v>21</v>
      </c>
      <c r="D2860" s="19" t="s">
        <v>20</v>
      </c>
      <c r="E2860" s="21">
        <v>46235</v>
      </c>
      <c r="F2860" s="21">
        <v>46599</v>
      </c>
      <c r="G2860" s="21"/>
      <c r="H2860" s="21">
        <v>46235</v>
      </c>
      <c r="I2860" s="21">
        <v>46599</v>
      </c>
      <c r="J2860" s="19" t="s">
        <v>2069</v>
      </c>
      <c r="L2860" s="19">
        <v>0</v>
      </c>
      <c r="M2860" s="19">
        <v>0</v>
      </c>
      <c r="N2860" s="19" t="s">
        <v>2394</v>
      </c>
      <c r="O2860" s="20">
        <v>7</v>
      </c>
      <c r="S2860" s="19" t="s">
        <v>20</v>
      </c>
      <c r="T2860" s="19" t="s">
        <v>1471</v>
      </c>
    </row>
    <row r="2861" spans="1:20">
      <c r="A2861" s="20">
        <v>202604333657900</v>
      </c>
      <c r="B2861" s="19" t="s">
        <v>20</v>
      </c>
      <c r="C2861" s="19" t="s">
        <v>21</v>
      </c>
      <c r="D2861" s="19" t="s">
        <v>20</v>
      </c>
      <c r="E2861" s="21">
        <v>46235</v>
      </c>
      <c r="F2861" s="21">
        <v>46599</v>
      </c>
      <c r="G2861" s="21"/>
      <c r="H2861" s="21">
        <v>46235</v>
      </c>
      <c r="I2861" s="21">
        <v>46599</v>
      </c>
      <c r="J2861" s="19" t="s">
        <v>2069</v>
      </c>
      <c r="L2861" s="19">
        <v>231.91441175</v>
      </c>
      <c r="M2861" s="19">
        <v>231.91441175</v>
      </c>
      <c r="N2861" s="19" t="s">
        <v>1475</v>
      </c>
      <c r="O2861" s="20">
        <v>7</v>
      </c>
      <c r="S2861" s="19" t="s">
        <v>20</v>
      </c>
      <c r="T2861" s="19" t="s">
        <v>1471</v>
      </c>
    </row>
    <row r="2862" spans="1:20">
      <c r="A2862" s="20">
        <v>202604333659986</v>
      </c>
      <c r="B2862" s="19" t="s">
        <v>20</v>
      </c>
      <c r="C2862" s="19" t="s">
        <v>21</v>
      </c>
      <c r="D2862" s="19" t="s">
        <v>20</v>
      </c>
      <c r="E2862" s="21">
        <v>46235</v>
      </c>
      <c r="F2862" s="21">
        <v>46599</v>
      </c>
      <c r="G2862" s="21"/>
      <c r="H2862" s="21">
        <v>46235</v>
      </c>
      <c r="I2862" s="21">
        <v>46599</v>
      </c>
      <c r="J2862" s="19" t="s">
        <v>2062</v>
      </c>
      <c r="L2862" s="19">
        <v>0</v>
      </c>
      <c r="M2862" s="19">
        <v>0</v>
      </c>
      <c r="N2862" s="19" t="s">
        <v>2394</v>
      </c>
      <c r="O2862" s="20">
        <v>2</v>
      </c>
      <c r="S2862" s="19" t="s">
        <v>20</v>
      </c>
      <c r="T2862" s="19" t="s">
        <v>1471</v>
      </c>
    </row>
    <row r="2863" spans="1:20">
      <c r="A2863" s="20">
        <v>202604333659986</v>
      </c>
      <c r="B2863" s="19" t="s">
        <v>20</v>
      </c>
      <c r="C2863" s="19" t="s">
        <v>21</v>
      </c>
      <c r="D2863" s="19" t="s">
        <v>20</v>
      </c>
      <c r="E2863" s="21">
        <v>46235</v>
      </c>
      <c r="F2863" s="21">
        <v>46599</v>
      </c>
      <c r="G2863" s="21"/>
      <c r="H2863" s="21">
        <v>46235</v>
      </c>
      <c r="I2863" s="21">
        <v>46599</v>
      </c>
      <c r="J2863" s="19" t="s">
        <v>2062</v>
      </c>
      <c r="L2863" s="19">
        <v>66.261260500000006</v>
      </c>
      <c r="M2863" s="19">
        <v>66.261260500000006</v>
      </c>
      <c r="N2863" s="19" t="s">
        <v>1475</v>
      </c>
      <c r="O2863" s="20">
        <v>2</v>
      </c>
      <c r="S2863" s="19" t="s">
        <v>20</v>
      </c>
      <c r="T2863" s="19" t="s">
        <v>1471</v>
      </c>
    </row>
    <row r="2864" spans="1:20">
      <c r="A2864" s="20">
        <v>202604333664819</v>
      </c>
      <c r="B2864" s="19" t="s">
        <v>20</v>
      </c>
      <c r="C2864" s="19" t="s">
        <v>21</v>
      </c>
      <c r="D2864" s="19" t="s">
        <v>20</v>
      </c>
      <c r="E2864" s="21">
        <v>46235</v>
      </c>
      <c r="F2864" s="21">
        <v>46599</v>
      </c>
      <c r="G2864" s="21"/>
      <c r="H2864" s="21">
        <v>46235</v>
      </c>
      <c r="I2864" s="21">
        <v>46599</v>
      </c>
      <c r="J2864" s="19" t="s">
        <v>2068</v>
      </c>
      <c r="L2864" s="19">
        <v>0</v>
      </c>
      <c r="M2864" s="19">
        <v>0</v>
      </c>
      <c r="N2864" s="19" t="s">
        <v>2394</v>
      </c>
      <c r="O2864" s="20">
        <v>4</v>
      </c>
      <c r="S2864" s="19" t="s">
        <v>20</v>
      </c>
      <c r="T2864" s="19" t="s">
        <v>1471</v>
      </c>
    </row>
    <row r="2865" spans="1:20">
      <c r="A2865" s="20">
        <v>202604333664819</v>
      </c>
      <c r="B2865" s="19" t="s">
        <v>20</v>
      </c>
      <c r="C2865" s="19" t="s">
        <v>21</v>
      </c>
      <c r="D2865" s="19" t="s">
        <v>20</v>
      </c>
      <c r="E2865" s="21">
        <v>46235</v>
      </c>
      <c r="F2865" s="21">
        <v>46599</v>
      </c>
      <c r="G2865" s="21"/>
      <c r="H2865" s="21">
        <v>46235</v>
      </c>
      <c r="I2865" s="21">
        <v>46599</v>
      </c>
      <c r="J2865" s="19" t="s">
        <v>2068</v>
      </c>
      <c r="L2865" s="19">
        <v>105.034736</v>
      </c>
      <c r="M2865" s="19">
        <v>105.034736</v>
      </c>
      <c r="N2865" s="19" t="s">
        <v>1475</v>
      </c>
      <c r="O2865" s="20">
        <v>4</v>
      </c>
      <c r="S2865" s="19" t="s">
        <v>20</v>
      </c>
      <c r="T2865" s="19" t="s">
        <v>1471</v>
      </c>
    </row>
    <row r="2866" spans="1:20">
      <c r="A2866" s="20">
        <v>202604333668021</v>
      </c>
      <c r="B2866" s="19" t="s">
        <v>20</v>
      </c>
      <c r="C2866" s="19" t="s">
        <v>21</v>
      </c>
      <c r="D2866" s="19" t="s">
        <v>20</v>
      </c>
      <c r="E2866" s="21">
        <v>46235</v>
      </c>
      <c r="F2866" s="21">
        <v>46599</v>
      </c>
      <c r="G2866" s="21"/>
      <c r="H2866" s="21">
        <v>46235</v>
      </c>
      <c r="I2866" s="21">
        <v>46599</v>
      </c>
      <c r="J2866" s="19" t="s">
        <v>2318</v>
      </c>
      <c r="L2866" s="19">
        <v>29.817561749999999</v>
      </c>
      <c r="M2866" s="19">
        <v>29.817561749999999</v>
      </c>
      <c r="N2866" s="19" t="s">
        <v>1475</v>
      </c>
      <c r="O2866" s="20">
        <v>1</v>
      </c>
      <c r="S2866" s="19" t="s">
        <v>20</v>
      </c>
      <c r="T2866" s="19" t="s">
        <v>1471</v>
      </c>
    </row>
    <row r="2867" spans="1:20">
      <c r="A2867" s="20">
        <v>202604333669857</v>
      </c>
      <c r="B2867" s="19" t="s">
        <v>20</v>
      </c>
      <c r="C2867" s="19" t="s">
        <v>21</v>
      </c>
      <c r="D2867" s="19" t="s">
        <v>20</v>
      </c>
      <c r="E2867" s="21">
        <v>46235</v>
      </c>
      <c r="F2867" s="21">
        <v>46599</v>
      </c>
      <c r="G2867" s="21"/>
      <c r="H2867" s="21">
        <v>46235</v>
      </c>
      <c r="I2867" s="21">
        <v>46599</v>
      </c>
      <c r="J2867" s="19" t="s">
        <v>2064</v>
      </c>
      <c r="L2867" s="19">
        <v>0</v>
      </c>
      <c r="M2867" s="19">
        <v>0</v>
      </c>
      <c r="N2867" s="19" t="s">
        <v>2394</v>
      </c>
      <c r="O2867" s="20">
        <v>2</v>
      </c>
      <c r="S2867" s="19" t="s">
        <v>20</v>
      </c>
      <c r="T2867" s="19" t="s">
        <v>1471</v>
      </c>
    </row>
    <row r="2868" spans="1:20">
      <c r="A2868" s="20">
        <v>202604333669857</v>
      </c>
      <c r="B2868" s="19" t="s">
        <v>20</v>
      </c>
      <c r="C2868" s="19" t="s">
        <v>21</v>
      </c>
      <c r="D2868" s="19" t="s">
        <v>20</v>
      </c>
      <c r="E2868" s="21">
        <v>46235</v>
      </c>
      <c r="F2868" s="21">
        <v>46599</v>
      </c>
      <c r="G2868" s="21"/>
      <c r="H2868" s="21">
        <v>46235</v>
      </c>
      <c r="I2868" s="21">
        <v>46599</v>
      </c>
      <c r="J2868" s="19" t="s">
        <v>2064</v>
      </c>
      <c r="L2868" s="19">
        <v>66.261260500000006</v>
      </c>
      <c r="M2868" s="19">
        <v>66.261260500000006</v>
      </c>
      <c r="N2868" s="19" t="s">
        <v>1475</v>
      </c>
      <c r="O2868" s="20">
        <v>2</v>
      </c>
      <c r="S2868" s="19" t="s">
        <v>20</v>
      </c>
      <c r="T2868" s="19" t="s">
        <v>1471</v>
      </c>
    </row>
    <row r="2869" spans="1:20">
      <c r="A2869" s="20">
        <v>202604333673942</v>
      </c>
      <c r="B2869" s="19" t="s">
        <v>20</v>
      </c>
      <c r="C2869" s="19" t="s">
        <v>21</v>
      </c>
      <c r="D2869" s="19" t="s">
        <v>20</v>
      </c>
      <c r="E2869" s="21">
        <v>46235</v>
      </c>
      <c r="F2869" s="21">
        <v>46599</v>
      </c>
      <c r="G2869" s="21"/>
      <c r="H2869" s="21">
        <v>46235</v>
      </c>
      <c r="I2869" s="21">
        <v>46599</v>
      </c>
      <c r="J2869" s="19" t="s">
        <v>2115</v>
      </c>
      <c r="L2869" s="19">
        <v>12.743409249999999</v>
      </c>
      <c r="M2869" s="19">
        <v>12.743409249999999</v>
      </c>
      <c r="N2869" s="19" t="s">
        <v>1475</v>
      </c>
      <c r="O2869" s="20">
        <v>1</v>
      </c>
      <c r="S2869" s="19" t="s">
        <v>20</v>
      </c>
      <c r="T2869" s="19" t="s">
        <v>1471</v>
      </c>
    </row>
    <row r="2870" spans="1:20">
      <c r="A2870" s="20">
        <v>202604333676323</v>
      </c>
      <c r="B2870" s="19" t="s">
        <v>20</v>
      </c>
      <c r="C2870" s="19" t="s">
        <v>21</v>
      </c>
      <c r="D2870" s="19" t="s">
        <v>20</v>
      </c>
      <c r="E2870" s="21">
        <v>46235</v>
      </c>
      <c r="F2870" s="21">
        <v>46599</v>
      </c>
      <c r="G2870" s="21"/>
      <c r="H2870" s="21">
        <v>46235</v>
      </c>
      <c r="I2870" s="21">
        <v>46599</v>
      </c>
      <c r="J2870" s="19" t="s">
        <v>2087</v>
      </c>
      <c r="L2870" s="19">
        <v>66.261260500000006</v>
      </c>
      <c r="M2870" s="19">
        <v>66.261260500000006</v>
      </c>
      <c r="N2870" s="19" t="s">
        <v>1475</v>
      </c>
      <c r="O2870" s="20">
        <v>2</v>
      </c>
      <c r="S2870" s="19" t="s">
        <v>20</v>
      </c>
      <c r="T2870" s="19" t="s">
        <v>1471</v>
      </c>
    </row>
    <row r="2871" spans="1:20">
      <c r="A2871" s="20">
        <v>202604333680742</v>
      </c>
      <c r="B2871" s="19" t="s">
        <v>20</v>
      </c>
      <c r="C2871" s="19" t="s">
        <v>21</v>
      </c>
      <c r="D2871" s="19" t="s">
        <v>20</v>
      </c>
      <c r="E2871" s="21">
        <v>46235</v>
      </c>
      <c r="F2871" s="21">
        <v>46599</v>
      </c>
      <c r="G2871" s="21"/>
      <c r="H2871" s="21">
        <v>46235</v>
      </c>
      <c r="I2871" s="21">
        <v>46599</v>
      </c>
      <c r="J2871" s="19" t="s">
        <v>2151</v>
      </c>
      <c r="L2871" s="19">
        <v>0</v>
      </c>
      <c r="M2871" s="19">
        <v>0</v>
      </c>
      <c r="N2871" s="19" t="s">
        <v>2394</v>
      </c>
      <c r="O2871" s="20">
        <v>4</v>
      </c>
      <c r="S2871" s="19" t="s">
        <v>20</v>
      </c>
      <c r="T2871" s="19" t="s">
        <v>1471</v>
      </c>
    </row>
    <row r="2872" spans="1:20">
      <c r="A2872" s="20">
        <v>202604333680742</v>
      </c>
      <c r="B2872" s="19" t="s">
        <v>20</v>
      </c>
      <c r="C2872" s="19" t="s">
        <v>21</v>
      </c>
      <c r="D2872" s="19" t="s">
        <v>2437</v>
      </c>
      <c r="E2872" s="21">
        <v>46235</v>
      </c>
      <c r="F2872" s="21">
        <v>46599</v>
      </c>
      <c r="G2872" s="21"/>
      <c r="H2872" s="21">
        <v>46235</v>
      </c>
      <c r="I2872" s="21">
        <v>46599</v>
      </c>
      <c r="J2872" s="19" t="s">
        <v>2151</v>
      </c>
      <c r="L2872" s="19">
        <v>132.52252100000001</v>
      </c>
      <c r="M2872" s="19">
        <v>132.52252100000001</v>
      </c>
      <c r="N2872" s="19" t="s">
        <v>1467</v>
      </c>
      <c r="O2872" s="20">
        <v>4</v>
      </c>
      <c r="S2872" s="19" t="s">
        <v>20</v>
      </c>
      <c r="T2872" s="19" t="s">
        <v>1471</v>
      </c>
    </row>
    <row r="2873" spans="1:20">
      <c r="A2873" s="20">
        <v>202604333680780</v>
      </c>
      <c r="B2873" s="19" t="s">
        <v>20</v>
      </c>
      <c r="C2873" s="19" t="s">
        <v>21</v>
      </c>
      <c r="D2873" s="19" t="s">
        <v>20</v>
      </c>
      <c r="E2873" s="21">
        <v>46235</v>
      </c>
      <c r="F2873" s="21">
        <v>46599</v>
      </c>
      <c r="G2873" s="21"/>
      <c r="H2873" s="21">
        <v>46235</v>
      </c>
      <c r="I2873" s="21">
        <v>46599</v>
      </c>
      <c r="J2873" s="19" t="s">
        <v>2087</v>
      </c>
      <c r="L2873" s="19">
        <v>66.261260500000006</v>
      </c>
      <c r="M2873" s="19">
        <v>66.261260500000006</v>
      </c>
      <c r="N2873" s="19" t="s">
        <v>1475</v>
      </c>
      <c r="O2873" s="20">
        <v>2</v>
      </c>
      <c r="S2873" s="19" t="s">
        <v>20</v>
      </c>
      <c r="T2873" s="19" t="s">
        <v>1471</v>
      </c>
    </row>
    <row r="2874" spans="1:20">
      <c r="A2874" s="20">
        <v>202604333683096</v>
      </c>
      <c r="B2874" s="19" t="s">
        <v>20</v>
      </c>
      <c r="C2874" s="19" t="s">
        <v>21</v>
      </c>
      <c r="D2874" s="19" t="s">
        <v>20</v>
      </c>
      <c r="E2874" s="21">
        <v>46235</v>
      </c>
      <c r="F2874" s="21">
        <v>46599</v>
      </c>
      <c r="G2874" s="21"/>
      <c r="H2874" s="21">
        <v>46235</v>
      </c>
      <c r="I2874" s="21">
        <v>46599</v>
      </c>
      <c r="J2874" s="19" t="s">
        <v>2068</v>
      </c>
      <c r="L2874" s="19">
        <v>26.258683999999999</v>
      </c>
      <c r="M2874" s="19">
        <v>26.258683999999999</v>
      </c>
      <c r="N2874" s="19" t="s">
        <v>1475</v>
      </c>
      <c r="O2874" s="20">
        <v>1</v>
      </c>
      <c r="S2874" s="19" t="s">
        <v>20</v>
      </c>
      <c r="T2874" s="19" t="s">
        <v>1471</v>
      </c>
    </row>
    <row r="2875" spans="1:20">
      <c r="A2875" s="20">
        <v>202604333687348</v>
      </c>
      <c r="B2875" s="19" t="s">
        <v>20</v>
      </c>
      <c r="C2875" s="19" t="s">
        <v>21</v>
      </c>
      <c r="D2875" s="19" t="s">
        <v>20</v>
      </c>
      <c r="E2875" s="21">
        <v>46235</v>
      </c>
      <c r="F2875" s="21">
        <v>46599</v>
      </c>
      <c r="G2875" s="21"/>
      <c r="H2875" s="21">
        <v>46235</v>
      </c>
      <c r="I2875" s="21">
        <v>46599</v>
      </c>
      <c r="J2875" s="19" t="s">
        <v>2064</v>
      </c>
      <c r="L2875" s="19">
        <v>33.130630250000003</v>
      </c>
      <c r="M2875" s="19">
        <v>33.130630250000003</v>
      </c>
      <c r="N2875" s="19" t="s">
        <v>1475</v>
      </c>
      <c r="O2875" s="20">
        <v>1</v>
      </c>
      <c r="S2875" s="19" t="s">
        <v>20</v>
      </c>
      <c r="T2875" s="19" t="s">
        <v>1471</v>
      </c>
    </row>
    <row r="2876" spans="1:20">
      <c r="A2876" s="20">
        <v>202604333690653</v>
      </c>
      <c r="B2876" s="19" t="s">
        <v>20</v>
      </c>
      <c r="C2876" s="19" t="s">
        <v>21</v>
      </c>
      <c r="D2876" s="19" t="s">
        <v>20</v>
      </c>
      <c r="E2876" s="21">
        <v>46235</v>
      </c>
      <c r="F2876" s="21">
        <v>46599</v>
      </c>
      <c r="G2876" s="21"/>
      <c r="H2876" s="21">
        <v>46235</v>
      </c>
      <c r="I2876" s="21">
        <v>46599</v>
      </c>
      <c r="J2876" s="19" t="s">
        <v>2093</v>
      </c>
      <c r="L2876" s="19">
        <v>0</v>
      </c>
      <c r="M2876" s="19">
        <v>0</v>
      </c>
      <c r="N2876" s="19" t="s">
        <v>2394</v>
      </c>
      <c r="O2876" s="20">
        <v>3</v>
      </c>
      <c r="S2876" s="19" t="s">
        <v>20</v>
      </c>
      <c r="T2876" s="19" t="s">
        <v>1471</v>
      </c>
    </row>
    <row r="2877" spans="1:20">
      <c r="A2877" s="20">
        <v>202604333690653</v>
      </c>
      <c r="B2877" s="19" t="s">
        <v>20</v>
      </c>
      <c r="C2877" s="19" t="s">
        <v>21</v>
      </c>
      <c r="D2877" s="19" t="s">
        <v>20</v>
      </c>
      <c r="E2877" s="21">
        <v>46235</v>
      </c>
      <c r="F2877" s="21">
        <v>46599</v>
      </c>
      <c r="G2877" s="21"/>
      <c r="H2877" s="21">
        <v>46235</v>
      </c>
      <c r="I2877" s="21">
        <v>46599</v>
      </c>
      <c r="J2877" s="19" t="s">
        <v>2093</v>
      </c>
      <c r="L2877" s="19">
        <v>86.328102749999999</v>
      </c>
      <c r="M2877" s="19">
        <v>86.328102749999999</v>
      </c>
      <c r="N2877" s="19" t="s">
        <v>1475</v>
      </c>
      <c r="O2877" s="20">
        <v>3</v>
      </c>
      <c r="S2877" s="19" t="s">
        <v>20</v>
      </c>
      <c r="T2877" s="19" t="s">
        <v>1471</v>
      </c>
    </row>
    <row r="2878" spans="1:20">
      <c r="A2878" s="20">
        <v>202604333691807</v>
      </c>
      <c r="B2878" s="19" t="s">
        <v>20</v>
      </c>
      <c r="C2878" s="19" t="s">
        <v>21</v>
      </c>
      <c r="D2878" s="19" t="s">
        <v>20</v>
      </c>
      <c r="E2878" s="21">
        <v>46235</v>
      </c>
      <c r="F2878" s="21">
        <v>46599</v>
      </c>
      <c r="G2878" s="21"/>
      <c r="H2878" s="21">
        <v>46235</v>
      </c>
      <c r="I2878" s="21">
        <v>46599</v>
      </c>
      <c r="J2878" s="19" t="s">
        <v>2085</v>
      </c>
      <c r="L2878" s="19">
        <v>0</v>
      </c>
      <c r="M2878" s="19">
        <v>0</v>
      </c>
      <c r="N2878" s="19" t="s">
        <v>2394</v>
      </c>
      <c r="O2878" s="20">
        <v>5</v>
      </c>
      <c r="S2878" s="19" t="s">
        <v>20</v>
      </c>
      <c r="T2878" s="19" t="s">
        <v>1471</v>
      </c>
    </row>
    <row r="2879" spans="1:20">
      <c r="A2879" s="20">
        <v>202604333691807</v>
      </c>
      <c r="B2879" s="19" t="s">
        <v>20</v>
      </c>
      <c r="C2879" s="19" t="s">
        <v>21</v>
      </c>
      <c r="D2879" s="19" t="s">
        <v>20</v>
      </c>
      <c r="E2879" s="21">
        <v>46235</v>
      </c>
      <c r="F2879" s="21">
        <v>46599</v>
      </c>
      <c r="G2879" s="21"/>
      <c r="H2879" s="21">
        <v>46235</v>
      </c>
      <c r="I2879" s="21">
        <v>46599</v>
      </c>
      <c r="J2879" s="19" t="s">
        <v>2085</v>
      </c>
      <c r="L2879" s="19">
        <v>123.1033675</v>
      </c>
      <c r="M2879" s="19">
        <v>123.1033675</v>
      </c>
      <c r="N2879" s="19" t="s">
        <v>1475</v>
      </c>
      <c r="O2879" s="20">
        <v>5</v>
      </c>
      <c r="S2879" s="19" t="s">
        <v>20</v>
      </c>
      <c r="T2879" s="19" t="s">
        <v>1471</v>
      </c>
    </row>
    <row r="2880" spans="1:20">
      <c r="A2880" s="20">
        <v>202604333693563</v>
      </c>
      <c r="B2880" s="19" t="s">
        <v>20</v>
      </c>
      <c r="C2880" s="19" t="s">
        <v>21</v>
      </c>
      <c r="D2880" s="19" t="s">
        <v>20</v>
      </c>
      <c r="E2880" s="21">
        <v>46235</v>
      </c>
      <c r="F2880" s="21">
        <v>46599</v>
      </c>
      <c r="G2880" s="21"/>
      <c r="H2880" s="21">
        <v>46235</v>
      </c>
      <c r="I2880" s="21">
        <v>46599</v>
      </c>
      <c r="J2880" s="19" t="s">
        <v>2103</v>
      </c>
      <c r="L2880" s="19">
        <v>23.968290750000001</v>
      </c>
      <c r="M2880" s="19">
        <v>23.968290750000001</v>
      </c>
      <c r="N2880" s="19" t="s">
        <v>1475</v>
      </c>
      <c r="O2880" s="20">
        <v>1</v>
      </c>
      <c r="S2880" s="19" t="s">
        <v>20</v>
      </c>
      <c r="T2880" s="19" t="s">
        <v>1471</v>
      </c>
    </row>
    <row r="2881" spans="1:20">
      <c r="A2881" s="20">
        <v>202604333693654</v>
      </c>
      <c r="B2881" s="19" t="s">
        <v>20</v>
      </c>
      <c r="C2881" s="19" t="s">
        <v>21</v>
      </c>
      <c r="D2881" s="19" t="s">
        <v>20</v>
      </c>
      <c r="E2881" s="21">
        <v>46235</v>
      </c>
      <c r="F2881" s="21">
        <v>46599</v>
      </c>
      <c r="G2881" s="21"/>
      <c r="H2881" s="21">
        <v>46235</v>
      </c>
      <c r="I2881" s="21">
        <v>46599</v>
      </c>
      <c r="J2881" s="19" t="s">
        <v>2068</v>
      </c>
      <c r="L2881" s="19">
        <v>0</v>
      </c>
      <c r="M2881" s="19">
        <v>0</v>
      </c>
      <c r="N2881" s="19" t="s">
        <v>2394</v>
      </c>
      <c r="O2881" s="20">
        <v>6</v>
      </c>
      <c r="S2881" s="19" t="s">
        <v>20</v>
      </c>
      <c r="T2881" s="19" t="s">
        <v>1471</v>
      </c>
    </row>
    <row r="2882" spans="1:20">
      <c r="A2882" s="20">
        <v>202604333693654</v>
      </c>
      <c r="B2882" s="19" t="s">
        <v>20</v>
      </c>
      <c r="C2882" s="19" t="s">
        <v>21</v>
      </c>
      <c r="D2882" s="19" t="s">
        <v>20</v>
      </c>
      <c r="E2882" s="21">
        <v>46235</v>
      </c>
      <c r="F2882" s="21">
        <v>46599</v>
      </c>
      <c r="G2882" s="21"/>
      <c r="H2882" s="21">
        <v>46235</v>
      </c>
      <c r="I2882" s="21">
        <v>46599</v>
      </c>
      <c r="J2882" s="19" t="s">
        <v>2068</v>
      </c>
      <c r="L2882" s="19">
        <v>157.55210400000001</v>
      </c>
      <c r="M2882" s="19">
        <v>157.55210400000001</v>
      </c>
      <c r="N2882" s="19" t="s">
        <v>1475</v>
      </c>
      <c r="O2882" s="20">
        <v>6</v>
      </c>
      <c r="S2882" s="19" t="s">
        <v>20</v>
      </c>
      <c r="T2882" s="19" t="s">
        <v>1471</v>
      </c>
    </row>
    <row r="2883" spans="1:20">
      <c r="A2883" s="20">
        <v>202604333693964</v>
      </c>
      <c r="B2883" s="19" t="s">
        <v>20</v>
      </c>
      <c r="C2883" s="19" t="s">
        <v>21</v>
      </c>
      <c r="D2883" s="19" t="s">
        <v>20</v>
      </c>
      <c r="E2883" s="21">
        <v>46235</v>
      </c>
      <c r="F2883" s="21">
        <v>46599</v>
      </c>
      <c r="G2883" s="21"/>
      <c r="H2883" s="21">
        <v>46235</v>
      </c>
      <c r="I2883" s="21">
        <v>46599</v>
      </c>
      <c r="J2883" s="19" t="s">
        <v>2064</v>
      </c>
      <c r="L2883" s="19">
        <v>33.130630250000003</v>
      </c>
      <c r="M2883" s="19">
        <v>33.130630250000003</v>
      </c>
      <c r="N2883" s="19" t="s">
        <v>1475</v>
      </c>
      <c r="O2883" s="20">
        <v>1</v>
      </c>
      <c r="S2883" s="19" t="s">
        <v>20</v>
      </c>
      <c r="T2883" s="19" t="s">
        <v>1471</v>
      </c>
    </row>
    <row r="2884" spans="1:20">
      <c r="A2884" s="20">
        <v>202604333696244</v>
      </c>
      <c r="B2884" s="19" t="s">
        <v>20</v>
      </c>
      <c r="C2884" s="19" t="s">
        <v>21</v>
      </c>
      <c r="D2884" s="19" t="s">
        <v>20</v>
      </c>
      <c r="E2884" s="21">
        <v>46235</v>
      </c>
      <c r="F2884" s="21">
        <v>46599</v>
      </c>
      <c r="G2884" s="21"/>
      <c r="H2884" s="21">
        <v>46235</v>
      </c>
      <c r="I2884" s="21">
        <v>46599</v>
      </c>
      <c r="J2884" s="19" t="s">
        <v>2085</v>
      </c>
      <c r="L2884" s="19">
        <v>24.620673499999999</v>
      </c>
      <c r="M2884" s="19">
        <v>24.620673499999999</v>
      </c>
      <c r="N2884" s="19" t="s">
        <v>1475</v>
      </c>
      <c r="O2884" s="20">
        <v>1</v>
      </c>
      <c r="S2884" s="19" t="s">
        <v>20</v>
      </c>
      <c r="T2884" s="19" t="s">
        <v>1471</v>
      </c>
    </row>
    <row r="2885" spans="1:20">
      <c r="A2885" s="20">
        <v>202604333696274</v>
      </c>
      <c r="B2885" s="19" t="s">
        <v>20</v>
      </c>
      <c r="C2885" s="19" t="s">
        <v>21</v>
      </c>
      <c r="D2885" s="19" t="s">
        <v>20</v>
      </c>
      <c r="E2885" s="21">
        <v>46235</v>
      </c>
      <c r="F2885" s="21">
        <v>46599</v>
      </c>
      <c r="G2885" s="21"/>
      <c r="H2885" s="21">
        <v>46235</v>
      </c>
      <c r="I2885" s="21">
        <v>46599</v>
      </c>
      <c r="J2885" s="19" t="s">
        <v>1465</v>
      </c>
      <c r="L2885" s="19">
        <v>18.160082249999999</v>
      </c>
      <c r="M2885" s="19">
        <v>18.160082249999999</v>
      </c>
      <c r="N2885" s="19" t="s">
        <v>1475</v>
      </c>
      <c r="O2885" s="20">
        <v>1</v>
      </c>
      <c r="S2885" s="19" t="s">
        <v>20</v>
      </c>
      <c r="T2885" s="19" t="s">
        <v>1471</v>
      </c>
    </row>
    <row r="2886" spans="1:20">
      <c r="A2886" s="20">
        <v>202604333697265</v>
      </c>
      <c r="B2886" s="19" t="s">
        <v>20</v>
      </c>
      <c r="C2886" s="19" t="s">
        <v>21</v>
      </c>
      <c r="D2886" s="19" t="s">
        <v>20</v>
      </c>
      <c r="E2886" s="21">
        <v>46235</v>
      </c>
      <c r="F2886" s="21">
        <v>46599</v>
      </c>
      <c r="G2886" s="21"/>
      <c r="H2886" s="21">
        <v>46235</v>
      </c>
      <c r="I2886" s="21">
        <v>46599</v>
      </c>
      <c r="J2886" s="19" t="s">
        <v>2065</v>
      </c>
      <c r="L2886" s="19">
        <v>0</v>
      </c>
      <c r="M2886" s="19">
        <v>0</v>
      </c>
      <c r="N2886" s="19" t="s">
        <v>2394</v>
      </c>
      <c r="O2886" s="20">
        <v>5</v>
      </c>
      <c r="S2886" s="19" t="s">
        <v>20</v>
      </c>
      <c r="T2886" s="19" t="s">
        <v>1471</v>
      </c>
    </row>
    <row r="2887" spans="1:20">
      <c r="A2887" s="20">
        <v>202604333697265</v>
      </c>
      <c r="B2887" s="19" t="s">
        <v>20</v>
      </c>
      <c r="C2887" s="19" t="s">
        <v>21</v>
      </c>
      <c r="D2887" s="19" t="s">
        <v>20</v>
      </c>
      <c r="E2887" s="21">
        <v>46235</v>
      </c>
      <c r="F2887" s="21">
        <v>46599</v>
      </c>
      <c r="G2887" s="21"/>
      <c r="H2887" s="21">
        <v>46235</v>
      </c>
      <c r="I2887" s="21">
        <v>46599</v>
      </c>
      <c r="J2887" s="19" t="s">
        <v>2065</v>
      </c>
      <c r="L2887" s="19">
        <v>131.29342</v>
      </c>
      <c r="M2887" s="19">
        <v>131.29342</v>
      </c>
      <c r="N2887" s="19" t="s">
        <v>1475</v>
      </c>
      <c r="O2887" s="20">
        <v>5</v>
      </c>
      <c r="S2887" s="19" t="s">
        <v>20</v>
      </c>
      <c r="T2887" s="19" t="s">
        <v>1471</v>
      </c>
    </row>
    <row r="2888" spans="1:20">
      <c r="A2888" s="20">
        <v>202604333697579</v>
      </c>
      <c r="B2888" s="19" t="s">
        <v>20</v>
      </c>
      <c r="C2888" s="19" t="s">
        <v>21</v>
      </c>
      <c r="D2888" s="19" t="s">
        <v>20</v>
      </c>
      <c r="E2888" s="21">
        <v>46235</v>
      </c>
      <c r="F2888" s="21">
        <v>46599</v>
      </c>
      <c r="G2888" s="21"/>
      <c r="H2888" s="21">
        <v>46235</v>
      </c>
      <c r="I2888" s="21">
        <v>46599</v>
      </c>
      <c r="J2888" s="19" t="s">
        <v>2087</v>
      </c>
      <c r="L2888" s="19">
        <v>0</v>
      </c>
      <c r="M2888" s="19">
        <v>0</v>
      </c>
      <c r="N2888" s="19" t="s">
        <v>2394</v>
      </c>
      <c r="O2888" s="20">
        <v>6</v>
      </c>
      <c r="S2888" s="19" t="s">
        <v>20</v>
      </c>
      <c r="T2888" s="19" t="s">
        <v>1471</v>
      </c>
    </row>
    <row r="2889" spans="1:20">
      <c r="A2889" s="20">
        <v>202604333697579</v>
      </c>
      <c r="B2889" s="19" t="s">
        <v>20</v>
      </c>
      <c r="C2889" s="19" t="s">
        <v>21</v>
      </c>
      <c r="D2889" s="19" t="s">
        <v>20</v>
      </c>
      <c r="E2889" s="21">
        <v>46235</v>
      </c>
      <c r="F2889" s="21">
        <v>46599</v>
      </c>
      <c r="G2889" s="21"/>
      <c r="H2889" s="21">
        <v>46235</v>
      </c>
      <c r="I2889" s="21">
        <v>46599</v>
      </c>
      <c r="J2889" s="19" t="s">
        <v>2087</v>
      </c>
      <c r="L2889" s="19">
        <v>198.7837815</v>
      </c>
      <c r="M2889" s="19">
        <v>198.7837815</v>
      </c>
      <c r="N2889" s="19" t="s">
        <v>1475</v>
      </c>
      <c r="O2889" s="20">
        <v>6</v>
      </c>
      <c r="S2889" s="19" t="s">
        <v>20</v>
      </c>
      <c r="T2889" s="19" t="s">
        <v>1471</v>
      </c>
    </row>
    <row r="2890" spans="1:20">
      <c r="A2890" s="20">
        <v>202604333698063</v>
      </c>
      <c r="B2890" s="19" t="s">
        <v>20</v>
      </c>
      <c r="C2890" s="19" t="s">
        <v>21</v>
      </c>
      <c r="D2890" s="19" t="s">
        <v>20</v>
      </c>
      <c r="E2890" s="21">
        <v>46235</v>
      </c>
      <c r="F2890" s="21">
        <v>46599</v>
      </c>
      <c r="G2890" s="21"/>
      <c r="H2890" s="21">
        <v>46235</v>
      </c>
      <c r="I2890" s="21">
        <v>46599</v>
      </c>
      <c r="J2890" s="19" t="s">
        <v>2064</v>
      </c>
      <c r="L2890" s="19">
        <v>0</v>
      </c>
      <c r="M2890" s="19">
        <v>0</v>
      </c>
      <c r="N2890" s="19" t="s">
        <v>2394</v>
      </c>
      <c r="O2890" s="20">
        <v>3</v>
      </c>
      <c r="S2890" s="19" t="s">
        <v>20</v>
      </c>
      <c r="T2890" s="19" t="s">
        <v>1471</v>
      </c>
    </row>
    <row r="2891" spans="1:20">
      <c r="A2891" s="20">
        <v>202604333698063</v>
      </c>
      <c r="B2891" s="19" t="s">
        <v>20</v>
      </c>
      <c r="C2891" s="19" t="s">
        <v>21</v>
      </c>
      <c r="D2891" s="19" t="s">
        <v>20</v>
      </c>
      <c r="E2891" s="21">
        <v>46235</v>
      </c>
      <c r="F2891" s="21">
        <v>46599</v>
      </c>
      <c r="G2891" s="21"/>
      <c r="H2891" s="21">
        <v>46235</v>
      </c>
      <c r="I2891" s="21">
        <v>46599</v>
      </c>
      <c r="J2891" s="19" t="s">
        <v>2064</v>
      </c>
      <c r="L2891" s="19">
        <v>99.391890750000002</v>
      </c>
      <c r="M2891" s="19">
        <v>99.391890750000002</v>
      </c>
      <c r="N2891" s="19" t="s">
        <v>1475</v>
      </c>
      <c r="O2891" s="20">
        <v>3</v>
      </c>
      <c r="S2891" s="19" t="s">
        <v>20</v>
      </c>
      <c r="T2891" s="19" t="s">
        <v>1471</v>
      </c>
    </row>
    <row r="2892" spans="1:20">
      <c r="A2892" s="20">
        <v>202604333698180</v>
      </c>
      <c r="B2892" s="19" t="s">
        <v>20</v>
      </c>
      <c r="C2892" s="19" t="s">
        <v>21</v>
      </c>
      <c r="D2892" s="19" t="s">
        <v>20</v>
      </c>
      <c r="E2892" s="21">
        <v>46235</v>
      </c>
      <c r="F2892" s="21">
        <v>46599</v>
      </c>
      <c r="G2892" s="21"/>
      <c r="H2892" s="21">
        <v>46235</v>
      </c>
      <c r="I2892" s="21">
        <v>46599</v>
      </c>
      <c r="J2892" s="19" t="s">
        <v>2279</v>
      </c>
      <c r="L2892" s="19">
        <v>33.130630250000003</v>
      </c>
      <c r="M2892" s="19">
        <v>33.130630250000003</v>
      </c>
      <c r="N2892" s="19" t="s">
        <v>1475</v>
      </c>
      <c r="O2892" s="20">
        <v>1</v>
      </c>
      <c r="S2892" s="19" t="s">
        <v>20</v>
      </c>
      <c r="T2892" s="19" t="s">
        <v>1471</v>
      </c>
    </row>
    <row r="2893" spans="1:20">
      <c r="A2893" s="20">
        <v>202604333700306</v>
      </c>
      <c r="B2893" s="19" t="s">
        <v>20</v>
      </c>
      <c r="C2893" s="19" t="s">
        <v>21</v>
      </c>
      <c r="D2893" s="19" t="s">
        <v>20</v>
      </c>
      <c r="E2893" s="21">
        <v>46235</v>
      </c>
      <c r="F2893" s="21">
        <v>46599</v>
      </c>
      <c r="G2893" s="21"/>
      <c r="H2893" s="21">
        <v>46235</v>
      </c>
      <c r="I2893" s="21">
        <v>46599</v>
      </c>
      <c r="J2893" s="19" t="s">
        <v>2135</v>
      </c>
      <c r="L2893" s="19">
        <v>0</v>
      </c>
      <c r="M2893" s="19">
        <v>0</v>
      </c>
      <c r="N2893" s="19" t="s">
        <v>2394</v>
      </c>
      <c r="O2893" s="20">
        <v>5</v>
      </c>
      <c r="S2893" s="19" t="s">
        <v>20</v>
      </c>
      <c r="T2893" s="19" t="s">
        <v>1471</v>
      </c>
    </row>
    <row r="2894" spans="1:20">
      <c r="A2894" s="20">
        <v>202604333700306</v>
      </c>
      <c r="B2894" s="19" t="s">
        <v>20</v>
      </c>
      <c r="C2894" s="19" t="s">
        <v>21</v>
      </c>
      <c r="D2894" s="19" t="s">
        <v>20</v>
      </c>
      <c r="E2894" s="21">
        <v>46235</v>
      </c>
      <c r="F2894" s="21">
        <v>46599</v>
      </c>
      <c r="G2894" s="21"/>
      <c r="H2894" s="21">
        <v>46235</v>
      </c>
      <c r="I2894" s="21">
        <v>46599</v>
      </c>
      <c r="J2894" s="19" t="s">
        <v>2135</v>
      </c>
      <c r="L2894" s="19">
        <v>165.65315125000001</v>
      </c>
      <c r="M2894" s="19">
        <v>165.65315125000001</v>
      </c>
      <c r="N2894" s="19" t="s">
        <v>1475</v>
      </c>
      <c r="O2894" s="20">
        <v>5</v>
      </c>
      <c r="S2894" s="19" t="s">
        <v>20</v>
      </c>
      <c r="T2894" s="19" t="s">
        <v>1471</v>
      </c>
    </row>
    <row r="2895" spans="1:20">
      <c r="A2895" s="20">
        <v>202604333704916</v>
      </c>
      <c r="B2895" s="19" t="s">
        <v>20</v>
      </c>
      <c r="C2895" s="19" t="s">
        <v>21</v>
      </c>
      <c r="D2895" s="19" t="s">
        <v>20</v>
      </c>
      <c r="E2895" s="21">
        <v>46235</v>
      </c>
      <c r="F2895" s="21">
        <v>46599</v>
      </c>
      <c r="G2895" s="21"/>
      <c r="H2895" s="21">
        <v>46235</v>
      </c>
      <c r="I2895" s="21">
        <v>46599</v>
      </c>
      <c r="J2895" s="19" t="s">
        <v>1473</v>
      </c>
      <c r="L2895" s="19">
        <v>0</v>
      </c>
      <c r="M2895" s="19">
        <v>0</v>
      </c>
      <c r="N2895" s="19" t="s">
        <v>2394</v>
      </c>
      <c r="O2895" s="20">
        <v>2</v>
      </c>
      <c r="S2895" s="19" t="s">
        <v>20</v>
      </c>
      <c r="T2895" s="19" t="s">
        <v>1471</v>
      </c>
    </row>
    <row r="2896" spans="1:20">
      <c r="A2896" s="20">
        <v>202604333704916</v>
      </c>
      <c r="B2896" s="19" t="s">
        <v>20</v>
      </c>
      <c r="C2896" s="19" t="s">
        <v>21</v>
      </c>
      <c r="D2896" s="19" t="s">
        <v>20</v>
      </c>
      <c r="E2896" s="21">
        <v>46235</v>
      </c>
      <c r="F2896" s="21">
        <v>46599</v>
      </c>
      <c r="G2896" s="21"/>
      <c r="H2896" s="21">
        <v>46235</v>
      </c>
      <c r="I2896" s="21">
        <v>46599</v>
      </c>
      <c r="J2896" s="19" t="s">
        <v>1473</v>
      </c>
      <c r="L2896" s="19">
        <v>49.241346999999998</v>
      </c>
      <c r="M2896" s="19">
        <v>49.241346999999998</v>
      </c>
      <c r="N2896" s="19" t="s">
        <v>1475</v>
      </c>
      <c r="O2896" s="20">
        <v>2</v>
      </c>
      <c r="S2896" s="19" t="s">
        <v>20</v>
      </c>
      <c r="T2896" s="19" t="s">
        <v>1471</v>
      </c>
    </row>
    <row r="2897" spans="1:20">
      <c r="A2897" s="20">
        <v>202604333705107</v>
      </c>
      <c r="B2897" s="19" t="s">
        <v>20</v>
      </c>
      <c r="C2897" s="19" t="s">
        <v>21</v>
      </c>
      <c r="D2897" s="19" t="s">
        <v>20</v>
      </c>
      <c r="E2897" s="21">
        <v>46235</v>
      </c>
      <c r="F2897" s="21">
        <v>46599</v>
      </c>
      <c r="G2897" s="21"/>
      <c r="H2897" s="21">
        <v>46235</v>
      </c>
      <c r="I2897" s="21">
        <v>46599</v>
      </c>
      <c r="J2897" s="19" t="s">
        <v>2064</v>
      </c>
      <c r="L2897" s="19">
        <v>0</v>
      </c>
      <c r="M2897" s="19">
        <v>0</v>
      </c>
      <c r="N2897" s="19" t="s">
        <v>2394</v>
      </c>
      <c r="O2897" s="20">
        <v>4</v>
      </c>
      <c r="S2897" s="19" t="s">
        <v>20</v>
      </c>
      <c r="T2897" s="19" t="s">
        <v>1471</v>
      </c>
    </row>
    <row r="2898" spans="1:20">
      <c r="A2898" s="20">
        <v>202604333705107</v>
      </c>
      <c r="B2898" s="19" t="s">
        <v>20</v>
      </c>
      <c r="C2898" s="19" t="s">
        <v>21</v>
      </c>
      <c r="D2898" s="19" t="s">
        <v>20</v>
      </c>
      <c r="E2898" s="21">
        <v>46235</v>
      </c>
      <c r="F2898" s="21">
        <v>46599</v>
      </c>
      <c r="G2898" s="21"/>
      <c r="H2898" s="21">
        <v>46235</v>
      </c>
      <c r="I2898" s="21">
        <v>46599</v>
      </c>
      <c r="J2898" s="19" t="s">
        <v>2064</v>
      </c>
      <c r="L2898" s="19">
        <v>132.52252100000001</v>
      </c>
      <c r="M2898" s="19">
        <v>132.52252100000001</v>
      </c>
      <c r="N2898" s="19" t="s">
        <v>1475</v>
      </c>
      <c r="O2898" s="20">
        <v>4</v>
      </c>
      <c r="S2898" s="19" t="s">
        <v>20</v>
      </c>
      <c r="T2898" s="19" t="s">
        <v>1471</v>
      </c>
    </row>
    <row r="2899" spans="1:20">
      <c r="A2899" s="20">
        <v>202604333705149</v>
      </c>
      <c r="B2899" s="19" t="s">
        <v>20</v>
      </c>
      <c r="C2899" s="19" t="s">
        <v>21</v>
      </c>
      <c r="D2899" s="19" t="s">
        <v>20</v>
      </c>
      <c r="E2899" s="21">
        <v>46235</v>
      </c>
      <c r="F2899" s="21">
        <v>46599</v>
      </c>
      <c r="G2899" s="21"/>
      <c r="H2899" s="21">
        <v>46235</v>
      </c>
      <c r="I2899" s="21">
        <v>46599</v>
      </c>
      <c r="J2899" s="19" t="s">
        <v>2064</v>
      </c>
      <c r="L2899" s="19">
        <v>0</v>
      </c>
      <c r="M2899" s="19">
        <v>0</v>
      </c>
      <c r="N2899" s="19" t="s">
        <v>2394</v>
      </c>
      <c r="O2899" s="20">
        <v>2</v>
      </c>
      <c r="S2899" s="19" t="s">
        <v>20</v>
      </c>
      <c r="T2899" s="19" t="s">
        <v>1471</v>
      </c>
    </row>
    <row r="2900" spans="1:20">
      <c r="A2900" s="20">
        <v>202604333705149</v>
      </c>
      <c r="B2900" s="19" t="s">
        <v>20</v>
      </c>
      <c r="C2900" s="19" t="s">
        <v>21</v>
      </c>
      <c r="D2900" s="19" t="s">
        <v>20</v>
      </c>
      <c r="E2900" s="21">
        <v>46235</v>
      </c>
      <c r="F2900" s="21">
        <v>46599</v>
      </c>
      <c r="G2900" s="21"/>
      <c r="H2900" s="21">
        <v>46235</v>
      </c>
      <c r="I2900" s="21">
        <v>46599</v>
      </c>
      <c r="J2900" s="19" t="s">
        <v>2064</v>
      </c>
      <c r="L2900" s="19">
        <v>66.261260500000006</v>
      </c>
      <c r="M2900" s="19">
        <v>66.261260500000006</v>
      </c>
      <c r="N2900" s="19" t="s">
        <v>1475</v>
      </c>
      <c r="O2900" s="20">
        <v>2</v>
      </c>
      <c r="S2900" s="19" t="s">
        <v>20</v>
      </c>
      <c r="T2900" s="19" t="s">
        <v>1471</v>
      </c>
    </row>
    <row r="2901" spans="1:20">
      <c r="A2901" s="20">
        <v>202604333705468</v>
      </c>
      <c r="B2901" s="19" t="s">
        <v>20</v>
      </c>
      <c r="C2901" s="19" t="s">
        <v>21</v>
      </c>
      <c r="D2901" s="19" t="s">
        <v>20</v>
      </c>
      <c r="E2901" s="21">
        <v>46235</v>
      </c>
      <c r="F2901" s="21">
        <v>46599</v>
      </c>
      <c r="G2901" s="21"/>
      <c r="H2901" s="21">
        <v>46235</v>
      </c>
      <c r="I2901" s="21">
        <v>46599</v>
      </c>
      <c r="J2901" s="19" t="s">
        <v>2120</v>
      </c>
      <c r="L2901" s="19">
        <v>37.947955</v>
      </c>
      <c r="M2901" s="19">
        <v>37.947955</v>
      </c>
      <c r="N2901" s="19" t="s">
        <v>1475</v>
      </c>
      <c r="O2901" s="20">
        <v>1</v>
      </c>
      <c r="S2901" s="19" t="s">
        <v>20</v>
      </c>
      <c r="T2901" s="19" t="s">
        <v>1471</v>
      </c>
    </row>
    <row r="2902" spans="1:20">
      <c r="A2902" s="20">
        <v>202604333705771</v>
      </c>
      <c r="B2902" s="19" t="s">
        <v>20</v>
      </c>
      <c r="C2902" s="19" t="s">
        <v>21</v>
      </c>
      <c r="D2902" s="19" t="s">
        <v>20</v>
      </c>
      <c r="E2902" s="21">
        <v>46235</v>
      </c>
      <c r="F2902" s="21">
        <v>46599</v>
      </c>
      <c r="G2902" s="21"/>
      <c r="H2902" s="21">
        <v>46235</v>
      </c>
      <c r="I2902" s="21">
        <v>46599</v>
      </c>
      <c r="J2902" s="19" t="s">
        <v>2068</v>
      </c>
      <c r="L2902" s="19">
        <v>0</v>
      </c>
      <c r="M2902" s="19">
        <v>0</v>
      </c>
      <c r="N2902" s="19" t="s">
        <v>2394</v>
      </c>
      <c r="O2902" s="20">
        <v>8</v>
      </c>
      <c r="S2902" s="19" t="s">
        <v>20</v>
      </c>
      <c r="T2902" s="19" t="s">
        <v>1471</v>
      </c>
    </row>
    <row r="2903" spans="1:20">
      <c r="A2903" s="20">
        <v>202604333705771</v>
      </c>
      <c r="B2903" s="19" t="s">
        <v>20</v>
      </c>
      <c r="C2903" s="19" t="s">
        <v>21</v>
      </c>
      <c r="D2903" s="19" t="s">
        <v>20</v>
      </c>
      <c r="E2903" s="21">
        <v>46235</v>
      </c>
      <c r="F2903" s="21">
        <v>46599</v>
      </c>
      <c r="G2903" s="21"/>
      <c r="H2903" s="21">
        <v>46235</v>
      </c>
      <c r="I2903" s="21">
        <v>46599</v>
      </c>
      <c r="J2903" s="19" t="s">
        <v>2068</v>
      </c>
      <c r="L2903" s="19">
        <v>210.06947199999999</v>
      </c>
      <c r="M2903" s="19">
        <v>210.06947199999999</v>
      </c>
      <c r="N2903" s="19" t="s">
        <v>1475</v>
      </c>
      <c r="O2903" s="20">
        <v>8</v>
      </c>
      <c r="S2903" s="19" t="s">
        <v>20</v>
      </c>
      <c r="T2903" s="19" t="s">
        <v>1471</v>
      </c>
    </row>
    <row r="2904" spans="1:20">
      <c r="A2904" s="20">
        <v>202604333706377</v>
      </c>
      <c r="B2904" s="19" t="s">
        <v>20</v>
      </c>
      <c r="C2904" s="19" t="s">
        <v>21</v>
      </c>
      <c r="D2904" s="19" t="s">
        <v>20</v>
      </c>
      <c r="E2904" s="21">
        <v>46235</v>
      </c>
      <c r="F2904" s="21">
        <v>46599</v>
      </c>
      <c r="G2904" s="21"/>
      <c r="H2904" s="21">
        <v>46235</v>
      </c>
      <c r="I2904" s="21">
        <v>46599</v>
      </c>
      <c r="J2904" s="19" t="s">
        <v>2064</v>
      </c>
      <c r="L2904" s="19">
        <v>33.130630250000003</v>
      </c>
      <c r="M2904" s="19">
        <v>33.130630250000003</v>
      </c>
      <c r="N2904" s="19" t="s">
        <v>1475</v>
      </c>
      <c r="O2904" s="20">
        <v>1</v>
      </c>
      <c r="S2904" s="19" t="s">
        <v>20</v>
      </c>
      <c r="T2904" s="19" t="s">
        <v>1471</v>
      </c>
    </row>
    <row r="2905" spans="1:20">
      <c r="A2905" s="20">
        <v>202604333706574</v>
      </c>
      <c r="B2905" s="19" t="s">
        <v>20</v>
      </c>
      <c r="C2905" s="19" t="s">
        <v>21</v>
      </c>
      <c r="D2905" s="19" t="s">
        <v>20</v>
      </c>
      <c r="E2905" s="21">
        <v>46235</v>
      </c>
      <c r="F2905" s="21">
        <v>46599</v>
      </c>
      <c r="G2905" s="21"/>
      <c r="H2905" s="21">
        <v>46235</v>
      </c>
      <c r="I2905" s="21">
        <v>46599</v>
      </c>
      <c r="J2905" s="19" t="s">
        <v>1473</v>
      </c>
      <c r="L2905" s="19">
        <v>24.620673499999999</v>
      </c>
      <c r="M2905" s="19">
        <v>24.620673499999999</v>
      </c>
      <c r="N2905" s="19" t="s">
        <v>1475</v>
      </c>
      <c r="O2905" s="20">
        <v>1</v>
      </c>
      <c r="S2905" s="19" t="s">
        <v>20</v>
      </c>
      <c r="T2905" s="19" t="s">
        <v>1471</v>
      </c>
    </row>
    <row r="2906" spans="1:20">
      <c r="A2906" s="20">
        <v>202604333706913</v>
      </c>
      <c r="B2906" s="19" t="s">
        <v>20</v>
      </c>
      <c r="C2906" s="19" t="s">
        <v>21</v>
      </c>
      <c r="D2906" s="19" t="s">
        <v>2436</v>
      </c>
      <c r="E2906" s="21">
        <v>46235</v>
      </c>
      <c r="F2906" s="21">
        <v>46599</v>
      </c>
      <c r="G2906" s="21"/>
      <c r="H2906" s="21">
        <v>46235</v>
      </c>
      <c r="I2906" s="21">
        <v>46599</v>
      </c>
      <c r="J2906" s="19" t="s">
        <v>2142</v>
      </c>
      <c r="L2906" s="19">
        <v>30.033294999999999</v>
      </c>
      <c r="M2906" s="19">
        <v>30.033294999999999</v>
      </c>
      <c r="N2906" s="19" t="s">
        <v>1467</v>
      </c>
      <c r="O2906" s="20">
        <v>1</v>
      </c>
      <c r="S2906" s="19" t="s">
        <v>20</v>
      </c>
      <c r="T2906" s="19" t="s">
        <v>1471</v>
      </c>
    </row>
    <row r="2907" spans="1:20">
      <c r="A2907" s="20">
        <v>202604333709482</v>
      </c>
      <c r="B2907" s="19" t="s">
        <v>20</v>
      </c>
      <c r="C2907" s="19" t="s">
        <v>21</v>
      </c>
      <c r="D2907" s="19" t="s">
        <v>20</v>
      </c>
      <c r="E2907" s="21">
        <v>46235</v>
      </c>
      <c r="F2907" s="21">
        <v>46599</v>
      </c>
      <c r="G2907" s="21"/>
      <c r="H2907" s="21">
        <v>46235</v>
      </c>
      <c r="I2907" s="21">
        <v>46599</v>
      </c>
      <c r="J2907" s="19" t="s">
        <v>2068</v>
      </c>
      <c r="L2907" s="19">
        <v>0</v>
      </c>
      <c r="M2907" s="19">
        <v>0</v>
      </c>
      <c r="N2907" s="19" t="s">
        <v>2394</v>
      </c>
      <c r="O2907" s="20">
        <v>2</v>
      </c>
      <c r="S2907" s="19" t="s">
        <v>20</v>
      </c>
      <c r="T2907" s="19" t="s">
        <v>1471</v>
      </c>
    </row>
    <row r="2908" spans="1:20">
      <c r="A2908" s="20">
        <v>202604333709482</v>
      </c>
      <c r="B2908" s="19" t="s">
        <v>20</v>
      </c>
      <c r="C2908" s="19" t="s">
        <v>21</v>
      </c>
      <c r="D2908" s="19" t="s">
        <v>20</v>
      </c>
      <c r="E2908" s="21">
        <v>46235</v>
      </c>
      <c r="F2908" s="21">
        <v>46599</v>
      </c>
      <c r="G2908" s="21"/>
      <c r="H2908" s="21">
        <v>46235</v>
      </c>
      <c r="I2908" s="21">
        <v>46599</v>
      </c>
      <c r="J2908" s="19" t="s">
        <v>2068</v>
      </c>
      <c r="L2908" s="19">
        <v>52.517367999999998</v>
      </c>
      <c r="M2908" s="19">
        <v>52.517367999999998</v>
      </c>
      <c r="N2908" s="19" t="s">
        <v>1475</v>
      </c>
      <c r="O2908" s="20">
        <v>2</v>
      </c>
      <c r="S2908" s="19" t="s">
        <v>20</v>
      </c>
      <c r="T2908" s="19" t="s">
        <v>1471</v>
      </c>
    </row>
    <row r="2909" spans="1:20">
      <c r="A2909" s="20">
        <v>202604333712330</v>
      </c>
      <c r="B2909" s="19" t="s">
        <v>20</v>
      </c>
      <c r="C2909" s="19" t="s">
        <v>21</v>
      </c>
      <c r="D2909" s="19" t="s">
        <v>20</v>
      </c>
      <c r="E2909" s="21">
        <v>46235</v>
      </c>
      <c r="F2909" s="21">
        <v>46599</v>
      </c>
      <c r="G2909" s="21"/>
      <c r="H2909" s="21">
        <v>46235</v>
      </c>
      <c r="I2909" s="21">
        <v>46599</v>
      </c>
      <c r="J2909" s="19" t="s">
        <v>2093</v>
      </c>
      <c r="L2909" s="19">
        <v>28.776034249999999</v>
      </c>
      <c r="M2909" s="19">
        <v>28.776034249999999</v>
      </c>
      <c r="N2909" s="19" t="s">
        <v>1475</v>
      </c>
      <c r="O2909" s="20">
        <v>1</v>
      </c>
      <c r="S2909" s="19" t="s">
        <v>20</v>
      </c>
      <c r="T2909" s="19" t="s">
        <v>1471</v>
      </c>
    </row>
    <row r="2910" spans="1:20">
      <c r="A2910" s="20">
        <v>202604333713984</v>
      </c>
      <c r="B2910" s="19" t="s">
        <v>20</v>
      </c>
      <c r="C2910" s="19" t="s">
        <v>21</v>
      </c>
      <c r="D2910" s="19" t="s">
        <v>20</v>
      </c>
      <c r="E2910" s="21">
        <v>46235</v>
      </c>
      <c r="F2910" s="21">
        <v>46599</v>
      </c>
      <c r="G2910" s="21"/>
      <c r="H2910" s="21">
        <v>46235</v>
      </c>
      <c r="I2910" s="21">
        <v>46599</v>
      </c>
      <c r="J2910" s="19" t="s">
        <v>2087</v>
      </c>
      <c r="L2910" s="19">
        <v>0</v>
      </c>
      <c r="M2910" s="19">
        <v>0</v>
      </c>
      <c r="N2910" s="19" t="s">
        <v>2394</v>
      </c>
      <c r="O2910" s="20">
        <v>2</v>
      </c>
      <c r="S2910" s="19" t="s">
        <v>20</v>
      </c>
      <c r="T2910" s="19" t="s">
        <v>1471</v>
      </c>
    </row>
    <row r="2911" spans="1:20">
      <c r="A2911" s="20">
        <v>202604333713984</v>
      </c>
      <c r="B2911" s="19" t="s">
        <v>20</v>
      </c>
      <c r="C2911" s="19" t="s">
        <v>21</v>
      </c>
      <c r="D2911" s="19" t="s">
        <v>20</v>
      </c>
      <c r="E2911" s="21">
        <v>46235</v>
      </c>
      <c r="F2911" s="21">
        <v>46599</v>
      </c>
      <c r="G2911" s="21"/>
      <c r="H2911" s="21">
        <v>46235</v>
      </c>
      <c r="I2911" s="21">
        <v>46599</v>
      </c>
      <c r="J2911" s="19" t="s">
        <v>2087</v>
      </c>
      <c r="L2911" s="19">
        <v>66.261260500000006</v>
      </c>
      <c r="M2911" s="19">
        <v>66.261260500000006</v>
      </c>
      <c r="N2911" s="19" t="s">
        <v>1475</v>
      </c>
      <c r="O2911" s="20">
        <v>2</v>
      </c>
      <c r="S2911" s="19" t="s">
        <v>20</v>
      </c>
      <c r="T2911" s="19" t="s">
        <v>1471</v>
      </c>
    </row>
    <row r="2912" spans="1:20">
      <c r="A2912" s="20">
        <v>202604333715097</v>
      </c>
      <c r="B2912" s="19" t="s">
        <v>20</v>
      </c>
      <c r="C2912" s="19" t="s">
        <v>21</v>
      </c>
      <c r="D2912" s="19" t="s">
        <v>20</v>
      </c>
      <c r="E2912" s="21">
        <v>46235</v>
      </c>
      <c r="F2912" s="21">
        <v>46599</v>
      </c>
      <c r="G2912" s="21"/>
      <c r="H2912" s="21">
        <v>46235</v>
      </c>
      <c r="I2912" s="21">
        <v>46599</v>
      </c>
      <c r="J2912" s="19" t="s">
        <v>2180</v>
      </c>
      <c r="L2912" s="19">
        <v>0</v>
      </c>
      <c r="M2912" s="19">
        <v>0</v>
      </c>
      <c r="N2912" s="19" t="s">
        <v>2394</v>
      </c>
      <c r="O2912" s="20">
        <v>3</v>
      </c>
      <c r="S2912" s="19" t="s">
        <v>20</v>
      </c>
      <c r="T2912" s="19" t="s">
        <v>1471</v>
      </c>
    </row>
    <row r="2913" spans="1:20">
      <c r="A2913" s="20">
        <v>202604333715097</v>
      </c>
      <c r="B2913" s="19" t="s">
        <v>20</v>
      </c>
      <c r="C2913" s="19" t="s">
        <v>21</v>
      </c>
      <c r="D2913" s="19" t="s">
        <v>20</v>
      </c>
      <c r="E2913" s="21">
        <v>46235</v>
      </c>
      <c r="F2913" s="21">
        <v>46599</v>
      </c>
      <c r="G2913" s="21"/>
      <c r="H2913" s="21">
        <v>46235</v>
      </c>
      <c r="I2913" s="21">
        <v>46599</v>
      </c>
      <c r="J2913" s="19" t="s">
        <v>2180</v>
      </c>
      <c r="L2913" s="19">
        <v>97.110020250000005</v>
      </c>
      <c r="M2913" s="19">
        <v>97.110020250000005</v>
      </c>
      <c r="N2913" s="19" t="s">
        <v>1475</v>
      </c>
      <c r="O2913" s="20">
        <v>3</v>
      </c>
      <c r="S2913" s="19" t="s">
        <v>20</v>
      </c>
      <c r="T2913" s="19" t="s">
        <v>1471</v>
      </c>
    </row>
    <row r="2914" spans="1:20">
      <c r="A2914" s="20">
        <v>202604333716091</v>
      </c>
      <c r="B2914" s="19" t="s">
        <v>20</v>
      </c>
      <c r="C2914" s="19" t="s">
        <v>21</v>
      </c>
      <c r="D2914" s="19" t="s">
        <v>20</v>
      </c>
      <c r="E2914" s="21">
        <v>46235</v>
      </c>
      <c r="F2914" s="21">
        <v>46599</v>
      </c>
      <c r="G2914" s="21"/>
      <c r="H2914" s="21">
        <v>46235</v>
      </c>
      <c r="I2914" s="21">
        <v>46599</v>
      </c>
      <c r="J2914" s="19" t="s">
        <v>2089</v>
      </c>
      <c r="L2914" s="19">
        <v>0</v>
      </c>
      <c r="M2914" s="19">
        <v>0</v>
      </c>
      <c r="N2914" s="19" t="s">
        <v>2394</v>
      </c>
      <c r="O2914" s="20">
        <v>3</v>
      </c>
      <c r="S2914" s="19" t="s">
        <v>20</v>
      </c>
      <c r="T2914" s="19" t="s">
        <v>1471</v>
      </c>
    </row>
    <row r="2915" spans="1:20">
      <c r="A2915" s="20">
        <v>202604333716091</v>
      </c>
      <c r="B2915" s="19" t="s">
        <v>20</v>
      </c>
      <c r="C2915" s="19" t="s">
        <v>21</v>
      </c>
      <c r="D2915" s="19" t="s">
        <v>20</v>
      </c>
      <c r="E2915" s="21">
        <v>46235</v>
      </c>
      <c r="F2915" s="21">
        <v>46599</v>
      </c>
      <c r="G2915" s="21"/>
      <c r="H2915" s="21">
        <v>46235</v>
      </c>
      <c r="I2915" s="21">
        <v>46599</v>
      </c>
      <c r="J2915" s="19" t="s">
        <v>2089</v>
      </c>
      <c r="L2915" s="19">
        <v>71.904872249999997</v>
      </c>
      <c r="M2915" s="19">
        <v>71.904872249999997</v>
      </c>
      <c r="N2915" s="19" t="s">
        <v>1475</v>
      </c>
      <c r="O2915" s="20">
        <v>3</v>
      </c>
      <c r="S2915" s="19" t="s">
        <v>20</v>
      </c>
      <c r="T2915" s="19" t="s">
        <v>1471</v>
      </c>
    </row>
    <row r="2916" spans="1:20">
      <c r="A2916" s="20">
        <v>202604333716810</v>
      </c>
      <c r="B2916" s="19" t="s">
        <v>20</v>
      </c>
      <c r="C2916" s="19" t="s">
        <v>21</v>
      </c>
      <c r="D2916" s="19" t="s">
        <v>20</v>
      </c>
      <c r="E2916" s="21">
        <v>46235</v>
      </c>
      <c r="F2916" s="21">
        <v>46599</v>
      </c>
      <c r="G2916" s="21"/>
      <c r="H2916" s="21">
        <v>46235</v>
      </c>
      <c r="I2916" s="21">
        <v>46599</v>
      </c>
      <c r="J2916" s="19" t="s">
        <v>2064</v>
      </c>
      <c r="L2916" s="19">
        <v>0</v>
      </c>
      <c r="M2916" s="19">
        <v>0</v>
      </c>
      <c r="N2916" s="19" t="s">
        <v>2394</v>
      </c>
      <c r="O2916" s="20">
        <v>2</v>
      </c>
      <c r="S2916" s="19" t="s">
        <v>20</v>
      </c>
      <c r="T2916" s="19" t="s">
        <v>1471</v>
      </c>
    </row>
    <row r="2917" spans="1:20">
      <c r="A2917" s="20">
        <v>202604333716810</v>
      </c>
      <c r="B2917" s="19" t="s">
        <v>20</v>
      </c>
      <c r="C2917" s="19" t="s">
        <v>21</v>
      </c>
      <c r="D2917" s="19" t="s">
        <v>20</v>
      </c>
      <c r="E2917" s="21">
        <v>46235</v>
      </c>
      <c r="F2917" s="21">
        <v>46599</v>
      </c>
      <c r="G2917" s="21"/>
      <c r="H2917" s="21">
        <v>46235</v>
      </c>
      <c r="I2917" s="21">
        <v>46599</v>
      </c>
      <c r="J2917" s="19" t="s">
        <v>2064</v>
      </c>
      <c r="L2917" s="19">
        <v>66.261260500000006</v>
      </c>
      <c r="M2917" s="19">
        <v>66.261260500000006</v>
      </c>
      <c r="N2917" s="19" t="s">
        <v>1475</v>
      </c>
      <c r="O2917" s="20">
        <v>2</v>
      </c>
      <c r="S2917" s="19" t="s">
        <v>20</v>
      </c>
      <c r="T2917" s="19" t="s">
        <v>1471</v>
      </c>
    </row>
    <row r="2918" spans="1:20">
      <c r="A2918" s="20">
        <v>202604333716844</v>
      </c>
      <c r="B2918" s="19" t="s">
        <v>20</v>
      </c>
      <c r="C2918" s="19" t="s">
        <v>21</v>
      </c>
      <c r="D2918" s="19" t="s">
        <v>20</v>
      </c>
      <c r="E2918" s="21">
        <v>46235</v>
      </c>
      <c r="F2918" s="21">
        <v>46599</v>
      </c>
      <c r="G2918" s="21"/>
      <c r="H2918" s="21">
        <v>46235</v>
      </c>
      <c r="I2918" s="21">
        <v>46599</v>
      </c>
      <c r="J2918" s="19" t="s">
        <v>2064</v>
      </c>
      <c r="L2918" s="19">
        <v>0</v>
      </c>
      <c r="M2918" s="19">
        <v>0</v>
      </c>
      <c r="N2918" s="19" t="s">
        <v>2394</v>
      </c>
      <c r="O2918" s="20">
        <v>4</v>
      </c>
      <c r="S2918" s="19" t="s">
        <v>20</v>
      </c>
      <c r="T2918" s="19" t="s">
        <v>1471</v>
      </c>
    </row>
    <row r="2919" spans="1:20">
      <c r="A2919" s="20">
        <v>202604333716844</v>
      </c>
      <c r="B2919" s="19" t="s">
        <v>20</v>
      </c>
      <c r="C2919" s="19" t="s">
        <v>21</v>
      </c>
      <c r="D2919" s="19" t="s">
        <v>20</v>
      </c>
      <c r="E2919" s="21">
        <v>46235</v>
      </c>
      <c r="F2919" s="21">
        <v>46599</v>
      </c>
      <c r="G2919" s="21"/>
      <c r="H2919" s="21">
        <v>46235</v>
      </c>
      <c r="I2919" s="21">
        <v>46599</v>
      </c>
      <c r="J2919" s="19" t="s">
        <v>2064</v>
      </c>
      <c r="L2919" s="19">
        <v>132.52252100000001</v>
      </c>
      <c r="M2919" s="19">
        <v>132.52252100000001</v>
      </c>
      <c r="N2919" s="19" t="s">
        <v>1475</v>
      </c>
      <c r="O2919" s="20">
        <v>4</v>
      </c>
      <c r="S2919" s="19" t="s">
        <v>20</v>
      </c>
      <c r="T2919" s="19" t="s">
        <v>1471</v>
      </c>
    </row>
    <row r="2920" spans="1:20">
      <c r="A2920" s="20">
        <v>202604333717131</v>
      </c>
      <c r="B2920" s="19" t="s">
        <v>20</v>
      </c>
      <c r="C2920" s="19" t="s">
        <v>21</v>
      </c>
      <c r="D2920" s="19" t="s">
        <v>20</v>
      </c>
      <c r="E2920" s="21">
        <v>46235</v>
      </c>
      <c r="F2920" s="21">
        <v>46599</v>
      </c>
      <c r="G2920" s="21"/>
      <c r="H2920" s="21">
        <v>46235</v>
      </c>
      <c r="I2920" s="21">
        <v>46599</v>
      </c>
      <c r="J2920" s="19" t="s">
        <v>2087</v>
      </c>
      <c r="L2920" s="19">
        <v>33.130630250000003</v>
      </c>
      <c r="M2920" s="19">
        <v>33.130630250000003</v>
      </c>
      <c r="N2920" s="19" t="s">
        <v>1475</v>
      </c>
      <c r="O2920" s="20">
        <v>1</v>
      </c>
      <c r="S2920" s="19" t="s">
        <v>20</v>
      </c>
      <c r="T2920" s="19" t="s">
        <v>1471</v>
      </c>
    </row>
    <row r="2921" spans="1:20">
      <c r="A2921" s="20">
        <v>202604333718697</v>
      </c>
      <c r="B2921" s="19" t="s">
        <v>20</v>
      </c>
      <c r="C2921" s="19" t="s">
        <v>21</v>
      </c>
      <c r="D2921" s="19" t="s">
        <v>20</v>
      </c>
      <c r="E2921" s="21">
        <v>46235</v>
      </c>
      <c r="F2921" s="21">
        <v>46599</v>
      </c>
      <c r="G2921" s="21"/>
      <c r="H2921" s="21">
        <v>46235</v>
      </c>
      <c r="I2921" s="21">
        <v>46599</v>
      </c>
      <c r="J2921" s="19" t="s">
        <v>2083</v>
      </c>
      <c r="L2921" s="19">
        <v>0</v>
      </c>
      <c r="M2921" s="19">
        <v>0</v>
      </c>
      <c r="N2921" s="19" t="s">
        <v>2394</v>
      </c>
      <c r="O2921" s="20">
        <v>3</v>
      </c>
      <c r="S2921" s="19" t="s">
        <v>20</v>
      </c>
      <c r="T2921" s="19" t="s">
        <v>1471</v>
      </c>
    </row>
    <row r="2922" spans="1:20">
      <c r="A2922" s="20">
        <v>202604333718697</v>
      </c>
      <c r="B2922" s="19" t="s">
        <v>20</v>
      </c>
      <c r="C2922" s="19" t="s">
        <v>21</v>
      </c>
      <c r="D2922" s="19" t="s">
        <v>2435</v>
      </c>
      <c r="E2922" s="21">
        <v>46235</v>
      </c>
      <c r="F2922" s="21">
        <v>46599</v>
      </c>
      <c r="G2922" s="21"/>
      <c r="H2922" s="21">
        <v>46235</v>
      </c>
      <c r="I2922" s="21">
        <v>46599</v>
      </c>
      <c r="J2922" s="19" t="s">
        <v>2083</v>
      </c>
      <c r="L2922" s="19">
        <v>99.391890750000002</v>
      </c>
      <c r="M2922" s="19">
        <v>99.391890750000002</v>
      </c>
      <c r="N2922" s="19" t="s">
        <v>1467</v>
      </c>
      <c r="O2922" s="20">
        <v>3</v>
      </c>
      <c r="S2922" s="19" t="s">
        <v>20</v>
      </c>
      <c r="T2922" s="19" t="s">
        <v>1471</v>
      </c>
    </row>
    <row r="2923" spans="1:20">
      <c r="A2923" s="20">
        <v>202604333720999</v>
      </c>
      <c r="B2923" s="19" t="s">
        <v>20</v>
      </c>
      <c r="C2923" s="19" t="s">
        <v>21</v>
      </c>
      <c r="D2923" s="19" t="s">
        <v>20</v>
      </c>
      <c r="E2923" s="21">
        <v>46235</v>
      </c>
      <c r="F2923" s="21">
        <v>46599</v>
      </c>
      <c r="G2923" s="21"/>
      <c r="H2923" s="21">
        <v>46235</v>
      </c>
      <c r="I2923" s="21">
        <v>46599</v>
      </c>
      <c r="J2923" s="19" t="s">
        <v>2069</v>
      </c>
      <c r="L2923" s="19">
        <v>0</v>
      </c>
      <c r="M2923" s="19">
        <v>0</v>
      </c>
      <c r="N2923" s="19" t="s">
        <v>2394</v>
      </c>
      <c r="O2923" s="20">
        <v>2</v>
      </c>
      <c r="S2923" s="19" t="s">
        <v>20</v>
      </c>
      <c r="T2923" s="19" t="s">
        <v>1471</v>
      </c>
    </row>
    <row r="2924" spans="1:20">
      <c r="A2924" s="20">
        <v>202604333720999</v>
      </c>
      <c r="B2924" s="19" t="s">
        <v>20</v>
      </c>
      <c r="C2924" s="19" t="s">
        <v>21</v>
      </c>
      <c r="D2924" s="19" t="s">
        <v>20</v>
      </c>
      <c r="E2924" s="21">
        <v>46235</v>
      </c>
      <c r="F2924" s="21">
        <v>46599</v>
      </c>
      <c r="G2924" s="21"/>
      <c r="H2924" s="21">
        <v>46235</v>
      </c>
      <c r="I2924" s="21">
        <v>46599</v>
      </c>
      <c r="J2924" s="19" t="s">
        <v>2069</v>
      </c>
      <c r="L2924" s="19">
        <v>66.261260500000006</v>
      </c>
      <c r="M2924" s="19">
        <v>66.261260500000006</v>
      </c>
      <c r="N2924" s="19" t="s">
        <v>1475</v>
      </c>
      <c r="O2924" s="20">
        <v>2</v>
      </c>
      <c r="S2924" s="19" t="s">
        <v>20</v>
      </c>
      <c r="T2924" s="19" t="s">
        <v>1471</v>
      </c>
    </row>
    <row r="2925" spans="1:20">
      <c r="A2925" s="20">
        <v>202604333722310</v>
      </c>
      <c r="B2925" s="19" t="s">
        <v>20</v>
      </c>
      <c r="C2925" s="19" t="s">
        <v>21</v>
      </c>
      <c r="D2925" s="19" t="s">
        <v>20</v>
      </c>
      <c r="E2925" s="21">
        <v>46235</v>
      </c>
      <c r="F2925" s="21">
        <v>46599</v>
      </c>
      <c r="G2925" s="21"/>
      <c r="H2925" s="21">
        <v>46235</v>
      </c>
      <c r="I2925" s="21">
        <v>46599</v>
      </c>
      <c r="J2925" s="19" t="s">
        <v>2104</v>
      </c>
      <c r="L2925" s="19">
        <v>0</v>
      </c>
      <c r="M2925" s="19">
        <v>0</v>
      </c>
      <c r="N2925" s="19" t="s">
        <v>2394</v>
      </c>
      <c r="O2925" s="20">
        <v>2</v>
      </c>
      <c r="S2925" s="19" t="s">
        <v>20</v>
      </c>
      <c r="T2925" s="19" t="s">
        <v>1471</v>
      </c>
    </row>
    <row r="2926" spans="1:20">
      <c r="A2926" s="20">
        <v>202604333722310</v>
      </c>
      <c r="B2926" s="19" t="s">
        <v>20</v>
      </c>
      <c r="C2926" s="19" t="s">
        <v>21</v>
      </c>
      <c r="D2926" s="19" t="s">
        <v>20</v>
      </c>
      <c r="E2926" s="21">
        <v>46235</v>
      </c>
      <c r="F2926" s="21">
        <v>46599</v>
      </c>
      <c r="G2926" s="21"/>
      <c r="H2926" s="21">
        <v>46235</v>
      </c>
      <c r="I2926" s="21">
        <v>46599</v>
      </c>
      <c r="J2926" s="19" t="s">
        <v>2104</v>
      </c>
      <c r="L2926" s="19">
        <v>66.261260500000006</v>
      </c>
      <c r="M2926" s="19">
        <v>66.261260500000006</v>
      </c>
      <c r="N2926" s="19" t="s">
        <v>1475</v>
      </c>
      <c r="O2926" s="20">
        <v>2</v>
      </c>
      <c r="S2926" s="19" t="s">
        <v>20</v>
      </c>
      <c r="T2926" s="19" t="s">
        <v>1471</v>
      </c>
    </row>
    <row r="2927" spans="1:20">
      <c r="A2927" s="20">
        <v>202604333722539</v>
      </c>
      <c r="B2927" s="19" t="s">
        <v>20</v>
      </c>
      <c r="C2927" s="19" t="s">
        <v>21</v>
      </c>
      <c r="D2927" s="19" t="s">
        <v>20</v>
      </c>
      <c r="E2927" s="21">
        <v>46235</v>
      </c>
      <c r="F2927" s="21">
        <v>46599</v>
      </c>
      <c r="G2927" s="21"/>
      <c r="H2927" s="21">
        <v>46235</v>
      </c>
      <c r="I2927" s="21">
        <v>46599</v>
      </c>
      <c r="J2927" s="19" t="s">
        <v>2087</v>
      </c>
      <c r="L2927" s="19">
        <v>33.130630250000003</v>
      </c>
      <c r="M2927" s="19">
        <v>33.130630250000003</v>
      </c>
      <c r="N2927" s="19" t="s">
        <v>1475</v>
      </c>
      <c r="O2927" s="20">
        <v>1</v>
      </c>
      <c r="S2927" s="19" t="s">
        <v>20</v>
      </c>
      <c r="T2927" s="19" t="s">
        <v>1471</v>
      </c>
    </row>
    <row r="2928" spans="1:20">
      <c r="A2928" s="20">
        <v>202604333723413</v>
      </c>
      <c r="B2928" s="19" t="s">
        <v>20</v>
      </c>
      <c r="C2928" s="19" t="s">
        <v>21</v>
      </c>
      <c r="D2928" s="19" t="s">
        <v>20</v>
      </c>
      <c r="E2928" s="21">
        <v>46235</v>
      </c>
      <c r="F2928" s="21">
        <v>46599</v>
      </c>
      <c r="G2928" s="21"/>
      <c r="H2928" s="21">
        <v>46235</v>
      </c>
      <c r="I2928" s="21">
        <v>46599</v>
      </c>
      <c r="J2928" s="19" t="s">
        <v>2187</v>
      </c>
      <c r="L2928" s="19">
        <v>38.289795750000003</v>
      </c>
      <c r="M2928" s="19">
        <v>38.289795750000003</v>
      </c>
      <c r="N2928" s="19" t="s">
        <v>1475</v>
      </c>
      <c r="O2928" s="20">
        <v>1</v>
      </c>
      <c r="S2928" s="19" t="s">
        <v>20</v>
      </c>
      <c r="T2928" s="19" t="s">
        <v>1471</v>
      </c>
    </row>
    <row r="2929" spans="1:20">
      <c r="A2929" s="20">
        <v>202604333725198</v>
      </c>
      <c r="B2929" s="19" t="s">
        <v>20</v>
      </c>
      <c r="C2929" s="19" t="s">
        <v>21</v>
      </c>
      <c r="D2929" s="19" t="s">
        <v>20</v>
      </c>
      <c r="E2929" s="21">
        <v>46235</v>
      </c>
      <c r="F2929" s="21">
        <v>46599</v>
      </c>
      <c r="G2929" s="21"/>
      <c r="H2929" s="21">
        <v>46235</v>
      </c>
      <c r="I2929" s="21">
        <v>46599</v>
      </c>
      <c r="J2929" s="19" t="s">
        <v>2064</v>
      </c>
      <c r="L2929" s="19">
        <v>33.130630250000003</v>
      </c>
      <c r="M2929" s="19">
        <v>33.130630250000003</v>
      </c>
      <c r="N2929" s="19" t="s">
        <v>1475</v>
      </c>
      <c r="O2929" s="20">
        <v>1</v>
      </c>
      <c r="S2929" s="19" t="s">
        <v>20</v>
      </c>
      <c r="T2929" s="19" t="s">
        <v>1471</v>
      </c>
    </row>
    <row r="2930" spans="1:20">
      <c r="A2930" s="20">
        <v>202604333726056</v>
      </c>
      <c r="B2930" s="19" t="s">
        <v>20</v>
      </c>
      <c r="C2930" s="19" t="s">
        <v>21</v>
      </c>
      <c r="D2930" s="19" t="s">
        <v>20</v>
      </c>
      <c r="E2930" s="21">
        <v>46235</v>
      </c>
      <c r="F2930" s="21">
        <v>46599</v>
      </c>
      <c r="G2930" s="21"/>
      <c r="H2930" s="21">
        <v>46235</v>
      </c>
      <c r="I2930" s="21">
        <v>46599</v>
      </c>
      <c r="J2930" s="19" t="s">
        <v>2064</v>
      </c>
      <c r="L2930" s="19">
        <v>0</v>
      </c>
      <c r="M2930" s="19">
        <v>0</v>
      </c>
      <c r="N2930" s="19" t="s">
        <v>2394</v>
      </c>
      <c r="O2930" s="20">
        <v>3</v>
      </c>
      <c r="S2930" s="19" t="s">
        <v>20</v>
      </c>
      <c r="T2930" s="19" t="s">
        <v>1471</v>
      </c>
    </row>
    <row r="2931" spans="1:20">
      <c r="A2931" s="20">
        <v>202604333726056</v>
      </c>
      <c r="B2931" s="19" t="s">
        <v>20</v>
      </c>
      <c r="C2931" s="19" t="s">
        <v>21</v>
      </c>
      <c r="D2931" s="19" t="s">
        <v>20</v>
      </c>
      <c r="E2931" s="21">
        <v>46235</v>
      </c>
      <c r="F2931" s="21">
        <v>46599</v>
      </c>
      <c r="G2931" s="21"/>
      <c r="H2931" s="21">
        <v>46235</v>
      </c>
      <c r="I2931" s="21">
        <v>46599</v>
      </c>
      <c r="J2931" s="19" t="s">
        <v>2064</v>
      </c>
      <c r="L2931" s="19">
        <v>99.391890750000002</v>
      </c>
      <c r="M2931" s="19">
        <v>99.391890750000002</v>
      </c>
      <c r="N2931" s="19" t="s">
        <v>1475</v>
      </c>
      <c r="O2931" s="20">
        <v>3</v>
      </c>
      <c r="S2931" s="19" t="s">
        <v>20</v>
      </c>
      <c r="T2931" s="19" t="s">
        <v>1471</v>
      </c>
    </row>
    <row r="2932" spans="1:20">
      <c r="A2932" s="20">
        <v>202604333726831</v>
      </c>
      <c r="B2932" s="19" t="s">
        <v>20</v>
      </c>
      <c r="C2932" s="19" t="s">
        <v>21</v>
      </c>
      <c r="D2932" s="19" t="s">
        <v>20</v>
      </c>
      <c r="E2932" s="21">
        <v>46235</v>
      </c>
      <c r="F2932" s="21">
        <v>46599</v>
      </c>
      <c r="G2932" s="21"/>
      <c r="H2932" s="21">
        <v>46235</v>
      </c>
      <c r="I2932" s="21">
        <v>46599</v>
      </c>
      <c r="J2932" s="19" t="s">
        <v>2118</v>
      </c>
      <c r="L2932" s="19">
        <v>0</v>
      </c>
      <c r="M2932" s="19">
        <v>0</v>
      </c>
      <c r="N2932" s="19" t="s">
        <v>2394</v>
      </c>
      <c r="O2932" s="20">
        <v>5</v>
      </c>
      <c r="S2932" s="19" t="s">
        <v>20</v>
      </c>
      <c r="T2932" s="19" t="s">
        <v>1471</v>
      </c>
    </row>
    <row r="2933" spans="1:20">
      <c r="A2933" s="20">
        <v>202604333726831</v>
      </c>
      <c r="B2933" s="19" t="s">
        <v>20</v>
      </c>
      <c r="C2933" s="19" t="s">
        <v>21</v>
      </c>
      <c r="D2933" s="19" t="s">
        <v>2434</v>
      </c>
      <c r="E2933" s="21">
        <v>46235</v>
      </c>
      <c r="F2933" s="21">
        <v>46599</v>
      </c>
      <c r="G2933" s="21"/>
      <c r="H2933" s="21">
        <v>46235</v>
      </c>
      <c r="I2933" s="21">
        <v>46599</v>
      </c>
      <c r="J2933" s="19" t="s">
        <v>2118</v>
      </c>
      <c r="L2933" s="19">
        <v>165.65315125000001</v>
      </c>
      <c r="M2933" s="19">
        <v>165.65315125000001</v>
      </c>
      <c r="N2933" s="19" t="s">
        <v>1467</v>
      </c>
      <c r="O2933" s="20">
        <v>5</v>
      </c>
      <c r="S2933" s="19" t="s">
        <v>20</v>
      </c>
      <c r="T2933" s="19" t="s">
        <v>1471</v>
      </c>
    </row>
    <row r="2934" spans="1:20">
      <c r="A2934" s="20">
        <v>202604333729954</v>
      </c>
      <c r="B2934" s="19" t="s">
        <v>20</v>
      </c>
      <c r="C2934" s="19" t="s">
        <v>21</v>
      </c>
      <c r="D2934" s="19" t="s">
        <v>20</v>
      </c>
      <c r="E2934" s="21">
        <v>46235</v>
      </c>
      <c r="F2934" s="21">
        <v>46599</v>
      </c>
      <c r="G2934" s="21"/>
      <c r="H2934" s="21">
        <v>46235</v>
      </c>
      <c r="I2934" s="21">
        <v>46599</v>
      </c>
      <c r="J2934" s="19" t="s">
        <v>2087</v>
      </c>
      <c r="L2934" s="19">
        <v>33.130630250000003</v>
      </c>
      <c r="M2934" s="19">
        <v>33.130630250000003</v>
      </c>
      <c r="N2934" s="19" t="s">
        <v>1475</v>
      </c>
      <c r="O2934" s="20">
        <v>1</v>
      </c>
      <c r="S2934" s="19" t="s">
        <v>20</v>
      </c>
      <c r="T2934" s="19" t="s">
        <v>1471</v>
      </c>
    </row>
    <row r="2935" spans="1:20">
      <c r="A2935" s="20">
        <v>202604333730562</v>
      </c>
      <c r="B2935" s="19" t="s">
        <v>20</v>
      </c>
      <c r="C2935" s="19" t="s">
        <v>21</v>
      </c>
      <c r="D2935" s="19" t="s">
        <v>20</v>
      </c>
      <c r="E2935" s="21">
        <v>46235</v>
      </c>
      <c r="F2935" s="21">
        <v>46599</v>
      </c>
      <c r="G2935" s="21"/>
      <c r="H2935" s="21">
        <v>46235</v>
      </c>
      <c r="I2935" s="21">
        <v>46599</v>
      </c>
      <c r="J2935" s="19" t="s">
        <v>2080</v>
      </c>
      <c r="L2935" s="19">
        <v>33.130630250000003</v>
      </c>
      <c r="M2935" s="19">
        <v>33.130630250000003</v>
      </c>
      <c r="N2935" s="19" t="s">
        <v>1475</v>
      </c>
      <c r="O2935" s="20">
        <v>1</v>
      </c>
      <c r="S2935" s="19" t="s">
        <v>20</v>
      </c>
      <c r="T2935" s="19" t="s">
        <v>1471</v>
      </c>
    </row>
    <row r="2936" spans="1:20">
      <c r="A2936" s="20">
        <v>202604333731172</v>
      </c>
      <c r="B2936" s="19" t="s">
        <v>20</v>
      </c>
      <c r="C2936" s="19" t="s">
        <v>21</v>
      </c>
      <c r="D2936" s="19" t="s">
        <v>20</v>
      </c>
      <c r="E2936" s="21">
        <v>46235</v>
      </c>
      <c r="F2936" s="21">
        <v>46599</v>
      </c>
      <c r="G2936" s="21"/>
      <c r="H2936" s="21">
        <v>46235</v>
      </c>
      <c r="I2936" s="21">
        <v>46599</v>
      </c>
      <c r="J2936" s="19" t="s">
        <v>2080</v>
      </c>
      <c r="L2936" s="19">
        <v>0</v>
      </c>
      <c r="M2936" s="19">
        <v>0</v>
      </c>
      <c r="N2936" s="19" t="s">
        <v>2394</v>
      </c>
      <c r="O2936" s="20">
        <v>6</v>
      </c>
      <c r="S2936" s="19" t="s">
        <v>20</v>
      </c>
      <c r="T2936" s="19" t="s">
        <v>1471</v>
      </c>
    </row>
    <row r="2937" spans="1:20">
      <c r="A2937" s="20">
        <v>202604333731172</v>
      </c>
      <c r="B2937" s="19" t="s">
        <v>20</v>
      </c>
      <c r="C2937" s="19" t="s">
        <v>21</v>
      </c>
      <c r="D2937" s="19" t="s">
        <v>20</v>
      </c>
      <c r="E2937" s="21">
        <v>46235</v>
      </c>
      <c r="F2937" s="21">
        <v>46599</v>
      </c>
      <c r="G2937" s="21"/>
      <c r="H2937" s="21">
        <v>46235</v>
      </c>
      <c r="I2937" s="21">
        <v>46599</v>
      </c>
      <c r="J2937" s="19" t="s">
        <v>2080</v>
      </c>
      <c r="L2937" s="19">
        <v>198.7837815</v>
      </c>
      <c r="M2937" s="19">
        <v>198.7837815</v>
      </c>
      <c r="N2937" s="19" t="s">
        <v>1475</v>
      </c>
      <c r="O2937" s="20">
        <v>6</v>
      </c>
      <c r="S2937" s="19" t="s">
        <v>20</v>
      </c>
      <c r="T2937" s="19" t="s">
        <v>1471</v>
      </c>
    </row>
    <row r="2938" spans="1:20">
      <c r="A2938" s="20">
        <v>202604333733074</v>
      </c>
      <c r="B2938" s="19" t="s">
        <v>20</v>
      </c>
      <c r="C2938" s="19" t="s">
        <v>21</v>
      </c>
      <c r="D2938" s="19" t="s">
        <v>20</v>
      </c>
      <c r="E2938" s="21">
        <v>46235</v>
      </c>
      <c r="F2938" s="21">
        <v>46599</v>
      </c>
      <c r="G2938" s="21"/>
      <c r="H2938" s="21">
        <v>46235</v>
      </c>
      <c r="I2938" s="21">
        <v>46599</v>
      </c>
      <c r="J2938" s="19" t="s">
        <v>2139</v>
      </c>
      <c r="L2938" s="19">
        <v>0</v>
      </c>
      <c r="M2938" s="19">
        <v>0</v>
      </c>
      <c r="N2938" s="19" t="s">
        <v>2394</v>
      </c>
      <c r="O2938" s="20">
        <v>3</v>
      </c>
      <c r="S2938" s="19" t="s">
        <v>20</v>
      </c>
      <c r="T2938" s="19" t="s">
        <v>1471</v>
      </c>
    </row>
    <row r="2939" spans="1:20">
      <c r="A2939" s="20">
        <v>202604333733074</v>
      </c>
      <c r="B2939" s="19" t="s">
        <v>20</v>
      </c>
      <c r="C2939" s="19" t="s">
        <v>21</v>
      </c>
      <c r="D2939" s="19" t="s">
        <v>2433</v>
      </c>
      <c r="E2939" s="21">
        <v>46235</v>
      </c>
      <c r="F2939" s="21">
        <v>46599</v>
      </c>
      <c r="G2939" s="21"/>
      <c r="H2939" s="21">
        <v>46235</v>
      </c>
      <c r="I2939" s="21">
        <v>46599</v>
      </c>
      <c r="J2939" s="19" t="s">
        <v>2139</v>
      </c>
      <c r="L2939" s="19">
        <v>115.978677</v>
      </c>
      <c r="M2939" s="19">
        <v>115.978677</v>
      </c>
      <c r="N2939" s="19" t="s">
        <v>1467</v>
      </c>
      <c r="O2939" s="20">
        <v>3</v>
      </c>
      <c r="S2939" s="19" t="s">
        <v>20</v>
      </c>
      <c r="T2939" s="19" t="s">
        <v>1471</v>
      </c>
    </row>
    <row r="2940" spans="1:20">
      <c r="A2940" s="20">
        <v>202604333737972</v>
      </c>
      <c r="B2940" s="19" t="s">
        <v>20</v>
      </c>
      <c r="C2940" s="19" t="s">
        <v>21</v>
      </c>
      <c r="D2940" s="19" t="s">
        <v>20</v>
      </c>
      <c r="E2940" s="21">
        <v>46235</v>
      </c>
      <c r="F2940" s="21">
        <v>46599</v>
      </c>
      <c r="G2940" s="21"/>
      <c r="H2940" s="21">
        <v>46235</v>
      </c>
      <c r="I2940" s="21">
        <v>46599</v>
      </c>
      <c r="J2940" s="19" t="s">
        <v>2431</v>
      </c>
      <c r="L2940" s="19">
        <v>0</v>
      </c>
      <c r="M2940" s="19">
        <v>0</v>
      </c>
      <c r="N2940" s="19" t="s">
        <v>2394</v>
      </c>
      <c r="O2940" s="20">
        <v>5</v>
      </c>
      <c r="S2940" s="19" t="s">
        <v>20</v>
      </c>
      <c r="T2940" s="19" t="s">
        <v>1471</v>
      </c>
    </row>
    <row r="2941" spans="1:20">
      <c r="A2941" s="20">
        <v>202604333737972</v>
      </c>
      <c r="B2941" s="19" t="s">
        <v>20</v>
      </c>
      <c r="C2941" s="19" t="s">
        <v>21</v>
      </c>
      <c r="D2941" s="19" t="s">
        <v>2432</v>
      </c>
      <c r="E2941" s="21">
        <v>46235</v>
      </c>
      <c r="F2941" s="21">
        <v>46599</v>
      </c>
      <c r="G2941" s="21"/>
      <c r="H2941" s="21">
        <v>46235</v>
      </c>
      <c r="I2941" s="21">
        <v>46599</v>
      </c>
      <c r="J2941" s="19" t="s">
        <v>2431</v>
      </c>
      <c r="L2941" s="19">
        <v>99.579117499999995</v>
      </c>
      <c r="M2941" s="19">
        <v>99.579117499999995</v>
      </c>
      <c r="N2941" s="19" t="s">
        <v>1467</v>
      </c>
      <c r="O2941" s="20">
        <v>5</v>
      </c>
      <c r="S2941" s="19" t="s">
        <v>20</v>
      </c>
      <c r="T2941" s="19" t="s">
        <v>1471</v>
      </c>
    </row>
    <row r="2942" spans="1:20">
      <c r="A2942" s="20">
        <v>202604333738266</v>
      </c>
      <c r="B2942" s="19" t="s">
        <v>20</v>
      </c>
      <c r="C2942" s="19" t="s">
        <v>21</v>
      </c>
      <c r="D2942" s="19" t="s">
        <v>20</v>
      </c>
      <c r="E2942" s="21">
        <v>46235</v>
      </c>
      <c r="F2942" s="21">
        <v>46599</v>
      </c>
      <c r="G2942" s="21"/>
      <c r="H2942" s="21">
        <v>46235</v>
      </c>
      <c r="I2942" s="21">
        <v>46599</v>
      </c>
      <c r="J2942" s="19" t="s">
        <v>2128</v>
      </c>
      <c r="L2942" s="19">
        <v>29.817561749999999</v>
      </c>
      <c r="M2942" s="19">
        <v>29.817561749999999</v>
      </c>
      <c r="N2942" s="19" t="s">
        <v>1475</v>
      </c>
      <c r="O2942" s="20">
        <v>1</v>
      </c>
      <c r="S2942" s="19" t="s">
        <v>20</v>
      </c>
      <c r="T2942" s="19" t="s">
        <v>1471</v>
      </c>
    </row>
    <row r="2943" spans="1:20">
      <c r="A2943" s="20">
        <v>202604333738502</v>
      </c>
      <c r="B2943" s="19" t="s">
        <v>20</v>
      </c>
      <c r="C2943" s="19" t="s">
        <v>21</v>
      </c>
      <c r="D2943" s="19" t="s">
        <v>20</v>
      </c>
      <c r="E2943" s="21">
        <v>46235</v>
      </c>
      <c r="F2943" s="21">
        <v>46599</v>
      </c>
      <c r="G2943" s="21"/>
      <c r="H2943" s="21">
        <v>46235</v>
      </c>
      <c r="I2943" s="21">
        <v>46599</v>
      </c>
      <c r="J2943" s="19" t="s">
        <v>2111</v>
      </c>
      <c r="L2943" s="19">
        <v>0</v>
      </c>
      <c r="M2943" s="19">
        <v>0</v>
      </c>
      <c r="N2943" s="19" t="s">
        <v>2394</v>
      </c>
      <c r="O2943" s="20">
        <v>2</v>
      </c>
      <c r="S2943" s="19" t="s">
        <v>20</v>
      </c>
      <c r="T2943" s="19" t="s">
        <v>1471</v>
      </c>
    </row>
    <row r="2944" spans="1:20">
      <c r="A2944" s="20">
        <v>202604333738502</v>
      </c>
      <c r="B2944" s="19" t="s">
        <v>20</v>
      </c>
      <c r="C2944" s="19" t="s">
        <v>21</v>
      </c>
      <c r="D2944" s="19" t="s">
        <v>2430</v>
      </c>
      <c r="E2944" s="21">
        <v>46235</v>
      </c>
      <c r="F2944" s="21">
        <v>46599</v>
      </c>
      <c r="G2944" s="21"/>
      <c r="H2944" s="21">
        <v>46235</v>
      </c>
      <c r="I2944" s="21">
        <v>46599</v>
      </c>
      <c r="J2944" s="19" t="s">
        <v>2111</v>
      </c>
      <c r="L2944" s="19">
        <v>33.454366999999998</v>
      </c>
      <c r="M2944" s="19">
        <v>33.454366999999998</v>
      </c>
      <c r="N2944" s="19" t="s">
        <v>1467</v>
      </c>
      <c r="O2944" s="20">
        <v>2</v>
      </c>
      <c r="S2944" s="19" t="s">
        <v>20</v>
      </c>
      <c r="T2944" s="19" t="s">
        <v>1471</v>
      </c>
    </row>
    <row r="2945" spans="1:20">
      <c r="A2945" s="20">
        <v>202604333738886</v>
      </c>
      <c r="B2945" s="19" t="s">
        <v>20</v>
      </c>
      <c r="C2945" s="19" t="s">
        <v>21</v>
      </c>
      <c r="D2945" s="19" t="s">
        <v>20</v>
      </c>
      <c r="E2945" s="21">
        <v>46235</v>
      </c>
      <c r="F2945" s="21">
        <v>46599</v>
      </c>
      <c r="G2945" s="21"/>
      <c r="H2945" s="21">
        <v>46235</v>
      </c>
      <c r="I2945" s="21">
        <v>46599</v>
      </c>
      <c r="J2945" s="19" t="s">
        <v>2064</v>
      </c>
      <c r="L2945" s="19">
        <v>33.130630250000003</v>
      </c>
      <c r="M2945" s="19">
        <v>33.130630250000003</v>
      </c>
      <c r="N2945" s="19" t="s">
        <v>1475</v>
      </c>
      <c r="O2945" s="20">
        <v>1</v>
      </c>
      <c r="S2945" s="19" t="s">
        <v>20</v>
      </c>
      <c r="T2945" s="19" t="s">
        <v>1471</v>
      </c>
    </row>
    <row r="2946" spans="1:20">
      <c r="A2946" s="20">
        <v>202604333738909</v>
      </c>
      <c r="B2946" s="19" t="s">
        <v>20</v>
      </c>
      <c r="C2946" s="19" t="s">
        <v>21</v>
      </c>
      <c r="D2946" s="19" t="s">
        <v>20</v>
      </c>
      <c r="E2946" s="21">
        <v>46235</v>
      </c>
      <c r="F2946" s="21">
        <v>46599</v>
      </c>
      <c r="G2946" s="21"/>
      <c r="H2946" s="21">
        <v>46235</v>
      </c>
      <c r="I2946" s="21">
        <v>46599</v>
      </c>
      <c r="J2946" s="19" t="s">
        <v>2129</v>
      </c>
      <c r="L2946" s="19">
        <v>0</v>
      </c>
      <c r="M2946" s="19">
        <v>0</v>
      </c>
      <c r="N2946" s="19" t="s">
        <v>2394</v>
      </c>
      <c r="O2946" s="20">
        <v>2</v>
      </c>
      <c r="S2946" s="19" t="s">
        <v>20</v>
      </c>
      <c r="T2946" s="19" t="s">
        <v>1471</v>
      </c>
    </row>
    <row r="2947" spans="1:20">
      <c r="A2947" s="20">
        <v>202604333738909</v>
      </c>
      <c r="B2947" s="19" t="s">
        <v>20</v>
      </c>
      <c r="C2947" s="19" t="s">
        <v>21</v>
      </c>
      <c r="D2947" s="19" t="s">
        <v>20</v>
      </c>
      <c r="E2947" s="21">
        <v>46235</v>
      </c>
      <c r="F2947" s="21">
        <v>46599</v>
      </c>
      <c r="G2947" s="21"/>
      <c r="H2947" s="21">
        <v>46235</v>
      </c>
      <c r="I2947" s="21">
        <v>46599</v>
      </c>
      <c r="J2947" s="19" t="s">
        <v>2129</v>
      </c>
      <c r="L2947" s="19">
        <v>66.261260500000006</v>
      </c>
      <c r="M2947" s="19">
        <v>66.261260500000006</v>
      </c>
      <c r="N2947" s="19" t="s">
        <v>1475</v>
      </c>
      <c r="O2947" s="20">
        <v>2</v>
      </c>
      <c r="S2947" s="19" t="s">
        <v>20</v>
      </c>
      <c r="T2947" s="19" t="s">
        <v>1471</v>
      </c>
    </row>
    <row r="2948" spans="1:20">
      <c r="A2948" s="20">
        <v>202604333739044</v>
      </c>
      <c r="B2948" s="19" t="s">
        <v>20</v>
      </c>
      <c r="C2948" s="19" t="s">
        <v>21</v>
      </c>
      <c r="D2948" s="19" t="s">
        <v>20</v>
      </c>
      <c r="E2948" s="21">
        <v>46235</v>
      </c>
      <c r="F2948" s="21">
        <v>46599</v>
      </c>
      <c r="G2948" s="21"/>
      <c r="H2948" s="21">
        <v>46235</v>
      </c>
      <c r="I2948" s="21">
        <v>46599</v>
      </c>
      <c r="J2948" s="19" t="s">
        <v>2064</v>
      </c>
      <c r="L2948" s="19">
        <v>33.130630250000003</v>
      </c>
      <c r="M2948" s="19">
        <v>33.130630250000003</v>
      </c>
      <c r="N2948" s="19" t="s">
        <v>1475</v>
      </c>
      <c r="O2948" s="20">
        <v>1</v>
      </c>
      <c r="S2948" s="19" t="s">
        <v>20</v>
      </c>
      <c r="T2948" s="19" t="s">
        <v>1471</v>
      </c>
    </row>
    <row r="2949" spans="1:20">
      <c r="A2949" s="20">
        <v>202604333739398</v>
      </c>
      <c r="B2949" s="19" t="s">
        <v>20</v>
      </c>
      <c r="C2949" s="19" t="s">
        <v>21</v>
      </c>
      <c r="D2949" s="19" t="s">
        <v>20</v>
      </c>
      <c r="E2949" s="21">
        <v>46235</v>
      </c>
      <c r="F2949" s="21">
        <v>46599</v>
      </c>
      <c r="G2949" s="21"/>
      <c r="H2949" s="21">
        <v>46235</v>
      </c>
      <c r="I2949" s="21">
        <v>46599</v>
      </c>
      <c r="J2949" s="19" t="s">
        <v>2087</v>
      </c>
      <c r="L2949" s="19">
        <v>0</v>
      </c>
      <c r="M2949" s="19">
        <v>0</v>
      </c>
      <c r="N2949" s="19" t="s">
        <v>2394</v>
      </c>
      <c r="O2949" s="20">
        <v>6</v>
      </c>
      <c r="S2949" s="19" t="s">
        <v>20</v>
      </c>
      <c r="T2949" s="19" t="s">
        <v>1471</v>
      </c>
    </row>
    <row r="2950" spans="1:20">
      <c r="A2950" s="20">
        <v>202604333739398</v>
      </c>
      <c r="B2950" s="19" t="s">
        <v>20</v>
      </c>
      <c r="C2950" s="19" t="s">
        <v>21</v>
      </c>
      <c r="D2950" s="19" t="s">
        <v>20</v>
      </c>
      <c r="E2950" s="21">
        <v>46235</v>
      </c>
      <c r="F2950" s="21">
        <v>46599</v>
      </c>
      <c r="G2950" s="21"/>
      <c r="H2950" s="21">
        <v>46235</v>
      </c>
      <c r="I2950" s="21">
        <v>46599</v>
      </c>
      <c r="J2950" s="19" t="s">
        <v>2087</v>
      </c>
      <c r="L2950" s="19">
        <v>198.7837815</v>
      </c>
      <c r="M2950" s="19">
        <v>198.7837815</v>
      </c>
      <c r="N2950" s="19" t="s">
        <v>1475</v>
      </c>
      <c r="O2950" s="20">
        <v>6</v>
      </c>
      <c r="S2950" s="19" t="s">
        <v>20</v>
      </c>
      <c r="T2950" s="19" t="s">
        <v>1471</v>
      </c>
    </row>
    <row r="2951" spans="1:20">
      <c r="A2951" s="20">
        <v>202604333739481</v>
      </c>
      <c r="B2951" s="19" t="s">
        <v>20</v>
      </c>
      <c r="C2951" s="19" t="s">
        <v>21</v>
      </c>
      <c r="D2951" s="19" t="s">
        <v>20</v>
      </c>
      <c r="E2951" s="21">
        <v>46235</v>
      </c>
      <c r="F2951" s="21">
        <v>46599</v>
      </c>
      <c r="G2951" s="21"/>
      <c r="H2951" s="21">
        <v>46235</v>
      </c>
      <c r="I2951" s="21">
        <v>46599</v>
      </c>
      <c r="J2951" s="19" t="s">
        <v>2069</v>
      </c>
      <c r="L2951" s="19">
        <v>0</v>
      </c>
      <c r="M2951" s="19">
        <v>0</v>
      </c>
      <c r="N2951" s="19" t="s">
        <v>2394</v>
      </c>
      <c r="O2951" s="20">
        <v>5</v>
      </c>
      <c r="S2951" s="19" t="s">
        <v>20</v>
      </c>
      <c r="T2951" s="19" t="s">
        <v>1471</v>
      </c>
    </row>
    <row r="2952" spans="1:20">
      <c r="A2952" s="20">
        <v>202604333739481</v>
      </c>
      <c r="B2952" s="19" t="s">
        <v>20</v>
      </c>
      <c r="C2952" s="19" t="s">
        <v>21</v>
      </c>
      <c r="D2952" s="19" t="s">
        <v>20</v>
      </c>
      <c r="E2952" s="21">
        <v>46235</v>
      </c>
      <c r="F2952" s="21">
        <v>46599</v>
      </c>
      <c r="G2952" s="21"/>
      <c r="H2952" s="21">
        <v>46235</v>
      </c>
      <c r="I2952" s="21">
        <v>46599</v>
      </c>
      <c r="J2952" s="19" t="s">
        <v>2069</v>
      </c>
      <c r="L2952" s="19">
        <v>165.65315125000001</v>
      </c>
      <c r="M2952" s="19">
        <v>165.65315125000001</v>
      </c>
      <c r="N2952" s="19" t="s">
        <v>1475</v>
      </c>
      <c r="O2952" s="20">
        <v>5</v>
      </c>
      <c r="S2952" s="19" t="s">
        <v>20</v>
      </c>
      <c r="T2952" s="19" t="s">
        <v>1471</v>
      </c>
    </row>
    <row r="2953" spans="1:20">
      <c r="A2953" s="20">
        <v>202604333739624</v>
      </c>
      <c r="B2953" s="19" t="s">
        <v>20</v>
      </c>
      <c r="C2953" s="19" t="s">
        <v>21</v>
      </c>
      <c r="D2953" s="19" t="s">
        <v>20</v>
      </c>
      <c r="E2953" s="21">
        <v>46235</v>
      </c>
      <c r="F2953" s="21">
        <v>46599</v>
      </c>
      <c r="G2953" s="21"/>
      <c r="H2953" s="21">
        <v>46235</v>
      </c>
      <c r="I2953" s="21">
        <v>46599</v>
      </c>
      <c r="J2953" s="19" t="s">
        <v>2064</v>
      </c>
      <c r="L2953" s="19">
        <v>0</v>
      </c>
      <c r="M2953" s="19">
        <v>0</v>
      </c>
      <c r="N2953" s="19" t="s">
        <v>2394</v>
      </c>
      <c r="O2953" s="20">
        <v>2</v>
      </c>
      <c r="S2953" s="19" t="s">
        <v>20</v>
      </c>
      <c r="T2953" s="19" t="s">
        <v>1471</v>
      </c>
    </row>
    <row r="2954" spans="1:20">
      <c r="A2954" s="20">
        <v>202604333739624</v>
      </c>
      <c r="B2954" s="19" t="s">
        <v>20</v>
      </c>
      <c r="C2954" s="19" t="s">
        <v>21</v>
      </c>
      <c r="D2954" s="19" t="s">
        <v>20</v>
      </c>
      <c r="E2954" s="21">
        <v>46235</v>
      </c>
      <c r="F2954" s="21">
        <v>46599</v>
      </c>
      <c r="G2954" s="21"/>
      <c r="H2954" s="21">
        <v>46235</v>
      </c>
      <c r="I2954" s="21">
        <v>46599</v>
      </c>
      <c r="J2954" s="19" t="s">
        <v>2064</v>
      </c>
      <c r="L2954" s="19">
        <v>66.261260500000006</v>
      </c>
      <c r="M2954" s="19">
        <v>66.261260500000006</v>
      </c>
      <c r="N2954" s="19" t="s">
        <v>1475</v>
      </c>
      <c r="O2954" s="20">
        <v>2</v>
      </c>
      <c r="S2954" s="19" t="s">
        <v>20</v>
      </c>
      <c r="T2954" s="19" t="s">
        <v>1471</v>
      </c>
    </row>
    <row r="2955" spans="1:20">
      <c r="A2955" s="20">
        <v>202604333741133</v>
      </c>
      <c r="B2955" s="19" t="s">
        <v>20</v>
      </c>
      <c r="C2955" s="19" t="s">
        <v>21</v>
      </c>
      <c r="D2955" s="19" t="s">
        <v>20</v>
      </c>
      <c r="E2955" s="21">
        <v>46235</v>
      </c>
      <c r="F2955" s="21">
        <v>46599</v>
      </c>
      <c r="G2955" s="21"/>
      <c r="H2955" s="21">
        <v>46235</v>
      </c>
      <c r="I2955" s="21">
        <v>46599</v>
      </c>
      <c r="J2955" s="19" t="s">
        <v>2085</v>
      </c>
      <c r="L2955" s="19">
        <v>0</v>
      </c>
      <c r="M2955" s="19">
        <v>0</v>
      </c>
      <c r="N2955" s="19" t="s">
        <v>2394</v>
      </c>
      <c r="O2955" s="20">
        <v>4</v>
      </c>
      <c r="S2955" s="19" t="s">
        <v>20</v>
      </c>
      <c r="T2955" s="19" t="s">
        <v>1471</v>
      </c>
    </row>
    <row r="2956" spans="1:20">
      <c r="A2956" s="20">
        <v>202604333741133</v>
      </c>
      <c r="B2956" s="19" t="s">
        <v>20</v>
      </c>
      <c r="C2956" s="19" t="s">
        <v>21</v>
      </c>
      <c r="D2956" s="19" t="s">
        <v>20</v>
      </c>
      <c r="E2956" s="21">
        <v>46235</v>
      </c>
      <c r="F2956" s="21">
        <v>46599</v>
      </c>
      <c r="G2956" s="21"/>
      <c r="H2956" s="21">
        <v>46235</v>
      </c>
      <c r="I2956" s="21">
        <v>46599</v>
      </c>
      <c r="J2956" s="19" t="s">
        <v>2085</v>
      </c>
      <c r="L2956" s="19">
        <v>98.482693999999995</v>
      </c>
      <c r="M2956" s="19">
        <v>98.482693999999995</v>
      </c>
      <c r="N2956" s="19" t="s">
        <v>1475</v>
      </c>
      <c r="O2956" s="20">
        <v>4</v>
      </c>
      <c r="S2956" s="19" t="s">
        <v>20</v>
      </c>
      <c r="T2956" s="19" t="s">
        <v>1471</v>
      </c>
    </row>
    <row r="2957" spans="1:20">
      <c r="A2957" s="20">
        <v>202604333745731</v>
      </c>
      <c r="B2957" s="19" t="s">
        <v>20</v>
      </c>
      <c r="C2957" s="19" t="s">
        <v>21</v>
      </c>
      <c r="D2957" s="19" t="s">
        <v>20</v>
      </c>
      <c r="E2957" s="21">
        <v>46235</v>
      </c>
      <c r="F2957" s="21">
        <v>46599</v>
      </c>
      <c r="G2957" s="21"/>
      <c r="H2957" s="21">
        <v>46235</v>
      </c>
      <c r="I2957" s="21">
        <v>46599</v>
      </c>
      <c r="J2957" s="19" t="s">
        <v>2182</v>
      </c>
      <c r="L2957" s="19">
        <v>0</v>
      </c>
      <c r="M2957" s="19">
        <v>0</v>
      </c>
      <c r="N2957" s="19" t="s">
        <v>2394</v>
      </c>
      <c r="O2957" s="20">
        <v>4</v>
      </c>
      <c r="S2957" s="19" t="s">
        <v>20</v>
      </c>
      <c r="T2957" s="19" t="s">
        <v>1471</v>
      </c>
    </row>
    <row r="2958" spans="1:20">
      <c r="A2958" s="20">
        <v>202604333745731</v>
      </c>
      <c r="B2958" s="19" t="s">
        <v>20</v>
      </c>
      <c r="C2958" s="19" t="s">
        <v>21</v>
      </c>
      <c r="D2958" s="19" t="s">
        <v>20</v>
      </c>
      <c r="E2958" s="21">
        <v>46235</v>
      </c>
      <c r="F2958" s="21">
        <v>46599</v>
      </c>
      <c r="G2958" s="21"/>
      <c r="H2958" s="21">
        <v>46235</v>
      </c>
      <c r="I2958" s="21">
        <v>46599</v>
      </c>
      <c r="J2958" s="19" t="s">
        <v>2182</v>
      </c>
      <c r="L2958" s="19">
        <v>95.873163000000005</v>
      </c>
      <c r="M2958" s="19">
        <v>95.873163000000005</v>
      </c>
      <c r="N2958" s="19" t="s">
        <v>1475</v>
      </c>
      <c r="O2958" s="20">
        <v>4</v>
      </c>
      <c r="S2958" s="19" t="s">
        <v>20</v>
      </c>
      <c r="T2958" s="19" t="s">
        <v>1471</v>
      </c>
    </row>
    <row r="2959" spans="1:20">
      <c r="A2959" s="20">
        <v>202604333748142</v>
      </c>
      <c r="B2959" s="19" t="s">
        <v>20</v>
      </c>
      <c r="C2959" s="19" t="s">
        <v>21</v>
      </c>
      <c r="D2959" s="19" t="s">
        <v>20</v>
      </c>
      <c r="E2959" s="21">
        <v>46235</v>
      </c>
      <c r="F2959" s="21">
        <v>46599</v>
      </c>
      <c r="G2959" s="21"/>
      <c r="H2959" s="21">
        <v>46235</v>
      </c>
      <c r="I2959" s="21">
        <v>46599</v>
      </c>
      <c r="J2959" s="19" t="s">
        <v>2064</v>
      </c>
      <c r="L2959" s="19">
        <v>0</v>
      </c>
      <c r="M2959" s="19">
        <v>0</v>
      </c>
      <c r="N2959" s="19" t="s">
        <v>2394</v>
      </c>
      <c r="O2959" s="20">
        <v>2</v>
      </c>
      <c r="S2959" s="19" t="s">
        <v>20</v>
      </c>
      <c r="T2959" s="19" t="s">
        <v>1471</v>
      </c>
    </row>
    <row r="2960" spans="1:20">
      <c r="A2960" s="20">
        <v>202604333748142</v>
      </c>
      <c r="B2960" s="19" t="s">
        <v>20</v>
      </c>
      <c r="C2960" s="19" t="s">
        <v>21</v>
      </c>
      <c r="D2960" s="19" t="s">
        <v>20</v>
      </c>
      <c r="E2960" s="21">
        <v>46235</v>
      </c>
      <c r="F2960" s="21">
        <v>46599</v>
      </c>
      <c r="G2960" s="21"/>
      <c r="H2960" s="21">
        <v>46235</v>
      </c>
      <c r="I2960" s="21">
        <v>46599</v>
      </c>
      <c r="J2960" s="19" t="s">
        <v>2064</v>
      </c>
      <c r="L2960" s="19">
        <v>66.261260500000006</v>
      </c>
      <c r="M2960" s="19">
        <v>66.261260500000006</v>
      </c>
      <c r="N2960" s="19" t="s">
        <v>1475</v>
      </c>
      <c r="O2960" s="20">
        <v>2</v>
      </c>
      <c r="S2960" s="19" t="s">
        <v>20</v>
      </c>
      <c r="T2960" s="19" t="s">
        <v>1471</v>
      </c>
    </row>
    <row r="2961" spans="1:20">
      <c r="A2961" s="20">
        <v>202604333748806</v>
      </c>
      <c r="B2961" s="19" t="s">
        <v>20</v>
      </c>
      <c r="C2961" s="19" t="s">
        <v>21</v>
      </c>
      <c r="D2961" s="19" t="s">
        <v>20</v>
      </c>
      <c r="E2961" s="21">
        <v>46235</v>
      </c>
      <c r="F2961" s="21">
        <v>46599</v>
      </c>
      <c r="G2961" s="21"/>
      <c r="H2961" s="21">
        <v>46235</v>
      </c>
      <c r="I2961" s="21">
        <v>46599</v>
      </c>
      <c r="J2961" s="19" t="s">
        <v>2151</v>
      </c>
      <c r="L2961" s="19">
        <v>33.130630250000003</v>
      </c>
      <c r="M2961" s="19">
        <v>33.130630250000003</v>
      </c>
      <c r="N2961" s="19" t="s">
        <v>1475</v>
      </c>
      <c r="O2961" s="20">
        <v>1</v>
      </c>
      <c r="S2961" s="19" t="s">
        <v>20</v>
      </c>
      <c r="T2961" s="19" t="s">
        <v>1471</v>
      </c>
    </row>
    <row r="2962" spans="1:20">
      <c r="A2962" s="20">
        <v>202604333749240</v>
      </c>
      <c r="B2962" s="19" t="s">
        <v>20</v>
      </c>
      <c r="C2962" s="19" t="s">
        <v>21</v>
      </c>
      <c r="D2962" s="19" t="s">
        <v>20</v>
      </c>
      <c r="E2962" s="21">
        <v>46235</v>
      </c>
      <c r="F2962" s="21">
        <v>46599</v>
      </c>
      <c r="G2962" s="21"/>
      <c r="H2962" s="21">
        <v>46235</v>
      </c>
      <c r="I2962" s="21">
        <v>46599</v>
      </c>
      <c r="J2962" s="19" t="s">
        <v>2120</v>
      </c>
      <c r="L2962" s="19">
        <v>0</v>
      </c>
      <c r="M2962" s="19">
        <v>0</v>
      </c>
      <c r="N2962" s="19" t="s">
        <v>2394</v>
      </c>
      <c r="O2962" s="20">
        <v>5</v>
      </c>
      <c r="S2962" s="19" t="s">
        <v>20</v>
      </c>
      <c r="T2962" s="19" t="s">
        <v>1471</v>
      </c>
    </row>
    <row r="2963" spans="1:20">
      <c r="A2963" s="20">
        <v>202604333749240</v>
      </c>
      <c r="B2963" s="19" t="s">
        <v>20</v>
      </c>
      <c r="C2963" s="19" t="s">
        <v>21</v>
      </c>
      <c r="D2963" s="19" t="s">
        <v>20</v>
      </c>
      <c r="E2963" s="21">
        <v>46235</v>
      </c>
      <c r="F2963" s="21">
        <v>46599</v>
      </c>
      <c r="G2963" s="21"/>
      <c r="H2963" s="21">
        <v>46235</v>
      </c>
      <c r="I2963" s="21">
        <v>46599</v>
      </c>
      <c r="J2963" s="19" t="s">
        <v>2120</v>
      </c>
      <c r="L2963" s="19">
        <v>189.73977500000001</v>
      </c>
      <c r="M2963" s="19">
        <v>189.73977500000001</v>
      </c>
      <c r="N2963" s="19" t="s">
        <v>1475</v>
      </c>
      <c r="O2963" s="20">
        <v>5</v>
      </c>
      <c r="S2963" s="19" t="s">
        <v>20</v>
      </c>
      <c r="T2963" s="19" t="s">
        <v>1471</v>
      </c>
    </row>
    <row r="2964" spans="1:20">
      <c r="A2964" s="20">
        <v>202604333751300</v>
      </c>
      <c r="B2964" s="19" t="s">
        <v>20</v>
      </c>
      <c r="C2964" s="19" t="s">
        <v>21</v>
      </c>
      <c r="D2964" s="19" t="s">
        <v>20</v>
      </c>
      <c r="E2964" s="21">
        <v>46235</v>
      </c>
      <c r="F2964" s="21">
        <v>46599</v>
      </c>
      <c r="G2964" s="21"/>
      <c r="H2964" s="21">
        <v>46235</v>
      </c>
      <c r="I2964" s="21">
        <v>46599</v>
      </c>
      <c r="J2964" s="19" t="s">
        <v>2086</v>
      </c>
      <c r="L2964" s="19">
        <v>0</v>
      </c>
      <c r="M2964" s="19">
        <v>0</v>
      </c>
      <c r="N2964" s="19" t="s">
        <v>2394</v>
      </c>
      <c r="O2964" s="20">
        <v>3</v>
      </c>
      <c r="S2964" s="19" t="s">
        <v>20</v>
      </c>
      <c r="T2964" s="19" t="s">
        <v>1471</v>
      </c>
    </row>
    <row r="2965" spans="1:20">
      <c r="A2965" s="20">
        <v>202604333751300</v>
      </c>
      <c r="B2965" s="19" t="s">
        <v>20</v>
      </c>
      <c r="C2965" s="19" t="s">
        <v>21</v>
      </c>
      <c r="D2965" s="19" t="s">
        <v>20</v>
      </c>
      <c r="E2965" s="21">
        <v>46235</v>
      </c>
      <c r="F2965" s="21">
        <v>46599</v>
      </c>
      <c r="G2965" s="21"/>
      <c r="H2965" s="21">
        <v>46235</v>
      </c>
      <c r="I2965" s="21">
        <v>46599</v>
      </c>
      <c r="J2965" s="19" t="s">
        <v>2086</v>
      </c>
      <c r="L2965" s="19">
        <v>99.391890750000002</v>
      </c>
      <c r="M2965" s="19">
        <v>99.391890750000002</v>
      </c>
      <c r="N2965" s="19" t="s">
        <v>1475</v>
      </c>
      <c r="O2965" s="20">
        <v>3</v>
      </c>
      <c r="S2965" s="19" t="s">
        <v>20</v>
      </c>
      <c r="T2965" s="19" t="s">
        <v>1471</v>
      </c>
    </row>
    <row r="2966" spans="1:20">
      <c r="A2966" s="20">
        <v>202604333753035</v>
      </c>
      <c r="B2966" s="19" t="s">
        <v>20</v>
      </c>
      <c r="C2966" s="19" t="s">
        <v>21</v>
      </c>
      <c r="D2966" s="19" t="s">
        <v>20</v>
      </c>
      <c r="E2966" s="21">
        <v>46235</v>
      </c>
      <c r="F2966" s="21">
        <v>46599</v>
      </c>
      <c r="G2966" s="21"/>
      <c r="H2966" s="21">
        <v>46235</v>
      </c>
      <c r="I2966" s="21">
        <v>46599</v>
      </c>
      <c r="J2966" s="19" t="s">
        <v>2064</v>
      </c>
      <c r="L2966" s="19">
        <v>33.130630250000003</v>
      </c>
      <c r="M2966" s="19">
        <v>33.130630250000003</v>
      </c>
      <c r="N2966" s="19" t="s">
        <v>1475</v>
      </c>
      <c r="O2966" s="20">
        <v>1</v>
      </c>
      <c r="S2966" s="19" t="s">
        <v>20</v>
      </c>
      <c r="T2966" s="19" t="s">
        <v>1471</v>
      </c>
    </row>
    <row r="2967" spans="1:20">
      <c r="A2967" s="20">
        <v>202604333753847</v>
      </c>
      <c r="B2967" s="19" t="s">
        <v>20</v>
      </c>
      <c r="C2967" s="19" t="s">
        <v>21</v>
      </c>
      <c r="D2967" s="19" t="s">
        <v>20</v>
      </c>
      <c r="E2967" s="21">
        <v>46235</v>
      </c>
      <c r="F2967" s="21">
        <v>46599</v>
      </c>
      <c r="G2967" s="21"/>
      <c r="H2967" s="21">
        <v>46235</v>
      </c>
      <c r="I2967" s="21">
        <v>46599</v>
      </c>
      <c r="J2967" s="19" t="s">
        <v>2099</v>
      </c>
      <c r="L2967" s="19">
        <v>0</v>
      </c>
      <c r="M2967" s="19">
        <v>0</v>
      </c>
      <c r="N2967" s="19" t="s">
        <v>2394</v>
      </c>
      <c r="O2967" s="20">
        <v>2</v>
      </c>
      <c r="S2967" s="19" t="s">
        <v>20</v>
      </c>
      <c r="T2967" s="19" t="s">
        <v>1471</v>
      </c>
    </row>
    <row r="2968" spans="1:20">
      <c r="A2968" s="20">
        <v>202604333753847</v>
      </c>
      <c r="B2968" s="19" t="s">
        <v>20</v>
      </c>
      <c r="C2968" s="19" t="s">
        <v>21</v>
      </c>
      <c r="D2968" s="19" t="s">
        <v>2429</v>
      </c>
      <c r="E2968" s="21">
        <v>46235</v>
      </c>
      <c r="F2968" s="21">
        <v>46599</v>
      </c>
      <c r="G2968" s="21"/>
      <c r="H2968" s="21">
        <v>46235</v>
      </c>
      <c r="I2968" s="21">
        <v>46599</v>
      </c>
      <c r="J2968" s="19" t="s">
        <v>2099</v>
      </c>
      <c r="L2968" s="19">
        <v>19.899142999999999</v>
      </c>
      <c r="M2968" s="19">
        <v>19.899142999999999</v>
      </c>
      <c r="N2968" s="19" t="s">
        <v>1467</v>
      </c>
      <c r="O2968" s="20">
        <v>2</v>
      </c>
      <c r="S2968" s="19" t="s">
        <v>20</v>
      </c>
      <c r="T2968" s="19" t="s">
        <v>1471</v>
      </c>
    </row>
    <row r="2969" spans="1:20">
      <c r="A2969" s="20">
        <v>202604333754383</v>
      </c>
      <c r="B2969" s="19" t="s">
        <v>20</v>
      </c>
      <c r="C2969" s="19" t="s">
        <v>21</v>
      </c>
      <c r="D2969" s="19" t="s">
        <v>20</v>
      </c>
      <c r="E2969" s="21">
        <v>46235</v>
      </c>
      <c r="F2969" s="21">
        <v>46599</v>
      </c>
      <c r="G2969" s="21"/>
      <c r="H2969" s="21">
        <v>46235</v>
      </c>
      <c r="I2969" s="21">
        <v>46599</v>
      </c>
      <c r="J2969" s="19" t="s">
        <v>2428</v>
      </c>
      <c r="L2969" s="19">
        <v>0</v>
      </c>
      <c r="M2969" s="19">
        <v>0</v>
      </c>
      <c r="N2969" s="19" t="s">
        <v>2394</v>
      </c>
      <c r="O2969" s="20">
        <v>2</v>
      </c>
      <c r="S2969" s="19" t="s">
        <v>20</v>
      </c>
      <c r="T2969" s="19" t="s">
        <v>1471</v>
      </c>
    </row>
    <row r="2970" spans="1:20">
      <c r="A2970" s="20">
        <v>202604333754383</v>
      </c>
      <c r="B2970" s="19" t="s">
        <v>20</v>
      </c>
      <c r="C2970" s="19" t="s">
        <v>21</v>
      </c>
      <c r="D2970" s="19" t="s">
        <v>20</v>
      </c>
      <c r="E2970" s="21">
        <v>46235</v>
      </c>
      <c r="F2970" s="21">
        <v>46599</v>
      </c>
      <c r="G2970" s="21"/>
      <c r="H2970" s="21">
        <v>46235</v>
      </c>
      <c r="I2970" s="21">
        <v>46599</v>
      </c>
      <c r="J2970" s="19" t="s">
        <v>2428</v>
      </c>
      <c r="L2970" s="19">
        <v>59.635123499999999</v>
      </c>
      <c r="M2970" s="19">
        <v>59.635123499999999</v>
      </c>
      <c r="N2970" s="19" t="s">
        <v>1475</v>
      </c>
      <c r="O2970" s="20">
        <v>2</v>
      </c>
      <c r="S2970" s="19" t="s">
        <v>20</v>
      </c>
      <c r="T2970" s="19" t="s">
        <v>1471</v>
      </c>
    </row>
    <row r="2971" spans="1:20">
      <c r="A2971" s="20">
        <v>202604333756926</v>
      </c>
      <c r="B2971" s="19" t="s">
        <v>20</v>
      </c>
      <c r="C2971" s="19" t="s">
        <v>21</v>
      </c>
      <c r="D2971" s="19" t="s">
        <v>20</v>
      </c>
      <c r="E2971" s="21">
        <v>46235</v>
      </c>
      <c r="F2971" s="21">
        <v>46599</v>
      </c>
      <c r="G2971" s="21"/>
      <c r="H2971" s="21">
        <v>46235</v>
      </c>
      <c r="I2971" s="21">
        <v>46599</v>
      </c>
      <c r="J2971" s="19" t="s">
        <v>2064</v>
      </c>
      <c r="L2971" s="19">
        <v>0</v>
      </c>
      <c r="M2971" s="19">
        <v>0</v>
      </c>
      <c r="N2971" s="19" t="s">
        <v>2394</v>
      </c>
      <c r="O2971" s="20">
        <v>4</v>
      </c>
      <c r="S2971" s="19" t="s">
        <v>20</v>
      </c>
      <c r="T2971" s="19" t="s">
        <v>1471</v>
      </c>
    </row>
    <row r="2972" spans="1:20">
      <c r="A2972" s="20">
        <v>202604333756926</v>
      </c>
      <c r="B2972" s="19" t="s">
        <v>20</v>
      </c>
      <c r="C2972" s="19" t="s">
        <v>21</v>
      </c>
      <c r="D2972" s="19" t="s">
        <v>20</v>
      </c>
      <c r="E2972" s="21">
        <v>46235</v>
      </c>
      <c r="F2972" s="21">
        <v>46599</v>
      </c>
      <c r="G2972" s="21"/>
      <c r="H2972" s="21">
        <v>46235</v>
      </c>
      <c r="I2972" s="21">
        <v>46599</v>
      </c>
      <c r="J2972" s="19" t="s">
        <v>2064</v>
      </c>
      <c r="L2972" s="19">
        <v>132.52252100000001</v>
      </c>
      <c r="M2972" s="19">
        <v>132.52252100000001</v>
      </c>
      <c r="N2972" s="19" t="s">
        <v>1475</v>
      </c>
      <c r="O2972" s="20">
        <v>4</v>
      </c>
      <c r="S2972" s="19" t="s">
        <v>20</v>
      </c>
      <c r="T2972" s="19" t="s">
        <v>1471</v>
      </c>
    </row>
    <row r="2973" spans="1:20">
      <c r="A2973" s="20">
        <v>202604333759594</v>
      </c>
      <c r="B2973" s="19" t="s">
        <v>20</v>
      </c>
      <c r="C2973" s="19" t="s">
        <v>21</v>
      </c>
      <c r="D2973" s="19" t="s">
        <v>20</v>
      </c>
      <c r="E2973" s="21">
        <v>46235</v>
      </c>
      <c r="F2973" s="21">
        <v>46599</v>
      </c>
      <c r="G2973" s="21"/>
      <c r="H2973" s="21">
        <v>46235</v>
      </c>
      <c r="I2973" s="21">
        <v>46599</v>
      </c>
      <c r="J2973" s="19" t="s">
        <v>2099</v>
      </c>
      <c r="L2973" s="19">
        <v>0</v>
      </c>
      <c r="M2973" s="19">
        <v>0</v>
      </c>
      <c r="N2973" s="19" t="s">
        <v>2394</v>
      </c>
      <c r="O2973" s="20">
        <v>6</v>
      </c>
      <c r="S2973" s="19" t="s">
        <v>20</v>
      </c>
      <c r="T2973" s="19" t="s">
        <v>1471</v>
      </c>
    </row>
    <row r="2974" spans="1:20">
      <c r="A2974" s="20">
        <v>202604333759594</v>
      </c>
      <c r="B2974" s="19" t="s">
        <v>20</v>
      </c>
      <c r="C2974" s="19" t="s">
        <v>21</v>
      </c>
      <c r="D2974" s="19" t="s">
        <v>20</v>
      </c>
      <c r="E2974" s="21">
        <v>46235</v>
      </c>
      <c r="F2974" s="21">
        <v>46599</v>
      </c>
      <c r="G2974" s="21"/>
      <c r="H2974" s="21">
        <v>46235</v>
      </c>
      <c r="I2974" s="21">
        <v>46599</v>
      </c>
      <c r="J2974" s="19" t="s">
        <v>2099</v>
      </c>
      <c r="L2974" s="19">
        <v>157.55210400000001</v>
      </c>
      <c r="M2974" s="19">
        <v>157.55210400000001</v>
      </c>
      <c r="N2974" s="19" t="s">
        <v>1475</v>
      </c>
      <c r="O2974" s="20">
        <v>6</v>
      </c>
      <c r="S2974" s="19" t="s">
        <v>20</v>
      </c>
      <c r="T2974" s="19" t="s">
        <v>1471</v>
      </c>
    </row>
    <row r="2975" spans="1:20">
      <c r="A2975" s="20">
        <v>202604333771170</v>
      </c>
      <c r="B2975" s="19" t="s">
        <v>20</v>
      </c>
      <c r="C2975" s="19" t="s">
        <v>21</v>
      </c>
      <c r="D2975" s="19" t="s">
        <v>20</v>
      </c>
      <c r="E2975" s="21">
        <v>46235</v>
      </c>
      <c r="F2975" s="21">
        <v>46599</v>
      </c>
      <c r="G2975" s="21"/>
      <c r="H2975" s="21">
        <v>46235</v>
      </c>
      <c r="I2975" s="21">
        <v>46599</v>
      </c>
      <c r="J2975" s="19" t="s">
        <v>2069</v>
      </c>
      <c r="L2975" s="19">
        <v>33.130630250000003</v>
      </c>
      <c r="M2975" s="19">
        <v>33.130630250000003</v>
      </c>
      <c r="N2975" s="19" t="s">
        <v>1475</v>
      </c>
      <c r="O2975" s="20">
        <v>1</v>
      </c>
      <c r="S2975" s="19" t="s">
        <v>20</v>
      </c>
      <c r="T2975" s="19" t="s">
        <v>1471</v>
      </c>
    </row>
    <row r="2976" spans="1:20">
      <c r="A2976" s="20">
        <v>202604333772184</v>
      </c>
      <c r="B2976" s="19" t="s">
        <v>20</v>
      </c>
      <c r="C2976" s="19" t="s">
        <v>21</v>
      </c>
      <c r="D2976" s="19" t="s">
        <v>20</v>
      </c>
      <c r="E2976" s="21">
        <v>46235</v>
      </c>
      <c r="F2976" s="21">
        <v>46599</v>
      </c>
      <c r="G2976" s="21"/>
      <c r="H2976" s="21">
        <v>46235</v>
      </c>
      <c r="I2976" s="21">
        <v>46599</v>
      </c>
      <c r="J2976" s="19" t="s">
        <v>2064</v>
      </c>
      <c r="L2976" s="19">
        <v>0</v>
      </c>
      <c r="M2976" s="19">
        <v>0</v>
      </c>
      <c r="N2976" s="19" t="s">
        <v>2394</v>
      </c>
      <c r="O2976" s="20">
        <v>2</v>
      </c>
      <c r="S2976" s="19" t="s">
        <v>20</v>
      </c>
      <c r="T2976" s="19" t="s">
        <v>1471</v>
      </c>
    </row>
    <row r="2977" spans="1:20">
      <c r="A2977" s="20">
        <v>202604333772184</v>
      </c>
      <c r="B2977" s="19" t="s">
        <v>20</v>
      </c>
      <c r="C2977" s="19" t="s">
        <v>21</v>
      </c>
      <c r="D2977" s="19" t="s">
        <v>20</v>
      </c>
      <c r="E2977" s="21">
        <v>46235</v>
      </c>
      <c r="F2977" s="21">
        <v>46599</v>
      </c>
      <c r="G2977" s="21"/>
      <c r="H2977" s="21">
        <v>46235</v>
      </c>
      <c r="I2977" s="21">
        <v>46599</v>
      </c>
      <c r="J2977" s="19" t="s">
        <v>2064</v>
      </c>
      <c r="L2977" s="19">
        <v>66.261260500000006</v>
      </c>
      <c r="M2977" s="19">
        <v>66.261260500000006</v>
      </c>
      <c r="N2977" s="19" t="s">
        <v>1475</v>
      </c>
      <c r="O2977" s="20">
        <v>2</v>
      </c>
      <c r="S2977" s="19" t="s">
        <v>20</v>
      </c>
      <c r="T2977" s="19" t="s">
        <v>1471</v>
      </c>
    </row>
    <row r="2978" spans="1:20">
      <c r="A2978" s="20">
        <v>202604333772401</v>
      </c>
      <c r="B2978" s="19" t="s">
        <v>20</v>
      </c>
      <c r="C2978" s="19" t="s">
        <v>21</v>
      </c>
      <c r="D2978" s="19" t="s">
        <v>20</v>
      </c>
      <c r="E2978" s="21">
        <v>46235</v>
      </c>
      <c r="F2978" s="21">
        <v>46599</v>
      </c>
      <c r="G2978" s="21"/>
      <c r="H2978" s="21">
        <v>46235</v>
      </c>
      <c r="I2978" s="21">
        <v>46599</v>
      </c>
      <c r="J2978" s="19" t="s">
        <v>2115</v>
      </c>
      <c r="L2978" s="19">
        <v>0</v>
      </c>
      <c r="M2978" s="19">
        <v>0</v>
      </c>
      <c r="N2978" s="19" t="s">
        <v>2394</v>
      </c>
      <c r="O2978" s="20">
        <v>4</v>
      </c>
      <c r="S2978" s="19" t="s">
        <v>20</v>
      </c>
      <c r="T2978" s="19" t="s">
        <v>1471</v>
      </c>
    </row>
    <row r="2979" spans="1:20">
      <c r="A2979" s="20">
        <v>202604333772401</v>
      </c>
      <c r="B2979" s="19" t="s">
        <v>20</v>
      </c>
      <c r="C2979" s="19" t="s">
        <v>21</v>
      </c>
      <c r="D2979" s="19" t="s">
        <v>20</v>
      </c>
      <c r="E2979" s="21">
        <v>46235</v>
      </c>
      <c r="F2979" s="21">
        <v>46599</v>
      </c>
      <c r="G2979" s="21"/>
      <c r="H2979" s="21">
        <v>46235</v>
      </c>
      <c r="I2979" s="21">
        <v>46599</v>
      </c>
      <c r="J2979" s="19" t="s">
        <v>2115</v>
      </c>
      <c r="L2979" s="19">
        <v>50.973636999999997</v>
      </c>
      <c r="M2979" s="19">
        <v>50.973636999999997</v>
      </c>
      <c r="N2979" s="19" t="s">
        <v>1475</v>
      </c>
      <c r="O2979" s="20">
        <v>4</v>
      </c>
      <c r="S2979" s="19" t="s">
        <v>20</v>
      </c>
      <c r="T2979" s="19" t="s">
        <v>1471</v>
      </c>
    </row>
    <row r="2980" spans="1:20">
      <c r="A2980" s="20">
        <v>202604333772427</v>
      </c>
      <c r="B2980" s="19" t="s">
        <v>20</v>
      </c>
      <c r="C2980" s="19" t="s">
        <v>21</v>
      </c>
      <c r="D2980" s="19" t="s">
        <v>20</v>
      </c>
      <c r="E2980" s="21">
        <v>46235</v>
      </c>
      <c r="F2980" s="21">
        <v>46599</v>
      </c>
      <c r="G2980" s="21"/>
      <c r="H2980" s="21">
        <v>46235</v>
      </c>
      <c r="I2980" s="21">
        <v>46599</v>
      </c>
      <c r="J2980" s="19" t="s">
        <v>2086</v>
      </c>
      <c r="L2980" s="19">
        <v>0</v>
      </c>
      <c r="M2980" s="19">
        <v>0</v>
      </c>
      <c r="N2980" s="19" t="s">
        <v>2394</v>
      </c>
      <c r="O2980" s="20">
        <v>3</v>
      </c>
      <c r="S2980" s="19" t="s">
        <v>20</v>
      </c>
      <c r="T2980" s="19" t="s">
        <v>1471</v>
      </c>
    </row>
    <row r="2981" spans="1:20">
      <c r="A2981" s="20">
        <v>202604333772427</v>
      </c>
      <c r="B2981" s="19" t="s">
        <v>20</v>
      </c>
      <c r="C2981" s="19" t="s">
        <v>21</v>
      </c>
      <c r="D2981" s="19" t="s">
        <v>20</v>
      </c>
      <c r="E2981" s="21">
        <v>46235</v>
      </c>
      <c r="F2981" s="21">
        <v>46599</v>
      </c>
      <c r="G2981" s="21"/>
      <c r="H2981" s="21">
        <v>46235</v>
      </c>
      <c r="I2981" s="21">
        <v>46599</v>
      </c>
      <c r="J2981" s="19" t="s">
        <v>2086</v>
      </c>
      <c r="L2981" s="19">
        <v>99.391890750000002</v>
      </c>
      <c r="M2981" s="19">
        <v>99.391890750000002</v>
      </c>
      <c r="N2981" s="19" t="s">
        <v>1475</v>
      </c>
      <c r="O2981" s="20">
        <v>3</v>
      </c>
      <c r="S2981" s="19" t="s">
        <v>20</v>
      </c>
      <c r="T2981" s="19" t="s">
        <v>1471</v>
      </c>
    </row>
    <row r="2982" spans="1:20">
      <c r="A2982" s="20">
        <v>202604333774664</v>
      </c>
      <c r="B2982" s="19" t="s">
        <v>20</v>
      </c>
      <c r="C2982" s="19" t="s">
        <v>21</v>
      </c>
      <c r="D2982" s="19" t="s">
        <v>20</v>
      </c>
      <c r="E2982" s="21">
        <v>46235</v>
      </c>
      <c r="F2982" s="21">
        <v>46599</v>
      </c>
      <c r="G2982" s="21"/>
      <c r="H2982" s="21">
        <v>46235</v>
      </c>
      <c r="I2982" s="21">
        <v>46599</v>
      </c>
      <c r="J2982" s="19" t="s">
        <v>2114</v>
      </c>
      <c r="L2982" s="19">
        <v>0</v>
      </c>
      <c r="M2982" s="19">
        <v>0</v>
      </c>
      <c r="N2982" s="19" t="s">
        <v>2394</v>
      </c>
      <c r="O2982" s="20">
        <v>4</v>
      </c>
      <c r="S2982" s="19" t="s">
        <v>20</v>
      </c>
      <c r="T2982" s="19" t="s">
        <v>1471</v>
      </c>
    </row>
    <row r="2983" spans="1:20">
      <c r="A2983" s="20">
        <v>202604333774664</v>
      </c>
      <c r="B2983" s="19" t="s">
        <v>20</v>
      </c>
      <c r="C2983" s="19" t="s">
        <v>21</v>
      </c>
      <c r="D2983" s="19" t="s">
        <v>20</v>
      </c>
      <c r="E2983" s="21">
        <v>46235</v>
      </c>
      <c r="F2983" s="21">
        <v>46599</v>
      </c>
      <c r="G2983" s="21"/>
      <c r="H2983" s="21">
        <v>46235</v>
      </c>
      <c r="I2983" s="21">
        <v>46599</v>
      </c>
      <c r="J2983" s="19" t="s">
        <v>2114</v>
      </c>
      <c r="L2983" s="19">
        <v>132.52252100000001</v>
      </c>
      <c r="M2983" s="19">
        <v>132.52252100000001</v>
      </c>
      <c r="N2983" s="19" t="s">
        <v>1475</v>
      </c>
      <c r="O2983" s="20">
        <v>4</v>
      </c>
      <c r="S2983" s="19" t="s">
        <v>20</v>
      </c>
      <c r="T2983" s="19" t="s">
        <v>1471</v>
      </c>
    </row>
    <row r="2984" spans="1:20">
      <c r="A2984" s="20">
        <v>202604333777424</v>
      </c>
      <c r="B2984" s="19" t="s">
        <v>20</v>
      </c>
      <c r="C2984" s="19" t="s">
        <v>21</v>
      </c>
      <c r="D2984" s="19" t="s">
        <v>20</v>
      </c>
      <c r="E2984" s="21">
        <v>46235</v>
      </c>
      <c r="F2984" s="21">
        <v>46599</v>
      </c>
      <c r="G2984" s="21"/>
      <c r="H2984" s="21">
        <v>46235</v>
      </c>
      <c r="I2984" s="21">
        <v>46599</v>
      </c>
      <c r="J2984" s="19" t="s">
        <v>2243</v>
      </c>
      <c r="L2984" s="19">
        <v>33.130630250000003</v>
      </c>
      <c r="M2984" s="19">
        <v>33.130630250000003</v>
      </c>
      <c r="N2984" s="19" t="s">
        <v>1475</v>
      </c>
      <c r="O2984" s="20">
        <v>1</v>
      </c>
      <c r="S2984" s="19" t="s">
        <v>20</v>
      </c>
      <c r="T2984" s="19" t="s">
        <v>1471</v>
      </c>
    </row>
    <row r="2985" spans="1:20">
      <c r="A2985" s="20">
        <v>202604333780141</v>
      </c>
      <c r="B2985" s="19" t="s">
        <v>20</v>
      </c>
      <c r="C2985" s="19" t="s">
        <v>21</v>
      </c>
      <c r="D2985" s="19" t="s">
        <v>20</v>
      </c>
      <c r="E2985" s="21">
        <v>46235</v>
      </c>
      <c r="F2985" s="21">
        <v>46599</v>
      </c>
      <c r="G2985" s="21"/>
      <c r="H2985" s="21">
        <v>46235</v>
      </c>
      <c r="I2985" s="21">
        <v>46599</v>
      </c>
      <c r="J2985" s="19" t="s">
        <v>2064</v>
      </c>
      <c r="L2985" s="19">
        <v>33.130630250000003</v>
      </c>
      <c r="M2985" s="19">
        <v>33.130630250000003</v>
      </c>
      <c r="N2985" s="19" t="s">
        <v>1475</v>
      </c>
      <c r="O2985" s="20">
        <v>1</v>
      </c>
      <c r="S2985" s="19" t="s">
        <v>20</v>
      </c>
      <c r="T2985" s="19" t="s">
        <v>1471</v>
      </c>
    </row>
    <row r="2986" spans="1:20">
      <c r="A2986" s="20">
        <v>202604333780362</v>
      </c>
      <c r="B2986" s="19" t="s">
        <v>20</v>
      </c>
      <c r="C2986" s="19" t="s">
        <v>21</v>
      </c>
      <c r="D2986" s="19" t="s">
        <v>20</v>
      </c>
      <c r="E2986" s="21">
        <v>46235</v>
      </c>
      <c r="F2986" s="21">
        <v>46599</v>
      </c>
      <c r="G2986" s="21"/>
      <c r="H2986" s="21">
        <v>46235</v>
      </c>
      <c r="I2986" s="21">
        <v>46599</v>
      </c>
      <c r="J2986" s="19" t="s">
        <v>2068</v>
      </c>
      <c r="L2986" s="19">
        <v>0</v>
      </c>
      <c r="M2986" s="19">
        <v>0</v>
      </c>
      <c r="N2986" s="19" t="s">
        <v>2394</v>
      </c>
      <c r="O2986" s="20">
        <v>2</v>
      </c>
      <c r="S2986" s="19" t="s">
        <v>20</v>
      </c>
      <c r="T2986" s="19" t="s">
        <v>1471</v>
      </c>
    </row>
    <row r="2987" spans="1:20">
      <c r="A2987" s="20">
        <v>202604333780362</v>
      </c>
      <c r="B2987" s="19" t="s">
        <v>20</v>
      </c>
      <c r="C2987" s="19" t="s">
        <v>21</v>
      </c>
      <c r="D2987" s="19" t="s">
        <v>20</v>
      </c>
      <c r="E2987" s="21">
        <v>46235</v>
      </c>
      <c r="F2987" s="21">
        <v>46599</v>
      </c>
      <c r="G2987" s="21"/>
      <c r="H2987" s="21">
        <v>46235</v>
      </c>
      <c r="I2987" s="21">
        <v>46599</v>
      </c>
      <c r="J2987" s="19" t="s">
        <v>2068</v>
      </c>
      <c r="L2987" s="19">
        <v>52.517367999999998</v>
      </c>
      <c r="M2987" s="19">
        <v>52.517367999999998</v>
      </c>
      <c r="N2987" s="19" t="s">
        <v>1475</v>
      </c>
      <c r="O2987" s="20">
        <v>2</v>
      </c>
      <c r="S2987" s="19" t="s">
        <v>20</v>
      </c>
      <c r="T2987" s="19" t="s">
        <v>1471</v>
      </c>
    </row>
    <row r="2988" spans="1:20">
      <c r="A2988" s="20">
        <v>202604333780558</v>
      </c>
      <c r="B2988" s="19" t="s">
        <v>20</v>
      </c>
      <c r="C2988" s="19" t="s">
        <v>21</v>
      </c>
      <c r="D2988" s="19" t="s">
        <v>20</v>
      </c>
      <c r="E2988" s="21">
        <v>46235</v>
      </c>
      <c r="F2988" s="21">
        <v>46599</v>
      </c>
      <c r="G2988" s="21"/>
      <c r="H2988" s="21">
        <v>46235</v>
      </c>
      <c r="I2988" s="21">
        <v>46599</v>
      </c>
      <c r="J2988" s="19" t="s">
        <v>2135</v>
      </c>
      <c r="L2988" s="19">
        <v>0</v>
      </c>
      <c r="M2988" s="19">
        <v>0</v>
      </c>
      <c r="N2988" s="19" t="s">
        <v>2394</v>
      </c>
      <c r="O2988" s="20">
        <v>3</v>
      </c>
      <c r="S2988" s="19" t="s">
        <v>20</v>
      </c>
      <c r="T2988" s="19" t="s">
        <v>1471</v>
      </c>
    </row>
    <row r="2989" spans="1:20">
      <c r="A2989" s="20">
        <v>202604333780558</v>
      </c>
      <c r="B2989" s="19" t="s">
        <v>20</v>
      </c>
      <c r="C2989" s="19" t="s">
        <v>21</v>
      </c>
      <c r="D2989" s="19" t="s">
        <v>20</v>
      </c>
      <c r="E2989" s="21">
        <v>46235</v>
      </c>
      <c r="F2989" s="21">
        <v>46599</v>
      </c>
      <c r="G2989" s="21"/>
      <c r="H2989" s="21">
        <v>46235</v>
      </c>
      <c r="I2989" s="21">
        <v>46599</v>
      </c>
      <c r="J2989" s="19" t="s">
        <v>2135</v>
      </c>
      <c r="L2989" s="19">
        <v>99.391890750000002</v>
      </c>
      <c r="M2989" s="19">
        <v>99.391890750000002</v>
      </c>
      <c r="N2989" s="19" t="s">
        <v>1475</v>
      </c>
      <c r="O2989" s="20">
        <v>3</v>
      </c>
      <c r="S2989" s="19" t="s">
        <v>20</v>
      </c>
      <c r="T2989" s="19" t="s">
        <v>1471</v>
      </c>
    </row>
    <row r="2990" spans="1:20">
      <c r="A2990" s="20">
        <v>202604333784574</v>
      </c>
      <c r="B2990" s="19" t="s">
        <v>20</v>
      </c>
      <c r="C2990" s="19" t="s">
        <v>21</v>
      </c>
      <c r="D2990" s="19" t="s">
        <v>20</v>
      </c>
      <c r="E2990" s="21">
        <v>46235</v>
      </c>
      <c r="F2990" s="21">
        <v>46599</v>
      </c>
      <c r="G2990" s="21"/>
      <c r="H2990" s="21">
        <v>46235</v>
      </c>
      <c r="I2990" s="21">
        <v>46599</v>
      </c>
      <c r="J2990" s="19" t="s">
        <v>2114</v>
      </c>
      <c r="L2990" s="19">
        <v>0</v>
      </c>
      <c r="M2990" s="19">
        <v>0</v>
      </c>
      <c r="N2990" s="19" t="s">
        <v>2394</v>
      </c>
      <c r="O2990" s="20">
        <v>6</v>
      </c>
      <c r="S2990" s="19" t="s">
        <v>20</v>
      </c>
      <c r="T2990" s="19" t="s">
        <v>1471</v>
      </c>
    </row>
    <row r="2991" spans="1:20">
      <c r="A2991" s="20">
        <v>202604333784574</v>
      </c>
      <c r="B2991" s="19" t="s">
        <v>20</v>
      </c>
      <c r="C2991" s="19" t="s">
        <v>21</v>
      </c>
      <c r="D2991" s="19" t="s">
        <v>20</v>
      </c>
      <c r="E2991" s="21">
        <v>46235</v>
      </c>
      <c r="F2991" s="21">
        <v>46599</v>
      </c>
      <c r="G2991" s="21"/>
      <c r="H2991" s="21">
        <v>46235</v>
      </c>
      <c r="I2991" s="21">
        <v>46599</v>
      </c>
      <c r="J2991" s="19" t="s">
        <v>2114</v>
      </c>
      <c r="L2991" s="19">
        <v>198.7837815</v>
      </c>
      <c r="M2991" s="19">
        <v>198.7837815</v>
      </c>
      <c r="N2991" s="19" t="s">
        <v>1475</v>
      </c>
      <c r="O2991" s="20">
        <v>6</v>
      </c>
      <c r="S2991" s="19" t="s">
        <v>20</v>
      </c>
      <c r="T2991" s="19" t="s">
        <v>1471</v>
      </c>
    </row>
    <row r="2992" spans="1:20">
      <c r="A2992" s="20">
        <v>202604333786732</v>
      </c>
      <c r="B2992" s="19" t="s">
        <v>20</v>
      </c>
      <c r="C2992" s="19" t="s">
        <v>21</v>
      </c>
      <c r="D2992" s="19" t="s">
        <v>20</v>
      </c>
      <c r="E2992" s="21">
        <v>46235</v>
      </c>
      <c r="F2992" s="21">
        <v>46599</v>
      </c>
      <c r="G2992" s="21"/>
      <c r="H2992" s="21">
        <v>46235</v>
      </c>
      <c r="I2992" s="21">
        <v>46599</v>
      </c>
      <c r="J2992" s="19" t="s">
        <v>2105</v>
      </c>
      <c r="L2992" s="19">
        <v>0</v>
      </c>
      <c r="M2992" s="19">
        <v>0</v>
      </c>
      <c r="N2992" s="19" t="s">
        <v>2394</v>
      </c>
      <c r="O2992" s="20">
        <v>4</v>
      </c>
      <c r="S2992" s="19" t="s">
        <v>20</v>
      </c>
      <c r="T2992" s="19" t="s">
        <v>1471</v>
      </c>
    </row>
    <row r="2993" spans="1:20">
      <c r="A2993" s="20">
        <v>202604333786732</v>
      </c>
      <c r="B2993" s="19" t="s">
        <v>20</v>
      </c>
      <c r="C2993" s="19" t="s">
        <v>21</v>
      </c>
      <c r="D2993" s="19" t="s">
        <v>20</v>
      </c>
      <c r="E2993" s="21">
        <v>46235</v>
      </c>
      <c r="F2993" s="21">
        <v>46599</v>
      </c>
      <c r="G2993" s="21"/>
      <c r="H2993" s="21">
        <v>46235</v>
      </c>
      <c r="I2993" s="21">
        <v>46599</v>
      </c>
      <c r="J2993" s="19" t="s">
        <v>2105</v>
      </c>
      <c r="L2993" s="19">
        <v>105.034736</v>
      </c>
      <c r="M2993" s="19">
        <v>105.034736</v>
      </c>
      <c r="N2993" s="19" t="s">
        <v>1475</v>
      </c>
      <c r="O2993" s="20">
        <v>4</v>
      </c>
      <c r="S2993" s="19" t="s">
        <v>20</v>
      </c>
      <c r="T2993" s="19" t="s">
        <v>1471</v>
      </c>
    </row>
    <row r="2994" spans="1:20">
      <c r="A2994" s="20">
        <v>202604333786820</v>
      </c>
      <c r="B2994" s="19" t="s">
        <v>20</v>
      </c>
      <c r="C2994" s="19" t="s">
        <v>21</v>
      </c>
      <c r="D2994" s="19" t="s">
        <v>20</v>
      </c>
      <c r="E2994" s="21">
        <v>46235</v>
      </c>
      <c r="F2994" s="21">
        <v>46599</v>
      </c>
      <c r="G2994" s="21"/>
      <c r="H2994" s="21">
        <v>46235</v>
      </c>
      <c r="I2994" s="21">
        <v>46599</v>
      </c>
      <c r="J2994" s="19" t="s">
        <v>2274</v>
      </c>
      <c r="L2994" s="19">
        <v>0</v>
      </c>
      <c r="M2994" s="19">
        <v>0</v>
      </c>
      <c r="N2994" s="19" t="s">
        <v>2394</v>
      </c>
      <c r="O2994" s="20">
        <v>2</v>
      </c>
      <c r="S2994" s="19" t="s">
        <v>20</v>
      </c>
      <c r="T2994" s="19" t="s">
        <v>1471</v>
      </c>
    </row>
    <row r="2995" spans="1:20">
      <c r="A2995" s="20">
        <v>202604333786820</v>
      </c>
      <c r="B2995" s="19" t="s">
        <v>20</v>
      </c>
      <c r="C2995" s="19" t="s">
        <v>21</v>
      </c>
      <c r="D2995" s="19" t="s">
        <v>20</v>
      </c>
      <c r="E2995" s="21">
        <v>46235</v>
      </c>
      <c r="F2995" s="21">
        <v>46599</v>
      </c>
      <c r="G2995" s="21"/>
      <c r="H2995" s="21">
        <v>46235</v>
      </c>
      <c r="I2995" s="21">
        <v>46599</v>
      </c>
      <c r="J2995" s="19" t="s">
        <v>2274</v>
      </c>
      <c r="L2995" s="19">
        <v>77.319118000000003</v>
      </c>
      <c r="M2995" s="19">
        <v>77.319118000000003</v>
      </c>
      <c r="N2995" s="19" t="s">
        <v>1475</v>
      </c>
      <c r="O2995" s="20">
        <v>2</v>
      </c>
      <c r="S2995" s="19" t="s">
        <v>20</v>
      </c>
      <c r="T2995" s="19" t="s">
        <v>1471</v>
      </c>
    </row>
    <row r="2996" spans="1:20">
      <c r="A2996" s="20">
        <v>202604333787774</v>
      </c>
      <c r="B2996" s="19" t="s">
        <v>20</v>
      </c>
      <c r="C2996" s="19" t="s">
        <v>21</v>
      </c>
      <c r="D2996" s="19" t="s">
        <v>20</v>
      </c>
      <c r="E2996" s="21">
        <v>46235</v>
      </c>
      <c r="F2996" s="21">
        <v>46599</v>
      </c>
      <c r="G2996" s="21"/>
      <c r="H2996" s="21">
        <v>46235</v>
      </c>
      <c r="I2996" s="21">
        <v>46599</v>
      </c>
      <c r="J2996" s="19" t="s">
        <v>2064</v>
      </c>
      <c r="L2996" s="19">
        <v>33.130630250000003</v>
      </c>
      <c r="M2996" s="19">
        <v>33.130630250000003</v>
      </c>
      <c r="N2996" s="19" t="s">
        <v>1475</v>
      </c>
      <c r="O2996" s="20">
        <v>1</v>
      </c>
      <c r="S2996" s="19" t="s">
        <v>20</v>
      </c>
      <c r="T2996" s="19" t="s">
        <v>1471</v>
      </c>
    </row>
    <row r="2997" spans="1:20">
      <c r="A2997" s="20">
        <v>202604333788107</v>
      </c>
      <c r="B2997" s="19" t="s">
        <v>20</v>
      </c>
      <c r="C2997" s="19" t="s">
        <v>21</v>
      </c>
      <c r="D2997" s="19" t="s">
        <v>20</v>
      </c>
      <c r="E2997" s="21">
        <v>46235</v>
      </c>
      <c r="F2997" s="21">
        <v>46599</v>
      </c>
      <c r="G2997" s="21"/>
      <c r="H2997" s="21">
        <v>46235</v>
      </c>
      <c r="I2997" s="21">
        <v>46599</v>
      </c>
      <c r="J2997" s="19" t="s">
        <v>2114</v>
      </c>
      <c r="L2997" s="19">
        <v>99.391890750000002</v>
      </c>
      <c r="M2997" s="19">
        <v>99.391890750000002</v>
      </c>
      <c r="N2997" s="19" t="s">
        <v>1475</v>
      </c>
      <c r="O2997" s="20">
        <v>3</v>
      </c>
      <c r="S2997" s="19" t="s">
        <v>20</v>
      </c>
      <c r="T2997" s="19" t="s">
        <v>1471</v>
      </c>
    </row>
    <row r="2998" spans="1:20">
      <c r="A2998" s="20">
        <v>202604333788288</v>
      </c>
      <c r="B2998" s="19" t="s">
        <v>20</v>
      </c>
      <c r="C2998" s="19" t="s">
        <v>21</v>
      </c>
      <c r="D2998" s="19" t="s">
        <v>20</v>
      </c>
      <c r="E2998" s="21">
        <v>46235</v>
      </c>
      <c r="F2998" s="21">
        <v>46599</v>
      </c>
      <c r="G2998" s="21"/>
      <c r="H2998" s="21">
        <v>46235</v>
      </c>
      <c r="I2998" s="21">
        <v>46599</v>
      </c>
      <c r="J2998" s="19" t="s">
        <v>2071</v>
      </c>
      <c r="L2998" s="19">
        <v>0</v>
      </c>
      <c r="M2998" s="19">
        <v>0</v>
      </c>
      <c r="N2998" s="19" t="s">
        <v>2394</v>
      </c>
      <c r="O2998" s="20">
        <v>3</v>
      </c>
      <c r="S2998" s="19" t="s">
        <v>20</v>
      </c>
      <c r="T2998" s="19" t="s">
        <v>1471</v>
      </c>
    </row>
    <row r="2999" spans="1:20">
      <c r="A2999" s="20">
        <v>202604333788288</v>
      </c>
      <c r="B2999" s="19" t="s">
        <v>20</v>
      </c>
      <c r="C2999" s="19" t="s">
        <v>21</v>
      </c>
      <c r="D2999" s="19" t="s">
        <v>2427</v>
      </c>
      <c r="E2999" s="21">
        <v>46235</v>
      </c>
      <c r="F2999" s="21">
        <v>46599</v>
      </c>
      <c r="G2999" s="21"/>
      <c r="H2999" s="21">
        <v>46235</v>
      </c>
      <c r="I2999" s="21">
        <v>46599</v>
      </c>
      <c r="J2999" s="19" t="s">
        <v>2071</v>
      </c>
      <c r="L2999" s="19">
        <v>115.978677</v>
      </c>
      <c r="M2999" s="19">
        <v>115.978677</v>
      </c>
      <c r="N2999" s="19" t="s">
        <v>1467</v>
      </c>
      <c r="O2999" s="20">
        <v>3</v>
      </c>
      <c r="S2999" s="19" t="s">
        <v>20</v>
      </c>
      <c r="T2999" s="19" t="s">
        <v>1471</v>
      </c>
    </row>
    <row r="3000" spans="1:20">
      <c r="A3000" s="20">
        <v>202604333788320</v>
      </c>
      <c r="B3000" s="19" t="s">
        <v>20</v>
      </c>
      <c r="C3000" s="19" t="s">
        <v>21</v>
      </c>
      <c r="D3000" s="19" t="s">
        <v>20</v>
      </c>
      <c r="E3000" s="21">
        <v>46235</v>
      </c>
      <c r="F3000" s="21">
        <v>46599</v>
      </c>
      <c r="G3000" s="21"/>
      <c r="H3000" s="21">
        <v>46235</v>
      </c>
      <c r="I3000" s="21">
        <v>46599</v>
      </c>
      <c r="J3000" s="19" t="s">
        <v>2114</v>
      </c>
      <c r="L3000" s="19">
        <v>0</v>
      </c>
      <c r="M3000" s="19">
        <v>0</v>
      </c>
      <c r="N3000" s="19" t="s">
        <v>2394</v>
      </c>
      <c r="O3000" s="20">
        <v>6</v>
      </c>
      <c r="S3000" s="19" t="s">
        <v>20</v>
      </c>
      <c r="T3000" s="19" t="s">
        <v>1471</v>
      </c>
    </row>
    <row r="3001" spans="1:20">
      <c r="A3001" s="20">
        <v>202604333788320</v>
      </c>
      <c r="B3001" s="19" t="s">
        <v>20</v>
      </c>
      <c r="C3001" s="19" t="s">
        <v>21</v>
      </c>
      <c r="D3001" s="19" t="s">
        <v>20</v>
      </c>
      <c r="E3001" s="21">
        <v>46235</v>
      </c>
      <c r="F3001" s="21">
        <v>46599</v>
      </c>
      <c r="G3001" s="21"/>
      <c r="H3001" s="21">
        <v>46235</v>
      </c>
      <c r="I3001" s="21">
        <v>46599</v>
      </c>
      <c r="J3001" s="19" t="s">
        <v>2114</v>
      </c>
      <c r="L3001" s="19">
        <v>198.7837815</v>
      </c>
      <c r="M3001" s="19">
        <v>198.7837815</v>
      </c>
      <c r="N3001" s="19" t="s">
        <v>1475</v>
      </c>
      <c r="O3001" s="20">
        <v>6</v>
      </c>
      <c r="S3001" s="19" t="s">
        <v>20</v>
      </c>
      <c r="T3001" s="19" t="s">
        <v>1471</v>
      </c>
    </row>
    <row r="3002" spans="1:20">
      <c r="A3002" s="20">
        <v>202604333788570</v>
      </c>
      <c r="B3002" s="19" t="s">
        <v>20</v>
      </c>
      <c r="C3002" s="19" t="s">
        <v>21</v>
      </c>
      <c r="D3002" s="19" t="s">
        <v>20</v>
      </c>
      <c r="E3002" s="21">
        <v>46235</v>
      </c>
      <c r="F3002" s="21">
        <v>46599</v>
      </c>
      <c r="G3002" s="21"/>
      <c r="H3002" s="21">
        <v>46235</v>
      </c>
      <c r="I3002" s="21">
        <v>46599</v>
      </c>
      <c r="J3002" s="19" t="s">
        <v>2062</v>
      </c>
      <c r="L3002" s="19">
        <v>0</v>
      </c>
      <c r="M3002" s="19">
        <v>0</v>
      </c>
      <c r="N3002" s="19" t="s">
        <v>2394</v>
      </c>
      <c r="O3002" s="20">
        <v>3</v>
      </c>
      <c r="S3002" s="19" t="s">
        <v>20</v>
      </c>
      <c r="T3002" s="19" t="s">
        <v>1471</v>
      </c>
    </row>
    <row r="3003" spans="1:20">
      <c r="A3003" s="20">
        <v>202604333788570</v>
      </c>
      <c r="B3003" s="19" t="s">
        <v>20</v>
      </c>
      <c r="C3003" s="19" t="s">
        <v>21</v>
      </c>
      <c r="D3003" s="19" t="s">
        <v>20</v>
      </c>
      <c r="E3003" s="21">
        <v>46235</v>
      </c>
      <c r="F3003" s="21">
        <v>46599</v>
      </c>
      <c r="G3003" s="21"/>
      <c r="H3003" s="21">
        <v>46235</v>
      </c>
      <c r="I3003" s="21">
        <v>46599</v>
      </c>
      <c r="J3003" s="19" t="s">
        <v>2062</v>
      </c>
      <c r="L3003" s="19">
        <v>99.391890750000002</v>
      </c>
      <c r="M3003" s="19">
        <v>99.391890750000002</v>
      </c>
      <c r="N3003" s="19" t="s">
        <v>1475</v>
      </c>
      <c r="O3003" s="20">
        <v>3</v>
      </c>
      <c r="S3003" s="19" t="s">
        <v>20</v>
      </c>
      <c r="T3003" s="19" t="s">
        <v>1471</v>
      </c>
    </row>
    <row r="3004" spans="1:20">
      <c r="A3004" s="20">
        <v>202604333789268</v>
      </c>
      <c r="B3004" s="19" t="s">
        <v>20</v>
      </c>
      <c r="C3004" s="19" t="s">
        <v>21</v>
      </c>
      <c r="D3004" s="19" t="s">
        <v>20</v>
      </c>
      <c r="E3004" s="21">
        <v>46235</v>
      </c>
      <c r="F3004" s="21">
        <v>46599</v>
      </c>
      <c r="G3004" s="21"/>
      <c r="H3004" s="21">
        <v>46235</v>
      </c>
      <c r="I3004" s="21">
        <v>46599</v>
      </c>
      <c r="J3004" s="19" t="s">
        <v>1465</v>
      </c>
      <c r="L3004" s="19">
        <v>0</v>
      </c>
      <c r="M3004" s="19">
        <v>0</v>
      </c>
      <c r="N3004" s="19" t="s">
        <v>2394</v>
      </c>
      <c r="O3004" s="20">
        <v>2</v>
      </c>
      <c r="S3004" s="19" t="s">
        <v>20</v>
      </c>
      <c r="T3004" s="19" t="s">
        <v>1471</v>
      </c>
    </row>
    <row r="3005" spans="1:20">
      <c r="A3005" s="20">
        <v>202604333789268</v>
      </c>
      <c r="B3005" s="19" t="s">
        <v>20</v>
      </c>
      <c r="C3005" s="19" t="s">
        <v>21</v>
      </c>
      <c r="D3005" s="19" t="s">
        <v>20</v>
      </c>
      <c r="E3005" s="21">
        <v>46235</v>
      </c>
      <c r="F3005" s="21">
        <v>46599</v>
      </c>
      <c r="G3005" s="21"/>
      <c r="H3005" s="21">
        <v>46235</v>
      </c>
      <c r="I3005" s="21">
        <v>46599</v>
      </c>
      <c r="J3005" s="19" t="s">
        <v>1465</v>
      </c>
      <c r="L3005" s="19">
        <v>36.320164499999997</v>
      </c>
      <c r="M3005" s="19">
        <v>36.320164499999997</v>
      </c>
      <c r="N3005" s="19" t="s">
        <v>1475</v>
      </c>
      <c r="O3005" s="20">
        <v>2</v>
      </c>
      <c r="S3005" s="19" t="s">
        <v>20</v>
      </c>
      <c r="T3005" s="19" t="s">
        <v>1471</v>
      </c>
    </row>
    <row r="3006" spans="1:20">
      <c r="A3006" s="20">
        <v>202604333789404</v>
      </c>
      <c r="B3006" s="19" t="s">
        <v>20</v>
      </c>
      <c r="C3006" s="19" t="s">
        <v>21</v>
      </c>
      <c r="D3006" s="19" t="s">
        <v>20</v>
      </c>
      <c r="E3006" s="21">
        <v>46235</v>
      </c>
      <c r="F3006" s="21">
        <v>46599</v>
      </c>
      <c r="G3006" s="21"/>
      <c r="H3006" s="21">
        <v>46235</v>
      </c>
      <c r="I3006" s="21">
        <v>46599</v>
      </c>
      <c r="J3006" s="19" t="s">
        <v>2151</v>
      </c>
      <c r="L3006" s="19">
        <v>0</v>
      </c>
      <c r="M3006" s="19">
        <v>0</v>
      </c>
      <c r="N3006" s="19" t="s">
        <v>2394</v>
      </c>
      <c r="O3006" s="20">
        <v>4</v>
      </c>
      <c r="S3006" s="19" t="s">
        <v>20</v>
      </c>
      <c r="T3006" s="19" t="s">
        <v>1471</v>
      </c>
    </row>
    <row r="3007" spans="1:20">
      <c r="A3007" s="20">
        <v>202604333789404</v>
      </c>
      <c r="B3007" s="19" t="s">
        <v>20</v>
      </c>
      <c r="C3007" s="19" t="s">
        <v>21</v>
      </c>
      <c r="D3007" s="19" t="s">
        <v>20</v>
      </c>
      <c r="E3007" s="21">
        <v>46235</v>
      </c>
      <c r="F3007" s="21">
        <v>46599</v>
      </c>
      <c r="G3007" s="21"/>
      <c r="H3007" s="21">
        <v>46235</v>
      </c>
      <c r="I3007" s="21">
        <v>46599</v>
      </c>
      <c r="J3007" s="19" t="s">
        <v>2151</v>
      </c>
      <c r="L3007" s="19">
        <v>132.52252100000001</v>
      </c>
      <c r="M3007" s="19">
        <v>132.52252100000001</v>
      </c>
      <c r="N3007" s="19" t="s">
        <v>1475</v>
      </c>
      <c r="O3007" s="20">
        <v>4</v>
      </c>
      <c r="S3007" s="19" t="s">
        <v>20</v>
      </c>
      <c r="T3007" s="19" t="s">
        <v>1471</v>
      </c>
    </row>
    <row r="3008" spans="1:20">
      <c r="A3008" s="20">
        <v>202604333789473</v>
      </c>
      <c r="B3008" s="19" t="s">
        <v>20</v>
      </c>
      <c r="C3008" s="19" t="s">
        <v>21</v>
      </c>
      <c r="D3008" s="19" t="s">
        <v>20</v>
      </c>
      <c r="E3008" s="21">
        <v>46235</v>
      </c>
      <c r="F3008" s="21">
        <v>46599</v>
      </c>
      <c r="G3008" s="21"/>
      <c r="H3008" s="21">
        <v>46235</v>
      </c>
      <c r="I3008" s="21">
        <v>46599</v>
      </c>
      <c r="J3008" s="19" t="s">
        <v>2129</v>
      </c>
      <c r="L3008" s="19">
        <v>0</v>
      </c>
      <c r="M3008" s="19">
        <v>0</v>
      </c>
      <c r="N3008" s="19" t="s">
        <v>2394</v>
      </c>
      <c r="O3008" s="20">
        <v>2</v>
      </c>
      <c r="S3008" s="19" t="s">
        <v>20</v>
      </c>
      <c r="T3008" s="19" t="s">
        <v>1471</v>
      </c>
    </row>
    <row r="3009" spans="1:20">
      <c r="A3009" s="20">
        <v>202604333789473</v>
      </c>
      <c r="B3009" s="19" t="s">
        <v>20</v>
      </c>
      <c r="C3009" s="19" t="s">
        <v>21</v>
      </c>
      <c r="D3009" s="19" t="s">
        <v>20</v>
      </c>
      <c r="E3009" s="21">
        <v>46235</v>
      </c>
      <c r="F3009" s="21">
        <v>46599</v>
      </c>
      <c r="G3009" s="21"/>
      <c r="H3009" s="21">
        <v>46235</v>
      </c>
      <c r="I3009" s="21">
        <v>46599</v>
      </c>
      <c r="J3009" s="19" t="s">
        <v>2129</v>
      </c>
      <c r="L3009" s="19">
        <v>66.261260500000006</v>
      </c>
      <c r="M3009" s="19">
        <v>66.261260500000006</v>
      </c>
      <c r="N3009" s="19" t="s">
        <v>1475</v>
      </c>
      <c r="O3009" s="20">
        <v>2</v>
      </c>
      <c r="S3009" s="19" t="s">
        <v>20</v>
      </c>
      <c r="T3009" s="19" t="s">
        <v>1471</v>
      </c>
    </row>
    <row r="3010" spans="1:20">
      <c r="A3010" s="20">
        <v>202604333789855</v>
      </c>
      <c r="B3010" s="19" t="s">
        <v>20</v>
      </c>
      <c r="C3010" s="19" t="s">
        <v>21</v>
      </c>
      <c r="D3010" s="19" t="s">
        <v>20</v>
      </c>
      <c r="E3010" s="21">
        <v>46235</v>
      </c>
      <c r="F3010" s="21">
        <v>46599</v>
      </c>
      <c r="G3010" s="21"/>
      <c r="H3010" s="21">
        <v>46235</v>
      </c>
      <c r="I3010" s="21">
        <v>46599</v>
      </c>
      <c r="J3010" s="19" t="s">
        <v>2085</v>
      </c>
      <c r="L3010" s="19">
        <v>0</v>
      </c>
      <c r="M3010" s="19">
        <v>0</v>
      </c>
      <c r="N3010" s="19" t="s">
        <v>2394</v>
      </c>
      <c r="O3010" s="20">
        <v>5</v>
      </c>
      <c r="S3010" s="19" t="s">
        <v>20</v>
      </c>
      <c r="T3010" s="19" t="s">
        <v>1471</v>
      </c>
    </row>
    <row r="3011" spans="1:20">
      <c r="A3011" s="20">
        <v>202604333789855</v>
      </c>
      <c r="B3011" s="19" t="s">
        <v>20</v>
      </c>
      <c r="C3011" s="19" t="s">
        <v>21</v>
      </c>
      <c r="D3011" s="19" t="s">
        <v>20</v>
      </c>
      <c r="E3011" s="21">
        <v>46235</v>
      </c>
      <c r="F3011" s="21">
        <v>46599</v>
      </c>
      <c r="G3011" s="21"/>
      <c r="H3011" s="21">
        <v>46235</v>
      </c>
      <c r="I3011" s="21">
        <v>46599</v>
      </c>
      <c r="J3011" s="19" t="s">
        <v>2085</v>
      </c>
      <c r="L3011" s="19">
        <v>123.1033675</v>
      </c>
      <c r="M3011" s="19">
        <v>123.1033675</v>
      </c>
      <c r="N3011" s="19" t="s">
        <v>1475</v>
      </c>
      <c r="O3011" s="20">
        <v>5</v>
      </c>
      <c r="S3011" s="19" t="s">
        <v>20</v>
      </c>
      <c r="T3011" s="19" t="s">
        <v>1471</v>
      </c>
    </row>
    <row r="3012" spans="1:20">
      <c r="A3012" s="20">
        <v>202604333794498</v>
      </c>
      <c r="B3012" s="19" t="s">
        <v>20</v>
      </c>
      <c r="C3012" s="19" t="s">
        <v>21</v>
      </c>
      <c r="D3012" s="19" t="s">
        <v>20</v>
      </c>
      <c r="E3012" s="21">
        <v>46235</v>
      </c>
      <c r="F3012" s="21">
        <v>46599</v>
      </c>
      <c r="G3012" s="21"/>
      <c r="H3012" s="21">
        <v>46235</v>
      </c>
      <c r="I3012" s="21">
        <v>46599</v>
      </c>
      <c r="J3012" s="19" t="s">
        <v>2135</v>
      </c>
      <c r="L3012" s="19">
        <v>33.130630250000003</v>
      </c>
      <c r="M3012" s="19">
        <v>33.130630250000003</v>
      </c>
      <c r="N3012" s="19" t="s">
        <v>1475</v>
      </c>
      <c r="O3012" s="20">
        <v>1</v>
      </c>
      <c r="S3012" s="19" t="s">
        <v>20</v>
      </c>
      <c r="T3012" s="19" t="s">
        <v>1471</v>
      </c>
    </row>
    <row r="3013" spans="1:20">
      <c r="A3013" s="20">
        <v>202604333796160</v>
      </c>
      <c r="B3013" s="19" t="s">
        <v>20</v>
      </c>
      <c r="C3013" s="19" t="s">
        <v>21</v>
      </c>
      <c r="D3013" s="19" t="s">
        <v>20</v>
      </c>
      <c r="E3013" s="21">
        <v>46235</v>
      </c>
      <c r="F3013" s="21">
        <v>46599</v>
      </c>
      <c r="G3013" s="21"/>
      <c r="H3013" s="21">
        <v>46235</v>
      </c>
      <c r="I3013" s="21">
        <v>46599</v>
      </c>
      <c r="J3013" s="19" t="s">
        <v>2104</v>
      </c>
      <c r="L3013" s="19">
        <v>0</v>
      </c>
      <c r="M3013" s="19">
        <v>0</v>
      </c>
      <c r="N3013" s="19" t="s">
        <v>2394</v>
      </c>
      <c r="O3013" s="20">
        <v>2</v>
      </c>
      <c r="S3013" s="19" t="s">
        <v>20</v>
      </c>
      <c r="T3013" s="19" t="s">
        <v>1471</v>
      </c>
    </row>
    <row r="3014" spans="1:20">
      <c r="A3014" s="20">
        <v>202604333796160</v>
      </c>
      <c r="B3014" s="19" t="s">
        <v>20</v>
      </c>
      <c r="C3014" s="19" t="s">
        <v>21</v>
      </c>
      <c r="D3014" s="19" t="s">
        <v>20</v>
      </c>
      <c r="E3014" s="21">
        <v>46235</v>
      </c>
      <c r="F3014" s="21">
        <v>46599</v>
      </c>
      <c r="G3014" s="21"/>
      <c r="H3014" s="21">
        <v>46235</v>
      </c>
      <c r="I3014" s="21">
        <v>46599</v>
      </c>
      <c r="J3014" s="19" t="s">
        <v>2104</v>
      </c>
      <c r="L3014" s="19">
        <v>66.261260500000006</v>
      </c>
      <c r="M3014" s="19">
        <v>66.261260500000006</v>
      </c>
      <c r="N3014" s="19" t="s">
        <v>1475</v>
      </c>
      <c r="O3014" s="20">
        <v>2</v>
      </c>
      <c r="S3014" s="19" t="s">
        <v>20</v>
      </c>
      <c r="T3014" s="19" t="s">
        <v>1471</v>
      </c>
    </row>
    <row r="3015" spans="1:20">
      <c r="A3015" s="20">
        <v>202604333797587</v>
      </c>
      <c r="B3015" s="19" t="s">
        <v>20</v>
      </c>
      <c r="C3015" s="19" t="s">
        <v>21</v>
      </c>
      <c r="D3015" s="19" t="s">
        <v>20</v>
      </c>
      <c r="E3015" s="21">
        <v>46235</v>
      </c>
      <c r="F3015" s="21">
        <v>46599</v>
      </c>
      <c r="G3015" s="21"/>
      <c r="H3015" s="21">
        <v>46235</v>
      </c>
      <c r="I3015" s="21">
        <v>46599</v>
      </c>
      <c r="J3015" s="19" t="s">
        <v>2305</v>
      </c>
      <c r="L3015" s="19">
        <v>0</v>
      </c>
      <c r="M3015" s="19">
        <v>0</v>
      </c>
      <c r="N3015" s="19" t="s">
        <v>2394</v>
      </c>
      <c r="O3015" s="20">
        <v>5</v>
      </c>
      <c r="S3015" s="19" t="s">
        <v>20</v>
      </c>
      <c r="T3015" s="19" t="s">
        <v>1471</v>
      </c>
    </row>
    <row r="3016" spans="1:20">
      <c r="A3016" s="20">
        <v>202604333797587</v>
      </c>
      <c r="B3016" s="19" t="s">
        <v>20</v>
      </c>
      <c r="C3016" s="19" t="s">
        <v>21</v>
      </c>
      <c r="D3016" s="19" t="s">
        <v>20</v>
      </c>
      <c r="E3016" s="21">
        <v>46235</v>
      </c>
      <c r="F3016" s="21">
        <v>46599</v>
      </c>
      <c r="G3016" s="21"/>
      <c r="H3016" s="21">
        <v>46235</v>
      </c>
      <c r="I3016" s="21">
        <v>46599</v>
      </c>
      <c r="J3016" s="19" t="s">
        <v>2305</v>
      </c>
      <c r="L3016" s="19">
        <v>119.84145375</v>
      </c>
      <c r="M3016" s="19">
        <v>119.84145375</v>
      </c>
      <c r="N3016" s="19" t="s">
        <v>1475</v>
      </c>
      <c r="O3016" s="20">
        <v>5</v>
      </c>
      <c r="S3016" s="19" t="s">
        <v>20</v>
      </c>
      <c r="T3016" s="19" t="s">
        <v>1471</v>
      </c>
    </row>
    <row r="3017" spans="1:20">
      <c r="A3017" s="20">
        <v>202604333798820</v>
      </c>
      <c r="B3017" s="19" t="s">
        <v>20</v>
      </c>
      <c r="C3017" s="19" t="s">
        <v>21</v>
      </c>
      <c r="D3017" s="19" t="s">
        <v>20</v>
      </c>
      <c r="E3017" s="21">
        <v>46235</v>
      </c>
      <c r="F3017" s="21">
        <v>46599</v>
      </c>
      <c r="G3017" s="21"/>
      <c r="H3017" s="21">
        <v>46235</v>
      </c>
      <c r="I3017" s="21">
        <v>46599</v>
      </c>
      <c r="J3017" s="19" t="s">
        <v>2235</v>
      </c>
      <c r="L3017" s="19">
        <v>33.130630250000003</v>
      </c>
      <c r="M3017" s="19">
        <v>33.130630250000003</v>
      </c>
      <c r="N3017" s="19" t="s">
        <v>1475</v>
      </c>
      <c r="O3017" s="20">
        <v>1</v>
      </c>
      <c r="S3017" s="19" t="s">
        <v>20</v>
      </c>
      <c r="T3017" s="19" t="s">
        <v>1471</v>
      </c>
    </row>
    <row r="3018" spans="1:20">
      <c r="A3018" s="20">
        <v>202604333799720</v>
      </c>
      <c r="B3018" s="19" t="s">
        <v>20</v>
      </c>
      <c r="C3018" s="19" t="s">
        <v>21</v>
      </c>
      <c r="D3018" s="19" t="s">
        <v>20</v>
      </c>
      <c r="E3018" s="21">
        <v>46235</v>
      </c>
      <c r="F3018" s="21">
        <v>46599</v>
      </c>
      <c r="G3018" s="21"/>
      <c r="H3018" s="21">
        <v>46235</v>
      </c>
      <c r="I3018" s="21">
        <v>46599</v>
      </c>
      <c r="J3018" s="19" t="s">
        <v>2062</v>
      </c>
      <c r="L3018" s="19">
        <v>33.130630250000003</v>
      </c>
      <c r="M3018" s="19">
        <v>33.130630250000003</v>
      </c>
      <c r="N3018" s="19" t="s">
        <v>1475</v>
      </c>
      <c r="O3018" s="20">
        <v>1</v>
      </c>
      <c r="S3018" s="19" t="s">
        <v>20</v>
      </c>
      <c r="T3018" s="19" t="s">
        <v>1471</v>
      </c>
    </row>
    <row r="3019" spans="1:20">
      <c r="A3019" s="20">
        <v>202604333800394</v>
      </c>
      <c r="B3019" s="19" t="s">
        <v>20</v>
      </c>
      <c r="C3019" s="19" t="s">
        <v>21</v>
      </c>
      <c r="D3019" s="19" t="s">
        <v>20</v>
      </c>
      <c r="E3019" s="21">
        <v>46235</v>
      </c>
      <c r="F3019" s="21">
        <v>46599</v>
      </c>
      <c r="G3019" s="21"/>
      <c r="H3019" s="21">
        <v>46235</v>
      </c>
      <c r="I3019" s="21">
        <v>46599</v>
      </c>
      <c r="J3019" s="19" t="s">
        <v>2064</v>
      </c>
      <c r="L3019" s="19">
        <v>33.130630250000003</v>
      </c>
      <c r="M3019" s="19">
        <v>33.130630250000003</v>
      </c>
      <c r="N3019" s="19" t="s">
        <v>1475</v>
      </c>
      <c r="O3019" s="20">
        <v>1</v>
      </c>
      <c r="S3019" s="19" t="s">
        <v>20</v>
      </c>
      <c r="T3019" s="19" t="s">
        <v>1471</v>
      </c>
    </row>
    <row r="3020" spans="1:20">
      <c r="A3020" s="20">
        <v>202604333804735</v>
      </c>
      <c r="B3020" s="19" t="s">
        <v>20</v>
      </c>
      <c r="C3020" s="19" t="s">
        <v>21</v>
      </c>
      <c r="D3020" s="19" t="s">
        <v>20</v>
      </c>
      <c r="E3020" s="21">
        <v>46235</v>
      </c>
      <c r="F3020" s="21">
        <v>46599</v>
      </c>
      <c r="G3020" s="21"/>
      <c r="H3020" s="21">
        <v>46235</v>
      </c>
      <c r="I3020" s="21">
        <v>46599</v>
      </c>
      <c r="J3020" s="19" t="s">
        <v>2235</v>
      </c>
      <c r="L3020" s="19">
        <v>0</v>
      </c>
      <c r="M3020" s="19">
        <v>0</v>
      </c>
      <c r="N3020" s="19" t="s">
        <v>2394</v>
      </c>
      <c r="O3020" s="20">
        <v>6</v>
      </c>
      <c r="S3020" s="19" t="s">
        <v>20</v>
      </c>
      <c r="T3020" s="19" t="s">
        <v>1471</v>
      </c>
    </row>
    <row r="3021" spans="1:20">
      <c r="A3021" s="20">
        <v>202604333804735</v>
      </c>
      <c r="B3021" s="19" t="s">
        <v>20</v>
      </c>
      <c r="C3021" s="19" t="s">
        <v>21</v>
      </c>
      <c r="D3021" s="19" t="s">
        <v>20</v>
      </c>
      <c r="E3021" s="21">
        <v>46235</v>
      </c>
      <c r="F3021" s="21">
        <v>46599</v>
      </c>
      <c r="G3021" s="21"/>
      <c r="H3021" s="21">
        <v>46235</v>
      </c>
      <c r="I3021" s="21">
        <v>46599</v>
      </c>
      <c r="J3021" s="19" t="s">
        <v>2235</v>
      </c>
      <c r="L3021" s="19">
        <v>198.7837815</v>
      </c>
      <c r="M3021" s="19">
        <v>198.7837815</v>
      </c>
      <c r="N3021" s="19" t="s">
        <v>1475</v>
      </c>
      <c r="O3021" s="20">
        <v>6</v>
      </c>
      <c r="S3021" s="19" t="s">
        <v>20</v>
      </c>
      <c r="T3021" s="19" t="s">
        <v>1471</v>
      </c>
    </row>
    <row r="3022" spans="1:20">
      <c r="A3022" s="20">
        <v>202604333804776</v>
      </c>
      <c r="B3022" s="19" t="s">
        <v>20</v>
      </c>
      <c r="C3022" s="19" t="s">
        <v>21</v>
      </c>
      <c r="D3022" s="19" t="s">
        <v>20</v>
      </c>
      <c r="E3022" s="21">
        <v>46235</v>
      </c>
      <c r="F3022" s="21">
        <v>46599</v>
      </c>
      <c r="G3022" s="21"/>
      <c r="H3022" s="21">
        <v>46235</v>
      </c>
      <c r="I3022" s="21">
        <v>46599</v>
      </c>
      <c r="J3022" s="19" t="s">
        <v>2064</v>
      </c>
      <c r="L3022" s="19">
        <v>0</v>
      </c>
      <c r="M3022" s="19">
        <v>0</v>
      </c>
      <c r="N3022" s="19" t="s">
        <v>2394</v>
      </c>
      <c r="O3022" s="20">
        <v>6</v>
      </c>
      <c r="S3022" s="19" t="s">
        <v>20</v>
      </c>
      <c r="T3022" s="19" t="s">
        <v>1471</v>
      </c>
    </row>
    <row r="3023" spans="1:20">
      <c r="A3023" s="20">
        <v>202604333804776</v>
      </c>
      <c r="B3023" s="19" t="s">
        <v>20</v>
      </c>
      <c r="C3023" s="19" t="s">
        <v>21</v>
      </c>
      <c r="D3023" s="19" t="s">
        <v>20</v>
      </c>
      <c r="E3023" s="21">
        <v>46235</v>
      </c>
      <c r="F3023" s="21">
        <v>46599</v>
      </c>
      <c r="G3023" s="21"/>
      <c r="H3023" s="21">
        <v>46235</v>
      </c>
      <c r="I3023" s="21">
        <v>46599</v>
      </c>
      <c r="J3023" s="19" t="s">
        <v>2064</v>
      </c>
      <c r="L3023" s="19">
        <v>198.7837815</v>
      </c>
      <c r="M3023" s="19">
        <v>198.7837815</v>
      </c>
      <c r="N3023" s="19" t="s">
        <v>1475</v>
      </c>
      <c r="O3023" s="20">
        <v>6</v>
      </c>
      <c r="S3023" s="19" t="s">
        <v>20</v>
      </c>
      <c r="T3023" s="19" t="s">
        <v>1471</v>
      </c>
    </row>
    <row r="3024" spans="1:20">
      <c r="A3024" s="20">
        <v>202604333807708</v>
      </c>
      <c r="B3024" s="19" t="s">
        <v>20</v>
      </c>
      <c r="C3024" s="19" t="s">
        <v>21</v>
      </c>
      <c r="D3024" s="19" t="s">
        <v>20</v>
      </c>
      <c r="E3024" s="21">
        <v>46235</v>
      </c>
      <c r="F3024" s="21">
        <v>46599</v>
      </c>
      <c r="G3024" s="21"/>
      <c r="H3024" s="21">
        <v>46235</v>
      </c>
      <c r="I3024" s="21">
        <v>46599</v>
      </c>
      <c r="J3024" s="19" t="s">
        <v>2064</v>
      </c>
      <c r="L3024" s="19">
        <v>0</v>
      </c>
      <c r="M3024" s="19">
        <v>0</v>
      </c>
      <c r="N3024" s="19" t="s">
        <v>2394</v>
      </c>
      <c r="O3024" s="20">
        <v>4</v>
      </c>
      <c r="S3024" s="19" t="s">
        <v>20</v>
      </c>
      <c r="T3024" s="19" t="s">
        <v>1471</v>
      </c>
    </row>
    <row r="3025" spans="1:20">
      <c r="A3025" s="20">
        <v>202604333807708</v>
      </c>
      <c r="B3025" s="19" t="s">
        <v>20</v>
      </c>
      <c r="C3025" s="19" t="s">
        <v>21</v>
      </c>
      <c r="D3025" s="19" t="s">
        <v>20</v>
      </c>
      <c r="E3025" s="21">
        <v>46235</v>
      </c>
      <c r="F3025" s="21">
        <v>46599</v>
      </c>
      <c r="G3025" s="21"/>
      <c r="H3025" s="21">
        <v>46235</v>
      </c>
      <c r="I3025" s="21">
        <v>46599</v>
      </c>
      <c r="J3025" s="19" t="s">
        <v>2064</v>
      </c>
      <c r="L3025" s="19">
        <v>132.52252100000001</v>
      </c>
      <c r="M3025" s="19">
        <v>132.52252100000001</v>
      </c>
      <c r="N3025" s="19" t="s">
        <v>1475</v>
      </c>
      <c r="O3025" s="20">
        <v>4</v>
      </c>
      <c r="S3025" s="19" t="s">
        <v>20</v>
      </c>
      <c r="T3025" s="19" t="s">
        <v>1471</v>
      </c>
    </row>
    <row r="3026" spans="1:20">
      <c r="A3026" s="20">
        <v>202604333809628</v>
      </c>
      <c r="B3026" s="19" t="s">
        <v>20</v>
      </c>
      <c r="C3026" s="19" t="s">
        <v>21</v>
      </c>
      <c r="D3026" s="19" t="s">
        <v>20</v>
      </c>
      <c r="E3026" s="21">
        <v>46235</v>
      </c>
      <c r="F3026" s="21">
        <v>46599</v>
      </c>
      <c r="G3026" s="21"/>
      <c r="H3026" s="21">
        <v>46235</v>
      </c>
      <c r="I3026" s="21">
        <v>46599</v>
      </c>
      <c r="J3026" s="19" t="s">
        <v>2068</v>
      </c>
      <c r="L3026" s="19">
        <v>0</v>
      </c>
      <c r="M3026" s="19">
        <v>0</v>
      </c>
      <c r="N3026" s="19" t="s">
        <v>2394</v>
      </c>
      <c r="O3026" s="20">
        <v>3</v>
      </c>
      <c r="S3026" s="19" t="s">
        <v>20</v>
      </c>
      <c r="T3026" s="19" t="s">
        <v>1471</v>
      </c>
    </row>
    <row r="3027" spans="1:20">
      <c r="A3027" s="20">
        <v>202604333809628</v>
      </c>
      <c r="B3027" s="19" t="s">
        <v>20</v>
      </c>
      <c r="C3027" s="19" t="s">
        <v>21</v>
      </c>
      <c r="D3027" s="19" t="s">
        <v>20</v>
      </c>
      <c r="E3027" s="21">
        <v>46235</v>
      </c>
      <c r="F3027" s="21">
        <v>46599</v>
      </c>
      <c r="G3027" s="21"/>
      <c r="H3027" s="21">
        <v>46235</v>
      </c>
      <c r="I3027" s="21">
        <v>46599</v>
      </c>
      <c r="J3027" s="19" t="s">
        <v>2068</v>
      </c>
      <c r="L3027" s="19">
        <v>78.776052000000007</v>
      </c>
      <c r="M3027" s="19">
        <v>78.776052000000007</v>
      </c>
      <c r="N3027" s="19" t="s">
        <v>1475</v>
      </c>
      <c r="O3027" s="20">
        <v>3</v>
      </c>
      <c r="S3027" s="19" t="s">
        <v>20</v>
      </c>
      <c r="T3027" s="19" t="s">
        <v>1471</v>
      </c>
    </row>
    <row r="3028" spans="1:20">
      <c r="A3028" s="20">
        <v>202604333811291</v>
      </c>
      <c r="B3028" s="19" t="s">
        <v>20</v>
      </c>
      <c r="C3028" s="19" t="s">
        <v>21</v>
      </c>
      <c r="D3028" s="19" t="s">
        <v>20</v>
      </c>
      <c r="E3028" s="21">
        <v>46235</v>
      </c>
      <c r="F3028" s="21">
        <v>46599</v>
      </c>
      <c r="G3028" s="21"/>
      <c r="H3028" s="21">
        <v>46235</v>
      </c>
      <c r="I3028" s="21">
        <v>46599</v>
      </c>
      <c r="J3028" s="19" t="s">
        <v>2095</v>
      </c>
      <c r="L3028" s="19">
        <v>0</v>
      </c>
      <c r="M3028" s="19">
        <v>0</v>
      </c>
      <c r="N3028" s="19" t="s">
        <v>2394</v>
      </c>
      <c r="O3028" s="20">
        <v>3</v>
      </c>
      <c r="S3028" s="19" t="s">
        <v>20</v>
      </c>
      <c r="T3028" s="19" t="s">
        <v>1471</v>
      </c>
    </row>
    <row r="3029" spans="1:20">
      <c r="A3029" s="20">
        <v>202604333811291</v>
      </c>
      <c r="B3029" s="19" t="s">
        <v>20</v>
      </c>
      <c r="C3029" s="19" t="s">
        <v>21</v>
      </c>
      <c r="D3029" s="19" t="s">
        <v>2426</v>
      </c>
      <c r="E3029" s="21">
        <v>46235</v>
      </c>
      <c r="F3029" s="21">
        <v>46599</v>
      </c>
      <c r="G3029" s="21"/>
      <c r="H3029" s="21">
        <v>46235</v>
      </c>
      <c r="I3029" s="21">
        <v>46599</v>
      </c>
      <c r="J3029" s="19" t="s">
        <v>2095</v>
      </c>
      <c r="L3029" s="19">
        <v>99.391890750000002</v>
      </c>
      <c r="M3029" s="19">
        <v>99.391890750000002</v>
      </c>
      <c r="N3029" s="19" t="s">
        <v>1467</v>
      </c>
      <c r="O3029" s="20">
        <v>3</v>
      </c>
      <c r="S3029" s="19" t="s">
        <v>20</v>
      </c>
      <c r="T3029" s="19" t="s">
        <v>1471</v>
      </c>
    </row>
    <row r="3030" spans="1:20">
      <c r="A3030" s="20">
        <v>202604333813396</v>
      </c>
      <c r="B3030" s="19" t="s">
        <v>20</v>
      </c>
      <c r="C3030" s="19" t="s">
        <v>21</v>
      </c>
      <c r="D3030" s="19" t="s">
        <v>2425</v>
      </c>
      <c r="E3030" s="21">
        <v>46235</v>
      </c>
      <c r="F3030" s="21">
        <v>46599</v>
      </c>
      <c r="G3030" s="21"/>
      <c r="H3030" s="21">
        <v>46235</v>
      </c>
      <c r="I3030" s="21">
        <v>46599</v>
      </c>
      <c r="J3030" s="19" t="s">
        <v>2088</v>
      </c>
      <c r="L3030" s="19">
        <v>33.130630250000003</v>
      </c>
      <c r="M3030" s="19">
        <v>33.130630250000003</v>
      </c>
      <c r="N3030" s="19" t="s">
        <v>1467</v>
      </c>
      <c r="O3030" s="20">
        <v>1</v>
      </c>
      <c r="S3030" s="19" t="s">
        <v>20</v>
      </c>
      <c r="T3030" s="19" t="s">
        <v>1471</v>
      </c>
    </row>
    <row r="3031" spans="1:20">
      <c r="A3031" s="20">
        <v>202604333815096</v>
      </c>
      <c r="B3031" s="19" t="s">
        <v>20</v>
      </c>
      <c r="C3031" s="19" t="s">
        <v>21</v>
      </c>
      <c r="D3031" s="19" t="s">
        <v>20</v>
      </c>
      <c r="E3031" s="21">
        <v>46235</v>
      </c>
      <c r="F3031" s="21">
        <v>46599</v>
      </c>
      <c r="G3031" s="21"/>
      <c r="H3031" s="21">
        <v>46235</v>
      </c>
      <c r="I3031" s="21">
        <v>46599</v>
      </c>
      <c r="J3031" s="19" t="s">
        <v>2235</v>
      </c>
      <c r="L3031" s="19">
        <v>66.261260500000006</v>
      </c>
      <c r="M3031" s="19">
        <v>66.261260500000006</v>
      </c>
      <c r="N3031" s="19" t="s">
        <v>1475</v>
      </c>
      <c r="O3031" s="20">
        <v>2</v>
      </c>
      <c r="S3031" s="19" t="s">
        <v>20</v>
      </c>
      <c r="T3031" s="19" t="s">
        <v>1471</v>
      </c>
    </row>
    <row r="3032" spans="1:20">
      <c r="A3032" s="20">
        <v>202604333816665</v>
      </c>
      <c r="B3032" s="19" t="s">
        <v>20</v>
      </c>
      <c r="C3032" s="19" t="s">
        <v>21</v>
      </c>
      <c r="D3032" s="19" t="s">
        <v>2424</v>
      </c>
      <c r="E3032" s="21">
        <v>46235</v>
      </c>
      <c r="F3032" s="21">
        <v>46599</v>
      </c>
      <c r="G3032" s="21"/>
      <c r="H3032" s="21">
        <v>46235</v>
      </c>
      <c r="I3032" s="21">
        <v>46599</v>
      </c>
      <c r="J3032" s="19" t="s">
        <v>2065</v>
      </c>
      <c r="L3032" s="19">
        <v>26.258683999999999</v>
      </c>
      <c r="M3032" s="19">
        <v>26.258683999999999</v>
      </c>
      <c r="N3032" s="19" t="s">
        <v>1467</v>
      </c>
      <c r="O3032" s="20">
        <v>1</v>
      </c>
      <c r="S3032" s="19" t="s">
        <v>20</v>
      </c>
      <c r="T3032" s="19" t="s">
        <v>1471</v>
      </c>
    </row>
    <row r="3033" spans="1:20">
      <c r="A3033" s="20">
        <v>202604333817247</v>
      </c>
      <c r="B3033" s="19" t="s">
        <v>20</v>
      </c>
      <c r="C3033" s="19" t="s">
        <v>21</v>
      </c>
      <c r="D3033" s="19" t="s">
        <v>2423</v>
      </c>
      <c r="E3033" s="21">
        <v>46235</v>
      </c>
      <c r="F3033" s="21">
        <v>46599</v>
      </c>
      <c r="G3033" s="21"/>
      <c r="H3033" s="21">
        <v>46235</v>
      </c>
      <c r="I3033" s="21">
        <v>46599</v>
      </c>
      <c r="J3033" s="19" t="s">
        <v>2243</v>
      </c>
      <c r="L3033" s="19">
        <v>132.52252100000001</v>
      </c>
      <c r="M3033" s="19">
        <v>132.52252100000001</v>
      </c>
      <c r="N3033" s="19" t="s">
        <v>1467</v>
      </c>
      <c r="O3033" s="20">
        <v>4</v>
      </c>
      <c r="S3033" s="19" t="s">
        <v>20</v>
      </c>
      <c r="T3033" s="19" t="s">
        <v>1471</v>
      </c>
    </row>
    <row r="3034" spans="1:20">
      <c r="A3034" s="20">
        <v>202604333817813</v>
      </c>
      <c r="B3034" s="19" t="s">
        <v>20</v>
      </c>
      <c r="C3034" s="19" t="s">
        <v>21</v>
      </c>
      <c r="D3034" s="19" t="s">
        <v>20</v>
      </c>
      <c r="E3034" s="21">
        <v>46235</v>
      </c>
      <c r="F3034" s="21">
        <v>46599</v>
      </c>
      <c r="G3034" s="21"/>
      <c r="H3034" s="21">
        <v>46235</v>
      </c>
      <c r="I3034" s="21">
        <v>46599</v>
      </c>
      <c r="J3034" s="19" t="s">
        <v>2104</v>
      </c>
      <c r="L3034" s="19">
        <v>66.261260500000006</v>
      </c>
      <c r="M3034" s="19">
        <v>66.261260500000006</v>
      </c>
      <c r="N3034" s="19" t="s">
        <v>1475</v>
      </c>
      <c r="O3034" s="20">
        <v>2</v>
      </c>
      <c r="S3034" s="19" t="s">
        <v>20</v>
      </c>
      <c r="T3034" s="19" t="s">
        <v>1471</v>
      </c>
    </row>
    <row r="3035" spans="1:20">
      <c r="A3035" s="20">
        <v>202604333825433</v>
      </c>
      <c r="B3035" s="19" t="s">
        <v>20</v>
      </c>
      <c r="C3035" s="19" t="s">
        <v>21</v>
      </c>
      <c r="D3035" s="19" t="s">
        <v>20</v>
      </c>
      <c r="E3035" s="21">
        <v>46235</v>
      </c>
      <c r="F3035" s="21">
        <v>46599</v>
      </c>
      <c r="G3035" s="21"/>
      <c r="H3035" s="21">
        <v>46235</v>
      </c>
      <c r="I3035" s="21">
        <v>46599</v>
      </c>
      <c r="J3035" s="19" t="s">
        <v>2064</v>
      </c>
      <c r="L3035" s="19">
        <v>33.130630250000003</v>
      </c>
      <c r="M3035" s="19">
        <v>33.130630250000003</v>
      </c>
      <c r="N3035" s="19" t="s">
        <v>1475</v>
      </c>
      <c r="O3035" s="20">
        <v>1</v>
      </c>
      <c r="S3035" s="19" t="s">
        <v>20</v>
      </c>
      <c r="T3035" s="19" t="s">
        <v>1471</v>
      </c>
    </row>
    <row r="3036" spans="1:20">
      <c r="A3036" s="20">
        <v>202604333827499</v>
      </c>
      <c r="B3036" s="19" t="s">
        <v>20</v>
      </c>
      <c r="C3036" s="19" t="s">
        <v>21</v>
      </c>
      <c r="D3036" s="19" t="s">
        <v>20</v>
      </c>
      <c r="E3036" s="21">
        <v>46235</v>
      </c>
      <c r="F3036" s="21">
        <v>46599</v>
      </c>
      <c r="G3036" s="21"/>
      <c r="H3036" s="21">
        <v>46235</v>
      </c>
      <c r="I3036" s="21">
        <v>46599</v>
      </c>
      <c r="J3036" s="19" t="s">
        <v>2187</v>
      </c>
      <c r="L3036" s="19">
        <v>114.86938725</v>
      </c>
      <c r="M3036" s="19">
        <v>114.86938725</v>
      </c>
      <c r="N3036" s="19" t="s">
        <v>1475</v>
      </c>
      <c r="O3036" s="20">
        <v>3</v>
      </c>
      <c r="S3036" s="19" t="s">
        <v>20</v>
      </c>
      <c r="T3036" s="19" t="s">
        <v>1471</v>
      </c>
    </row>
    <row r="3037" spans="1:20">
      <c r="A3037" s="20">
        <v>202604333828007</v>
      </c>
      <c r="B3037" s="19" t="s">
        <v>20</v>
      </c>
      <c r="C3037" s="19" t="s">
        <v>21</v>
      </c>
      <c r="D3037" s="19" t="s">
        <v>20</v>
      </c>
      <c r="E3037" s="21">
        <v>46235</v>
      </c>
      <c r="F3037" s="21">
        <v>46599</v>
      </c>
      <c r="G3037" s="21"/>
      <c r="H3037" s="21">
        <v>46235</v>
      </c>
      <c r="I3037" s="21">
        <v>46599</v>
      </c>
      <c r="J3037" s="19" t="s">
        <v>2064</v>
      </c>
      <c r="L3037" s="19">
        <v>33.130630250000003</v>
      </c>
      <c r="M3037" s="19">
        <v>33.130630250000003</v>
      </c>
      <c r="N3037" s="19" t="s">
        <v>1475</v>
      </c>
      <c r="O3037" s="20">
        <v>1</v>
      </c>
      <c r="S3037" s="19" t="s">
        <v>20</v>
      </c>
      <c r="T3037" s="19" t="s">
        <v>1471</v>
      </c>
    </row>
    <row r="3038" spans="1:20">
      <c r="A3038" s="20">
        <v>202604333829270</v>
      </c>
      <c r="B3038" s="19" t="s">
        <v>20</v>
      </c>
      <c r="C3038" s="19" t="s">
        <v>21</v>
      </c>
      <c r="D3038" s="19" t="s">
        <v>20</v>
      </c>
      <c r="E3038" s="21">
        <v>46235</v>
      </c>
      <c r="F3038" s="21">
        <v>46599</v>
      </c>
      <c r="G3038" s="21"/>
      <c r="H3038" s="21">
        <v>46235</v>
      </c>
      <c r="I3038" s="21">
        <v>46599</v>
      </c>
      <c r="J3038" s="19" t="s">
        <v>2095</v>
      </c>
      <c r="L3038" s="19">
        <v>0</v>
      </c>
      <c r="M3038" s="19">
        <v>0</v>
      </c>
      <c r="N3038" s="19" t="s">
        <v>2394</v>
      </c>
      <c r="O3038" s="20">
        <v>4</v>
      </c>
      <c r="S3038" s="19" t="s">
        <v>20</v>
      </c>
      <c r="T3038" s="19" t="s">
        <v>1471</v>
      </c>
    </row>
    <row r="3039" spans="1:20">
      <c r="A3039" s="20">
        <v>202604333829270</v>
      </c>
      <c r="B3039" s="19" t="s">
        <v>20</v>
      </c>
      <c r="C3039" s="19" t="s">
        <v>21</v>
      </c>
      <c r="D3039" s="19" t="s">
        <v>2422</v>
      </c>
      <c r="E3039" s="21">
        <v>46235</v>
      </c>
      <c r="F3039" s="21">
        <v>46599</v>
      </c>
      <c r="G3039" s="21"/>
      <c r="H3039" s="21">
        <v>46235</v>
      </c>
      <c r="I3039" s="21">
        <v>46599</v>
      </c>
      <c r="J3039" s="19" t="s">
        <v>2095</v>
      </c>
      <c r="L3039" s="19">
        <v>132.52252100000001</v>
      </c>
      <c r="M3039" s="19">
        <v>132.52252100000001</v>
      </c>
      <c r="N3039" s="19" t="s">
        <v>1467</v>
      </c>
      <c r="O3039" s="20">
        <v>4</v>
      </c>
      <c r="S3039" s="19" t="s">
        <v>20</v>
      </c>
      <c r="T3039" s="19" t="s">
        <v>1471</v>
      </c>
    </row>
    <row r="3040" spans="1:20">
      <c r="A3040" s="20">
        <v>202604333829475</v>
      </c>
      <c r="B3040" s="19" t="s">
        <v>20</v>
      </c>
      <c r="C3040" s="19" t="s">
        <v>21</v>
      </c>
      <c r="D3040" s="19" t="s">
        <v>20</v>
      </c>
      <c r="E3040" s="21">
        <v>46235</v>
      </c>
      <c r="F3040" s="21">
        <v>46599</v>
      </c>
      <c r="G3040" s="21"/>
      <c r="H3040" s="21">
        <v>46235</v>
      </c>
      <c r="I3040" s="21">
        <v>46599</v>
      </c>
      <c r="J3040" s="19" t="s">
        <v>2068</v>
      </c>
      <c r="L3040" s="19">
        <v>0</v>
      </c>
      <c r="M3040" s="19">
        <v>0</v>
      </c>
      <c r="N3040" s="19" t="s">
        <v>2394</v>
      </c>
      <c r="O3040" s="20">
        <v>8</v>
      </c>
      <c r="S3040" s="19" t="s">
        <v>20</v>
      </c>
      <c r="T3040" s="19" t="s">
        <v>1471</v>
      </c>
    </row>
    <row r="3041" spans="1:20">
      <c r="A3041" s="20">
        <v>202604333829475</v>
      </c>
      <c r="B3041" s="19" t="s">
        <v>20</v>
      </c>
      <c r="C3041" s="19" t="s">
        <v>21</v>
      </c>
      <c r="D3041" s="19" t="s">
        <v>20</v>
      </c>
      <c r="E3041" s="21">
        <v>46235</v>
      </c>
      <c r="F3041" s="21">
        <v>46599</v>
      </c>
      <c r="G3041" s="21"/>
      <c r="H3041" s="21">
        <v>46235</v>
      </c>
      <c r="I3041" s="21">
        <v>46599</v>
      </c>
      <c r="J3041" s="19" t="s">
        <v>2068</v>
      </c>
      <c r="L3041" s="19">
        <v>210.06947199999999</v>
      </c>
      <c r="M3041" s="19">
        <v>210.06947199999999</v>
      </c>
      <c r="N3041" s="19" t="s">
        <v>1475</v>
      </c>
      <c r="O3041" s="20">
        <v>8</v>
      </c>
      <c r="S3041" s="19" t="s">
        <v>20</v>
      </c>
      <c r="T3041" s="19" t="s">
        <v>1471</v>
      </c>
    </row>
    <row r="3042" spans="1:20">
      <c r="A3042" s="20">
        <v>202604333829542</v>
      </c>
      <c r="B3042" s="19" t="s">
        <v>20</v>
      </c>
      <c r="C3042" s="19" t="s">
        <v>21</v>
      </c>
      <c r="D3042" s="19" t="s">
        <v>20</v>
      </c>
      <c r="E3042" s="21">
        <v>46235</v>
      </c>
      <c r="F3042" s="21">
        <v>46599</v>
      </c>
      <c r="G3042" s="21"/>
      <c r="H3042" s="21">
        <v>46235</v>
      </c>
      <c r="I3042" s="21">
        <v>46599</v>
      </c>
      <c r="J3042" s="19" t="s">
        <v>2218</v>
      </c>
      <c r="L3042" s="19">
        <v>0</v>
      </c>
      <c r="M3042" s="19">
        <v>0</v>
      </c>
      <c r="N3042" s="19" t="s">
        <v>2394</v>
      </c>
      <c r="O3042" s="20">
        <v>2</v>
      </c>
      <c r="S3042" s="19" t="s">
        <v>20</v>
      </c>
      <c r="T3042" s="19" t="s">
        <v>1471</v>
      </c>
    </row>
    <row r="3043" spans="1:20">
      <c r="A3043" s="20">
        <v>202604333829542</v>
      </c>
      <c r="B3043" s="19" t="s">
        <v>20</v>
      </c>
      <c r="C3043" s="19" t="s">
        <v>21</v>
      </c>
      <c r="D3043" s="19" t="s">
        <v>2421</v>
      </c>
      <c r="E3043" s="21">
        <v>46235</v>
      </c>
      <c r="F3043" s="21">
        <v>46599</v>
      </c>
      <c r="G3043" s="21"/>
      <c r="H3043" s="21">
        <v>46235</v>
      </c>
      <c r="I3043" s="21">
        <v>46599</v>
      </c>
      <c r="J3043" s="19" t="s">
        <v>2218</v>
      </c>
      <c r="L3043" s="19">
        <v>66.261260500000006</v>
      </c>
      <c r="M3043" s="19">
        <v>66.261260500000006</v>
      </c>
      <c r="N3043" s="19" t="s">
        <v>1467</v>
      </c>
      <c r="O3043" s="20">
        <v>2</v>
      </c>
      <c r="S3043" s="19" t="s">
        <v>20</v>
      </c>
      <c r="T3043" s="19" t="s">
        <v>1471</v>
      </c>
    </row>
    <row r="3044" spans="1:20">
      <c r="A3044" s="20">
        <v>202604333829656</v>
      </c>
      <c r="B3044" s="19" t="s">
        <v>20</v>
      </c>
      <c r="C3044" s="19" t="s">
        <v>21</v>
      </c>
      <c r="D3044" s="19" t="s">
        <v>20</v>
      </c>
      <c r="E3044" s="21">
        <v>46235</v>
      </c>
      <c r="F3044" s="21">
        <v>46599</v>
      </c>
      <c r="G3044" s="21"/>
      <c r="H3044" s="21">
        <v>46235</v>
      </c>
      <c r="I3044" s="21">
        <v>46599</v>
      </c>
      <c r="J3044" s="19" t="s">
        <v>2104</v>
      </c>
      <c r="L3044" s="19">
        <v>33.130630250000003</v>
      </c>
      <c r="M3044" s="19">
        <v>33.130630250000003</v>
      </c>
      <c r="N3044" s="19" t="s">
        <v>1475</v>
      </c>
      <c r="O3044" s="20">
        <v>1</v>
      </c>
      <c r="S3044" s="19" t="s">
        <v>20</v>
      </c>
      <c r="T3044" s="19" t="s">
        <v>1471</v>
      </c>
    </row>
    <row r="3045" spans="1:20">
      <c r="A3045" s="20">
        <v>202604333830226</v>
      </c>
      <c r="B3045" s="19" t="s">
        <v>20</v>
      </c>
      <c r="C3045" s="19" t="s">
        <v>21</v>
      </c>
      <c r="D3045" s="19" t="s">
        <v>20</v>
      </c>
      <c r="E3045" s="21">
        <v>46235</v>
      </c>
      <c r="F3045" s="21">
        <v>46599</v>
      </c>
      <c r="G3045" s="21"/>
      <c r="H3045" s="21">
        <v>46235</v>
      </c>
      <c r="I3045" s="21">
        <v>46599</v>
      </c>
      <c r="J3045" s="19" t="s">
        <v>2420</v>
      </c>
      <c r="L3045" s="19">
        <v>0</v>
      </c>
      <c r="M3045" s="19">
        <v>0</v>
      </c>
      <c r="N3045" s="19" t="s">
        <v>2394</v>
      </c>
      <c r="O3045" s="20">
        <v>4</v>
      </c>
      <c r="S3045" s="19" t="s">
        <v>20</v>
      </c>
      <c r="T3045" s="19" t="s">
        <v>1471</v>
      </c>
    </row>
    <row r="3046" spans="1:20">
      <c r="A3046" s="20">
        <v>202604333830226</v>
      </c>
      <c r="B3046" s="19" t="s">
        <v>20</v>
      </c>
      <c r="C3046" s="19" t="s">
        <v>21</v>
      </c>
      <c r="D3046" s="19" t="s">
        <v>20</v>
      </c>
      <c r="E3046" s="21">
        <v>46235</v>
      </c>
      <c r="F3046" s="21">
        <v>46599</v>
      </c>
      <c r="G3046" s="21"/>
      <c r="H3046" s="21">
        <v>46235</v>
      </c>
      <c r="I3046" s="21">
        <v>46599</v>
      </c>
      <c r="J3046" s="19" t="s">
        <v>2420</v>
      </c>
      <c r="L3046" s="19">
        <v>132.52252100000001</v>
      </c>
      <c r="M3046" s="19">
        <v>132.52252100000001</v>
      </c>
      <c r="N3046" s="19" t="s">
        <v>1475</v>
      </c>
      <c r="O3046" s="20">
        <v>4</v>
      </c>
      <c r="S3046" s="19" t="s">
        <v>20</v>
      </c>
      <c r="T3046" s="19" t="s">
        <v>1471</v>
      </c>
    </row>
    <row r="3047" spans="1:20">
      <c r="A3047" s="20">
        <v>202604333830467</v>
      </c>
      <c r="B3047" s="19" t="s">
        <v>20</v>
      </c>
      <c r="C3047" s="19" t="s">
        <v>21</v>
      </c>
      <c r="D3047" s="19" t="s">
        <v>20</v>
      </c>
      <c r="E3047" s="21">
        <v>46235</v>
      </c>
      <c r="F3047" s="21">
        <v>46599</v>
      </c>
      <c r="G3047" s="21"/>
      <c r="H3047" s="21">
        <v>46235</v>
      </c>
      <c r="I3047" s="21">
        <v>46599</v>
      </c>
      <c r="J3047" s="19" t="s">
        <v>2419</v>
      </c>
      <c r="L3047" s="19">
        <v>13.8862425</v>
      </c>
      <c r="M3047" s="19">
        <v>13.8862425</v>
      </c>
      <c r="N3047" s="19" t="s">
        <v>1475</v>
      </c>
      <c r="O3047" s="20">
        <v>1</v>
      </c>
      <c r="S3047" s="19" t="s">
        <v>20</v>
      </c>
      <c r="T3047" s="19" t="s">
        <v>1471</v>
      </c>
    </row>
    <row r="3048" spans="1:20">
      <c r="A3048" s="20">
        <v>202604333831810</v>
      </c>
      <c r="B3048" s="19" t="s">
        <v>20</v>
      </c>
      <c r="C3048" s="19" t="s">
        <v>21</v>
      </c>
      <c r="D3048" s="19" t="s">
        <v>2418</v>
      </c>
      <c r="E3048" s="21">
        <v>46235</v>
      </c>
      <c r="F3048" s="21">
        <v>46599</v>
      </c>
      <c r="G3048" s="21"/>
      <c r="H3048" s="21">
        <v>46235</v>
      </c>
      <c r="I3048" s="21">
        <v>46599</v>
      </c>
      <c r="J3048" s="19" t="s">
        <v>2069</v>
      </c>
      <c r="L3048" s="19">
        <v>16.727183499999999</v>
      </c>
      <c r="M3048" s="19">
        <v>16.727183499999999</v>
      </c>
      <c r="N3048" s="19" t="s">
        <v>1467</v>
      </c>
      <c r="O3048" s="20">
        <v>1</v>
      </c>
      <c r="S3048" s="19" t="s">
        <v>20</v>
      </c>
      <c r="T3048" s="19" t="s">
        <v>1471</v>
      </c>
    </row>
    <row r="3049" spans="1:20">
      <c r="A3049" s="20">
        <v>202604333831908</v>
      </c>
      <c r="B3049" s="19" t="s">
        <v>20</v>
      </c>
      <c r="C3049" s="19" t="s">
        <v>21</v>
      </c>
      <c r="D3049" s="19" t="s">
        <v>20</v>
      </c>
      <c r="E3049" s="21">
        <v>46235</v>
      </c>
      <c r="F3049" s="21">
        <v>46599</v>
      </c>
      <c r="G3049" s="21"/>
      <c r="H3049" s="21">
        <v>46235</v>
      </c>
      <c r="I3049" s="21">
        <v>46599</v>
      </c>
      <c r="J3049" s="19" t="s">
        <v>2068</v>
      </c>
      <c r="L3049" s="19">
        <v>0</v>
      </c>
      <c r="M3049" s="19">
        <v>0</v>
      </c>
      <c r="N3049" s="19" t="s">
        <v>2394</v>
      </c>
      <c r="O3049" s="20">
        <v>4</v>
      </c>
      <c r="S3049" s="19" t="s">
        <v>20</v>
      </c>
      <c r="T3049" s="19" t="s">
        <v>1471</v>
      </c>
    </row>
    <row r="3050" spans="1:20">
      <c r="A3050" s="20">
        <v>202604333831908</v>
      </c>
      <c r="B3050" s="19" t="s">
        <v>20</v>
      </c>
      <c r="C3050" s="19" t="s">
        <v>21</v>
      </c>
      <c r="D3050" s="19" t="s">
        <v>20</v>
      </c>
      <c r="E3050" s="21">
        <v>46235</v>
      </c>
      <c r="F3050" s="21">
        <v>46599</v>
      </c>
      <c r="G3050" s="21"/>
      <c r="H3050" s="21">
        <v>46235</v>
      </c>
      <c r="I3050" s="21">
        <v>46599</v>
      </c>
      <c r="J3050" s="19" t="s">
        <v>2068</v>
      </c>
      <c r="L3050" s="19">
        <v>105.034736</v>
      </c>
      <c r="M3050" s="19">
        <v>105.034736</v>
      </c>
      <c r="N3050" s="19" t="s">
        <v>1475</v>
      </c>
      <c r="O3050" s="20">
        <v>4</v>
      </c>
      <c r="S3050" s="19" t="s">
        <v>20</v>
      </c>
      <c r="T3050" s="19" t="s">
        <v>1471</v>
      </c>
    </row>
    <row r="3051" spans="1:20">
      <c r="A3051" s="20">
        <v>202604333832206</v>
      </c>
      <c r="B3051" s="19" t="s">
        <v>20</v>
      </c>
      <c r="C3051" s="19" t="s">
        <v>21</v>
      </c>
      <c r="D3051" s="19" t="s">
        <v>20</v>
      </c>
      <c r="E3051" s="21">
        <v>46235</v>
      </c>
      <c r="F3051" s="21">
        <v>46599</v>
      </c>
      <c r="G3051" s="21"/>
      <c r="H3051" s="21">
        <v>46235</v>
      </c>
      <c r="I3051" s="21">
        <v>46599</v>
      </c>
      <c r="J3051" s="19" t="s">
        <v>2180</v>
      </c>
      <c r="L3051" s="19">
        <v>0</v>
      </c>
      <c r="M3051" s="19">
        <v>0</v>
      </c>
      <c r="N3051" s="19" t="s">
        <v>2394</v>
      </c>
      <c r="O3051" s="20">
        <v>5</v>
      </c>
      <c r="S3051" s="19" t="s">
        <v>20</v>
      </c>
      <c r="T3051" s="19" t="s">
        <v>1471</v>
      </c>
    </row>
    <row r="3052" spans="1:20">
      <c r="A3052" s="20">
        <v>202604333832206</v>
      </c>
      <c r="B3052" s="19" t="s">
        <v>20</v>
      </c>
      <c r="C3052" s="19" t="s">
        <v>21</v>
      </c>
      <c r="D3052" s="19" t="s">
        <v>20</v>
      </c>
      <c r="E3052" s="21">
        <v>46235</v>
      </c>
      <c r="F3052" s="21">
        <v>46599</v>
      </c>
      <c r="G3052" s="21"/>
      <c r="H3052" s="21">
        <v>46235</v>
      </c>
      <c r="I3052" s="21">
        <v>46599</v>
      </c>
      <c r="J3052" s="19" t="s">
        <v>2180</v>
      </c>
      <c r="L3052" s="19">
        <v>161.85003374999999</v>
      </c>
      <c r="M3052" s="19">
        <v>161.85003374999999</v>
      </c>
      <c r="N3052" s="19" t="s">
        <v>1475</v>
      </c>
      <c r="O3052" s="20">
        <v>5</v>
      </c>
      <c r="S3052" s="19" t="s">
        <v>20</v>
      </c>
      <c r="T3052" s="19" t="s">
        <v>1471</v>
      </c>
    </row>
    <row r="3053" spans="1:20">
      <c r="A3053" s="20">
        <v>202604333834695</v>
      </c>
      <c r="B3053" s="19" t="s">
        <v>20</v>
      </c>
      <c r="C3053" s="19" t="s">
        <v>21</v>
      </c>
      <c r="D3053" s="19" t="s">
        <v>20</v>
      </c>
      <c r="E3053" s="21">
        <v>46235</v>
      </c>
      <c r="F3053" s="21">
        <v>46599</v>
      </c>
      <c r="G3053" s="21"/>
      <c r="H3053" s="21">
        <v>46235</v>
      </c>
      <c r="I3053" s="21">
        <v>46599</v>
      </c>
      <c r="J3053" s="19" t="s">
        <v>2087</v>
      </c>
      <c r="L3053" s="19">
        <v>66.261260500000006</v>
      </c>
      <c r="M3053" s="19">
        <v>66.261260500000006</v>
      </c>
      <c r="N3053" s="19" t="s">
        <v>1475</v>
      </c>
      <c r="O3053" s="20">
        <v>2</v>
      </c>
      <c r="S3053" s="19" t="s">
        <v>20</v>
      </c>
      <c r="T3053" s="19" t="s">
        <v>1471</v>
      </c>
    </row>
    <row r="3054" spans="1:20">
      <c r="A3054" s="20">
        <v>202604333837623</v>
      </c>
      <c r="B3054" s="19" t="s">
        <v>20</v>
      </c>
      <c r="C3054" s="19" t="s">
        <v>21</v>
      </c>
      <c r="D3054" s="19" t="s">
        <v>20</v>
      </c>
      <c r="E3054" s="21">
        <v>46235</v>
      </c>
      <c r="F3054" s="21">
        <v>46599</v>
      </c>
      <c r="G3054" s="21"/>
      <c r="H3054" s="21">
        <v>46235</v>
      </c>
      <c r="I3054" s="21">
        <v>46599</v>
      </c>
      <c r="J3054" s="19" t="s">
        <v>2159</v>
      </c>
      <c r="L3054" s="19">
        <v>0</v>
      </c>
      <c r="M3054" s="19">
        <v>0</v>
      </c>
      <c r="N3054" s="19" t="s">
        <v>2394</v>
      </c>
      <c r="O3054" s="20">
        <v>5</v>
      </c>
      <c r="S3054" s="19" t="s">
        <v>20</v>
      </c>
      <c r="T3054" s="19" t="s">
        <v>1471</v>
      </c>
    </row>
    <row r="3055" spans="1:20">
      <c r="A3055" s="20">
        <v>202604333837623</v>
      </c>
      <c r="B3055" s="19" t="s">
        <v>20</v>
      </c>
      <c r="C3055" s="19" t="s">
        <v>21</v>
      </c>
      <c r="D3055" s="19" t="s">
        <v>2417</v>
      </c>
      <c r="E3055" s="21">
        <v>46235</v>
      </c>
      <c r="F3055" s="21">
        <v>46599</v>
      </c>
      <c r="G3055" s="21"/>
      <c r="H3055" s="21">
        <v>46235</v>
      </c>
      <c r="I3055" s="21">
        <v>46599</v>
      </c>
      <c r="J3055" s="19" t="s">
        <v>2159</v>
      </c>
      <c r="L3055" s="19">
        <v>165.65315125000001</v>
      </c>
      <c r="M3055" s="19">
        <v>165.65315125000001</v>
      </c>
      <c r="N3055" s="19" t="s">
        <v>1467</v>
      </c>
      <c r="O3055" s="20">
        <v>5</v>
      </c>
      <c r="S3055" s="19" t="s">
        <v>20</v>
      </c>
      <c r="T3055" s="19" t="s">
        <v>1471</v>
      </c>
    </row>
    <row r="3056" spans="1:20">
      <c r="A3056" s="20">
        <v>202604333840514</v>
      </c>
      <c r="B3056" s="19" t="s">
        <v>20</v>
      </c>
      <c r="C3056" s="19" t="s">
        <v>21</v>
      </c>
      <c r="D3056" s="19" t="s">
        <v>20</v>
      </c>
      <c r="E3056" s="21">
        <v>46235</v>
      </c>
      <c r="F3056" s="21">
        <v>46599</v>
      </c>
      <c r="G3056" s="21"/>
      <c r="H3056" s="21">
        <v>46235</v>
      </c>
      <c r="I3056" s="21">
        <v>46599</v>
      </c>
      <c r="J3056" s="19" t="s">
        <v>2068</v>
      </c>
      <c r="L3056" s="19">
        <v>0</v>
      </c>
      <c r="M3056" s="19">
        <v>0</v>
      </c>
      <c r="N3056" s="19" t="s">
        <v>2394</v>
      </c>
      <c r="O3056" s="20">
        <v>6</v>
      </c>
      <c r="S3056" s="19" t="s">
        <v>20</v>
      </c>
      <c r="T3056" s="19" t="s">
        <v>1471</v>
      </c>
    </row>
    <row r="3057" spans="1:20">
      <c r="A3057" s="20">
        <v>202604333840514</v>
      </c>
      <c r="B3057" s="19" t="s">
        <v>20</v>
      </c>
      <c r="C3057" s="19" t="s">
        <v>21</v>
      </c>
      <c r="D3057" s="19" t="s">
        <v>2416</v>
      </c>
      <c r="E3057" s="21">
        <v>46235</v>
      </c>
      <c r="F3057" s="21">
        <v>46599</v>
      </c>
      <c r="G3057" s="21"/>
      <c r="H3057" s="21">
        <v>46235</v>
      </c>
      <c r="I3057" s="21">
        <v>46599</v>
      </c>
      <c r="J3057" s="19" t="s">
        <v>2068</v>
      </c>
      <c r="L3057" s="19">
        <v>59.697429</v>
      </c>
      <c r="M3057" s="19">
        <v>59.697429</v>
      </c>
      <c r="N3057" s="19" t="s">
        <v>1467</v>
      </c>
      <c r="O3057" s="20">
        <v>6</v>
      </c>
      <c r="S3057" s="19" t="s">
        <v>20</v>
      </c>
      <c r="T3057" s="19" t="s">
        <v>1471</v>
      </c>
    </row>
    <row r="3058" spans="1:20">
      <c r="A3058" s="20">
        <v>202604333842996</v>
      </c>
      <c r="B3058" s="19" t="s">
        <v>20</v>
      </c>
      <c r="C3058" s="19" t="s">
        <v>21</v>
      </c>
      <c r="D3058" s="19" t="s">
        <v>20</v>
      </c>
      <c r="E3058" s="21">
        <v>46235</v>
      </c>
      <c r="F3058" s="21">
        <v>46599</v>
      </c>
      <c r="G3058" s="21"/>
      <c r="H3058" s="21">
        <v>46235</v>
      </c>
      <c r="I3058" s="21">
        <v>46599</v>
      </c>
      <c r="J3058" s="19" t="s">
        <v>2068</v>
      </c>
      <c r="L3058" s="19">
        <v>0</v>
      </c>
      <c r="M3058" s="19">
        <v>0</v>
      </c>
      <c r="N3058" s="19" t="s">
        <v>2394</v>
      </c>
      <c r="O3058" s="20">
        <v>6</v>
      </c>
      <c r="S3058" s="19" t="s">
        <v>20</v>
      </c>
      <c r="T3058" s="19" t="s">
        <v>1471</v>
      </c>
    </row>
    <row r="3059" spans="1:20">
      <c r="A3059" s="20">
        <v>202604333842996</v>
      </c>
      <c r="B3059" s="19" t="s">
        <v>20</v>
      </c>
      <c r="C3059" s="19" t="s">
        <v>21</v>
      </c>
      <c r="D3059" s="19" t="s">
        <v>20</v>
      </c>
      <c r="E3059" s="21">
        <v>46235</v>
      </c>
      <c r="F3059" s="21">
        <v>46599</v>
      </c>
      <c r="G3059" s="21"/>
      <c r="H3059" s="21">
        <v>46235</v>
      </c>
      <c r="I3059" s="21">
        <v>46599</v>
      </c>
      <c r="J3059" s="19" t="s">
        <v>2068</v>
      </c>
      <c r="L3059" s="19">
        <v>157.55210400000001</v>
      </c>
      <c r="M3059" s="19">
        <v>157.55210400000001</v>
      </c>
      <c r="N3059" s="19" t="s">
        <v>1475</v>
      </c>
      <c r="O3059" s="20">
        <v>6</v>
      </c>
      <c r="S3059" s="19" t="s">
        <v>20</v>
      </c>
      <c r="T3059" s="19" t="s">
        <v>1471</v>
      </c>
    </row>
    <row r="3060" spans="1:20">
      <c r="A3060" s="20">
        <v>202604333846014</v>
      </c>
      <c r="B3060" s="19" t="s">
        <v>20</v>
      </c>
      <c r="C3060" s="19" t="s">
        <v>21</v>
      </c>
      <c r="D3060" s="19" t="s">
        <v>20</v>
      </c>
      <c r="E3060" s="21">
        <v>46235</v>
      </c>
      <c r="F3060" s="21">
        <v>46599</v>
      </c>
      <c r="G3060" s="21"/>
      <c r="H3060" s="21">
        <v>46235</v>
      </c>
      <c r="I3060" s="21">
        <v>46599</v>
      </c>
      <c r="J3060" s="19" t="s">
        <v>2068</v>
      </c>
      <c r="L3060" s="19">
        <v>105.034736</v>
      </c>
      <c r="M3060" s="19">
        <v>105.034736</v>
      </c>
      <c r="N3060" s="19" t="s">
        <v>1475</v>
      </c>
      <c r="O3060" s="20">
        <v>4</v>
      </c>
      <c r="S3060" s="19" t="s">
        <v>20</v>
      </c>
      <c r="T3060" s="19" t="s">
        <v>1471</v>
      </c>
    </row>
    <row r="3061" spans="1:20">
      <c r="A3061" s="20">
        <v>202604333846842</v>
      </c>
      <c r="B3061" s="19" t="s">
        <v>20</v>
      </c>
      <c r="C3061" s="19" t="s">
        <v>21</v>
      </c>
      <c r="D3061" s="19" t="s">
        <v>20</v>
      </c>
      <c r="E3061" s="21">
        <v>46235</v>
      </c>
      <c r="F3061" s="21">
        <v>46599</v>
      </c>
      <c r="G3061" s="21"/>
      <c r="H3061" s="21">
        <v>46235</v>
      </c>
      <c r="I3061" s="21">
        <v>46599</v>
      </c>
      <c r="J3061" s="19" t="s">
        <v>2064</v>
      </c>
      <c r="L3061" s="19">
        <v>0</v>
      </c>
      <c r="M3061" s="19">
        <v>0</v>
      </c>
      <c r="N3061" s="19" t="s">
        <v>2394</v>
      </c>
      <c r="O3061" s="20">
        <v>2</v>
      </c>
      <c r="S3061" s="19" t="s">
        <v>20</v>
      </c>
      <c r="T3061" s="19" t="s">
        <v>1471</v>
      </c>
    </row>
    <row r="3062" spans="1:20">
      <c r="A3062" s="20">
        <v>202604333846842</v>
      </c>
      <c r="B3062" s="19" t="s">
        <v>20</v>
      </c>
      <c r="C3062" s="19" t="s">
        <v>21</v>
      </c>
      <c r="D3062" s="19" t="s">
        <v>20</v>
      </c>
      <c r="E3062" s="21">
        <v>46235</v>
      </c>
      <c r="F3062" s="21">
        <v>46599</v>
      </c>
      <c r="G3062" s="21"/>
      <c r="H3062" s="21">
        <v>46235</v>
      </c>
      <c r="I3062" s="21">
        <v>46599</v>
      </c>
      <c r="J3062" s="19" t="s">
        <v>2064</v>
      </c>
      <c r="L3062" s="19">
        <v>66.261260500000006</v>
      </c>
      <c r="M3062" s="19">
        <v>66.261260500000006</v>
      </c>
      <c r="N3062" s="19" t="s">
        <v>1475</v>
      </c>
      <c r="O3062" s="20">
        <v>2</v>
      </c>
      <c r="S3062" s="19" t="s">
        <v>20</v>
      </c>
      <c r="T3062" s="19" t="s">
        <v>1471</v>
      </c>
    </row>
    <row r="3063" spans="1:20">
      <c r="A3063" s="20">
        <v>202604333852267</v>
      </c>
      <c r="B3063" s="19" t="s">
        <v>20</v>
      </c>
      <c r="C3063" s="19" t="s">
        <v>21</v>
      </c>
      <c r="D3063" s="19" t="s">
        <v>20</v>
      </c>
      <c r="E3063" s="21">
        <v>46235</v>
      </c>
      <c r="F3063" s="21">
        <v>46599</v>
      </c>
      <c r="G3063" s="21"/>
      <c r="H3063" s="21">
        <v>46235</v>
      </c>
      <c r="I3063" s="21">
        <v>46599</v>
      </c>
      <c r="J3063" s="19" t="s">
        <v>2062</v>
      </c>
      <c r="L3063" s="19">
        <v>33.130630250000003</v>
      </c>
      <c r="M3063" s="19">
        <v>33.130630250000003</v>
      </c>
      <c r="N3063" s="19" t="s">
        <v>1475</v>
      </c>
      <c r="O3063" s="20">
        <v>1</v>
      </c>
      <c r="S3063" s="19" t="s">
        <v>20</v>
      </c>
      <c r="T3063" s="19" t="s">
        <v>1471</v>
      </c>
    </row>
    <row r="3064" spans="1:20">
      <c r="A3064" s="20">
        <v>202604333853563</v>
      </c>
      <c r="B3064" s="19" t="s">
        <v>20</v>
      </c>
      <c r="C3064" s="19" t="s">
        <v>21</v>
      </c>
      <c r="D3064" s="19" t="s">
        <v>20</v>
      </c>
      <c r="E3064" s="21">
        <v>46235</v>
      </c>
      <c r="F3064" s="21">
        <v>46599</v>
      </c>
      <c r="G3064" s="21"/>
      <c r="H3064" s="21">
        <v>46235</v>
      </c>
      <c r="I3064" s="21">
        <v>46599</v>
      </c>
      <c r="J3064" s="19" t="s">
        <v>2086</v>
      </c>
      <c r="L3064" s="19">
        <v>0</v>
      </c>
      <c r="M3064" s="19">
        <v>0</v>
      </c>
      <c r="N3064" s="19" t="s">
        <v>2394</v>
      </c>
      <c r="O3064" s="20">
        <v>3</v>
      </c>
      <c r="S3064" s="19" t="s">
        <v>20</v>
      </c>
      <c r="T3064" s="19" t="s">
        <v>1471</v>
      </c>
    </row>
    <row r="3065" spans="1:20">
      <c r="A3065" s="20">
        <v>202604333853563</v>
      </c>
      <c r="B3065" s="19" t="s">
        <v>20</v>
      </c>
      <c r="C3065" s="19" t="s">
        <v>21</v>
      </c>
      <c r="D3065" s="19" t="s">
        <v>20</v>
      </c>
      <c r="E3065" s="21">
        <v>46235</v>
      </c>
      <c r="F3065" s="21">
        <v>46599</v>
      </c>
      <c r="G3065" s="21"/>
      <c r="H3065" s="21">
        <v>46235</v>
      </c>
      <c r="I3065" s="21">
        <v>46599</v>
      </c>
      <c r="J3065" s="19" t="s">
        <v>2086</v>
      </c>
      <c r="L3065" s="19">
        <v>99.391890750000002</v>
      </c>
      <c r="M3065" s="19">
        <v>99.391890750000002</v>
      </c>
      <c r="N3065" s="19" t="s">
        <v>1475</v>
      </c>
      <c r="O3065" s="20">
        <v>3</v>
      </c>
      <c r="S3065" s="19" t="s">
        <v>20</v>
      </c>
      <c r="T3065" s="19" t="s">
        <v>1471</v>
      </c>
    </row>
    <row r="3066" spans="1:20">
      <c r="A3066" s="20">
        <v>202604333853625</v>
      </c>
      <c r="B3066" s="19" t="s">
        <v>20</v>
      </c>
      <c r="C3066" s="19" t="s">
        <v>21</v>
      </c>
      <c r="D3066" s="19" t="s">
        <v>20</v>
      </c>
      <c r="E3066" s="21">
        <v>46235</v>
      </c>
      <c r="F3066" s="21">
        <v>46599</v>
      </c>
      <c r="G3066" s="21"/>
      <c r="H3066" s="21">
        <v>46235</v>
      </c>
      <c r="I3066" s="21">
        <v>46599</v>
      </c>
      <c r="J3066" s="19" t="s">
        <v>2089</v>
      </c>
      <c r="L3066" s="19">
        <v>47.936581500000003</v>
      </c>
      <c r="M3066" s="19">
        <v>47.936581500000003</v>
      </c>
      <c r="N3066" s="19" t="s">
        <v>1475</v>
      </c>
      <c r="O3066" s="20">
        <v>2</v>
      </c>
      <c r="S3066" s="19" t="s">
        <v>20</v>
      </c>
      <c r="T3066" s="19" t="s">
        <v>1471</v>
      </c>
    </row>
    <row r="3067" spans="1:20">
      <c r="A3067" s="20">
        <v>202604333854092</v>
      </c>
      <c r="B3067" s="19" t="s">
        <v>20</v>
      </c>
      <c r="C3067" s="19" t="s">
        <v>21</v>
      </c>
      <c r="D3067" s="19" t="s">
        <v>20</v>
      </c>
      <c r="E3067" s="21">
        <v>46235</v>
      </c>
      <c r="F3067" s="21">
        <v>46599</v>
      </c>
      <c r="G3067" s="21"/>
      <c r="H3067" s="21">
        <v>46235</v>
      </c>
      <c r="I3067" s="21">
        <v>46599</v>
      </c>
      <c r="J3067" s="19" t="s">
        <v>2093</v>
      </c>
      <c r="L3067" s="19">
        <v>0</v>
      </c>
      <c r="M3067" s="19">
        <v>0</v>
      </c>
      <c r="N3067" s="19" t="s">
        <v>2394</v>
      </c>
      <c r="O3067" s="20">
        <v>4</v>
      </c>
      <c r="S3067" s="19" t="s">
        <v>20</v>
      </c>
      <c r="T3067" s="19" t="s">
        <v>1471</v>
      </c>
    </row>
    <row r="3068" spans="1:20">
      <c r="A3068" s="20">
        <v>202604333854092</v>
      </c>
      <c r="B3068" s="19" t="s">
        <v>20</v>
      </c>
      <c r="C3068" s="19" t="s">
        <v>21</v>
      </c>
      <c r="D3068" s="19" t="s">
        <v>20</v>
      </c>
      <c r="E3068" s="21">
        <v>46235</v>
      </c>
      <c r="F3068" s="21">
        <v>46599</v>
      </c>
      <c r="G3068" s="21"/>
      <c r="H3068" s="21">
        <v>46235</v>
      </c>
      <c r="I3068" s="21">
        <v>46599</v>
      </c>
      <c r="J3068" s="19" t="s">
        <v>2093</v>
      </c>
      <c r="L3068" s="19">
        <v>115.10413699999999</v>
      </c>
      <c r="M3068" s="19">
        <v>115.10413699999999</v>
      </c>
      <c r="N3068" s="19" t="s">
        <v>1475</v>
      </c>
      <c r="O3068" s="20">
        <v>4</v>
      </c>
      <c r="S3068" s="19" t="s">
        <v>20</v>
      </c>
      <c r="T3068" s="19" t="s">
        <v>1471</v>
      </c>
    </row>
    <row r="3069" spans="1:20">
      <c r="A3069" s="20">
        <v>202604333854112</v>
      </c>
      <c r="B3069" s="19" t="s">
        <v>20</v>
      </c>
      <c r="C3069" s="19" t="s">
        <v>21</v>
      </c>
      <c r="D3069" s="19" t="s">
        <v>20</v>
      </c>
      <c r="E3069" s="21">
        <v>46235</v>
      </c>
      <c r="F3069" s="21">
        <v>46599</v>
      </c>
      <c r="G3069" s="21"/>
      <c r="H3069" s="21">
        <v>46235</v>
      </c>
      <c r="I3069" s="21">
        <v>46599</v>
      </c>
      <c r="J3069" s="19" t="s">
        <v>2068</v>
      </c>
      <c r="L3069" s="19">
        <v>0</v>
      </c>
      <c r="M3069" s="19">
        <v>0</v>
      </c>
      <c r="N3069" s="19" t="s">
        <v>2394</v>
      </c>
      <c r="O3069" s="20">
        <v>2</v>
      </c>
      <c r="S3069" s="19" t="s">
        <v>20</v>
      </c>
      <c r="T3069" s="19" t="s">
        <v>1471</v>
      </c>
    </row>
    <row r="3070" spans="1:20">
      <c r="A3070" s="20">
        <v>202604333854112</v>
      </c>
      <c r="B3070" s="19" t="s">
        <v>20</v>
      </c>
      <c r="C3070" s="19" t="s">
        <v>21</v>
      </c>
      <c r="D3070" s="19" t="s">
        <v>20</v>
      </c>
      <c r="E3070" s="21">
        <v>46235</v>
      </c>
      <c r="F3070" s="21">
        <v>46599</v>
      </c>
      <c r="G3070" s="21"/>
      <c r="H3070" s="21">
        <v>46235</v>
      </c>
      <c r="I3070" s="21">
        <v>46599</v>
      </c>
      <c r="J3070" s="19" t="s">
        <v>2068</v>
      </c>
      <c r="L3070" s="19">
        <v>52.517367999999998</v>
      </c>
      <c r="M3070" s="19">
        <v>52.517367999999998</v>
      </c>
      <c r="N3070" s="19" t="s">
        <v>1475</v>
      </c>
      <c r="O3070" s="20">
        <v>2</v>
      </c>
      <c r="S3070" s="19" t="s">
        <v>20</v>
      </c>
      <c r="T3070" s="19" t="s">
        <v>1471</v>
      </c>
    </row>
    <row r="3071" spans="1:20">
      <c r="A3071" s="20">
        <v>202604333854392</v>
      </c>
      <c r="B3071" s="19" t="s">
        <v>20</v>
      </c>
      <c r="C3071" s="19" t="s">
        <v>21</v>
      </c>
      <c r="D3071" s="19" t="s">
        <v>20</v>
      </c>
      <c r="E3071" s="21">
        <v>46235</v>
      </c>
      <c r="F3071" s="21">
        <v>46599</v>
      </c>
      <c r="G3071" s="21"/>
      <c r="H3071" s="21">
        <v>46235</v>
      </c>
      <c r="I3071" s="21">
        <v>46599</v>
      </c>
      <c r="J3071" s="19" t="s">
        <v>2272</v>
      </c>
      <c r="L3071" s="19">
        <v>33.130630250000003</v>
      </c>
      <c r="M3071" s="19">
        <v>33.130630250000003</v>
      </c>
      <c r="N3071" s="19" t="s">
        <v>1475</v>
      </c>
      <c r="O3071" s="20">
        <v>1</v>
      </c>
      <c r="S3071" s="19" t="s">
        <v>20</v>
      </c>
      <c r="T3071" s="19" t="s">
        <v>1471</v>
      </c>
    </row>
    <row r="3072" spans="1:20">
      <c r="A3072" s="20">
        <v>202604333855139</v>
      </c>
      <c r="B3072" s="19" t="s">
        <v>20</v>
      </c>
      <c r="C3072" s="19" t="s">
        <v>21</v>
      </c>
      <c r="D3072" s="19" t="s">
        <v>2415</v>
      </c>
      <c r="E3072" s="21">
        <v>46235</v>
      </c>
      <c r="F3072" s="21">
        <v>46599</v>
      </c>
      <c r="G3072" s="21"/>
      <c r="H3072" s="21">
        <v>46235</v>
      </c>
      <c r="I3072" s="21">
        <v>46599</v>
      </c>
      <c r="J3072" s="19" t="s">
        <v>2129</v>
      </c>
      <c r="L3072" s="19">
        <v>33.130630250000003</v>
      </c>
      <c r="M3072" s="19">
        <v>33.130630250000003</v>
      </c>
      <c r="N3072" s="19" t="s">
        <v>1467</v>
      </c>
      <c r="O3072" s="20">
        <v>1</v>
      </c>
      <c r="S3072" s="19" t="s">
        <v>20</v>
      </c>
      <c r="T3072" s="19" t="s">
        <v>1471</v>
      </c>
    </row>
    <row r="3073" spans="1:20">
      <c r="A3073" s="20">
        <v>202604333857428</v>
      </c>
      <c r="B3073" s="19" t="s">
        <v>20</v>
      </c>
      <c r="C3073" s="19" t="s">
        <v>21</v>
      </c>
      <c r="D3073" s="19" t="s">
        <v>20</v>
      </c>
      <c r="E3073" s="21">
        <v>46235</v>
      </c>
      <c r="F3073" s="21">
        <v>46599</v>
      </c>
      <c r="G3073" s="21"/>
      <c r="H3073" s="21">
        <v>46235</v>
      </c>
      <c r="I3073" s="21">
        <v>46599</v>
      </c>
      <c r="J3073" s="19" t="s">
        <v>2111</v>
      </c>
      <c r="L3073" s="19">
        <v>33.130630250000003</v>
      </c>
      <c r="M3073" s="19">
        <v>33.130630250000003</v>
      </c>
      <c r="N3073" s="19" t="s">
        <v>1475</v>
      </c>
      <c r="O3073" s="20">
        <v>1</v>
      </c>
      <c r="S3073" s="19" t="s">
        <v>20</v>
      </c>
      <c r="T3073" s="19" t="s">
        <v>1471</v>
      </c>
    </row>
    <row r="3074" spans="1:20">
      <c r="A3074" s="20">
        <v>202604333857940</v>
      </c>
      <c r="B3074" s="19" t="s">
        <v>20</v>
      </c>
      <c r="C3074" s="19" t="s">
        <v>21</v>
      </c>
      <c r="D3074" s="19" t="s">
        <v>20</v>
      </c>
      <c r="E3074" s="21">
        <v>46235</v>
      </c>
      <c r="F3074" s="21">
        <v>46599</v>
      </c>
      <c r="G3074" s="21"/>
      <c r="H3074" s="21">
        <v>46235</v>
      </c>
      <c r="I3074" s="21">
        <v>46599</v>
      </c>
      <c r="J3074" s="19" t="s">
        <v>2087</v>
      </c>
      <c r="L3074" s="19">
        <v>0</v>
      </c>
      <c r="M3074" s="19">
        <v>0</v>
      </c>
      <c r="N3074" s="19" t="s">
        <v>2394</v>
      </c>
      <c r="O3074" s="20">
        <v>4</v>
      </c>
      <c r="S3074" s="19" t="s">
        <v>20</v>
      </c>
      <c r="T3074" s="19" t="s">
        <v>1471</v>
      </c>
    </row>
    <row r="3075" spans="1:20">
      <c r="A3075" s="20">
        <v>202604333857940</v>
      </c>
      <c r="B3075" s="19" t="s">
        <v>20</v>
      </c>
      <c r="C3075" s="19" t="s">
        <v>21</v>
      </c>
      <c r="D3075" s="19" t="s">
        <v>20</v>
      </c>
      <c r="E3075" s="21">
        <v>46235</v>
      </c>
      <c r="F3075" s="21">
        <v>46599</v>
      </c>
      <c r="G3075" s="21"/>
      <c r="H3075" s="21">
        <v>46235</v>
      </c>
      <c r="I3075" s="21">
        <v>46599</v>
      </c>
      <c r="J3075" s="19" t="s">
        <v>2087</v>
      </c>
      <c r="L3075" s="19">
        <v>132.52252100000001</v>
      </c>
      <c r="M3075" s="19">
        <v>132.52252100000001</v>
      </c>
      <c r="N3075" s="19" t="s">
        <v>1475</v>
      </c>
      <c r="O3075" s="20">
        <v>4</v>
      </c>
      <c r="S3075" s="19" t="s">
        <v>20</v>
      </c>
      <c r="T3075" s="19" t="s">
        <v>1471</v>
      </c>
    </row>
    <row r="3076" spans="1:20">
      <c r="A3076" s="20">
        <v>202604333862380</v>
      </c>
      <c r="B3076" s="19" t="s">
        <v>20</v>
      </c>
      <c r="C3076" s="19" t="s">
        <v>21</v>
      </c>
      <c r="D3076" s="19" t="s">
        <v>20</v>
      </c>
      <c r="E3076" s="21">
        <v>46235</v>
      </c>
      <c r="F3076" s="21">
        <v>46599</v>
      </c>
      <c r="G3076" s="21"/>
      <c r="H3076" s="21">
        <v>46235</v>
      </c>
      <c r="I3076" s="21">
        <v>46599</v>
      </c>
      <c r="J3076" s="19" t="s">
        <v>2104</v>
      </c>
      <c r="L3076" s="19">
        <v>33.130630250000003</v>
      </c>
      <c r="M3076" s="19">
        <v>33.130630250000003</v>
      </c>
      <c r="N3076" s="19" t="s">
        <v>1475</v>
      </c>
      <c r="O3076" s="20">
        <v>1</v>
      </c>
      <c r="S3076" s="19" t="s">
        <v>20</v>
      </c>
      <c r="T3076" s="19" t="s">
        <v>1471</v>
      </c>
    </row>
    <row r="3077" spans="1:20">
      <c r="A3077" s="20">
        <v>202604333862925</v>
      </c>
      <c r="B3077" s="19" t="s">
        <v>20</v>
      </c>
      <c r="C3077" s="19" t="s">
        <v>21</v>
      </c>
      <c r="D3077" s="19" t="s">
        <v>20</v>
      </c>
      <c r="E3077" s="21">
        <v>46235</v>
      </c>
      <c r="F3077" s="21">
        <v>46599</v>
      </c>
      <c r="G3077" s="21"/>
      <c r="H3077" s="21">
        <v>46235</v>
      </c>
      <c r="I3077" s="21">
        <v>46599</v>
      </c>
      <c r="J3077" s="19" t="s">
        <v>2209</v>
      </c>
      <c r="L3077" s="19">
        <v>0</v>
      </c>
      <c r="M3077" s="19">
        <v>0</v>
      </c>
      <c r="N3077" s="19" t="s">
        <v>2394</v>
      </c>
      <c r="O3077" s="20">
        <v>4</v>
      </c>
      <c r="S3077" s="19" t="s">
        <v>20</v>
      </c>
      <c r="T3077" s="19" t="s">
        <v>1471</v>
      </c>
    </row>
    <row r="3078" spans="1:20">
      <c r="A3078" s="20">
        <v>202604333862925</v>
      </c>
      <c r="B3078" s="19" t="s">
        <v>20</v>
      </c>
      <c r="C3078" s="19" t="s">
        <v>21</v>
      </c>
      <c r="D3078" s="19" t="s">
        <v>2414</v>
      </c>
      <c r="E3078" s="21">
        <v>46235</v>
      </c>
      <c r="F3078" s="21">
        <v>46599</v>
      </c>
      <c r="G3078" s="21"/>
      <c r="H3078" s="21">
        <v>46235</v>
      </c>
      <c r="I3078" s="21">
        <v>46599</v>
      </c>
      <c r="J3078" s="19" t="s">
        <v>2209</v>
      </c>
      <c r="L3078" s="19">
        <v>132.52252100000001</v>
      </c>
      <c r="M3078" s="19">
        <v>132.52252100000001</v>
      </c>
      <c r="N3078" s="19" t="s">
        <v>1467</v>
      </c>
      <c r="O3078" s="20">
        <v>4</v>
      </c>
      <c r="S3078" s="19" t="s">
        <v>20</v>
      </c>
      <c r="T3078" s="19" t="s">
        <v>1471</v>
      </c>
    </row>
    <row r="3079" spans="1:20">
      <c r="A3079" s="20">
        <v>202604333863590</v>
      </c>
      <c r="B3079" s="19" t="s">
        <v>20</v>
      </c>
      <c r="C3079" s="19" t="s">
        <v>21</v>
      </c>
      <c r="D3079" s="19" t="s">
        <v>20</v>
      </c>
      <c r="E3079" s="21">
        <v>46235</v>
      </c>
      <c r="F3079" s="21">
        <v>46599</v>
      </c>
      <c r="G3079" s="21"/>
      <c r="H3079" s="21">
        <v>46235</v>
      </c>
      <c r="I3079" s="21">
        <v>46599</v>
      </c>
      <c r="J3079" s="19" t="s">
        <v>2093</v>
      </c>
      <c r="L3079" s="19">
        <v>0</v>
      </c>
      <c r="M3079" s="19">
        <v>0</v>
      </c>
      <c r="N3079" s="19" t="s">
        <v>2394</v>
      </c>
      <c r="O3079" s="20">
        <v>2</v>
      </c>
      <c r="S3079" s="19" t="s">
        <v>20</v>
      </c>
      <c r="T3079" s="19" t="s">
        <v>1471</v>
      </c>
    </row>
    <row r="3080" spans="1:20">
      <c r="A3080" s="20">
        <v>202604333863590</v>
      </c>
      <c r="B3080" s="19" t="s">
        <v>20</v>
      </c>
      <c r="C3080" s="19" t="s">
        <v>21</v>
      </c>
      <c r="D3080" s="19" t="s">
        <v>20</v>
      </c>
      <c r="E3080" s="21">
        <v>46235</v>
      </c>
      <c r="F3080" s="21">
        <v>46599</v>
      </c>
      <c r="G3080" s="21"/>
      <c r="H3080" s="21">
        <v>46235</v>
      </c>
      <c r="I3080" s="21">
        <v>46599</v>
      </c>
      <c r="J3080" s="19" t="s">
        <v>2093</v>
      </c>
      <c r="L3080" s="19">
        <v>57.552068499999997</v>
      </c>
      <c r="M3080" s="19">
        <v>57.552068499999997</v>
      </c>
      <c r="N3080" s="19" t="s">
        <v>1475</v>
      </c>
      <c r="O3080" s="20">
        <v>2</v>
      </c>
      <c r="S3080" s="19" t="s">
        <v>20</v>
      </c>
      <c r="T3080" s="19" t="s">
        <v>1471</v>
      </c>
    </row>
    <row r="3081" spans="1:20">
      <c r="A3081" s="20">
        <v>202604333864307</v>
      </c>
      <c r="B3081" s="19" t="s">
        <v>20</v>
      </c>
      <c r="C3081" s="19" t="s">
        <v>21</v>
      </c>
      <c r="D3081" s="19" t="s">
        <v>2413</v>
      </c>
      <c r="E3081" s="21">
        <v>46235</v>
      </c>
      <c r="F3081" s="21">
        <v>46599</v>
      </c>
      <c r="G3081" s="21"/>
      <c r="H3081" s="21">
        <v>46235</v>
      </c>
      <c r="I3081" s="21">
        <v>46599</v>
      </c>
      <c r="J3081" s="19" t="s">
        <v>2310</v>
      </c>
      <c r="L3081" s="19">
        <v>38.659559000000002</v>
      </c>
      <c r="M3081" s="19">
        <v>38.659559000000002</v>
      </c>
      <c r="N3081" s="19" t="s">
        <v>1467</v>
      </c>
      <c r="O3081" s="20">
        <v>1</v>
      </c>
      <c r="S3081" s="19" t="s">
        <v>20</v>
      </c>
      <c r="T3081" s="19" t="s">
        <v>1471</v>
      </c>
    </row>
    <row r="3082" spans="1:20">
      <c r="A3082" s="20">
        <v>202604333864618</v>
      </c>
      <c r="B3082" s="19" t="s">
        <v>20</v>
      </c>
      <c r="C3082" s="19" t="s">
        <v>21</v>
      </c>
      <c r="D3082" s="19" t="s">
        <v>2412</v>
      </c>
      <c r="E3082" s="21">
        <v>46235</v>
      </c>
      <c r="F3082" s="21">
        <v>46599</v>
      </c>
      <c r="G3082" s="21"/>
      <c r="H3082" s="21">
        <v>46235</v>
      </c>
      <c r="I3082" s="21">
        <v>46599</v>
      </c>
      <c r="J3082" s="19" t="s">
        <v>2114</v>
      </c>
      <c r="L3082" s="19">
        <v>33.130630250000003</v>
      </c>
      <c r="M3082" s="19">
        <v>33.130630250000003</v>
      </c>
      <c r="N3082" s="19" t="s">
        <v>1467</v>
      </c>
      <c r="O3082" s="20">
        <v>1</v>
      </c>
      <c r="S3082" s="19" t="s">
        <v>20</v>
      </c>
      <c r="T3082" s="19" t="s">
        <v>1471</v>
      </c>
    </row>
    <row r="3083" spans="1:20">
      <c r="A3083" s="20">
        <v>202604333864706</v>
      </c>
      <c r="B3083" s="19" t="s">
        <v>20</v>
      </c>
      <c r="C3083" s="19" t="s">
        <v>21</v>
      </c>
      <c r="D3083" s="19" t="s">
        <v>2411</v>
      </c>
      <c r="E3083" s="21">
        <v>46235</v>
      </c>
      <c r="F3083" s="21">
        <v>46599</v>
      </c>
      <c r="G3083" s="21"/>
      <c r="H3083" s="21">
        <v>46235</v>
      </c>
      <c r="I3083" s="21">
        <v>46599</v>
      </c>
      <c r="J3083" s="19" t="s">
        <v>2109</v>
      </c>
      <c r="L3083" s="19">
        <v>59.635123499999999</v>
      </c>
      <c r="M3083" s="19">
        <v>59.635123499999999</v>
      </c>
      <c r="N3083" s="19" t="s">
        <v>1467</v>
      </c>
      <c r="O3083" s="20">
        <v>2</v>
      </c>
      <c r="S3083" s="19" t="s">
        <v>20</v>
      </c>
      <c r="T3083" s="19" t="s">
        <v>1471</v>
      </c>
    </row>
    <row r="3084" spans="1:20">
      <c r="A3084" s="20">
        <v>202604333865808</v>
      </c>
      <c r="B3084" s="19" t="s">
        <v>20</v>
      </c>
      <c r="C3084" s="19" t="s">
        <v>21</v>
      </c>
      <c r="D3084" s="19" t="s">
        <v>20</v>
      </c>
      <c r="E3084" s="21">
        <v>46235</v>
      </c>
      <c r="F3084" s="21">
        <v>46599</v>
      </c>
      <c r="G3084" s="21"/>
      <c r="H3084" s="21">
        <v>46235</v>
      </c>
      <c r="I3084" s="21">
        <v>46599</v>
      </c>
      <c r="J3084" s="19" t="s">
        <v>2068</v>
      </c>
      <c r="L3084" s="19">
        <v>0</v>
      </c>
      <c r="M3084" s="19">
        <v>0</v>
      </c>
      <c r="N3084" s="19" t="s">
        <v>2394</v>
      </c>
      <c r="O3084" s="20">
        <v>5</v>
      </c>
      <c r="S3084" s="19" t="s">
        <v>20</v>
      </c>
      <c r="T3084" s="19" t="s">
        <v>1471</v>
      </c>
    </row>
    <row r="3085" spans="1:20">
      <c r="A3085" s="20">
        <v>202604333865808</v>
      </c>
      <c r="B3085" s="19" t="s">
        <v>20</v>
      </c>
      <c r="C3085" s="19" t="s">
        <v>21</v>
      </c>
      <c r="D3085" s="19" t="s">
        <v>20</v>
      </c>
      <c r="E3085" s="21">
        <v>46235</v>
      </c>
      <c r="F3085" s="21">
        <v>46599</v>
      </c>
      <c r="G3085" s="21"/>
      <c r="H3085" s="21">
        <v>46235</v>
      </c>
      <c r="I3085" s="21">
        <v>46599</v>
      </c>
      <c r="J3085" s="19" t="s">
        <v>2068</v>
      </c>
      <c r="L3085" s="19">
        <v>131.29342</v>
      </c>
      <c r="M3085" s="19">
        <v>131.29342</v>
      </c>
      <c r="N3085" s="19" t="s">
        <v>1475</v>
      </c>
      <c r="O3085" s="20">
        <v>5</v>
      </c>
      <c r="S3085" s="19" t="s">
        <v>20</v>
      </c>
      <c r="T3085" s="19" t="s">
        <v>1471</v>
      </c>
    </row>
    <row r="3086" spans="1:20">
      <c r="A3086" s="20">
        <v>202604333867908</v>
      </c>
      <c r="B3086" s="19" t="s">
        <v>20</v>
      </c>
      <c r="C3086" s="19" t="s">
        <v>21</v>
      </c>
      <c r="D3086" s="19" t="s">
        <v>20</v>
      </c>
      <c r="E3086" s="21">
        <v>46235</v>
      </c>
      <c r="F3086" s="21">
        <v>46599</v>
      </c>
      <c r="G3086" s="21"/>
      <c r="H3086" s="21">
        <v>46235</v>
      </c>
      <c r="I3086" s="21">
        <v>46599</v>
      </c>
      <c r="J3086" s="19" t="s">
        <v>2086</v>
      </c>
      <c r="L3086" s="19">
        <v>66.261260500000006</v>
      </c>
      <c r="M3086" s="19">
        <v>66.261260500000006</v>
      </c>
      <c r="N3086" s="19" t="s">
        <v>1475</v>
      </c>
      <c r="O3086" s="20">
        <v>2</v>
      </c>
      <c r="S3086" s="19" t="s">
        <v>20</v>
      </c>
      <c r="T3086" s="19" t="s">
        <v>1471</v>
      </c>
    </row>
    <row r="3087" spans="1:20">
      <c r="A3087" s="20">
        <v>202604333869423</v>
      </c>
      <c r="B3087" s="19" t="s">
        <v>20</v>
      </c>
      <c r="C3087" s="19" t="s">
        <v>21</v>
      </c>
      <c r="D3087" s="19" t="s">
        <v>20</v>
      </c>
      <c r="E3087" s="21">
        <v>46235</v>
      </c>
      <c r="F3087" s="21">
        <v>46599</v>
      </c>
      <c r="G3087" s="21"/>
      <c r="H3087" s="21">
        <v>46235</v>
      </c>
      <c r="I3087" s="21">
        <v>46599</v>
      </c>
      <c r="J3087" s="19" t="s">
        <v>2064</v>
      </c>
      <c r="L3087" s="19">
        <v>0</v>
      </c>
      <c r="M3087" s="19">
        <v>0</v>
      </c>
      <c r="N3087" s="19" t="s">
        <v>2394</v>
      </c>
      <c r="O3087" s="20">
        <v>6</v>
      </c>
      <c r="S3087" s="19" t="s">
        <v>20</v>
      </c>
      <c r="T3087" s="19" t="s">
        <v>1471</v>
      </c>
    </row>
    <row r="3088" spans="1:20">
      <c r="A3088" s="20">
        <v>202604333869423</v>
      </c>
      <c r="B3088" s="19" t="s">
        <v>20</v>
      </c>
      <c r="C3088" s="19" t="s">
        <v>21</v>
      </c>
      <c r="D3088" s="19" t="s">
        <v>20</v>
      </c>
      <c r="E3088" s="21">
        <v>46235</v>
      </c>
      <c r="F3088" s="21">
        <v>46599</v>
      </c>
      <c r="G3088" s="21"/>
      <c r="H3088" s="21">
        <v>46235</v>
      </c>
      <c r="I3088" s="21">
        <v>46599</v>
      </c>
      <c r="J3088" s="19" t="s">
        <v>2064</v>
      </c>
      <c r="L3088" s="19">
        <v>198.7837815</v>
      </c>
      <c r="M3088" s="19">
        <v>198.7837815</v>
      </c>
      <c r="N3088" s="19" t="s">
        <v>1475</v>
      </c>
      <c r="O3088" s="20">
        <v>6</v>
      </c>
      <c r="S3088" s="19" t="s">
        <v>20</v>
      </c>
      <c r="T3088" s="19" t="s">
        <v>1471</v>
      </c>
    </row>
    <row r="3089" spans="1:20">
      <c r="A3089" s="20">
        <v>202604333870345</v>
      </c>
      <c r="B3089" s="19" t="s">
        <v>20</v>
      </c>
      <c r="C3089" s="19" t="s">
        <v>21</v>
      </c>
      <c r="D3089" s="19" t="s">
        <v>20</v>
      </c>
      <c r="E3089" s="21">
        <v>46235</v>
      </c>
      <c r="F3089" s="21">
        <v>46599</v>
      </c>
      <c r="G3089" s="21"/>
      <c r="H3089" s="21">
        <v>46235</v>
      </c>
      <c r="I3089" s="21">
        <v>46599</v>
      </c>
      <c r="J3089" s="19" t="s">
        <v>2224</v>
      </c>
      <c r="L3089" s="19">
        <v>26.258683999999999</v>
      </c>
      <c r="M3089" s="19">
        <v>26.258683999999999</v>
      </c>
      <c r="N3089" s="19" t="s">
        <v>1475</v>
      </c>
      <c r="O3089" s="20">
        <v>1</v>
      </c>
      <c r="S3089" s="19" t="s">
        <v>20</v>
      </c>
      <c r="T3089" s="19" t="s">
        <v>1471</v>
      </c>
    </row>
    <row r="3090" spans="1:20">
      <c r="A3090" s="20">
        <v>202604333870464</v>
      </c>
      <c r="B3090" s="19" t="s">
        <v>20</v>
      </c>
      <c r="C3090" s="19" t="s">
        <v>21</v>
      </c>
      <c r="D3090" s="19" t="s">
        <v>20</v>
      </c>
      <c r="E3090" s="21">
        <v>46235</v>
      </c>
      <c r="F3090" s="21">
        <v>46599</v>
      </c>
      <c r="G3090" s="21"/>
      <c r="H3090" s="21">
        <v>46235</v>
      </c>
      <c r="I3090" s="21">
        <v>46599</v>
      </c>
      <c r="J3090" s="19" t="s">
        <v>2069</v>
      </c>
      <c r="L3090" s="19">
        <v>0</v>
      </c>
      <c r="M3090" s="19">
        <v>0</v>
      </c>
      <c r="N3090" s="19" t="s">
        <v>2394</v>
      </c>
      <c r="O3090" s="20">
        <v>3</v>
      </c>
      <c r="S3090" s="19" t="s">
        <v>20</v>
      </c>
      <c r="T3090" s="19" t="s">
        <v>1471</v>
      </c>
    </row>
    <row r="3091" spans="1:20">
      <c r="A3091" s="20">
        <v>202604333870464</v>
      </c>
      <c r="B3091" s="19" t="s">
        <v>20</v>
      </c>
      <c r="C3091" s="19" t="s">
        <v>21</v>
      </c>
      <c r="D3091" s="19" t="s">
        <v>20</v>
      </c>
      <c r="E3091" s="21">
        <v>46235</v>
      </c>
      <c r="F3091" s="21">
        <v>46599</v>
      </c>
      <c r="G3091" s="21"/>
      <c r="H3091" s="21">
        <v>46235</v>
      </c>
      <c r="I3091" s="21">
        <v>46599</v>
      </c>
      <c r="J3091" s="19" t="s">
        <v>2069</v>
      </c>
      <c r="L3091" s="19">
        <v>99.391890750000002</v>
      </c>
      <c r="M3091" s="19">
        <v>99.391890750000002</v>
      </c>
      <c r="N3091" s="19" t="s">
        <v>1475</v>
      </c>
      <c r="O3091" s="20">
        <v>3</v>
      </c>
      <c r="S3091" s="19" t="s">
        <v>20</v>
      </c>
      <c r="T3091" s="19" t="s">
        <v>1471</v>
      </c>
    </row>
    <row r="3092" spans="1:20">
      <c r="A3092" s="20">
        <v>202604333870508</v>
      </c>
      <c r="B3092" s="19" t="s">
        <v>20</v>
      </c>
      <c r="C3092" s="19" t="s">
        <v>21</v>
      </c>
      <c r="D3092" s="19" t="s">
        <v>20</v>
      </c>
      <c r="E3092" s="21">
        <v>46235</v>
      </c>
      <c r="F3092" s="21">
        <v>46599</v>
      </c>
      <c r="G3092" s="21"/>
      <c r="H3092" s="21">
        <v>46235</v>
      </c>
      <c r="I3092" s="21">
        <v>46599</v>
      </c>
      <c r="J3092" s="19" t="s">
        <v>2064</v>
      </c>
      <c r="L3092" s="19">
        <v>33.130630250000003</v>
      </c>
      <c r="M3092" s="19">
        <v>33.130630250000003</v>
      </c>
      <c r="N3092" s="19" t="s">
        <v>1475</v>
      </c>
      <c r="O3092" s="20">
        <v>1</v>
      </c>
      <c r="S3092" s="19" t="s">
        <v>20</v>
      </c>
      <c r="T3092" s="19" t="s">
        <v>1471</v>
      </c>
    </row>
    <row r="3093" spans="1:20">
      <c r="A3093" s="20">
        <v>202604333875816</v>
      </c>
      <c r="B3093" s="19" t="s">
        <v>20</v>
      </c>
      <c r="C3093" s="19" t="s">
        <v>21</v>
      </c>
      <c r="D3093" s="19" t="s">
        <v>2410</v>
      </c>
      <c r="E3093" s="21">
        <v>46235</v>
      </c>
      <c r="F3093" s="21">
        <v>46599</v>
      </c>
      <c r="G3093" s="21"/>
      <c r="H3093" s="21">
        <v>46235</v>
      </c>
      <c r="I3093" s="21">
        <v>46599</v>
      </c>
      <c r="J3093" s="19" t="s">
        <v>2085</v>
      </c>
      <c r="L3093" s="19">
        <v>24.620673499999999</v>
      </c>
      <c r="M3093" s="19">
        <v>24.620673499999999</v>
      </c>
      <c r="N3093" s="19" t="s">
        <v>1467</v>
      </c>
      <c r="O3093" s="20">
        <v>1</v>
      </c>
      <c r="S3093" s="19" t="s">
        <v>20</v>
      </c>
      <c r="T3093" s="19" t="s">
        <v>1471</v>
      </c>
    </row>
    <row r="3094" spans="1:20">
      <c r="A3094" s="20">
        <v>202604333877878</v>
      </c>
      <c r="B3094" s="19" t="s">
        <v>20</v>
      </c>
      <c r="C3094" s="19" t="s">
        <v>21</v>
      </c>
      <c r="D3094" s="19" t="s">
        <v>20</v>
      </c>
      <c r="E3094" s="21">
        <v>46235</v>
      </c>
      <c r="F3094" s="21">
        <v>46599</v>
      </c>
      <c r="G3094" s="21"/>
      <c r="H3094" s="21">
        <v>46235</v>
      </c>
      <c r="I3094" s="21">
        <v>46599</v>
      </c>
      <c r="J3094" s="19" t="s">
        <v>2085</v>
      </c>
      <c r="L3094" s="19">
        <v>0</v>
      </c>
      <c r="M3094" s="19">
        <v>0</v>
      </c>
      <c r="N3094" s="19" t="s">
        <v>2394</v>
      </c>
      <c r="O3094" s="20">
        <v>5</v>
      </c>
      <c r="S3094" s="19" t="s">
        <v>20</v>
      </c>
      <c r="T3094" s="19" t="s">
        <v>1471</v>
      </c>
    </row>
    <row r="3095" spans="1:20">
      <c r="A3095" s="20">
        <v>202604333877878</v>
      </c>
      <c r="B3095" s="19" t="s">
        <v>20</v>
      </c>
      <c r="C3095" s="19" t="s">
        <v>21</v>
      </c>
      <c r="D3095" s="19" t="s">
        <v>20</v>
      </c>
      <c r="E3095" s="21">
        <v>46235</v>
      </c>
      <c r="F3095" s="21">
        <v>46599</v>
      </c>
      <c r="G3095" s="21"/>
      <c r="H3095" s="21">
        <v>46235</v>
      </c>
      <c r="I3095" s="21">
        <v>46599</v>
      </c>
      <c r="J3095" s="19" t="s">
        <v>2085</v>
      </c>
      <c r="L3095" s="19">
        <v>123.1033675</v>
      </c>
      <c r="M3095" s="19">
        <v>123.1033675</v>
      </c>
      <c r="N3095" s="19" t="s">
        <v>1475</v>
      </c>
      <c r="O3095" s="20">
        <v>5</v>
      </c>
      <c r="S3095" s="19" t="s">
        <v>20</v>
      </c>
      <c r="T3095" s="19" t="s">
        <v>1471</v>
      </c>
    </row>
    <row r="3096" spans="1:20">
      <c r="A3096" s="20">
        <v>202604333878691</v>
      </c>
      <c r="B3096" s="19" t="s">
        <v>20</v>
      </c>
      <c r="C3096" s="19" t="s">
        <v>21</v>
      </c>
      <c r="D3096" s="19" t="s">
        <v>20</v>
      </c>
      <c r="E3096" s="21">
        <v>46235</v>
      </c>
      <c r="F3096" s="21">
        <v>46599</v>
      </c>
      <c r="G3096" s="21"/>
      <c r="H3096" s="21">
        <v>46235</v>
      </c>
      <c r="I3096" s="21">
        <v>46599</v>
      </c>
      <c r="J3096" s="19" t="s">
        <v>2396</v>
      </c>
      <c r="L3096" s="19">
        <v>38.659559000000002</v>
      </c>
      <c r="M3096" s="19">
        <v>38.659559000000002</v>
      </c>
      <c r="N3096" s="19" t="s">
        <v>1475</v>
      </c>
      <c r="O3096" s="20">
        <v>1</v>
      </c>
      <c r="S3096" s="19" t="s">
        <v>20</v>
      </c>
      <c r="T3096" s="19" t="s">
        <v>1471</v>
      </c>
    </row>
    <row r="3097" spans="1:20">
      <c r="A3097" s="20">
        <v>202604333879145</v>
      </c>
      <c r="B3097" s="19" t="s">
        <v>20</v>
      </c>
      <c r="C3097" s="19" t="s">
        <v>21</v>
      </c>
      <c r="D3097" s="19" t="s">
        <v>20</v>
      </c>
      <c r="E3097" s="21">
        <v>46235</v>
      </c>
      <c r="F3097" s="21">
        <v>46599</v>
      </c>
      <c r="G3097" s="21"/>
      <c r="H3097" s="21">
        <v>46235</v>
      </c>
      <c r="I3097" s="21">
        <v>46599</v>
      </c>
      <c r="J3097" s="19" t="s">
        <v>2087</v>
      </c>
      <c r="L3097" s="19">
        <v>33.130630250000003</v>
      </c>
      <c r="M3097" s="19">
        <v>33.130630250000003</v>
      </c>
      <c r="N3097" s="19" t="s">
        <v>1475</v>
      </c>
      <c r="O3097" s="20">
        <v>1</v>
      </c>
      <c r="S3097" s="19" t="s">
        <v>20</v>
      </c>
      <c r="T3097" s="19" t="s">
        <v>1471</v>
      </c>
    </row>
    <row r="3098" spans="1:20">
      <c r="A3098" s="20">
        <v>202604333879749</v>
      </c>
      <c r="B3098" s="19" t="s">
        <v>20</v>
      </c>
      <c r="C3098" s="19" t="s">
        <v>21</v>
      </c>
      <c r="D3098" s="19" t="s">
        <v>20</v>
      </c>
      <c r="E3098" s="21">
        <v>46235</v>
      </c>
      <c r="F3098" s="21">
        <v>46599</v>
      </c>
      <c r="G3098" s="21"/>
      <c r="H3098" s="21">
        <v>46235</v>
      </c>
      <c r="I3098" s="21">
        <v>46599</v>
      </c>
      <c r="J3098" s="19" t="s">
        <v>2180</v>
      </c>
      <c r="L3098" s="19">
        <v>0</v>
      </c>
      <c r="M3098" s="19">
        <v>0</v>
      </c>
      <c r="N3098" s="19" t="s">
        <v>2394</v>
      </c>
      <c r="O3098" s="20">
        <v>5</v>
      </c>
      <c r="S3098" s="19" t="s">
        <v>20</v>
      </c>
      <c r="T3098" s="19" t="s">
        <v>1471</v>
      </c>
    </row>
    <row r="3099" spans="1:20">
      <c r="A3099" s="20">
        <v>202604333879749</v>
      </c>
      <c r="B3099" s="19" t="s">
        <v>20</v>
      </c>
      <c r="C3099" s="19" t="s">
        <v>21</v>
      </c>
      <c r="D3099" s="19" t="s">
        <v>2409</v>
      </c>
      <c r="E3099" s="21">
        <v>46235</v>
      </c>
      <c r="F3099" s="21">
        <v>46599</v>
      </c>
      <c r="G3099" s="21"/>
      <c r="H3099" s="21">
        <v>46235</v>
      </c>
      <c r="I3099" s="21">
        <v>46599</v>
      </c>
      <c r="J3099" s="19" t="s">
        <v>2180</v>
      </c>
      <c r="L3099" s="19">
        <v>161.85003374999999</v>
      </c>
      <c r="M3099" s="19">
        <v>161.85003374999999</v>
      </c>
      <c r="N3099" s="19" t="s">
        <v>1467</v>
      </c>
      <c r="O3099" s="20">
        <v>5</v>
      </c>
      <c r="S3099" s="19" t="s">
        <v>20</v>
      </c>
      <c r="T3099" s="19" t="s">
        <v>1471</v>
      </c>
    </row>
    <row r="3100" spans="1:20">
      <c r="A3100" s="20">
        <v>202604333881046</v>
      </c>
      <c r="B3100" s="19" t="s">
        <v>20</v>
      </c>
      <c r="C3100" s="19" t="s">
        <v>21</v>
      </c>
      <c r="D3100" s="19" t="s">
        <v>20</v>
      </c>
      <c r="E3100" s="21">
        <v>46235</v>
      </c>
      <c r="F3100" s="21">
        <v>46599</v>
      </c>
      <c r="G3100" s="21"/>
      <c r="H3100" s="21">
        <v>46235</v>
      </c>
      <c r="I3100" s="21">
        <v>46599</v>
      </c>
      <c r="J3100" s="19" t="s">
        <v>2114</v>
      </c>
      <c r="L3100" s="19">
        <v>33.130630250000003</v>
      </c>
      <c r="M3100" s="19">
        <v>33.130630250000003</v>
      </c>
      <c r="N3100" s="19" t="s">
        <v>1475</v>
      </c>
      <c r="O3100" s="20">
        <v>1</v>
      </c>
      <c r="S3100" s="19" t="s">
        <v>20</v>
      </c>
      <c r="T3100" s="19" t="s">
        <v>1471</v>
      </c>
    </row>
    <row r="3101" spans="1:20">
      <c r="A3101" s="20">
        <v>202604333881510</v>
      </c>
      <c r="B3101" s="19" t="s">
        <v>20</v>
      </c>
      <c r="C3101" s="19" t="s">
        <v>21</v>
      </c>
      <c r="D3101" s="19" t="s">
        <v>20</v>
      </c>
      <c r="E3101" s="21">
        <v>46235</v>
      </c>
      <c r="F3101" s="21">
        <v>46599</v>
      </c>
      <c r="G3101" s="21"/>
      <c r="H3101" s="21">
        <v>46235</v>
      </c>
      <c r="I3101" s="21">
        <v>46599</v>
      </c>
      <c r="J3101" s="19" t="s">
        <v>2073</v>
      </c>
      <c r="L3101" s="19">
        <v>0</v>
      </c>
      <c r="M3101" s="19">
        <v>0</v>
      </c>
      <c r="N3101" s="19" t="s">
        <v>2394</v>
      </c>
      <c r="O3101" s="20">
        <v>6</v>
      </c>
      <c r="S3101" s="19" t="s">
        <v>20</v>
      </c>
      <c r="T3101" s="19" t="s">
        <v>1471</v>
      </c>
    </row>
    <row r="3102" spans="1:20">
      <c r="A3102" s="20">
        <v>202604333881510</v>
      </c>
      <c r="B3102" s="19" t="s">
        <v>20</v>
      </c>
      <c r="C3102" s="19" t="s">
        <v>21</v>
      </c>
      <c r="D3102" s="19" t="s">
        <v>2408</v>
      </c>
      <c r="E3102" s="21">
        <v>46235</v>
      </c>
      <c r="F3102" s="21">
        <v>46599</v>
      </c>
      <c r="G3102" s="21"/>
      <c r="H3102" s="21">
        <v>46235</v>
      </c>
      <c r="I3102" s="21">
        <v>46599</v>
      </c>
      <c r="J3102" s="19" t="s">
        <v>2073</v>
      </c>
      <c r="L3102" s="19">
        <v>157.55210400000001</v>
      </c>
      <c r="M3102" s="19">
        <v>157.55210400000001</v>
      </c>
      <c r="N3102" s="19" t="s">
        <v>1467</v>
      </c>
      <c r="O3102" s="20">
        <v>6</v>
      </c>
      <c r="S3102" s="19" t="s">
        <v>20</v>
      </c>
      <c r="T3102" s="19" t="s">
        <v>1471</v>
      </c>
    </row>
    <row r="3103" spans="1:20">
      <c r="A3103" s="20">
        <v>202604333883801</v>
      </c>
      <c r="B3103" s="19" t="s">
        <v>20</v>
      </c>
      <c r="C3103" s="19" t="s">
        <v>21</v>
      </c>
      <c r="D3103" s="19" t="s">
        <v>20</v>
      </c>
      <c r="E3103" s="21">
        <v>46235</v>
      </c>
      <c r="F3103" s="21">
        <v>46599</v>
      </c>
      <c r="G3103" s="21"/>
      <c r="H3103" s="21">
        <v>46235</v>
      </c>
      <c r="I3103" s="21">
        <v>46599</v>
      </c>
      <c r="J3103" s="19" t="s">
        <v>2064</v>
      </c>
      <c r="L3103" s="19">
        <v>99.391890750000002</v>
      </c>
      <c r="M3103" s="19">
        <v>99.391890750000002</v>
      </c>
      <c r="N3103" s="19" t="s">
        <v>1475</v>
      </c>
      <c r="O3103" s="20">
        <v>3</v>
      </c>
      <c r="S3103" s="19" t="s">
        <v>20</v>
      </c>
      <c r="T3103" s="19" t="s">
        <v>1471</v>
      </c>
    </row>
    <row r="3104" spans="1:20">
      <c r="A3104" s="20">
        <v>202604333885526</v>
      </c>
      <c r="B3104" s="19" t="s">
        <v>20</v>
      </c>
      <c r="C3104" s="19" t="s">
        <v>21</v>
      </c>
      <c r="D3104" s="19" t="s">
        <v>20</v>
      </c>
      <c r="E3104" s="21">
        <v>46235</v>
      </c>
      <c r="F3104" s="21">
        <v>46599</v>
      </c>
      <c r="G3104" s="21"/>
      <c r="H3104" s="21">
        <v>46235</v>
      </c>
      <c r="I3104" s="21">
        <v>46599</v>
      </c>
      <c r="J3104" s="19" t="s">
        <v>2093</v>
      </c>
      <c r="L3104" s="19">
        <v>0</v>
      </c>
      <c r="M3104" s="19">
        <v>0</v>
      </c>
      <c r="N3104" s="19" t="s">
        <v>2394</v>
      </c>
      <c r="O3104" s="20">
        <v>3</v>
      </c>
      <c r="S3104" s="19" t="s">
        <v>20</v>
      </c>
      <c r="T3104" s="19" t="s">
        <v>1471</v>
      </c>
    </row>
    <row r="3105" spans="1:20">
      <c r="A3105" s="20">
        <v>202604333885526</v>
      </c>
      <c r="B3105" s="19" t="s">
        <v>20</v>
      </c>
      <c r="C3105" s="19" t="s">
        <v>21</v>
      </c>
      <c r="D3105" s="19" t="s">
        <v>20</v>
      </c>
      <c r="E3105" s="21">
        <v>46235</v>
      </c>
      <c r="F3105" s="21">
        <v>46599</v>
      </c>
      <c r="G3105" s="21"/>
      <c r="H3105" s="21">
        <v>46235</v>
      </c>
      <c r="I3105" s="21">
        <v>46599</v>
      </c>
      <c r="J3105" s="19" t="s">
        <v>2093</v>
      </c>
      <c r="L3105" s="19">
        <v>86.328102749999999</v>
      </c>
      <c r="M3105" s="19">
        <v>86.328102749999999</v>
      </c>
      <c r="N3105" s="19" t="s">
        <v>1475</v>
      </c>
      <c r="O3105" s="20">
        <v>3</v>
      </c>
      <c r="S3105" s="19" t="s">
        <v>20</v>
      </c>
      <c r="T3105" s="19" t="s">
        <v>1471</v>
      </c>
    </row>
    <row r="3106" spans="1:20">
      <c r="A3106" s="20">
        <v>202604333887492</v>
      </c>
      <c r="B3106" s="19" t="s">
        <v>20</v>
      </c>
      <c r="C3106" s="19" t="s">
        <v>21</v>
      </c>
      <c r="D3106" s="19" t="s">
        <v>20</v>
      </c>
      <c r="E3106" s="21">
        <v>46235</v>
      </c>
      <c r="F3106" s="21">
        <v>46599</v>
      </c>
      <c r="G3106" s="21"/>
      <c r="H3106" s="21">
        <v>46235</v>
      </c>
      <c r="I3106" s="21">
        <v>46599</v>
      </c>
      <c r="J3106" s="19" t="s">
        <v>2064</v>
      </c>
      <c r="L3106" s="19">
        <v>99.391890750000002</v>
      </c>
      <c r="M3106" s="19">
        <v>99.391890750000002</v>
      </c>
      <c r="N3106" s="19" t="s">
        <v>1475</v>
      </c>
      <c r="O3106" s="20">
        <v>3</v>
      </c>
      <c r="S3106" s="19" t="s">
        <v>20</v>
      </c>
      <c r="T3106" s="19" t="s">
        <v>1471</v>
      </c>
    </row>
    <row r="3107" spans="1:20">
      <c r="A3107" s="20">
        <v>202604333890628</v>
      </c>
      <c r="B3107" s="19" t="s">
        <v>20</v>
      </c>
      <c r="C3107" s="19" t="s">
        <v>21</v>
      </c>
      <c r="D3107" s="19" t="s">
        <v>20</v>
      </c>
      <c r="E3107" s="21">
        <v>46235</v>
      </c>
      <c r="F3107" s="21">
        <v>46599</v>
      </c>
      <c r="G3107" s="21"/>
      <c r="H3107" s="21">
        <v>46235</v>
      </c>
      <c r="I3107" s="21">
        <v>46599</v>
      </c>
      <c r="J3107" s="19" t="s">
        <v>2080</v>
      </c>
      <c r="L3107" s="19">
        <v>0</v>
      </c>
      <c r="M3107" s="19">
        <v>0</v>
      </c>
      <c r="N3107" s="19" t="s">
        <v>2394</v>
      </c>
      <c r="O3107" s="20">
        <v>2</v>
      </c>
      <c r="S3107" s="19" t="s">
        <v>20</v>
      </c>
      <c r="T3107" s="19" t="s">
        <v>1471</v>
      </c>
    </row>
    <row r="3108" spans="1:20">
      <c r="A3108" s="20">
        <v>202604333890628</v>
      </c>
      <c r="B3108" s="19" t="s">
        <v>20</v>
      </c>
      <c r="C3108" s="19" t="s">
        <v>21</v>
      </c>
      <c r="D3108" s="19" t="s">
        <v>20</v>
      </c>
      <c r="E3108" s="21">
        <v>46235</v>
      </c>
      <c r="F3108" s="21">
        <v>46599</v>
      </c>
      <c r="G3108" s="21"/>
      <c r="H3108" s="21">
        <v>46235</v>
      </c>
      <c r="I3108" s="21">
        <v>46599</v>
      </c>
      <c r="J3108" s="19" t="s">
        <v>2080</v>
      </c>
      <c r="L3108" s="19">
        <v>66.261260500000006</v>
      </c>
      <c r="M3108" s="19">
        <v>66.261260500000006</v>
      </c>
      <c r="N3108" s="19" t="s">
        <v>1475</v>
      </c>
      <c r="O3108" s="20">
        <v>2</v>
      </c>
      <c r="S3108" s="19" t="s">
        <v>20</v>
      </c>
      <c r="T3108" s="19" t="s">
        <v>1471</v>
      </c>
    </row>
    <row r="3109" spans="1:20">
      <c r="A3109" s="20">
        <v>202604333893074</v>
      </c>
      <c r="B3109" s="19" t="s">
        <v>20</v>
      </c>
      <c r="C3109" s="19" t="s">
        <v>21</v>
      </c>
      <c r="D3109" s="19" t="s">
        <v>20</v>
      </c>
      <c r="E3109" s="21">
        <v>46235</v>
      </c>
      <c r="F3109" s="21">
        <v>46599</v>
      </c>
      <c r="G3109" s="21"/>
      <c r="H3109" s="21">
        <v>46235</v>
      </c>
      <c r="I3109" s="21">
        <v>46599</v>
      </c>
      <c r="J3109" s="19" t="s">
        <v>2062</v>
      </c>
      <c r="L3109" s="19">
        <v>0</v>
      </c>
      <c r="M3109" s="19">
        <v>0</v>
      </c>
      <c r="N3109" s="19" t="s">
        <v>2394</v>
      </c>
      <c r="O3109" s="20">
        <v>3</v>
      </c>
      <c r="S3109" s="19" t="s">
        <v>20</v>
      </c>
      <c r="T3109" s="19" t="s">
        <v>1471</v>
      </c>
    </row>
    <row r="3110" spans="1:20">
      <c r="A3110" s="20">
        <v>202604333893074</v>
      </c>
      <c r="B3110" s="19" t="s">
        <v>20</v>
      </c>
      <c r="C3110" s="19" t="s">
        <v>21</v>
      </c>
      <c r="D3110" s="19" t="s">
        <v>20</v>
      </c>
      <c r="E3110" s="21">
        <v>46235</v>
      </c>
      <c r="F3110" s="21">
        <v>46599</v>
      </c>
      <c r="G3110" s="21"/>
      <c r="H3110" s="21">
        <v>46235</v>
      </c>
      <c r="I3110" s="21">
        <v>46599</v>
      </c>
      <c r="J3110" s="19" t="s">
        <v>2062</v>
      </c>
      <c r="L3110" s="19">
        <v>99.391890750000002</v>
      </c>
      <c r="M3110" s="19">
        <v>99.391890750000002</v>
      </c>
      <c r="N3110" s="19" t="s">
        <v>1475</v>
      </c>
      <c r="O3110" s="20">
        <v>3</v>
      </c>
      <c r="S3110" s="19" t="s">
        <v>20</v>
      </c>
      <c r="T3110" s="19" t="s">
        <v>1471</v>
      </c>
    </row>
    <row r="3111" spans="1:20">
      <c r="A3111" s="20">
        <v>202604333893193</v>
      </c>
      <c r="B3111" s="19" t="s">
        <v>20</v>
      </c>
      <c r="C3111" s="19" t="s">
        <v>21</v>
      </c>
      <c r="D3111" s="19" t="s">
        <v>20</v>
      </c>
      <c r="E3111" s="21">
        <v>46235</v>
      </c>
      <c r="F3111" s="21">
        <v>46599</v>
      </c>
      <c r="G3111" s="21"/>
      <c r="H3111" s="21">
        <v>46235</v>
      </c>
      <c r="I3111" s="21">
        <v>46599</v>
      </c>
      <c r="J3111" s="19" t="s">
        <v>2111</v>
      </c>
      <c r="L3111" s="19">
        <v>0</v>
      </c>
      <c r="M3111" s="19">
        <v>0</v>
      </c>
      <c r="N3111" s="19" t="s">
        <v>2394</v>
      </c>
      <c r="O3111" s="20">
        <v>4</v>
      </c>
      <c r="S3111" s="19" t="s">
        <v>20</v>
      </c>
      <c r="T3111" s="19" t="s">
        <v>1471</v>
      </c>
    </row>
    <row r="3112" spans="1:20">
      <c r="A3112" s="20">
        <v>202604333893193</v>
      </c>
      <c r="B3112" s="19" t="s">
        <v>20</v>
      </c>
      <c r="C3112" s="19" t="s">
        <v>21</v>
      </c>
      <c r="D3112" s="19" t="s">
        <v>20</v>
      </c>
      <c r="E3112" s="21">
        <v>46235</v>
      </c>
      <c r="F3112" s="21">
        <v>46599</v>
      </c>
      <c r="G3112" s="21"/>
      <c r="H3112" s="21">
        <v>46235</v>
      </c>
      <c r="I3112" s="21">
        <v>46599</v>
      </c>
      <c r="J3112" s="19" t="s">
        <v>2111</v>
      </c>
      <c r="L3112" s="19">
        <v>132.52252100000001</v>
      </c>
      <c r="M3112" s="19">
        <v>132.52252100000001</v>
      </c>
      <c r="N3112" s="19" t="s">
        <v>1475</v>
      </c>
      <c r="O3112" s="20">
        <v>4</v>
      </c>
      <c r="S3112" s="19" t="s">
        <v>20</v>
      </c>
      <c r="T3112" s="19" t="s">
        <v>1471</v>
      </c>
    </row>
    <row r="3113" spans="1:20">
      <c r="A3113" s="20">
        <v>202604333893941</v>
      </c>
      <c r="B3113" s="19" t="s">
        <v>20</v>
      </c>
      <c r="C3113" s="19" t="s">
        <v>21</v>
      </c>
      <c r="D3113" s="19" t="s">
        <v>2407</v>
      </c>
      <c r="E3113" s="21">
        <v>46235</v>
      </c>
      <c r="F3113" s="21">
        <v>46599</v>
      </c>
      <c r="G3113" s="21"/>
      <c r="H3113" s="21">
        <v>46235</v>
      </c>
      <c r="I3113" s="21">
        <v>46599</v>
      </c>
      <c r="J3113" s="19" t="s">
        <v>2180</v>
      </c>
      <c r="L3113" s="19">
        <v>32.370006750000002</v>
      </c>
      <c r="M3113" s="19">
        <v>32.370006750000002</v>
      </c>
      <c r="N3113" s="19" t="s">
        <v>1467</v>
      </c>
      <c r="O3113" s="20">
        <v>1</v>
      </c>
      <c r="S3113" s="19" t="s">
        <v>20</v>
      </c>
      <c r="T3113" s="19" t="s">
        <v>1471</v>
      </c>
    </row>
    <row r="3114" spans="1:20">
      <c r="A3114" s="20">
        <v>202604333895651</v>
      </c>
      <c r="B3114" s="19" t="s">
        <v>20</v>
      </c>
      <c r="C3114" s="19" t="s">
        <v>21</v>
      </c>
      <c r="D3114" s="19" t="s">
        <v>20</v>
      </c>
      <c r="E3114" s="21">
        <v>46235</v>
      </c>
      <c r="F3114" s="21">
        <v>46599</v>
      </c>
      <c r="G3114" s="21"/>
      <c r="H3114" s="21">
        <v>46235</v>
      </c>
      <c r="I3114" s="21">
        <v>46599</v>
      </c>
      <c r="J3114" s="19" t="s">
        <v>2105</v>
      </c>
      <c r="L3114" s="19">
        <v>26.258683999999999</v>
      </c>
      <c r="M3114" s="19">
        <v>26.258683999999999</v>
      </c>
      <c r="N3114" s="19" t="s">
        <v>1475</v>
      </c>
      <c r="O3114" s="20">
        <v>1</v>
      </c>
      <c r="S3114" s="19" t="s">
        <v>20</v>
      </c>
      <c r="T3114" s="19" t="s">
        <v>1471</v>
      </c>
    </row>
    <row r="3115" spans="1:20">
      <c r="A3115" s="20">
        <v>202604333897489</v>
      </c>
      <c r="B3115" s="19" t="s">
        <v>20</v>
      </c>
      <c r="C3115" s="19" t="s">
        <v>21</v>
      </c>
      <c r="D3115" s="19" t="s">
        <v>20</v>
      </c>
      <c r="E3115" s="21">
        <v>46235</v>
      </c>
      <c r="F3115" s="21">
        <v>46599</v>
      </c>
      <c r="G3115" s="21"/>
      <c r="H3115" s="21">
        <v>46235</v>
      </c>
      <c r="I3115" s="21">
        <v>46599</v>
      </c>
      <c r="J3115" s="19" t="s">
        <v>2064</v>
      </c>
      <c r="L3115" s="19">
        <v>33.130630250000003</v>
      </c>
      <c r="M3115" s="19">
        <v>33.130630250000003</v>
      </c>
      <c r="N3115" s="19" t="s">
        <v>1475</v>
      </c>
      <c r="O3115" s="20">
        <v>1</v>
      </c>
      <c r="S3115" s="19" t="s">
        <v>20</v>
      </c>
      <c r="T3115" s="19" t="s">
        <v>1471</v>
      </c>
    </row>
    <row r="3116" spans="1:20">
      <c r="A3116" s="20">
        <v>202604333903971</v>
      </c>
      <c r="B3116" s="19" t="s">
        <v>20</v>
      </c>
      <c r="C3116" s="19" t="s">
        <v>21</v>
      </c>
      <c r="D3116" s="19" t="s">
        <v>20</v>
      </c>
      <c r="E3116" s="21">
        <v>46235</v>
      </c>
      <c r="F3116" s="21">
        <v>46599</v>
      </c>
      <c r="G3116" s="21"/>
      <c r="H3116" s="21">
        <v>46235</v>
      </c>
      <c r="I3116" s="21">
        <v>46599</v>
      </c>
      <c r="J3116" s="19" t="s">
        <v>2180</v>
      </c>
      <c r="L3116" s="19">
        <v>97.110020250000005</v>
      </c>
      <c r="M3116" s="19">
        <v>97.110020250000005</v>
      </c>
      <c r="N3116" s="19" t="s">
        <v>1475</v>
      </c>
      <c r="O3116" s="20">
        <v>3</v>
      </c>
      <c r="S3116" s="19" t="s">
        <v>20</v>
      </c>
      <c r="T3116" s="19" t="s">
        <v>1471</v>
      </c>
    </row>
    <row r="3117" spans="1:20">
      <c r="A3117" s="20">
        <v>202604333904446</v>
      </c>
      <c r="B3117" s="19" t="s">
        <v>20</v>
      </c>
      <c r="C3117" s="19" t="s">
        <v>21</v>
      </c>
      <c r="D3117" s="19" t="s">
        <v>20</v>
      </c>
      <c r="E3117" s="21">
        <v>46235</v>
      </c>
      <c r="F3117" s="21">
        <v>46599</v>
      </c>
      <c r="G3117" s="21"/>
      <c r="H3117" s="21">
        <v>46235</v>
      </c>
      <c r="I3117" s="21">
        <v>46599</v>
      </c>
      <c r="J3117" s="19" t="s">
        <v>2182</v>
      </c>
      <c r="L3117" s="19">
        <v>0</v>
      </c>
      <c r="M3117" s="19">
        <v>0</v>
      </c>
      <c r="N3117" s="19" t="s">
        <v>2394</v>
      </c>
      <c r="O3117" s="20">
        <v>3</v>
      </c>
      <c r="S3117" s="19" t="s">
        <v>20</v>
      </c>
      <c r="T3117" s="19" t="s">
        <v>1471</v>
      </c>
    </row>
    <row r="3118" spans="1:20">
      <c r="A3118" s="20">
        <v>202604333904446</v>
      </c>
      <c r="B3118" s="19" t="s">
        <v>20</v>
      </c>
      <c r="C3118" s="19" t="s">
        <v>21</v>
      </c>
      <c r="D3118" s="19" t="s">
        <v>20</v>
      </c>
      <c r="E3118" s="21">
        <v>46235</v>
      </c>
      <c r="F3118" s="21">
        <v>46599</v>
      </c>
      <c r="G3118" s="21"/>
      <c r="H3118" s="21">
        <v>46235</v>
      </c>
      <c r="I3118" s="21">
        <v>46599</v>
      </c>
      <c r="J3118" s="19" t="s">
        <v>2182</v>
      </c>
      <c r="L3118" s="19">
        <v>71.904872249999997</v>
      </c>
      <c r="M3118" s="19">
        <v>71.904872249999997</v>
      </c>
      <c r="N3118" s="19" t="s">
        <v>1475</v>
      </c>
      <c r="O3118" s="20">
        <v>3</v>
      </c>
      <c r="S3118" s="19" t="s">
        <v>20</v>
      </c>
      <c r="T3118" s="19" t="s">
        <v>1471</v>
      </c>
    </row>
    <row r="3119" spans="1:20">
      <c r="A3119" s="20">
        <v>202604333905593</v>
      </c>
      <c r="B3119" s="19" t="s">
        <v>20</v>
      </c>
      <c r="C3119" s="19" t="s">
        <v>21</v>
      </c>
      <c r="D3119" s="19" t="s">
        <v>20</v>
      </c>
      <c r="E3119" s="21">
        <v>46235</v>
      </c>
      <c r="F3119" s="21">
        <v>46599</v>
      </c>
      <c r="G3119" s="21"/>
      <c r="H3119" s="21">
        <v>46235</v>
      </c>
      <c r="I3119" s="21">
        <v>46599</v>
      </c>
      <c r="J3119" s="19" t="s">
        <v>2064</v>
      </c>
      <c r="L3119" s="19">
        <v>66.261260500000006</v>
      </c>
      <c r="M3119" s="19">
        <v>66.261260500000006</v>
      </c>
      <c r="N3119" s="19" t="s">
        <v>1475</v>
      </c>
      <c r="O3119" s="20">
        <v>2</v>
      </c>
      <c r="S3119" s="19" t="s">
        <v>20</v>
      </c>
      <c r="T3119" s="19" t="s">
        <v>1471</v>
      </c>
    </row>
    <row r="3120" spans="1:20">
      <c r="A3120" s="20">
        <v>202604333907311</v>
      </c>
      <c r="B3120" s="19" t="s">
        <v>20</v>
      </c>
      <c r="C3120" s="19" t="s">
        <v>21</v>
      </c>
      <c r="D3120" s="19" t="s">
        <v>20</v>
      </c>
      <c r="E3120" s="21">
        <v>46235</v>
      </c>
      <c r="F3120" s="21">
        <v>46599</v>
      </c>
      <c r="G3120" s="21"/>
      <c r="H3120" s="21">
        <v>46235</v>
      </c>
      <c r="I3120" s="21">
        <v>46599</v>
      </c>
      <c r="J3120" s="19" t="s">
        <v>2104</v>
      </c>
      <c r="L3120" s="19">
        <v>0</v>
      </c>
      <c r="M3120" s="19">
        <v>0</v>
      </c>
      <c r="N3120" s="19" t="s">
        <v>2394</v>
      </c>
      <c r="O3120" s="20">
        <v>7</v>
      </c>
      <c r="S3120" s="19" t="s">
        <v>20</v>
      </c>
      <c r="T3120" s="19" t="s">
        <v>1471</v>
      </c>
    </row>
    <row r="3121" spans="1:20">
      <c r="A3121" s="20">
        <v>202604333907311</v>
      </c>
      <c r="B3121" s="19" t="s">
        <v>20</v>
      </c>
      <c r="C3121" s="19" t="s">
        <v>21</v>
      </c>
      <c r="D3121" s="19" t="s">
        <v>2406</v>
      </c>
      <c r="E3121" s="21">
        <v>46235</v>
      </c>
      <c r="F3121" s="21">
        <v>46599</v>
      </c>
      <c r="G3121" s="21"/>
      <c r="H3121" s="21">
        <v>46235</v>
      </c>
      <c r="I3121" s="21">
        <v>46599</v>
      </c>
      <c r="J3121" s="19" t="s">
        <v>2104</v>
      </c>
      <c r="L3121" s="19">
        <v>231.91441175</v>
      </c>
      <c r="M3121" s="19">
        <v>231.91441175</v>
      </c>
      <c r="N3121" s="19" t="s">
        <v>1467</v>
      </c>
      <c r="O3121" s="20">
        <v>7</v>
      </c>
      <c r="S3121" s="19" t="s">
        <v>20</v>
      </c>
      <c r="T3121" s="19" t="s">
        <v>1471</v>
      </c>
    </row>
    <row r="3122" spans="1:20">
      <c r="A3122" s="20">
        <v>202604333907476</v>
      </c>
      <c r="B3122" s="19" t="s">
        <v>20</v>
      </c>
      <c r="C3122" s="19" t="s">
        <v>21</v>
      </c>
      <c r="D3122" s="19" t="s">
        <v>20</v>
      </c>
      <c r="E3122" s="21">
        <v>46235</v>
      </c>
      <c r="F3122" s="21">
        <v>46599</v>
      </c>
      <c r="G3122" s="21"/>
      <c r="H3122" s="21">
        <v>46235</v>
      </c>
      <c r="I3122" s="21">
        <v>46599</v>
      </c>
      <c r="J3122" s="19" t="s">
        <v>2114</v>
      </c>
      <c r="L3122" s="19">
        <v>0</v>
      </c>
      <c r="M3122" s="19">
        <v>0</v>
      </c>
      <c r="N3122" s="19" t="s">
        <v>2394</v>
      </c>
      <c r="O3122" s="20">
        <v>3</v>
      </c>
      <c r="S3122" s="19" t="s">
        <v>20</v>
      </c>
      <c r="T3122" s="19" t="s">
        <v>1471</v>
      </c>
    </row>
    <row r="3123" spans="1:20">
      <c r="A3123" s="20">
        <v>202604333907476</v>
      </c>
      <c r="B3123" s="19" t="s">
        <v>20</v>
      </c>
      <c r="C3123" s="19" t="s">
        <v>21</v>
      </c>
      <c r="D3123" s="19" t="s">
        <v>20</v>
      </c>
      <c r="E3123" s="21">
        <v>46235</v>
      </c>
      <c r="F3123" s="21">
        <v>46599</v>
      </c>
      <c r="G3123" s="21"/>
      <c r="H3123" s="21">
        <v>46235</v>
      </c>
      <c r="I3123" s="21">
        <v>46599</v>
      </c>
      <c r="J3123" s="19" t="s">
        <v>2114</v>
      </c>
      <c r="L3123" s="19">
        <v>99.391890750000002</v>
      </c>
      <c r="M3123" s="19">
        <v>99.391890750000002</v>
      </c>
      <c r="N3123" s="19" t="s">
        <v>1475</v>
      </c>
      <c r="O3123" s="20">
        <v>3</v>
      </c>
      <c r="S3123" s="19" t="s">
        <v>20</v>
      </c>
      <c r="T3123" s="19" t="s">
        <v>1471</v>
      </c>
    </row>
    <row r="3124" spans="1:20">
      <c r="A3124" s="20">
        <v>202604333915730</v>
      </c>
      <c r="B3124" s="19" t="s">
        <v>20</v>
      </c>
      <c r="C3124" s="19" t="s">
        <v>21</v>
      </c>
      <c r="D3124" s="19" t="s">
        <v>20</v>
      </c>
      <c r="E3124" s="21">
        <v>46235</v>
      </c>
      <c r="F3124" s="21">
        <v>46599</v>
      </c>
      <c r="G3124" s="21"/>
      <c r="H3124" s="21">
        <v>46235</v>
      </c>
      <c r="I3124" s="21">
        <v>46599</v>
      </c>
      <c r="J3124" s="19" t="s">
        <v>2064</v>
      </c>
      <c r="L3124" s="19">
        <v>0</v>
      </c>
      <c r="M3124" s="19">
        <v>0</v>
      </c>
      <c r="N3124" s="19" t="s">
        <v>2394</v>
      </c>
      <c r="O3124" s="20">
        <v>2</v>
      </c>
      <c r="S3124" s="19" t="s">
        <v>20</v>
      </c>
      <c r="T3124" s="19" t="s">
        <v>1471</v>
      </c>
    </row>
    <row r="3125" spans="1:20">
      <c r="A3125" s="20">
        <v>202604333915730</v>
      </c>
      <c r="B3125" s="19" t="s">
        <v>20</v>
      </c>
      <c r="C3125" s="19" t="s">
        <v>21</v>
      </c>
      <c r="D3125" s="19" t="s">
        <v>20</v>
      </c>
      <c r="E3125" s="21">
        <v>46235</v>
      </c>
      <c r="F3125" s="21">
        <v>46599</v>
      </c>
      <c r="G3125" s="21"/>
      <c r="H3125" s="21">
        <v>46235</v>
      </c>
      <c r="I3125" s="21">
        <v>46599</v>
      </c>
      <c r="J3125" s="19" t="s">
        <v>2064</v>
      </c>
      <c r="L3125" s="19">
        <v>66.261260500000006</v>
      </c>
      <c r="M3125" s="19">
        <v>66.261260500000006</v>
      </c>
      <c r="N3125" s="19" t="s">
        <v>1475</v>
      </c>
      <c r="O3125" s="20">
        <v>2</v>
      </c>
      <c r="S3125" s="19" t="s">
        <v>20</v>
      </c>
      <c r="T3125" s="19" t="s">
        <v>1471</v>
      </c>
    </row>
    <row r="3126" spans="1:20">
      <c r="A3126" s="20">
        <v>202604333918277</v>
      </c>
      <c r="B3126" s="19" t="s">
        <v>20</v>
      </c>
      <c r="C3126" s="19" t="s">
        <v>21</v>
      </c>
      <c r="D3126" s="19" t="s">
        <v>20</v>
      </c>
      <c r="E3126" s="21">
        <v>46235</v>
      </c>
      <c r="F3126" s="21">
        <v>46599</v>
      </c>
      <c r="G3126" s="21"/>
      <c r="H3126" s="21">
        <v>46235</v>
      </c>
      <c r="I3126" s="21">
        <v>46599</v>
      </c>
      <c r="J3126" s="19" t="s">
        <v>2085</v>
      </c>
      <c r="L3126" s="19">
        <v>0</v>
      </c>
      <c r="M3126" s="19">
        <v>0</v>
      </c>
      <c r="N3126" s="19" t="s">
        <v>2394</v>
      </c>
      <c r="O3126" s="20">
        <v>4</v>
      </c>
      <c r="S3126" s="19" t="s">
        <v>20</v>
      </c>
      <c r="T3126" s="19" t="s">
        <v>1471</v>
      </c>
    </row>
    <row r="3127" spans="1:20">
      <c r="A3127" s="20">
        <v>202604333918277</v>
      </c>
      <c r="B3127" s="19" t="s">
        <v>20</v>
      </c>
      <c r="C3127" s="19" t="s">
        <v>21</v>
      </c>
      <c r="D3127" s="19" t="s">
        <v>20</v>
      </c>
      <c r="E3127" s="21">
        <v>46235</v>
      </c>
      <c r="F3127" s="21">
        <v>46599</v>
      </c>
      <c r="G3127" s="21"/>
      <c r="H3127" s="21">
        <v>46235</v>
      </c>
      <c r="I3127" s="21">
        <v>46599</v>
      </c>
      <c r="J3127" s="19" t="s">
        <v>2085</v>
      </c>
      <c r="L3127" s="19">
        <v>98.482693999999995</v>
      </c>
      <c r="M3127" s="19">
        <v>98.482693999999995</v>
      </c>
      <c r="N3127" s="19" t="s">
        <v>1475</v>
      </c>
      <c r="O3127" s="20">
        <v>4</v>
      </c>
      <c r="S3127" s="19" t="s">
        <v>20</v>
      </c>
      <c r="T3127" s="19" t="s">
        <v>1471</v>
      </c>
    </row>
    <row r="3128" spans="1:20">
      <c r="A3128" s="20">
        <v>202604333919449</v>
      </c>
      <c r="B3128" s="19" t="s">
        <v>20</v>
      </c>
      <c r="C3128" s="19" t="s">
        <v>21</v>
      </c>
      <c r="D3128" s="19" t="s">
        <v>20</v>
      </c>
      <c r="E3128" s="21">
        <v>46235</v>
      </c>
      <c r="F3128" s="21">
        <v>46599</v>
      </c>
      <c r="G3128" s="21"/>
      <c r="H3128" s="21">
        <v>46235</v>
      </c>
      <c r="I3128" s="21">
        <v>46599</v>
      </c>
      <c r="J3128" s="19" t="s">
        <v>2404</v>
      </c>
      <c r="L3128" s="19">
        <v>0</v>
      </c>
      <c r="M3128" s="19">
        <v>0</v>
      </c>
      <c r="N3128" s="19" t="s">
        <v>2394</v>
      </c>
      <c r="O3128" s="20">
        <v>2</v>
      </c>
      <c r="S3128" s="19" t="s">
        <v>20</v>
      </c>
      <c r="T3128" s="19" t="s">
        <v>1471</v>
      </c>
    </row>
    <row r="3129" spans="1:20">
      <c r="A3129" s="20">
        <v>202604333919449</v>
      </c>
      <c r="B3129" s="19" t="s">
        <v>20</v>
      </c>
      <c r="C3129" s="19" t="s">
        <v>21</v>
      </c>
      <c r="D3129" s="19" t="s">
        <v>2405</v>
      </c>
      <c r="E3129" s="21">
        <v>46235</v>
      </c>
      <c r="F3129" s="21">
        <v>46599</v>
      </c>
      <c r="G3129" s="21"/>
      <c r="H3129" s="21">
        <v>46235</v>
      </c>
      <c r="I3129" s="21">
        <v>46599</v>
      </c>
      <c r="J3129" s="19" t="s">
        <v>2404</v>
      </c>
      <c r="L3129" s="19">
        <v>39.831646999999997</v>
      </c>
      <c r="M3129" s="19">
        <v>39.831646999999997</v>
      </c>
      <c r="N3129" s="19" t="s">
        <v>1467</v>
      </c>
      <c r="O3129" s="20">
        <v>2</v>
      </c>
      <c r="S3129" s="19" t="s">
        <v>20</v>
      </c>
      <c r="T3129" s="19" t="s">
        <v>1471</v>
      </c>
    </row>
    <row r="3130" spans="1:20">
      <c r="A3130" s="20">
        <v>202604333920033</v>
      </c>
      <c r="B3130" s="19" t="s">
        <v>20</v>
      </c>
      <c r="C3130" s="19" t="s">
        <v>21</v>
      </c>
      <c r="D3130" s="19" t="s">
        <v>20</v>
      </c>
      <c r="E3130" s="21">
        <v>46235</v>
      </c>
      <c r="F3130" s="21">
        <v>46599</v>
      </c>
      <c r="G3130" s="21"/>
      <c r="H3130" s="21">
        <v>46235</v>
      </c>
      <c r="I3130" s="21">
        <v>46599</v>
      </c>
      <c r="J3130" s="19" t="s">
        <v>2099</v>
      </c>
      <c r="L3130" s="19">
        <v>0</v>
      </c>
      <c r="M3130" s="19">
        <v>0</v>
      </c>
      <c r="N3130" s="19" t="s">
        <v>2394</v>
      </c>
      <c r="O3130" s="20">
        <v>3</v>
      </c>
      <c r="S3130" s="19" t="s">
        <v>20</v>
      </c>
      <c r="T3130" s="19" t="s">
        <v>1471</v>
      </c>
    </row>
    <row r="3131" spans="1:20">
      <c r="A3131" s="20">
        <v>202604333920033</v>
      </c>
      <c r="B3131" s="19" t="s">
        <v>20</v>
      </c>
      <c r="C3131" s="19" t="s">
        <v>21</v>
      </c>
      <c r="D3131" s="19" t="s">
        <v>20</v>
      </c>
      <c r="E3131" s="21">
        <v>46235</v>
      </c>
      <c r="F3131" s="21">
        <v>46599</v>
      </c>
      <c r="G3131" s="21"/>
      <c r="H3131" s="21">
        <v>46235</v>
      </c>
      <c r="I3131" s="21">
        <v>46599</v>
      </c>
      <c r="J3131" s="19" t="s">
        <v>2099</v>
      </c>
      <c r="L3131" s="19">
        <v>78.776052000000007</v>
      </c>
      <c r="M3131" s="19">
        <v>78.776052000000007</v>
      </c>
      <c r="N3131" s="19" t="s">
        <v>1475</v>
      </c>
      <c r="O3131" s="20">
        <v>3</v>
      </c>
      <c r="S3131" s="19" t="s">
        <v>20</v>
      </c>
      <c r="T3131" s="19" t="s">
        <v>1471</v>
      </c>
    </row>
    <row r="3132" spans="1:20">
      <c r="A3132" s="20">
        <v>202604333921505</v>
      </c>
      <c r="B3132" s="19" t="s">
        <v>20</v>
      </c>
      <c r="C3132" s="19" t="s">
        <v>21</v>
      </c>
      <c r="D3132" s="19" t="s">
        <v>20</v>
      </c>
      <c r="E3132" s="21">
        <v>46235</v>
      </c>
      <c r="F3132" s="21">
        <v>46599</v>
      </c>
      <c r="G3132" s="21"/>
      <c r="H3132" s="21">
        <v>46235</v>
      </c>
      <c r="I3132" s="21">
        <v>46599</v>
      </c>
      <c r="J3132" s="19" t="s">
        <v>2069</v>
      </c>
      <c r="L3132" s="19">
        <v>33.130630250000003</v>
      </c>
      <c r="M3132" s="19">
        <v>33.130630250000003</v>
      </c>
      <c r="N3132" s="19" t="s">
        <v>1475</v>
      </c>
      <c r="O3132" s="20">
        <v>1</v>
      </c>
      <c r="S3132" s="19" t="s">
        <v>20</v>
      </c>
      <c r="T3132" s="19" t="s">
        <v>1471</v>
      </c>
    </row>
    <row r="3133" spans="1:20">
      <c r="A3133" s="20">
        <v>202604333923105</v>
      </c>
      <c r="B3133" s="19" t="s">
        <v>20</v>
      </c>
      <c r="C3133" s="19" t="s">
        <v>21</v>
      </c>
      <c r="D3133" s="19" t="s">
        <v>20</v>
      </c>
      <c r="E3133" s="21">
        <v>46235</v>
      </c>
      <c r="F3133" s="21">
        <v>46599</v>
      </c>
      <c r="G3133" s="21"/>
      <c r="H3133" s="21">
        <v>46235</v>
      </c>
      <c r="I3133" s="21">
        <v>46599</v>
      </c>
      <c r="J3133" s="19" t="s">
        <v>2087</v>
      </c>
      <c r="L3133" s="19">
        <v>66.261260500000006</v>
      </c>
      <c r="M3133" s="19">
        <v>66.261260500000006</v>
      </c>
      <c r="N3133" s="19" t="s">
        <v>1475</v>
      </c>
      <c r="O3133" s="20">
        <v>2</v>
      </c>
      <c r="S3133" s="19" t="s">
        <v>20</v>
      </c>
      <c r="T3133" s="19" t="s">
        <v>1471</v>
      </c>
    </row>
    <row r="3134" spans="1:20">
      <c r="A3134" s="20">
        <v>202604333927150</v>
      </c>
      <c r="B3134" s="19" t="s">
        <v>20</v>
      </c>
      <c r="C3134" s="19" t="s">
        <v>21</v>
      </c>
      <c r="D3134" s="19" t="s">
        <v>20</v>
      </c>
      <c r="E3134" s="21">
        <v>46235</v>
      </c>
      <c r="F3134" s="21">
        <v>46599</v>
      </c>
      <c r="G3134" s="21"/>
      <c r="H3134" s="21">
        <v>46235</v>
      </c>
      <c r="I3134" s="21">
        <v>46599</v>
      </c>
      <c r="J3134" s="19" t="s">
        <v>2196</v>
      </c>
      <c r="L3134" s="19">
        <v>0</v>
      </c>
      <c r="M3134" s="19">
        <v>0</v>
      </c>
      <c r="N3134" s="19" t="s">
        <v>2394</v>
      </c>
      <c r="O3134" s="20">
        <v>2</v>
      </c>
      <c r="S3134" s="19" t="s">
        <v>20</v>
      </c>
      <c r="T3134" s="19" t="s">
        <v>1471</v>
      </c>
    </row>
    <row r="3135" spans="1:20">
      <c r="A3135" s="20">
        <v>202604333927150</v>
      </c>
      <c r="B3135" s="19" t="s">
        <v>20</v>
      </c>
      <c r="C3135" s="19" t="s">
        <v>21</v>
      </c>
      <c r="D3135" s="19" t="s">
        <v>20</v>
      </c>
      <c r="E3135" s="21">
        <v>46235</v>
      </c>
      <c r="F3135" s="21">
        <v>46599</v>
      </c>
      <c r="G3135" s="21"/>
      <c r="H3135" s="21">
        <v>46235</v>
      </c>
      <c r="I3135" s="21">
        <v>46599</v>
      </c>
      <c r="J3135" s="19" t="s">
        <v>2196</v>
      </c>
      <c r="L3135" s="19">
        <v>47.936581500000003</v>
      </c>
      <c r="M3135" s="19">
        <v>47.936581500000003</v>
      </c>
      <c r="N3135" s="19" t="s">
        <v>1475</v>
      </c>
      <c r="O3135" s="20">
        <v>2</v>
      </c>
      <c r="S3135" s="19" t="s">
        <v>20</v>
      </c>
      <c r="T3135" s="19" t="s">
        <v>1471</v>
      </c>
    </row>
    <row r="3136" spans="1:20">
      <c r="A3136" s="20">
        <v>202604333927396</v>
      </c>
      <c r="B3136" s="19" t="s">
        <v>20</v>
      </c>
      <c r="C3136" s="19" t="s">
        <v>21</v>
      </c>
      <c r="D3136" s="19" t="s">
        <v>20</v>
      </c>
      <c r="E3136" s="21">
        <v>46235</v>
      </c>
      <c r="F3136" s="21">
        <v>46599</v>
      </c>
      <c r="G3136" s="21"/>
      <c r="H3136" s="21">
        <v>46235</v>
      </c>
      <c r="I3136" s="21">
        <v>46599</v>
      </c>
      <c r="J3136" s="19" t="s">
        <v>2159</v>
      </c>
      <c r="L3136" s="19">
        <v>33.130630250000003</v>
      </c>
      <c r="M3136" s="19">
        <v>33.130630250000003</v>
      </c>
      <c r="N3136" s="19" t="s">
        <v>1475</v>
      </c>
      <c r="O3136" s="20">
        <v>1</v>
      </c>
      <c r="S3136" s="19" t="s">
        <v>20</v>
      </c>
      <c r="T3136" s="19" t="s">
        <v>1471</v>
      </c>
    </row>
    <row r="3137" spans="1:20">
      <c r="A3137" s="20">
        <v>202604333927979</v>
      </c>
      <c r="B3137" s="19" t="s">
        <v>20</v>
      </c>
      <c r="C3137" s="19" t="s">
        <v>21</v>
      </c>
      <c r="D3137" s="19" t="s">
        <v>20</v>
      </c>
      <c r="E3137" s="21">
        <v>46235</v>
      </c>
      <c r="F3137" s="21">
        <v>46599</v>
      </c>
      <c r="G3137" s="21"/>
      <c r="H3137" s="21">
        <v>46235</v>
      </c>
      <c r="I3137" s="21">
        <v>46599</v>
      </c>
      <c r="J3137" s="19" t="s">
        <v>2064</v>
      </c>
      <c r="L3137" s="19">
        <v>0</v>
      </c>
      <c r="M3137" s="19">
        <v>0</v>
      </c>
      <c r="N3137" s="19" t="s">
        <v>2394</v>
      </c>
      <c r="O3137" s="20">
        <v>4</v>
      </c>
      <c r="S3137" s="19" t="s">
        <v>20</v>
      </c>
      <c r="T3137" s="19" t="s">
        <v>1471</v>
      </c>
    </row>
    <row r="3138" spans="1:20">
      <c r="A3138" s="20">
        <v>202604333927979</v>
      </c>
      <c r="B3138" s="19" t="s">
        <v>20</v>
      </c>
      <c r="C3138" s="19" t="s">
        <v>21</v>
      </c>
      <c r="D3138" s="19" t="s">
        <v>20</v>
      </c>
      <c r="E3138" s="21">
        <v>46235</v>
      </c>
      <c r="F3138" s="21">
        <v>46599</v>
      </c>
      <c r="G3138" s="21"/>
      <c r="H3138" s="21">
        <v>46235</v>
      </c>
      <c r="I3138" s="21">
        <v>46599</v>
      </c>
      <c r="J3138" s="19" t="s">
        <v>2064</v>
      </c>
      <c r="L3138" s="19">
        <v>132.52252100000001</v>
      </c>
      <c r="M3138" s="19">
        <v>132.52252100000001</v>
      </c>
      <c r="N3138" s="19" t="s">
        <v>1475</v>
      </c>
      <c r="O3138" s="20">
        <v>4</v>
      </c>
      <c r="S3138" s="19" t="s">
        <v>20</v>
      </c>
      <c r="T3138" s="19" t="s">
        <v>1471</v>
      </c>
    </row>
    <row r="3139" spans="1:20">
      <c r="A3139" s="20">
        <v>202604333928474</v>
      </c>
      <c r="B3139" s="19" t="s">
        <v>20</v>
      </c>
      <c r="C3139" s="19" t="s">
        <v>21</v>
      </c>
      <c r="D3139" s="19" t="s">
        <v>20</v>
      </c>
      <c r="E3139" s="21">
        <v>46235</v>
      </c>
      <c r="F3139" s="21">
        <v>46599</v>
      </c>
      <c r="G3139" s="21"/>
      <c r="H3139" s="21">
        <v>46235</v>
      </c>
      <c r="I3139" s="21">
        <v>46599</v>
      </c>
      <c r="J3139" s="19" t="s">
        <v>2104</v>
      </c>
      <c r="L3139" s="19">
        <v>33.130630250000003</v>
      </c>
      <c r="M3139" s="19">
        <v>33.130630250000003</v>
      </c>
      <c r="N3139" s="19" t="s">
        <v>1475</v>
      </c>
      <c r="O3139" s="20">
        <v>1</v>
      </c>
      <c r="S3139" s="19" t="s">
        <v>20</v>
      </c>
      <c r="T3139" s="19" t="s">
        <v>1471</v>
      </c>
    </row>
    <row r="3140" spans="1:20">
      <c r="A3140" s="20">
        <v>202604333928772</v>
      </c>
      <c r="B3140" s="19" t="s">
        <v>20</v>
      </c>
      <c r="C3140" s="19" t="s">
        <v>21</v>
      </c>
      <c r="D3140" s="19" t="s">
        <v>20</v>
      </c>
      <c r="E3140" s="21">
        <v>46235</v>
      </c>
      <c r="F3140" s="21">
        <v>46599</v>
      </c>
      <c r="G3140" s="21"/>
      <c r="H3140" s="21">
        <v>46235</v>
      </c>
      <c r="I3140" s="21">
        <v>46599</v>
      </c>
      <c r="J3140" s="19" t="s">
        <v>2118</v>
      </c>
      <c r="L3140" s="19">
        <v>0</v>
      </c>
      <c r="M3140" s="19">
        <v>0</v>
      </c>
      <c r="N3140" s="19" t="s">
        <v>2394</v>
      </c>
      <c r="O3140" s="20">
        <v>5</v>
      </c>
      <c r="S3140" s="19" t="s">
        <v>20</v>
      </c>
      <c r="T3140" s="19" t="s">
        <v>1471</v>
      </c>
    </row>
    <row r="3141" spans="1:20">
      <c r="A3141" s="20">
        <v>202604333928772</v>
      </c>
      <c r="B3141" s="19" t="s">
        <v>20</v>
      </c>
      <c r="C3141" s="19" t="s">
        <v>21</v>
      </c>
      <c r="D3141" s="19" t="s">
        <v>20</v>
      </c>
      <c r="E3141" s="21">
        <v>46235</v>
      </c>
      <c r="F3141" s="21">
        <v>46599</v>
      </c>
      <c r="G3141" s="21"/>
      <c r="H3141" s="21">
        <v>46235</v>
      </c>
      <c r="I3141" s="21">
        <v>46599</v>
      </c>
      <c r="J3141" s="19" t="s">
        <v>2118</v>
      </c>
      <c r="L3141" s="19">
        <v>165.65315125000001</v>
      </c>
      <c r="M3141" s="19">
        <v>165.65315125000001</v>
      </c>
      <c r="N3141" s="19" t="s">
        <v>1475</v>
      </c>
      <c r="O3141" s="20">
        <v>5</v>
      </c>
      <c r="S3141" s="19" t="s">
        <v>20</v>
      </c>
      <c r="T3141" s="19" t="s">
        <v>1471</v>
      </c>
    </row>
    <row r="3142" spans="1:20">
      <c r="A3142" s="20">
        <v>202604333929506</v>
      </c>
      <c r="B3142" s="19" t="s">
        <v>20</v>
      </c>
      <c r="C3142" s="19" t="s">
        <v>21</v>
      </c>
      <c r="D3142" s="19" t="s">
        <v>20</v>
      </c>
      <c r="E3142" s="21">
        <v>46235</v>
      </c>
      <c r="F3142" s="21">
        <v>46599</v>
      </c>
      <c r="G3142" s="21"/>
      <c r="H3142" s="21">
        <v>46235</v>
      </c>
      <c r="I3142" s="21">
        <v>46599</v>
      </c>
      <c r="J3142" s="19" t="s">
        <v>2064</v>
      </c>
      <c r="L3142" s="19">
        <v>33.130630250000003</v>
      </c>
      <c r="M3142" s="19">
        <v>33.130630250000003</v>
      </c>
      <c r="N3142" s="19" t="s">
        <v>1475</v>
      </c>
      <c r="O3142" s="20">
        <v>1</v>
      </c>
      <c r="S3142" s="19" t="s">
        <v>20</v>
      </c>
      <c r="T3142" s="19" t="s">
        <v>1471</v>
      </c>
    </row>
    <row r="3143" spans="1:20">
      <c r="A3143" s="20">
        <v>202604333931304</v>
      </c>
      <c r="B3143" s="19" t="s">
        <v>20</v>
      </c>
      <c r="C3143" s="19" t="s">
        <v>21</v>
      </c>
      <c r="D3143" s="19" t="s">
        <v>20</v>
      </c>
      <c r="E3143" s="21">
        <v>46235</v>
      </c>
      <c r="F3143" s="21">
        <v>46599</v>
      </c>
      <c r="G3143" s="21"/>
      <c r="H3143" s="21">
        <v>46235</v>
      </c>
      <c r="I3143" s="21">
        <v>46599</v>
      </c>
      <c r="J3143" s="19" t="s">
        <v>1473</v>
      </c>
      <c r="L3143" s="19">
        <v>24.620673499999999</v>
      </c>
      <c r="M3143" s="19">
        <v>24.620673499999999</v>
      </c>
      <c r="N3143" s="19" t="s">
        <v>1475</v>
      </c>
      <c r="O3143" s="20">
        <v>1</v>
      </c>
      <c r="S3143" s="19" t="s">
        <v>20</v>
      </c>
      <c r="T3143" s="19" t="s">
        <v>1471</v>
      </c>
    </row>
    <row r="3144" spans="1:20">
      <c r="A3144" s="20">
        <v>202604333932232</v>
      </c>
      <c r="B3144" s="19" t="s">
        <v>20</v>
      </c>
      <c r="C3144" s="19" t="s">
        <v>21</v>
      </c>
      <c r="D3144" s="19" t="s">
        <v>20</v>
      </c>
      <c r="E3144" s="21">
        <v>46235</v>
      </c>
      <c r="F3144" s="21">
        <v>46599</v>
      </c>
      <c r="G3144" s="21"/>
      <c r="H3144" s="21">
        <v>46235</v>
      </c>
      <c r="I3144" s="21">
        <v>46599</v>
      </c>
      <c r="J3144" s="19" t="s">
        <v>2129</v>
      </c>
      <c r="L3144" s="19">
        <v>0</v>
      </c>
      <c r="M3144" s="19">
        <v>0</v>
      </c>
      <c r="N3144" s="19" t="s">
        <v>2394</v>
      </c>
      <c r="O3144" s="20">
        <v>2</v>
      </c>
      <c r="S3144" s="19" t="s">
        <v>20</v>
      </c>
      <c r="T3144" s="19" t="s">
        <v>1471</v>
      </c>
    </row>
    <row r="3145" spans="1:20">
      <c r="A3145" s="20">
        <v>202604333932232</v>
      </c>
      <c r="B3145" s="19" t="s">
        <v>20</v>
      </c>
      <c r="C3145" s="19" t="s">
        <v>21</v>
      </c>
      <c r="D3145" s="19" t="s">
        <v>20</v>
      </c>
      <c r="E3145" s="21">
        <v>46235</v>
      </c>
      <c r="F3145" s="21">
        <v>46599</v>
      </c>
      <c r="G3145" s="21"/>
      <c r="H3145" s="21">
        <v>46235</v>
      </c>
      <c r="I3145" s="21">
        <v>46599</v>
      </c>
      <c r="J3145" s="19" t="s">
        <v>2129</v>
      </c>
      <c r="L3145" s="19">
        <v>66.261260500000006</v>
      </c>
      <c r="M3145" s="19">
        <v>66.261260500000006</v>
      </c>
      <c r="N3145" s="19" t="s">
        <v>1475</v>
      </c>
      <c r="O3145" s="20">
        <v>2</v>
      </c>
      <c r="S3145" s="19" t="s">
        <v>20</v>
      </c>
      <c r="T3145" s="19" t="s">
        <v>1471</v>
      </c>
    </row>
    <row r="3146" spans="1:20">
      <c r="A3146" s="20">
        <v>202604333934741</v>
      </c>
      <c r="B3146" s="19" t="s">
        <v>20</v>
      </c>
      <c r="C3146" s="19" t="s">
        <v>21</v>
      </c>
      <c r="D3146" s="19" t="s">
        <v>20</v>
      </c>
      <c r="E3146" s="21">
        <v>46235</v>
      </c>
      <c r="F3146" s="21">
        <v>46599</v>
      </c>
      <c r="G3146" s="21"/>
      <c r="H3146" s="21">
        <v>46235</v>
      </c>
      <c r="I3146" s="21">
        <v>46599</v>
      </c>
      <c r="J3146" s="19" t="s">
        <v>2135</v>
      </c>
      <c r="L3146" s="19">
        <v>0</v>
      </c>
      <c r="M3146" s="19">
        <v>0</v>
      </c>
      <c r="N3146" s="19" t="s">
        <v>2394</v>
      </c>
      <c r="O3146" s="20">
        <v>5</v>
      </c>
      <c r="S3146" s="19" t="s">
        <v>20</v>
      </c>
      <c r="T3146" s="19" t="s">
        <v>1471</v>
      </c>
    </row>
    <row r="3147" spans="1:20">
      <c r="A3147" s="20">
        <v>202604333934741</v>
      </c>
      <c r="B3147" s="19" t="s">
        <v>20</v>
      </c>
      <c r="C3147" s="19" t="s">
        <v>21</v>
      </c>
      <c r="D3147" s="19" t="s">
        <v>20</v>
      </c>
      <c r="E3147" s="21">
        <v>46235</v>
      </c>
      <c r="F3147" s="21">
        <v>46599</v>
      </c>
      <c r="G3147" s="21"/>
      <c r="H3147" s="21">
        <v>46235</v>
      </c>
      <c r="I3147" s="21">
        <v>46599</v>
      </c>
      <c r="J3147" s="19" t="s">
        <v>2135</v>
      </c>
      <c r="L3147" s="19">
        <v>165.65315125000001</v>
      </c>
      <c r="M3147" s="19">
        <v>165.65315125000001</v>
      </c>
      <c r="N3147" s="19" t="s">
        <v>1475</v>
      </c>
      <c r="O3147" s="20">
        <v>5</v>
      </c>
      <c r="S3147" s="19" t="s">
        <v>20</v>
      </c>
      <c r="T3147" s="19" t="s">
        <v>1471</v>
      </c>
    </row>
    <row r="3148" spans="1:20">
      <c r="A3148" s="20">
        <v>202604333936894</v>
      </c>
      <c r="B3148" s="19" t="s">
        <v>20</v>
      </c>
      <c r="C3148" s="19" t="s">
        <v>21</v>
      </c>
      <c r="D3148" s="19" t="s">
        <v>20</v>
      </c>
      <c r="E3148" s="21">
        <v>46235</v>
      </c>
      <c r="F3148" s="21">
        <v>46599</v>
      </c>
      <c r="G3148" s="21"/>
      <c r="H3148" s="21">
        <v>46235</v>
      </c>
      <c r="I3148" s="21">
        <v>46599</v>
      </c>
      <c r="J3148" s="19" t="s">
        <v>2190</v>
      </c>
      <c r="L3148" s="19">
        <v>0</v>
      </c>
      <c r="M3148" s="19">
        <v>0</v>
      </c>
      <c r="N3148" s="19" t="s">
        <v>2394</v>
      </c>
      <c r="O3148" s="20">
        <v>3</v>
      </c>
      <c r="S3148" s="19" t="s">
        <v>20</v>
      </c>
      <c r="T3148" s="19" t="s">
        <v>1471</v>
      </c>
    </row>
    <row r="3149" spans="1:20">
      <c r="A3149" s="20">
        <v>202604333936894</v>
      </c>
      <c r="B3149" s="19" t="s">
        <v>20</v>
      </c>
      <c r="C3149" s="19" t="s">
        <v>21</v>
      </c>
      <c r="D3149" s="19" t="s">
        <v>2403</v>
      </c>
      <c r="E3149" s="21">
        <v>46235</v>
      </c>
      <c r="F3149" s="21">
        <v>46599</v>
      </c>
      <c r="G3149" s="21"/>
      <c r="H3149" s="21">
        <v>46235</v>
      </c>
      <c r="I3149" s="21">
        <v>46599</v>
      </c>
      <c r="J3149" s="19" t="s">
        <v>2190</v>
      </c>
      <c r="L3149" s="19">
        <v>99.391890750000002</v>
      </c>
      <c r="M3149" s="19">
        <v>99.391890750000002</v>
      </c>
      <c r="N3149" s="19" t="s">
        <v>1467</v>
      </c>
      <c r="O3149" s="20">
        <v>3</v>
      </c>
      <c r="S3149" s="19" t="s">
        <v>20</v>
      </c>
      <c r="T3149" s="19" t="s">
        <v>1471</v>
      </c>
    </row>
    <row r="3150" spans="1:20">
      <c r="A3150" s="20">
        <v>202604333938451</v>
      </c>
      <c r="B3150" s="19" t="s">
        <v>20</v>
      </c>
      <c r="C3150" s="19" t="s">
        <v>21</v>
      </c>
      <c r="D3150" s="19" t="s">
        <v>20</v>
      </c>
      <c r="E3150" s="21">
        <v>46235</v>
      </c>
      <c r="F3150" s="21">
        <v>46599</v>
      </c>
      <c r="G3150" s="21"/>
      <c r="H3150" s="21">
        <v>46235</v>
      </c>
      <c r="I3150" s="21">
        <v>46599</v>
      </c>
      <c r="J3150" s="19" t="s">
        <v>2083</v>
      </c>
      <c r="L3150" s="19">
        <v>0</v>
      </c>
      <c r="M3150" s="19">
        <v>0</v>
      </c>
      <c r="N3150" s="19" t="s">
        <v>2394</v>
      </c>
      <c r="O3150" s="20">
        <v>6</v>
      </c>
      <c r="S3150" s="19" t="s">
        <v>20</v>
      </c>
      <c r="T3150" s="19" t="s">
        <v>1471</v>
      </c>
    </row>
    <row r="3151" spans="1:20">
      <c r="A3151" s="20">
        <v>202604333938451</v>
      </c>
      <c r="B3151" s="19" t="s">
        <v>20</v>
      </c>
      <c r="C3151" s="19" t="s">
        <v>21</v>
      </c>
      <c r="D3151" s="19" t="s">
        <v>20</v>
      </c>
      <c r="E3151" s="21">
        <v>46235</v>
      </c>
      <c r="F3151" s="21">
        <v>46599</v>
      </c>
      <c r="G3151" s="21"/>
      <c r="H3151" s="21">
        <v>46235</v>
      </c>
      <c r="I3151" s="21">
        <v>46599</v>
      </c>
      <c r="J3151" s="19" t="s">
        <v>2083</v>
      </c>
      <c r="L3151" s="19">
        <v>198.7837815</v>
      </c>
      <c r="M3151" s="19">
        <v>198.7837815</v>
      </c>
      <c r="N3151" s="19" t="s">
        <v>1475</v>
      </c>
      <c r="O3151" s="20">
        <v>6</v>
      </c>
      <c r="S3151" s="19" t="s">
        <v>20</v>
      </c>
      <c r="T3151" s="19" t="s">
        <v>1471</v>
      </c>
    </row>
    <row r="3152" spans="1:20">
      <c r="A3152" s="20">
        <v>202604333938919</v>
      </c>
      <c r="B3152" s="19" t="s">
        <v>20</v>
      </c>
      <c r="C3152" s="19" t="s">
        <v>21</v>
      </c>
      <c r="D3152" s="19" t="s">
        <v>20</v>
      </c>
      <c r="E3152" s="21">
        <v>46235</v>
      </c>
      <c r="F3152" s="21">
        <v>46599</v>
      </c>
      <c r="G3152" s="21"/>
      <c r="H3152" s="21">
        <v>46235</v>
      </c>
      <c r="I3152" s="21">
        <v>46599</v>
      </c>
      <c r="J3152" s="19" t="s">
        <v>2184</v>
      </c>
      <c r="L3152" s="19">
        <v>0</v>
      </c>
      <c r="M3152" s="19">
        <v>0</v>
      </c>
      <c r="N3152" s="19" t="s">
        <v>2394</v>
      </c>
      <c r="O3152" s="20">
        <v>5</v>
      </c>
      <c r="S3152" s="19" t="s">
        <v>20</v>
      </c>
      <c r="T3152" s="19" t="s">
        <v>1471</v>
      </c>
    </row>
    <row r="3153" spans="1:20">
      <c r="A3153" s="20">
        <v>202604333938919</v>
      </c>
      <c r="B3153" s="19" t="s">
        <v>20</v>
      </c>
      <c r="C3153" s="19" t="s">
        <v>21</v>
      </c>
      <c r="D3153" s="19" t="s">
        <v>20</v>
      </c>
      <c r="E3153" s="21">
        <v>46235</v>
      </c>
      <c r="F3153" s="21">
        <v>46599</v>
      </c>
      <c r="G3153" s="21"/>
      <c r="H3153" s="21">
        <v>46235</v>
      </c>
      <c r="I3153" s="21">
        <v>46599</v>
      </c>
      <c r="J3153" s="19" t="s">
        <v>2184</v>
      </c>
      <c r="L3153" s="19">
        <v>149.08780874999999</v>
      </c>
      <c r="M3153" s="19">
        <v>149.08780874999999</v>
      </c>
      <c r="N3153" s="19" t="s">
        <v>1475</v>
      </c>
      <c r="O3153" s="20">
        <v>5</v>
      </c>
      <c r="S3153" s="19" t="s">
        <v>20</v>
      </c>
      <c r="T3153" s="19" t="s">
        <v>1471</v>
      </c>
    </row>
    <row r="3154" spans="1:20">
      <c r="A3154" s="20">
        <v>202604333942869</v>
      </c>
      <c r="B3154" s="19" t="s">
        <v>20</v>
      </c>
      <c r="C3154" s="19" t="s">
        <v>21</v>
      </c>
      <c r="D3154" s="19" t="s">
        <v>2402</v>
      </c>
      <c r="E3154" s="21">
        <v>46235</v>
      </c>
      <c r="F3154" s="21">
        <v>46599</v>
      </c>
      <c r="G3154" s="21"/>
      <c r="H3154" s="21">
        <v>46235</v>
      </c>
      <c r="I3154" s="21">
        <v>46599</v>
      </c>
      <c r="J3154" s="19" t="s">
        <v>2103</v>
      </c>
      <c r="L3154" s="19">
        <v>119.84145375</v>
      </c>
      <c r="M3154" s="19">
        <v>119.84145375</v>
      </c>
      <c r="N3154" s="19" t="s">
        <v>1467</v>
      </c>
      <c r="O3154" s="20">
        <v>5</v>
      </c>
      <c r="S3154" s="19" t="s">
        <v>20</v>
      </c>
      <c r="T3154" s="19" t="s">
        <v>1471</v>
      </c>
    </row>
    <row r="3155" spans="1:20">
      <c r="A3155" s="20">
        <v>202604333943594</v>
      </c>
      <c r="B3155" s="19" t="s">
        <v>20</v>
      </c>
      <c r="C3155" s="19" t="s">
        <v>21</v>
      </c>
      <c r="D3155" s="19" t="s">
        <v>20</v>
      </c>
      <c r="E3155" s="21">
        <v>46235</v>
      </c>
      <c r="F3155" s="21">
        <v>46599</v>
      </c>
      <c r="G3155" s="21"/>
      <c r="H3155" s="21">
        <v>46235</v>
      </c>
      <c r="I3155" s="21">
        <v>46599</v>
      </c>
      <c r="J3155" s="19" t="s">
        <v>2069</v>
      </c>
      <c r="L3155" s="19">
        <v>33.130630250000003</v>
      </c>
      <c r="M3155" s="19">
        <v>33.130630250000003</v>
      </c>
      <c r="N3155" s="19" t="s">
        <v>1475</v>
      </c>
      <c r="O3155" s="20">
        <v>1</v>
      </c>
      <c r="S3155" s="19" t="s">
        <v>20</v>
      </c>
      <c r="T3155" s="19" t="s">
        <v>1471</v>
      </c>
    </row>
    <row r="3156" spans="1:20">
      <c r="A3156" s="20">
        <v>202604333944364</v>
      </c>
      <c r="B3156" s="19" t="s">
        <v>20</v>
      </c>
      <c r="C3156" s="19" t="s">
        <v>21</v>
      </c>
      <c r="D3156" s="19" t="s">
        <v>20</v>
      </c>
      <c r="E3156" s="21">
        <v>46235</v>
      </c>
      <c r="F3156" s="21">
        <v>46599</v>
      </c>
      <c r="G3156" s="21"/>
      <c r="H3156" s="21">
        <v>46235</v>
      </c>
      <c r="I3156" s="21">
        <v>46599</v>
      </c>
      <c r="J3156" s="19" t="s">
        <v>2064</v>
      </c>
      <c r="L3156" s="19">
        <v>0</v>
      </c>
      <c r="M3156" s="19">
        <v>0</v>
      </c>
      <c r="N3156" s="19" t="s">
        <v>2394</v>
      </c>
      <c r="O3156" s="20">
        <v>5</v>
      </c>
      <c r="S3156" s="19" t="s">
        <v>20</v>
      </c>
      <c r="T3156" s="19" t="s">
        <v>1471</v>
      </c>
    </row>
    <row r="3157" spans="1:20">
      <c r="A3157" s="20">
        <v>202604333944364</v>
      </c>
      <c r="B3157" s="19" t="s">
        <v>20</v>
      </c>
      <c r="C3157" s="19" t="s">
        <v>21</v>
      </c>
      <c r="D3157" s="19" t="s">
        <v>20</v>
      </c>
      <c r="E3157" s="21">
        <v>46235</v>
      </c>
      <c r="F3157" s="21">
        <v>46599</v>
      </c>
      <c r="G3157" s="21"/>
      <c r="H3157" s="21">
        <v>46235</v>
      </c>
      <c r="I3157" s="21">
        <v>46599</v>
      </c>
      <c r="J3157" s="19" t="s">
        <v>2064</v>
      </c>
      <c r="L3157" s="19">
        <v>165.65315125000001</v>
      </c>
      <c r="M3157" s="19">
        <v>165.65315125000001</v>
      </c>
      <c r="N3157" s="19" t="s">
        <v>1475</v>
      </c>
      <c r="O3157" s="20">
        <v>5</v>
      </c>
      <c r="S3157" s="19" t="s">
        <v>20</v>
      </c>
      <c r="T3157" s="19" t="s">
        <v>1471</v>
      </c>
    </row>
    <row r="3158" spans="1:20">
      <c r="A3158" s="20">
        <v>202604333946735</v>
      </c>
      <c r="B3158" s="19" t="s">
        <v>20</v>
      </c>
      <c r="C3158" s="19" t="s">
        <v>21</v>
      </c>
      <c r="D3158" s="19" t="s">
        <v>20</v>
      </c>
      <c r="E3158" s="21">
        <v>46235</v>
      </c>
      <c r="F3158" s="21">
        <v>46599</v>
      </c>
      <c r="G3158" s="21"/>
      <c r="H3158" s="21">
        <v>46235</v>
      </c>
      <c r="I3158" s="21">
        <v>46599</v>
      </c>
      <c r="J3158" s="19" t="s">
        <v>2087</v>
      </c>
      <c r="L3158" s="19">
        <v>0</v>
      </c>
      <c r="M3158" s="19">
        <v>0</v>
      </c>
      <c r="N3158" s="19" t="s">
        <v>2394</v>
      </c>
      <c r="O3158" s="20">
        <v>6</v>
      </c>
      <c r="S3158" s="19" t="s">
        <v>20</v>
      </c>
      <c r="T3158" s="19" t="s">
        <v>1471</v>
      </c>
    </row>
    <row r="3159" spans="1:20">
      <c r="A3159" s="20">
        <v>202604333946735</v>
      </c>
      <c r="B3159" s="19" t="s">
        <v>20</v>
      </c>
      <c r="C3159" s="19" t="s">
        <v>21</v>
      </c>
      <c r="D3159" s="19" t="s">
        <v>20</v>
      </c>
      <c r="E3159" s="21">
        <v>46235</v>
      </c>
      <c r="F3159" s="21">
        <v>46599</v>
      </c>
      <c r="G3159" s="21"/>
      <c r="H3159" s="21">
        <v>46235</v>
      </c>
      <c r="I3159" s="21">
        <v>46599</v>
      </c>
      <c r="J3159" s="19" t="s">
        <v>2087</v>
      </c>
      <c r="L3159" s="19">
        <v>198.7837815</v>
      </c>
      <c r="M3159" s="19">
        <v>198.7837815</v>
      </c>
      <c r="N3159" s="19" t="s">
        <v>1475</v>
      </c>
      <c r="O3159" s="20">
        <v>6</v>
      </c>
      <c r="S3159" s="19" t="s">
        <v>20</v>
      </c>
      <c r="T3159" s="19" t="s">
        <v>1471</v>
      </c>
    </row>
    <row r="3160" spans="1:20">
      <c r="A3160" s="20">
        <v>202604333947520</v>
      </c>
      <c r="B3160" s="19" t="s">
        <v>20</v>
      </c>
      <c r="C3160" s="19" t="s">
        <v>21</v>
      </c>
      <c r="D3160" s="19" t="s">
        <v>20</v>
      </c>
      <c r="E3160" s="21">
        <v>46235</v>
      </c>
      <c r="F3160" s="21">
        <v>46599</v>
      </c>
      <c r="G3160" s="21"/>
      <c r="H3160" s="21">
        <v>46235</v>
      </c>
      <c r="I3160" s="21">
        <v>46599</v>
      </c>
      <c r="J3160" s="19" t="s">
        <v>2068</v>
      </c>
      <c r="L3160" s="19">
        <v>26.258683999999999</v>
      </c>
      <c r="M3160" s="19">
        <v>26.258683999999999</v>
      </c>
      <c r="N3160" s="19" t="s">
        <v>1475</v>
      </c>
      <c r="O3160" s="20">
        <v>1</v>
      </c>
      <c r="S3160" s="19" t="s">
        <v>20</v>
      </c>
      <c r="T3160" s="19" t="s">
        <v>1471</v>
      </c>
    </row>
    <row r="3161" spans="1:20">
      <c r="A3161" s="20">
        <v>202604333952588</v>
      </c>
      <c r="B3161" s="19" t="s">
        <v>20</v>
      </c>
      <c r="C3161" s="19" t="s">
        <v>21</v>
      </c>
      <c r="D3161" s="19" t="s">
        <v>20</v>
      </c>
      <c r="E3161" s="21">
        <v>46235</v>
      </c>
      <c r="F3161" s="21">
        <v>46599</v>
      </c>
      <c r="G3161" s="21"/>
      <c r="H3161" s="21">
        <v>46235</v>
      </c>
      <c r="I3161" s="21">
        <v>46599</v>
      </c>
      <c r="J3161" s="19" t="s">
        <v>2400</v>
      </c>
      <c r="L3161" s="19">
        <v>0</v>
      </c>
      <c r="M3161" s="19">
        <v>0</v>
      </c>
      <c r="N3161" s="19" t="s">
        <v>2394</v>
      </c>
      <c r="O3161" s="20">
        <v>4</v>
      </c>
      <c r="S3161" s="19" t="s">
        <v>20</v>
      </c>
      <c r="T3161" s="19" t="s">
        <v>1471</v>
      </c>
    </row>
    <row r="3162" spans="1:20">
      <c r="A3162" s="20">
        <v>202604333952588</v>
      </c>
      <c r="B3162" s="19" t="s">
        <v>20</v>
      </c>
      <c r="C3162" s="19" t="s">
        <v>21</v>
      </c>
      <c r="D3162" s="19" t="s">
        <v>2401</v>
      </c>
      <c r="E3162" s="21">
        <v>46235</v>
      </c>
      <c r="F3162" s="21">
        <v>46599</v>
      </c>
      <c r="G3162" s="21"/>
      <c r="H3162" s="21">
        <v>46235</v>
      </c>
      <c r="I3162" s="21">
        <v>46599</v>
      </c>
      <c r="J3162" s="19" t="s">
        <v>2400</v>
      </c>
      <c r="L3162" s="19">
        <v>53.526958</v>
      </c>
      <c r="M3162" s="19">
        <v>53.526958</v>
      </c>
      <c r="N3162" s="19" t="s">
        <v>1467</v>
      </c>
      <c r="O3162" s="20">
        <v>4</v>
      </c>
      <c r="S3162" s="19" t="s">
        <v>20</v>
      </c>
      <c r="T3162" s="19" t="s">
        <v>1471</v>
      </c>
    </row>
    <row r="3163" spans="1:20">
      <c r="A3163" s="20">
        <v>202604333952716</v>
      </c>
      <c r="B3163" s="19" t="s">
        <v>20</v>
      </c>
      <c r="C3163" s="19" t="s">
        <v>21</v>
      </c>
      <c r="D3163" s="19" t="s">
        <v>20</v>
      </c>
      <c r="E3163" s="21">
        <v>46235</v>
      </c>
      <c r="F3163" s="21">
        <v>46599</v>
      </c>
      <c r="G3163" s="21"/>
      <c r="H3163" s="21">
        <v>46235</v>
      </c>
      <c r="I3163" s="21">
        <v>46599</v>
      </c>
      <c r="J3163" s="19" t="s">
        <v>2114</v>
      </c>
      <c r="L3163" s="19">
        <v>0</v>
      </c>
      <c r="M3163" s="19">
        <v>0</v>
      </c>
      <c r="N3163" s="19" t="s">
        <v>2394</v>
      </c>
      <c r="O3163" s="20">
        <v>8</v>
      </c>
      <c r="S3163" s="19" t="s">
        <v>20</v>
      </c>
      <c r="T3163" s="19" t="s">
        <v>1471</v>
      </c>
    </row>
    <row r="3164" spans="1:20">
      <c r="A3164" s="20">
        <v>202604333952716</v>
      </c>
      <c r="B3164" s="19" t="s">
        <v>20</v>
      </c>
      <c r="C3164" s="19" t="s">
        <v>21</v>
      </c>
      <c r="D3164" s="19" t="s">
        <v>20</v>
      </c>
      <c r="E3164" s="21">
        <v>46235</v>
      </c>
      <c r="F3164" s="21">
        <v>46599</v>
      </c>
      <c r="G3164" s="21"/>
      <c r="H3164" s="21">
        <v>46235</v>
      </c>
      <c r="I3164" s="21">
        <v>46599</v>
      </c>
      <c r="J3164" s="19" t="s">
        <v>2114</v>
      </c>
      <c r="L3164" s="19">
        <v>265.04504200000002</v>
      </c>
      <c r="M3164" s="19">
        <v>265.04504200000002</v>
      </c>
      <c r="N3164" s="19" t="s">
        <v>1475</v>
      </c>
      <c r="O3164" s="20">
        <v>8</v>
      </c>
      <c r="S3164" s="19" t="s">
        <v>20</v>
      </c>
      <c r="T3164" s="19" t="s">
        <v>1471</v>
      </c>
    </row>
    <row r="3165" spans="1:20">
      <c r="A3165" s="20">
        <v>202604333957238</v>
      </c>
      <c r="B3165" s="19" t="s">
        <v>20</v>
      </c>
      <c r="C3165" s="19" t="s">
        <v>21</v>
      </c>
      <c r="D3165" s="19" t="s">
        <v>20</v>
      </c>
      <c r="E3165" s="21">
        <v>46235</v>
      </c>
      <c r="F3165" s="21">
        <v>46599</v>
      </c>
      <c r="G3165" s="21"/>
      <c r="H3165" s="21">
        <v>46235</v>
      </c>
      <c r="I3165" s="21">
        <v>46599</v>
      </c>
      <c r="J3165" s="19" t="s">
        <v>2064</v>
      </c>
      <c r="L3165" s="19">
        <v>0</v>
      </c>
      <c r="M3165" s="19">
        <v>0</v>
      </c>
      <c r="N3165" s="19" t="s">
        <v>2394</v>
      </c>
      <c r="O3165" s="20">
        <v>3</v>
      </c>
      <c r="S3165" s="19" t="s">
        <v>20</v>
      </c>
      <c r="T3165" s="19" t="s">
        <v>1471</v>
      </c>
    </row>
    <row r="3166" spans="1:20">
      <c r="A3166" s="20">
        <v>202604333957238</v>
      </c>
      <c r="B3166" s="19" t="s">
        <v>20</v>
      </c>
      <c r="C3166" s="19" t="s">
        <v>21</v>
      </c>
      <c r="D3166" s="19" t="s">
        <v>20</v>
      </c>
      <c r="E3166" s="21">
        <v>46235</v>
      </c>
      <c r="F3166" s="21">
        <v>46599</v>
      </c>
      <c r="G3166" s="21"/>
      <c r="H3166" s="21">
        <v>46235</v>
      </c>
      <c r="I3166" s="21">
        <v>46599</v>
      </c>
      <c r="J3166" s="19" t="s">
        <v>2064</v>
      </c>
      <c r="L3166" s="19">
        <v>99.391890750000002</v>
      </c>
      <c r="M3166" s="19">
        <v>99.391890750000002</v>
      </c>
      <c r="N3166" s="19" t="s">
        <v>1475</v>
      </c>
      <c r="O3166" s="20">
        <v>3</v>
      </c>
      <c r="S3166" s="19" t="s">
        <v>20</v>
      </c>
      <c r="T3166" s="19" t="s">
        <v>1471</v>
      </c>
    </row>
    <row r="3167" spans="1:20">
      <c r="A3167" s="20">
        <v>202604333959354</v>
      </c>
      <c r="B3167" s="19" t="s">
        <v>20</v>
      </c>
      <c r="C3167" s="19" t="s">
        <v>21</v>
      </c>
      <c r="D3167" s="19" t="s">
        <v>20</v>
      </c>
      <c r="E3167" s="21">
        <v>46235</v>
      </c>
      <c r="F3167" s="21">
        <v>46599</v>
      </c>
      <c r="G3167" s="21"/>
      <c r="H3167" s="21">
        <v>46235</v>
      </c>
      <c r="I3167" s="21">
        <v>46599</v>
      </c>
      <c r="J3167" s="19" t="s">
        <v>2064</v>
      </c>
      <c r="L3167" s="19">
        <v>33.130630250000003</v>
      </c>
      <c r="M3167" s="19">
        <v>33.130630250000003</v>
      </c>
      <c r="N3167" s="19" t="s">
        <v>1475</v>
      </c>
      <c r="O3167" s="20">
        <v>1</v>
      </c>
      <c r="S3167" s="19" t="s">
        <v>20</v>
      </c>
      <c r="T3167" s="19" t="s">
        <v>1471</v>
      </c>
    </row>
    <row r="3168" spans="1:20">
      <c r="A3168" s="20">
        <v>202604333961037</v>
      </c>
      <c r="B3168" s="19" t="s">
        <v>20</v>
      </c>
      <c r="C3168" s="19" t="s">
        <v>21</v>
      </c>
      <c r="D3168" s="19" t="s">
        <v>20</v>
      </c>
      <c r="E3168" s="21">
        <v>46235</v>
      </c>
      <c r="F3168" s="21">
        <v>46599</v>
      </c>
      <c r="G3168" s="21"/>
      <c r="H3168" s="21">
        <v>46235</v>
      </c>
      <c r="I3168" s="21">
        <v>46599</v>
      </c>
      <c r="J3168" s="19" t="s">
        <v>2068</v>
      </c>
      <c r="L3168" s="19">
        <v>0</v>
      </c>
      <c r="M3168" s="19">
        <v>0</v>
      </c>
      <c r="N3168" s="19" t="s">
        <v>2394</v>
      </c>
      <c r="O3168" s="20">
        <v>4</v>
      </c>
      <c r="S3168" s="19" t="s">
        <v>20</v>
      </c>
      <c r="T3168" s="19" t="s">
        <v>1471</v>
      </c>
    </row>
    <row r="3169" spans="1:20">
      <c r="A3169" s="20">
        <v>202604333961037</v>
      </c>
      <c r="B3169" s="19" t="s">
        <v>20</v>
      </c>
      <c r="C3169" s="19" t="s">
        <v>21</v>
      </c>
      <c r="D3169" s="19" t="s">
        <v>20</v>
      </c>
      <c r="E3169" s="21">
        <v>46235</v>
      </c>
      <c r="F3169" s="21">
        <v>46599</v>
      </c>
      <c r="G3169" s="21"/>
      <c r="H3169" s="21">
        <v>46235</v>
      </c>
      <c r="I3169" s="21">
        <v>46599</v>
      </c>
      <c r="J3169" s="19" t="s">
        <v>2068</v>
      </c>
      <c r="L3169" s="19">
        <v>105.034736</v>
      </c>
      <c r="M3169" s="19">
        <v>105.034736</v>
      </c>
      <c r="N3169" s="19" t="s">
        <v>1475</v>
      </c>
      <c r="O3169" s="20">
        <v>4</v>
      </c>
      <c r="S3169" s="19" t="s">
        <v>20</v>
      </c>
      <c r="T3169" s="19" t="s">
        <v>1471</v>
      </c>
    </row>
    <row r="3170" spans="1:20">
      <c r="A3170" s="20">
        <v>202604333962336</v>
      </c>
      <c r="B3170" s="19" t="s">
        <v>20</v>
      </c>
      <c r="C3170" s="19" t="s">
        <v>21</v>
      </c>
      <c r="D3170" s="19" t="s">
        <v>20</v>
      </c>
      <c r="E3170" s="21">
        <v>46235</v>
      </c>
      <c r="F3170" s="21">
        <v>46599</v>
      </c>
      <c r="G3170" s="21"/>
      <c r="H3170" s="21">
        <v>46235</v>
      </c>
      <c r="I3170" s="21">
        <v>46599</v>
      </c>
      <c r="J3170" s="19" t="s">
        <v>2069</v>
      </c>
      <c r="L3170" s="19">
        <v>33.130630250000003</v>
      </c>
      <c r="M3170" s="19">
        <v>33.130630250000003</v>
      </c>
      <c r="N3170" s="19" t="s">
        <v>1475</v>
      </c>
      <c r="O3170" s="20">
        <v>1</v>
      </c>
      <c r="S3170" s="19" t="s">
        <v>20</v>
      </c>
      <c r="T3170" s="19" t="s">
        <v>1471</v>
      </c>
    </row>
    <row r="3171" spans="1:20">
      <c r="A3171" s="20">
        <v>202604333963446</v>
      </c>
      <c r="B3171" s="19" t="s">
        <v>20</v>
      </c>
      <c r="C3171" s="19" t="s">
        <v>21</v>
      </c>
      <c r="D3171" s="19" t="s">
        <v>20</v>
      </c>
      <c r="E3171" s="21">
        <v>46235</v>
      </c>
      <c r="F3171" s="21">
        <v>46599</v>
      </c>
      <c r="G3171" s="21"/>
      <c r="H3171" s="21">
        <v>46235</v>
      </c>
      <c r="I3171" s="21">
        <v>46599</v>
      </c>
      <c r="J3171" s="19" t="s">
        <v>2064</v>
      </c>
      <c r="L3171" s="19">
        <v>0</v>
      </c>
      <c r="M3171" s="19">
        <v>0</v>
      </c>
      <c r="N3171" s="19" t="s">
        <v>2394</v>
      </c>
      <c r="O3171" s="20">
        <v>3</v>
      </c>
      <c r="S3171" s="19" t="s">
        <v>20</v>
      </c>
      <c r="T3171" s="19" t="s">
        <v>1471</v>
      </c>
    </row>
    <row r="3172" spans="1:20">
      <c r="A3172" s="20">
        <v>202604333963446</v>
      </c>
      <c r="B3172" s="19" t="s">
        <v>20</v>
      </c>
      <c r="C3172" s="19" t="s">
        <v>21</v>
      </c>
      <c r="D3172" s="19" t="s">
        <v>20</v>
      </c>
      <c r="E3172" s="21">
        <v>46235</v>
      </c>
      <c r="F3172" s="21">
        <v>46599</v>
      </c>
      <c r="G3172" s="21"/>
      <c r="H3172" s="21">
        <v>46235</v>
      </c>
      <c r="I3172" s="21">
        <v>46599</v>
      </c>
      <c r="J3172" s="19" t="s">
        <v>2064</v>
      </c>
      <c r="L3172" s="19">
        <v>99.391890750000002</v>
      </c>
      <c r="M3172" s="19">
        <v>99.391890750000002</v>
      </c>
      <c r="N3172" s="19" t="s">
        <v>1475</v>
      </c>
      <c r="O3172" s="20">
        <v>3</v>
      </c>
      <c r="S3172" s="19" t="s">
        <v>20</v>
      </c>
      <c r="T3172" s="19" t="s">
        <v>1471</v>
      </c>
    </row>
    <row r="3173" spans="1:20">
      <c r="A3173" s="20">
        <v>202604333964421</v>
      </c>
      <c r="B3173" s="19" t="s">
        <v>20</v>
      </c>
      <c r="C3173" s="19" t="s">
        <v>21</v>
      </c>
      <c r="D3173" s="19" t="s">
        <v>20</v>
      </c>
      <c r="E3173" s="21">
        <v>46235</v>
      </c>
      <c r="F3173" s="21">
        <v>46599</v>
      </c>
      <c r="G3173" s="21"/>
      <c r="H3173" s="21">
        <v>46235</v>
      </c>
      <c r="I3173" s="21">
        <v>46599</v>
      </c>
      <c r="J3173" s="19" t="s">
        <v>2067</v>
      </c>
      <c r="L3173" s="19">
        <v>35.110937749999998</v>
      </c>
      <c r="M3173" s="19">
        <v>35.110937749999998</v>
      </c>
      <c r="N3173" s="19" t="s">
        <v>1475</v>
      </c>
      <c r="O3173" s="20">
        <v>1</v>
      </c>
      <c r="S3173" s="19" t="s">
        <v>20</v>
      </c>
      <c r="T3173" s="19" t="s">
        <v>1471</v>
      </c>
    </row>
    <row r="3174" spans="1:20">
      <c r="A3174" s="20">
        <v>202604333967360</v>
      </c>
      <c r="B3174" s="19" t="s">
        <v>20</v>
      </c>
      <c r="C3174" s="19" t="s">
        <v>21</v>
      </c>
      <c r="D3174" s="19" t="s">
        <v>2399</v>
      </c>
      <c r="E3174" s="21">
        <v>46235</v>
      </c>
      <c r="F3174" s="21">
        <v>46599</v>
      </c>
      <c r="G3174" s="21"/>
      <c r="H3174" s="21">
        <v>46235</v>
      </c>
      <c r="I3174" s="21">
        <v>46599</v>
      </c>
      <c r="J3174" s="19" t="s">
        <v>2087</v>
      </c>
      <c r="L3174" s="19">
        <v>66.261260500000006</v>
      </c>
      <c r="M3174" s="19">
        <v>66.261260500000006</v>
      </c>
      <c r="N3174" s="19" t="s">
        <v>1467</v>
      </c>
      <c r="O3174" s="20">
        <v>2</v>
      </c>
      <c r="S3174" s="19" t="s">
        <v>20</v>
      </c>
      <c r="T3174" s="19" t="s">
        <v>1471</v>
      </c>
    </row>
    <row r="3175" spans="1:20">
      <c r="A3175" s="20">
        <v>202604333968787</v>
      </c>
      <c r="B3175" s="19" t="s">
        <v>20</v>
      </c>
      <c r="C3175" s="19" t="s">
        <v>21</v>
      </c>
      <c r="D3175" s="19" t="s">
        <v>20</v>
      </c>
      <c r="E3175" s="21">
        <v>46235</v>
      </c>
      <c r="F3175" s="21">
        <v>46599</v>
      </c>
      <c r="G3175" s="21"/>
      <c r="H3175" s="21">
        <v>46235</v>
      </c>
      <c r="I3175" s="21">
        <v>46599</v>
      </c>
      <c r="J3175" s="19" t="s">
        <v>2068</v>
      </c>
      <c r="L3175" s="19">
        <v>0</v>
      </c>
      <c r="M3175" s="19">
        <v>0</v>
      </c>
      <c r="N3175" s="19" t="s">
        <v>2394</v>
      </c>
      <c r="O3175" s="20">
        <v>2</v>
      </c>
      <c r="S3175" s="19" t="s">
        <v>20</v>
      </c>
      <c r="T3175" s="19" t="s">
        <v>1471</v>
      </c>
    </row>
    <row r="3176" spans="1:20">
      <c r="A3176" s="20">
        <v>202604333968787</v>
      </c>
      <c r="B3176" s="19" t="s">
        <v>20</v>
      </c>
      <c r="C3176" s="19" t="s">
        <v>21</v>
      </c>
      <c r="D3176" s="19" t="s">
        <v>20</v>
      </c>
      <c r="E3176" s="21">
        <v>46235</v>
      </c>
      <c r="F3176" s="21">
        <v>46599</v>
      </c>
      <c r="G3176" s="21"/>
      <c r="H3176" s="21">
        <v>46235</v>
      </c>
      <c r="I3176" s="21">
        <v>46599</v>
      </c>
      <c r="J3176" s="19" t="s">
        <v>2068</v>
      </c>
      <c r="L3176" s="19">
        <v>52.517367999999998</v>
      </c>
      <c r="M3176" s="19">
        <v>52.517367999999998</v>
      </c>
      <c r="N3176" s="19" t="s">
        <v>1475</v>
      </c>
      <c r="O3176" s="20">
        <v>2</v>
      </c>
      <c r="S3176" s="19" t="s">
        <v>20</v>
      </c>
      <c r="T3176" s="19" t="s">
        <v>1471</v>
      </c>
    </row>
    <row r="3177" spans="1:20">
      <c r="A3177" s="20">
        <v>202604333969738</v>
      </c>
      <c r="B3177" s="19" t="s">
        <v>20</v>
      </c>
      <c r="C3177" s="19" t="s">
        <v>21</v>
      </c>
      <c r="D3177" s="19" t="s">
        <v>20</v>
      </c>
      <c r="E3177" s="21">
        <v>46235</v>
      </c>
      <c r="F3177" s="21">
        <v>46599</v>
      </c>
      <c r="G3177" s="21"/>
      <c r="H3177" s="21">
        <v>46235</v>
      </c>
      <c r="I3177" s="21">
        <v>46599</v>
      </c>
      <c r="J3177" s="19" t="s">
        <v>2122</v>
      </c>
      <c r="L3177" s="19">
        <v>71.904872249999997</v>
      </c>
      <c r="M3177" s="19">
        <v>71.904872249999997</v>
      </c>
      <c r="N3177" s="19" t="s">
        <v>1475</v>
      </c>
      <c r="O3177" s="20">
        <v>3</v>
      </c>
      <c r="S3177" s="19" t="s">
        <v>20</v>
      </c>
      <c r="T3177" s="19" t="s">
        <v>1471</v>
      </c>
    </row>
    <row r="3178" spans="1:20">
      <c r="A3178" s="20">
        <v>202604333971683</v>
      </c>
      <c r="B3178" s="19" t="s">
        <v>20</v>
      </c>
      <c r="C3178" s="19" t="s">
        <v>21</v>
      </c>
      <c r="D3178" s="19" t="s">
        <v>20</v>
      </c>
      <c r="E3178" s="21">
        <v>46235</v>
      </c>
      <c r="F3178" s="21">
        <v>46599</v>
      </c>
      <c r="G3178" s="21"/>
      <c r="H3178" s="21">
        <v>46235</v>
      </c>
      <c r="I3178" s="21">
        <v>46599</v>
      </c>
      <c r="J3178" s="19" t="s">
        <v>2065</v>
      </c>
      <c r="L3178" s="19">
        <v>0</v>
      </c>
      <c r="M3178" s="19">
        <v>0</v>
      </c>
      <c r="N3178" s="19" t="s">
        <v>2394</v>
      </c>
      <c r="O3178" s="20">
        <v>3</v>
      </c>
      <c r="S3178" s="19" t="s">
        <v>20</v>
      </c>
      <c r="T3178" s="19" t="s">
        <v>1471</v>
      </c>
    </row>
    <row r="3179" spans="1:20">
      <c r="A3179" s="20">
        <v>202604333971683</v>
      </c>
      <c r="B3179" s="19" t="s">
        <v>20</v>
      </c>
      <c r="C3179" s="19" t="s">
        <v>21</v>
      </c>
      <c r="D3179" s="19" t="s">
        <v>20</v>
      </c>
      <c r="E3179" s="21">
        <v>46235</v>
      </c>
      <c r="F3179" s="21">
        <v>46599</v>
      </c>
      <c r="G3179" s="21"/>
      <c r="H3179" s="21">
        <v>46235</v>
      </c>
      <c r="I3179" s="21">
        <v>46599</v>
      </c>
      <c r="J3179" s="19" t="s">
        <v>2065</v>
      </c>
      <c r="L3179" s="19">
        <v>78.776052000000007</v>
      </c>
      <c r="M3179" s="19">
        <v>78.776052000000007</v>
      </c>
      <c r="N3179" s="19" t="s">
        <v>1475</v>
      </c>
      <c r="O3179" s="20">
        <v>3</v>
      </c>
      <c r="S3179" s="19" t="s">
        <v>20</v>
      </c>
      <c r="T3179" s="19" t="s">
        <v>1471</v>
      </c>
    </row>
    <row r="3180" spans="1:20">
      <c r="A3180" s="20">
        <v>202604333972310</v>
      </c>
      <c r="B3180" s="19" t="s">
        <v>20</v>
      </c>
      <c r="C3180" s="19" t="s">
        <v>21</v>
      </c>
      <c r="D3180" s="19" t="s">
        <v>2398</v>
      </c>
      <c r="E3180" s="21">
        <v>46235</v>
      </c>
      <c r="F3180" s="21">
        <v>46599</v>
      </c>
      <c r="G3180" s="21"/>
      <c r="H3180" s="21">
        <v>46235</v>
      </c>
      <c r="I3180" s="21">
        <v>46599</v>
      </c>
      <c r="J3180" s="19" t="s">
        <v>2268</v>
      </c>
      <c r="L3180" s="19">
        <v>29.817561749999999</v>
      </c>
      <c r="M3180" s="19">
        <v>29.817561749999999</v>
      </c>
      <c r="N3180" s="19" t="s">
        <v>1467</v>
      </c>
      <c r="O3180" s="20">
        <v>1</v>
      </c>
      <c r="S3180" s="19" t="s">
        <v>20</v>
      </c>
      <c r="T3180" s="19" t="s">
        <v>1471</v>
      </c>
    </row>
    <row r="3181" spans="1:20">
      <c r="A3181" s="20">
        <v>202604333973092</v>
      </c>
      <c r="B3181" s="19" t="s">
        <v>20</v>
      </c>
      <c r="C3181" s="19" t="s">
        <v>21</v>
      </c>
      <c r="D3181" s="19" t="s">
        <v>20</v>
      </c>
      <c r="E3181" s="21">
        <v>46235</v>
      </c>
      <c r="F3181" s="21">
        <v>46599</v>
      </c>
      <c r="G3181" s="21"/>
      <c r="H3181" s="21">
        <v>46235</v>
      </c>
      <c r="I3181" s="21">
        <v>46599</v>
      </c>
      <c r="J3181" s="19" t="s">
        <v>2064</v>
      </c>
      <c r="L3181" s="19">
        <v>33.130630250000003</v>
      </c>
      <c r="M3181" s="19">
        <v>33.130630250000003</v>
      </c>
      <c r="N3181" s="19" t="s">
        <v>1475</v>
      </c>
      <c r="O3181" s="20">
        <v>1</v>
      </c>
      <c r="S3181" s="19" t="s">
        <v>20</v>
      </c>
      <c r="T3181" s="19" t="s">
        <v>1471</v>
      </c>
    </row>
    <row r="3182" spans="1:20">
      <c r="A3182" s="20">
        <v>202604333973166</v>
      </c>
      <c r="B3182" s="19" t="s">
        <v>20</v>
      </c>
      <c r="C3182" s="19" t="s">
        <v>21</v>
      </c>
      <c r="D3182" s="19" t="s">
        <v>20</v>
      </c>
      <c r="E3182" s="21">
        <v>46235</v>
      </c>
      <c r="F3182" s="21">
        <v>46599</v>
      </c>
      <c r="G3182" s="21"/>
      <c r="H3182" s="21">
        <v>46235</v>
      </c>
      <c r="I3182" s="21">
        <v>46599</v>
      </c>
      <c r="J3182" s="19" t="s">
        <v>2396</v>
      </c>
      <c r="L3182" s="19">
        <v>0</v>
      </c>
      <c r="M3182" s="19">
        <v>0</v>
      </c>
      <c r="N3182" s="19" t="s">
        <v>2394</v>
      </c>
      <c r="O3182" s="20">
        <v>2</v>
      </c>
      <c r="S3182" s="19" t="s">
        <v>20</v>
      </c>
      <c r="T3182" s="19" t="s">
        <v>1471</v>
      </c>
    </row>
    <row r="3183" spans="1:20">
      <c r="A3183" s="20">
        <v>202604333973166</v>
      </c>
      <c r="B3183" s="19" t="s">
        <v>20</v>
      </c>
      <c r="C3183" s="19" t="s">
        <v>21</v>
      </c>
      <c r="D3183" s="19" t="s">
        <v>2397</v>
      </c>
      <c r="E3183" s="21">
        <v>46235</v>
      </c>
      <c r="F3183" s="21">
        <v>46599</v>
      </c>
      <c r="G3183" s="21"/>
      <c r="H3183" s="21">
        <v>46235</v>
      </c>
      <c r="I3183" s="21">
        <v>46599</v>
      </c>
      <c r="J3183" s="19" t="s">
        <v>2396</v>
      </c>
      <c r="L3183" s="19">
        <v>39.831646999999997</v>
      </c>
      <c r="M3183" s="19">
        <v>39.831646999999997</v>
      </c>
      <c r="N3183" s="19" t="s">
        <v>1467</v>
      </c>
      <c r="O3183" s="20">
        <v>2</v>
      </c>
      <c r="S3183" s="19" t="s">
        <v>20</v>
      </c>
      <c r="T3183" s="19" t="s">
        <v>1471</v>
      </c>
    </row>
    <row r="3184" spans="1:20">
      <c r="A3184" s="20">
        <v>202604333973539</v>
      </c>
      <c r="B3184" s="19" t="s">
        <v>20</v>
      </c>
      <c r="C3184" s="19" t="s">
        <v>21</v>
      </c>
      <c r="D3184" s="19" t="s">
        <v>2395</v>
      </c>
      <c r="E3184" s="21">
        <v>46235</v>
      </c>
      <c r="F3184" s="21">
        <v>46599</v>
      </c>
      <c r="G3184" s="21"/>
      <c r="H3184" s="21">
        <v>46235</v>
      </c>
      <c r="I3184" s="21">
        <v>46599</v>
      </c>
      <c r="J3184" s="19" t="s">
        <v>2238</v>
      </c>
      <c r="L3184" s="19">
        <v>24.292319500000001</v>
      </c>
      <c r="M3184" s="19">
        <v>24.292319500000001</v>
      </c>
      <c r="N3184" s="19" t="s">
        <v>1467</v>
      </c>
      <c r="O3184" s="20">
        <v>1</v>
      </c>
      <c r="S3184" s="19" t="s">
        <v>20</v>
      </c>
      <c r="T3184" s="19" t="s">
        <v>1471</v>
      </c>
    </row>
    <row r="3185" spans="1:20">
      <c r="A3185" s="20">
        <v>202604333975511</v>
      </c>
      <c r="B3185" s="19" t="s">
        <v>20</v>
      </c>
      <c r="C3185" s="19" t="s">
        <v>21</v>
      </c>
      <c r="D3185" s="19" t="s">
        <v>20</v>
      </c>
      <c r="E3185" s="21">
        <v>46235</v>
      </c>
      <c r="F3185" s="21">
        <v>46599</v>
      </c>
      <c r="G3185" s="21"/>
      <c r="H3185" s="21">
        <v>46235</v>
      </c>
      <c r="I3185" s="21">
        <v>46599</v>
      </c>
      <c r="J3185" s="19" t="s">
        <v>2083</v>
      </c>
      <c r="L3185" s="19">
        <v>0</v>
      </c>
      <c r="M3185" s="19">
        <v>0</v>
      </c>
      <c r="N3185" s="19" t="s">
        <v>2394</v>
      </c>
      <c r="O3185" s="20">
        <v>4</v>
      </c>
      <c r="S3185" s="19" t="s">
        <v>20</v>
      </c>
      <c r="T3185" s="19" t="s">
        <v>1471</v>
      </c>
    </row>
    <row r="3186" spans="1:20">
      <c r="A3186" s="20">
        <v>202604333975511</v>
      </c>
      <c r="B3186" s="19" t="s">
        <v>20</v>
      </c>
      <c r="C3186" s="19" t="s">
        <v>21</v>
      </c>
      <c r="D3186" s="19" t="s">
        <v>20</v>
      </c>
      <c r="E3186" s="21">
        <v>46235</v>
      </c>
      <c r="F3186" s="21">
        <v>46599</v>
      </c>
      <c r="G3186" s="21"/>
      <c r="H3186" s="21">
        <v>46235</v>
      </c>
      <c r="I3186" s="21">
        <v>46599</v>
      </c>
      <c r="J3186" s="19" t="s">
        <v>2083</v>
      </c>
      <c r="L3186" s="19">
        <v>132.52252100000001</v>
      </c>
      <c r="M3186" s="19">
        <v>132.52252100000001</v>
      </c>
      <c r="N3186" s="19" t="s">
        <v>1475</v>
      </c>
      <c r="O3186" s="20">
        <v>4</v>
      </c>
      <c r="S3186" s="19" t="s">
        <v>20</v>
      </c>
      <c r="T3186" s="19" t="s">
        <v>1471</v>
      </c>
    </row>
    <row r="3188" spans="1:20">
      <c r="A3188" s="20" t="s">
        <v>2393</v>
      </c>
    </row>
  </sheetData>
  <autoFilter ref="A10:T3186" xr:uid="{B0EDA5E4-30E3-4FA9-B942-8480474C6E6A}"/>
  <conditionalFormatting sqref="A10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Formattazione per CSEA</vt:lpstr>
      <vt:lpstr>confronto dati BI con manuale</vt:lpstr>
      <vt:lpstr>BI_dal 01072026_funzione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Cinzia Antoci</dc:creator>
  <cp:lastModifiedBy>Cinzia Antoci</cp:lastModifiedBy>
  <dcterms:created xsi:type="dcterms:W3CDTF">2026-07-24T07:34:12Z</dcterms:created>
  <dcterms:modified xsi:type="dcterms:W3CDTF">2026-08-04T10:38:58Z</dcterms:modified>
</cp:coreProperties>
</file>